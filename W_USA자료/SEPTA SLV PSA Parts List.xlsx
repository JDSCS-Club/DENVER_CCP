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se\Documents\00 Biz Dev\2019 SEPTA SLV Parts Agreement\"/>
    </mc:Choice>
  </mc:AlternateContent>
  <xr:revisionPtr revIDLastSave="0" documentId="13_ncr:1_{A4210C04-A1D0-4071-A84B-3DE139583294}" xr6:coauthVersionLast="45" xr6:coauthVersionMax="45" xr10:uidLastSave="{00000000-0000-0000-0000-000000000000}"/>
  <bookViews>
    <workbookView xWindow="-28920" yWindow="-120" windowWidth="29040" windowHeight="16440" activeTab="2" xr2:uid="{E8971259-2040-43FD-873D-BF0C19F0C7B6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Sheet1!$B$2:$Z$56</definedName>
    <definedName name="_xlnm._FilterDatabase" localSheetId="1" hidden="1">Sheet2!$A$1:$I$1</definedName>
    <definedName name="_xlnm.Print_Area" localSheetId="2">Sheet3!$A$1:$W$65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0" i="3" l="1"/>
  <c r="V10" i="3"/>
  <c r="P26" i="3"/>
  <c r="V26" i="3" s="1"/>
  <c r="P10" i="3"/>
  <c r="P3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43" i="3"/>
  <c r="V44" i="3"/>
  <c r="V45" i="3"/>
  <c r="V46" i="3"/>
  <c r="V47" i="3"/>
  <c r="V48" i="3"/>
  <c r="V49" i="3"/>
  <c r="V50" i="3"/>
  <c r="V51" i="3"/>
  <c r="V42" i="3"/>
  <c r="V41" i="3"/>
  <c r="V40" i="3"/>
  <c r="V39" i="3"/>
  <c r="V35" i="3"/>
  <c r="V34" i="3"/>
  <c r="V33" i="3"/>
  <c r="V32" i="3"/>
  <c r="V31" i="3"/>
  <c r="V30" i="3"/>
  <c r="V28" i="3"/>
  <c r="V27" i="3"/>
  <c r="V25" i="3"/>
  <c r="V24" i="3"/>
  <c r="V21" i="3"/>
  <c r="V20" i="3"/>
  <c r="V19" i="3"/>
  <c r="V18" i="3"/>
  <c r="V17" i="3"/>
  <c r="V16" i="3"/>
  <c r="V15" i="3"/>
  <c r="V14" i="3"/>
  <c r="V13" i="3"/>
  <c r="V12" i="3"/>
  <c r="V11" i="3"/>
  <c r="V9" i="3"/>
  <c r="V8" i="3"/>
  <c r="V7" i="3"/>
  <c r="V5" i="3" l="1"/>
  <c r="V6" i="3"/>
  <c r="U62" i="3" l="1"/>
  <c r="U63" i="3"/>
  <c r="U64" i="3"/>
  <c r="U65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" i="3"/>
  <c r="U7" i="3"/>
  <c r="U8" i="3"/>
  <c r="U9" i="3"/>
  <c r="U10" i="3"/>
  <c r="U11" i="3"/>
  <c r="U12" i="3"/>
  <c r="U5" i="3"/>
  <c r="T19" i="3" l="1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66" i="3"/>
  <c r="T67" i="3"/>
  <c r="T68" i="3"/>
  <c r="T69" i="3"/>
  <c r="T70" i="3"/>
  <c r="T71" i="3"/>
  <c r="T72" i="3"/>
  <c r="T73" i="3"/>
  <c r="T74" i="3"/>
  <c r="O22" i="3" l="1"/>
  <c r="O47" i="3" l="1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46" i="3"/>
  <c r="O34" i="3" l="1"/>
  <c r="O35" i="3"/>
  <c r="O36" i="3"/>
  <c r="O37" i="3"/>
  <c r="O38" i="3"/>
  <c r="O39" i="3"/>
  <c r="O40" i="3"/>
  <c r="O41" i="3"/>
  <c r="O42" i="3"/>
  <c r="O43" i="3"/>
  <c r="O44" i="3"/>
  <c r="O45" i="3"/>
  <c r="O33" i="3"/>
  <c r="O6" i="3"/>
  <c r="O7" i="3"/>
  <c r="O10" i="3"/>
  <c r="O11" i="3"/>
  <c r="O12" i="3"/>
  <c r="O13" i="3"/>
  <c r="O14" i="3"/>
  <c r="O15" i="3"/>
  <c r="O16" i="3"/>
  <c r="O17" i="3"/>
  <c r="O19" i="3"/>
  <c r="O20" i="3"/>
  <c r="O21" i="3"/>
  <c r="O23" i="3"/>
  <c r="O24" i="3"/>
  <c r="O25" i="3"/>
  <c r="O26" i="3"/>
  <c r="O27" i="3"/>
  <c r="O28" i="3"/>
  <c r="O29" i="3"/>
  <c r="O30" i="3"/>
  <c r="O31" i="3"/>
  <c r="O32" i="3"/>
  <c r="O5" i="3"/>
  <c r="K5" i="3" l="1"/>
  <c r="K6" i="3"/>
  <c r="K7" i="3"/>
  <c r="K10" i="3"/>
  <c r="K11" i="3"/>
  <c r="K12" i="3"/>
  <c r="K13" i="3"/>
  <c r="K14" i="3"/>
  <c r="K15" i="3"/>
  <c r="K16" i="3"/>
  <c r="K17" i="3"/>
  <c r="K18" i="3"/>
  <c r="K19" i="3"/>
  <c r="K20" i="3"/>
  <c r="K21" i="3"/>
  <c r="K23" i="3"/>
  <c r="K24" i="3"/>
  <c r="K25" i="3"/>
  <c r="K26" i="3"/>
  <c r="K27" i="3"/>
  <c r="K28" i="3"/>
  <c r="K29" i="3"/>
  <c r="K30" i="3"/>
  <c r="K31" i="3"/>
  <c r="K32" i="3"/>
  <c r="K33" i="3"/>
  <c r="K34" i="3"/>
  <c r="K36" i="3"/>
  <c r="K37" i="3"/>
  <c r="K39" i="3"/>
  <c r="K41" i="3"/>
  <c r="K42" i="3"/>
  <c r="K45" i="3"/>
  <c r="K44" i="3"/>
  <c r="K35" i="3"/>
  <c r="K38" i="3"/>
  <c r="K43" i="3"/>
  <c r="K40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18" i="2"/>
  <c r="K15" i="2"/>
  <c r="K8" i="2"/>
  <c r="H55" i="3" s="1"/>
  <c r="K4" i="2"/>
  <c r="H30" i="3" s="1"/>
  <c r="I51" i="2"/>
  <c r="I49" i="2"/>
  <c r="I50" i="2"/>
  <c r="I48" i="2"/>
  <c r="I47" i="2"/>
  <c r="I46" i="2"/>
  <c r="I44" i="2"/>
  <c r="I45" i="2"/>
  <c r="I42" i="2"/>
  <c r="I43" i="2"/>
  <c r="I41" i="2"/>
  <c r="I40" i="2"/>
  <c r="I39" i="2"/>
  <c r="I37" i="2"/>
  <c r="I38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18" i="2"/>
  <c r="I19" i="2"/>
  <c r="I21" i="2"/>
  <c r="I20" i="2"/>
  <c r="I17" i="2"/>
  <c r="I15" i="2"/>
  <c r="I16" i="2"/>
  <c r="I14" i="2"/>
  <c r="I9" i="2"/>
  <c r="I10" i="2"/>
  <c r="I11" i="2"/>
  <c r="I12" i="2"/>
  <c r="I8" i="2"/>
  <c r="I2" i="2"/>
  <c r="I7" i="2"/>
  <c r="I6" i="2"/>
  <c r="I5" i="2"/>
  <c r="I3" i="2"/>
  <c r="I4" i="2"/>
  <c r="I13" i="2"/>
  <c r="Y5" i="1" l="1"/>
  <c r="Y51" i="1"/>
  <c r="Y24" i="1"/>
  <c r="Y42" i="1"/>
  <c r="Y38" i="1"/>
  <c r="Y15" i="1"/>
  <c r="Y41" i="1"/>
  <c r="Y53" i="1"/>
  <c r="Y19" i="1"/>
  <c r="Y10" i="1"/>
  <c r="T55" i="1" l="1"/>
  <c r="O55" i="1"/>
  <c r="J55" i="1"/>
  <c r="Y21" i="1"/>
  <c r="Y22" i="1"/>
  <c r="Y12" i="1"/>
  <c r="Y54" i="1"/>
  <c r="Y11" i="1"/>
  <c r="Y52" i="1"/>
  <c r="Y40" i="1"/>
  <c r="Y26" i="1"/>
  <c r="Y34" i="1"/>
  <c r="Y31" i="1"/>
  <c r="Y33" i="1"/>
  <c r="Y29" i="1"/>
  <c r="Y35" i="1"/>
  <c r="Y36" i="1"/>
  <c r="Y25" i="1"/>
  <c r="Y27" i="1"/>
  <c r="Y28" i="1"/>
  <c r="Y32" i="1"/>
  <c r="Y30" i="1"/>
  <c r="Y7" i="1"/>
  <c r="Y8" i="1"/>
  <c r="Y18" i="1"/>
  <c r="Y20" i="1"/>
  <c r="Y17" i="1"/>
  <c r="Y6" i="1"/>
  <c r="O14" i="1"/>
  <c r="O23" i="1"/>
  <c r="O9" i="1"/>
  <c r="O13" i="1"/>
  <c r="J47" i="1"/>
  <c r="J48" i="1"/>
  <c r="J16" i="1"/>
  <c r="T43" i="1"/>
  <c r="T39" i="1"/>
  <c r="T49" i="1"/>
  <c r="T50" i="1"/>
  <c r="T45" i="1"/>
  <c r="T46" i="1"/>
  <c r="T44" i="1"/>
  <c r="T37" i="1"/>
  <c r="Y55" i="1" l="1"/>
  <c r="Y5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SPeck</author>
  </authors>
  <commentList>
    <comment ref="U24" authorId="0" shapeId="0" xr:uid="{72D5EAF5-A182-41D3-A583-EAEE17317438}">
      <text>
        <r>
          <rPr>
            <b/>
            <sz val="9"/>
            <color indexed="81"/>
            <rFont val="Tahoma"/>
            <family val="2"/>
          </rPr>
          <t>SPeck:</t>
        </r>
        <r>
          <rPr>
            <sz val="9"/>
            <color indexed="81"/>
            <rFont val="Tahoma"/>
            <family val="2"/>
          </rPr>
          <t xml:space="preserve">
requoted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SPeck</author>
  </authors>
  <commentList>
    <comment ref="E18" authorId="0" shapeId="0" xr:uid="{99AF7AB7-5C93-400F-8D1B-77725FDE3DB4}">
      <text>
        <r>
          <rPr>
            <b/>
            <sz val="9"/>
            <color indexed="81"/>
            <rFont val="Tahoma"/>
            <family val="2"/>
          </rPr>
          <t>SPeck:</t>
        </r>
        <r>
          <rPr>
            <sz val="9"/>
            <color indexed="81"/>
            <rFont val="Tahoma"/>
            <family val="2"/>
          </rPr>
          <t xml:space="preserve">
requoted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tc={270A0459-7112-4882-A20A-5043A89C31ED}</author>
    <author>SPeck</author>
  </authors>
  <commentList>
    <comment ref="R23" authorId="0" shapeId="0" xr:uid="{270A0459-7112-4882-A20A-5043A89C31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for AAB Power Board from 7/25/17</t>
      </text>
    </comment>
    <comment ref="Q28" authorId="1" shapeId="0" xr:uid="{AE13CA43-8319-4896-BCB8-906C10273E26}">
      <text>
        <r>
          <rPr>
            <b/>
            <sz val="9"/>
            <color indexed="81"/>
            <rFont val="Tahoma"/>
            <family val="2"/>
          </rPr>
          <t>SPeck:</t>
        </r>
        <r>
          <rPr>
            <sz val="9"/>
            <color indexed="81"/>
            <rFont val="Tahoma"/>
            <family val="2"/>
          </rPr>
          <t xml:space="preserve">
requoted</t>
        </r>
      </text>
    </comment>
  </commentList>
</comments>
</file>

<file path=xl/sharedStrings.xml><?xml version="1.0" encoding="utf-8"?>
<sst xmlns="http://schemas.openxmlformats.org/spreadsheetml/2006/main" count="392" uniqueCount="228">
  <si>
    <t>Globe Connect</t>
  </si>
  <si>
    <t>Date</t>
  </si>
  <si>
    <t>Roraima</t>
  </si>
  <si>
    <t>SEPTA</t>
  </si>
  <si>
    <t>Description</t>
  </si>
  <si>
    <t>Item #</t>
  </si>
  <si>
    <t>Amount</t>
  </si>
  <si>
    <t>Qual Tran</t>
  </si>
  <si>
    <t>R1D1355-21927</t>
  </si>
  <si>
    <t xml:space="preserve">Signal Connection Board Woojin ESP01086-002 </t>
  </si>
  <si>
    <t>Qty</t>
  </si>
  <si>
    <t>Unit Price</t>
  </si>
  <si>
    <t>R1D1355-22048</t>
  </si>
  <si>
    <t>Video TX Board Woojin ESP01086-006</t>
  </si>
  <si>
    <t>R1D1355-21995</t>
  </si>
  <si>
    <t>Hard Disk Support Board Woojin ESP01086-008</t>
  </si>
  <si>
    <t>R1D1355-21937</t>
  </si>
  <si>
    <t>PAC MCU Board Woojin ESP01086-009</t>
  </si>
  <si>
    <t>R1D1355-22088</t>
  </si>
  <si>
    <t>Power Supply Board C/L 59-05409-515</t>
  </si>
  <si>
    <t>R1D1355-22114</t>
  </si>
  <si>
    <t>Interface GPS C/L 59-02627-501</t>
  </si>
  <si>
    <t>R1D1355-22059</t>
  </si>
  <si>
    <t>Wireless LAN Board C/L 59-05409-517</t>
  </si>
  <si>
    <t>R1D1355-21526</t>
  </si>
  <si>
    <t>Jumper Plug and Receptacle Assy</t>
  </si>
  <si>
    <t>R1D1355-22068</t>
  </si>
  <si>
    <t>Audio Amplifier Power Board C/L 59-05409-505</t>
  </si>
  <si>
    <t>R1D1355-21525</t>
  </si>
  <si>
    <t>R1D1355-21552</t>
  </si>
  <si>
    <t>AVS/AVL Terminal 7" TFT Touch (CCP)</t>
  </si>
  <si>
    <t>LMS700KF06</t>
  </si>
  <si>
    <t xml:space="preserve">TFT - LCD unit touch screen part number LMS700KF05 for AVS/AVL Terminal </t>
  </si>
  <si>
    <t>one piece for sample testing</t>
  </si>
  <si>
    <t>R1D1355-21529</t>
  </si>
  <si>
    <t>LED Passenger Information Indicator</t>
  </si>
  <si>
    <t>R1D1355-21530</t>
  </si>
  <si>
    <t xml:space="preserve">Exterior Side Destination Right Hand </t>
  </si>
  <si>
    <t>R1D1355-21528</t>
  </si>
  <si>
    <t xml:space="preserve">LED Front Destination Indicator </t>
  </si>
  <si>
    <t>R1D1355-21629</t>
  </si>
  <si>
    <t>R1D1355-21817</t>
  </si>
  <si>
    <t>R1D1355-21811</t>
  </si>
  <si>
    <t>R1D1355-21815</t>
  </si>
  <si>
    <t>R1D1355-21807</t>
  </si>
  <si>
    <t>R1D1355-21819</t>
  </si>
  <si>
    <t>R1D1355-21822</t>
  </si>
  <si>
    <t>R1D1355-21628</t>
  </si>
  <si>
    <t>R1D1355-21801</t>
  </si>
  <si>
    <t>R1D1355-21804</t>
  </si>
  <si>
    <t>R1D1355-21813</t>
  </si>
  <si>
    <t>R1D1355-21809</t>
  </si>
  <si>
    <t>AAB FRONT PANEL</t>
  </si>
  <si>
    <t>CNCS FRONT PANEL</t>
  </si>
  <si>
    <t>GIA FRONT PANEL</t>
  </si>
  <si>
    <t>HDD FRONT PANEL</t>
  </si>
  <si>
    <t>LIC FRONT PANEL</t>
  </si>
  <si>
    <t>PAC-INT FRONT PANEL</t>
  </si>
  <si>
    <t>PAC-MCU FRONT PANEL</t>
  </si>
  <si>
    <t>PAC-VOL / PAC-RS485 FRONT PANEL</t>
  </si>
  <si>
    <t>PSA FRONT PANEL</t>
  </si>
  <si>
    <t>SCB FRONT PANEL</t>
  </si>
  <si>
    <t>VTX FRONT PANEL</t>
  </si>
  <si>
    <t>WLR FRONT PANEL</t>
  </si>
  <si>
    <t>R1D1355-21945</t>
  </si>
  <si>
    <t>R1D1355-22144</t>
  </si>
  <si>
    <t>RS485 - Communication Board for SEPTA SL</t>
  </si>
  <si>
    <t>PAC-Vol - Communication Board for SEPTA SL</t>
  </si>
  <si>
    <t>Communication System: Speaker Exterior SL V</t>
  </si>
  <si>
    <t>R1D1357-2150309</t>
  </si>
  <si>
    <t>Buzzer Communication SL V</t>
  </si>
  <si>
    <t>COGS</t>
  </si>
  <si>
    <t xml:space="preserve">GRAND TOTAL </t>
  </si>
  <si>
    <t>SPARE PARTS SOLD FOR SEPTA SL PROJECT UP 2014 TO 2/2019</t>
  </si>
  <si>
    <t>open PO</t>
  </si>
  <si>
    <t>R1D1355-21954</t>
  </si>
  <si>
    <t>Audio Amp Board 2 SEPTA 5903001504</t>
  </si>
  <si>
    <t>R1D1355-21932</t>
  </si>
  <si>
    <t>PA Control Board PAC-INT</t>
  </si>
  <si>
    <t>open PO rev requested from 4403.32</t>
  </si>
  <si>
    <t>pending PO</t>
  </si>
  <si>
    <t>LTM190BT03</t>
  </si>
  <si>
    <t>informal quote via email</t>
  </si>
  <si>
    <t>PID 1&amp;2 TFT LCD Panel</t>
  </si>
  <si>
    <t>Quoted Date</t>
  </si>
  <si>
    <t>3/20/2015 ?</t>
  </si>
  <si>
    <t>mid 2014?</t>
  </si>
  <si>
    <t>Communication Rack A</t>
  </si>
  <si>
    <t>Communication Rack B</t>
  </si>
  <si>
    <t>Power Supply ASSY</t>
  </si>
  <si>
    <t>Signal Control Board</t>
  </si>
  <si>
    <t>LonWorks Int. Card</t>
  </si>
  <si>
    <t>Wireless LAN Router</t>
  </si>
  <si>
    <t>GPS Interface ASSY</t>
  </si>
  <si>
    <t>Video TX Board</t>
  </si>
  <si>
    <t>PAC-INT</t>
  </si>
  <si>
    <t>PAC-MCU</t>
  </si>
  <si>
    <t>PAC-VOL</t>
  </si>
  <si>
    <t>PAC-RS485</t>
  </si>
  <si>
    <t>Audio Amplifier Board</t>
  </si>
  <si>
    <t>RCB Board</t>
  </si>
  <si>
    <t>Communication Control Panel</t>
  </si>
  <si>
    <t>CCP Enclosure</t>
  </si>
  <si>
    <t>7” Touchscreen + LCD</t>
  </si>
  <si>
    <t>CCP Power Supply Board</t>
  </si>
  <si>
    <t>CCP Control Board</t>
  </si>
  <si>
    <t>Front Destination Indicator</t>
  </si>
  <si>
    <t>Side Destination Indicator</t>
  </si>
  <si>
    <t>FDI Enclosure</t>
  </si>
  <si>
    <t>SDI Enclosure</t>
  </si>
  <si>
    <t>FDI/SDI Amber LED Module</t>
  </si>
  <si>
    <t>LED Control Board</t>
  </si>
  <si>
    <t>Passenger Information Indicator</t>
  </si>
  <si>
    <t>PII Enclosure</t>
  </si>
  <si>
    <t>PII Amber LED Module</t>
  </si>
  <si>
    <t>PII Power Supply Board</t>
  </si>
  <si>
    <t>Passenger Information Display 1</t>
  </si>
  <si>
    <t>Passenger Information Display 2</t>
  </si>
  <si>
    <t>PID1 Enclosure</t>
  </si>
  <si>
    <t>PID2 Enclosure</t>
  </si>
  <si>
    <t>PID Power Supply</t>
  </si>
  <si>
    <t>VRX Board</t>
  </si>
  <si>
    <t>19” LCD Panel + Inverter</t>
  </si>
  <si>
    <t>Cab Speaker</t>
  </si>
  <si>
    <t>Interior Speaker</t>
  </si>
  <si>
    <t>Exterior Speaker</t>
  </si>
  <si>
    <t>Transformer (Ext. Speaker)</t>
  </si>
  <si>
    <t>Driver Microphone Jack</t>
  </si>
  <si>
    <t>Ambient Noise Sensing Mic.</t>
  </si>
  <si>
    <t>Jumper Plug and Receptacle ASSY</t>
  </si>
  <si>
    <t>Jumper Plug</t>
  </si>
  <si>
    <t>Receptacle</t>
  </si>
  <si>
    <t>Driver PA Operation Box</t>
  </si>
  <si>
    <t>Conductor PA Operation Box</t>
  </si>
  <si>
    <t>Passenger Emergency Intercom</t>
  </si>
  <si>
    <t>Wireless LAN/GPS Antenna</t>
  </si>
  <si>
    <t>Access Point (Cisco)</t>
  </si>
  <si>
    <t>Train Radio Antenna ASSY</t>
  </si>
  <si>
    <t>Train Radio Transceiver ASSY</t>
  </si>
  <si>
    <t>Cab Text Message Printer</t>
  </si>
  <si>
    <t>Train Radio Bracket</t>
  </si>
  <si>
    <t>Door Buzzer</t>
  </si>
  <si>
    <t>Communication Buzzer</t>
  </si>
  <si>
    <t>Buzzer Push Button</t>
  </si>
  <si>
    <t>Buzzer Push Button Box</t>
  </si>
  <si>
    <t>Parts</t>
  </si>
  <si>
    <t>Total Qty</t>
  </si>
  <si>
    <t>Oldest</t>
  </si>
  <si>
    <t>Most recent</t>
  </si>
  <si>
    <t>LMS700KF07</t>
  </si>
  <si>
    <t>Time Diff</t>
  </si>
  <si>
    <t>FDI/SDI Light Sensor</t>
  </si>
  <si>
    <t>Comm Rack Enclosure + Backplane Board</t>
  </si>
  <si>
    <t>Orders</t>
  </si>
  <si>
    <t>Bad</t>
  </si>
  <si>
    <t>-</t>
  </si>
  <si>
    <t>SC</t>
  </si>
  <si>
    <t>MPA</t>
  </si>
  <si>
    <t>MPB</t>
  </si>
  <si>
    <t>TOTAL</t>
  </si>
  <si>
    <t>FDI/SDI Power Supply Board</t>
  </si>
  <si>
    <t>19" screens will be harder and harder to find as time passes</t>
  </si>
  <si>
    <t>nearly 60 screens ordered in span of 2 years</t>
  </si>
  <si>
    <t>Good</t>
  </si>
  <si>
    <t>Tagged Parts</t>
  </si>
  <si>
    <t>Qty / yr</t>
  </si>
  <si>
    <t>PSA Recommended</t>
  </si>
  <si>
    <t>In Service</t>
  </si>
  <si>
    <t>Notes</t>
  </si>
  <si>
    <t>Considering the number of modules and the age of equipment, high replacement rate anticipated in the upcoming years.</t>
  </si>
  <si>
    <t>Considering age, high replacement rate anticipated</t>
  </si>
  <si>
    <t>PAC-Vol boards are possible to fix and reuse based on repair procedures using BTE</t>
  </si>
  <si>
    <t>SEPTA Silverliner V Parts Supply Agreement Quantities Worksheet</t>
  </si>
  <si>
    <t>High priority items</t>
  </si>
  <si>
    <t>Moderate priority items</t>
  </si>
  <si>
    <t>Low priority items</t>
  </si>
  <si>
    <t>RS-485 IC Chip</t>
  </si>
  <si>
    <t>New chips that are under testing</t>
  </si>
  <si>
    <t>Part Number / Drawing Number</t>
  </si>
  <si>
    <t>Cost of Goods from 김선희 과장</t>
  </si>
  <si>
    <t>Backplane Board</t>
  </si>
  <si>
    <t>Comm Rack Enclosure</t>
  </si>
  <si>
    <t>Comparison</t>
  </si>
  <si>
    <t>Difference in Time</t>
  </si>
  <si>
    <t>R1D1355-05496</t>
  </si>
  <si>
    <t>R1D1361-21499</t>
  </si>
  <si>
    <t>R1D1361-21493</t>
  </si>
  <si>
    <t>R1C1356-05497</t>
  </si>
  <si>
    <t>R1D1361-21501</t>
  </si>
  <si>
    <t>R1D1355-21942</t>
  </si>
  <si>
    <t>R1D1355-21950</t>
  </si>
  <si>
    <t>R1D1355-23579</t>
  </si>
  <si>
    <t>PWR-CCP</t>
  </si>
  <si>
    <t>R1D1355-22102</t>
  </si>
  <si>
    <t>Price from 장덕수 과장</t>
  </si>
  <si>
    <t>Price Notes</t>
  </si>
  <si>
    <t>R1D1355-21518</t>
  </si>
  <si>
    <t>R1D1355-21627</t>
  </si>
  <si>
    <t>R1D1355-21521_R</t>
  </si>
  <si>
    <t>R1D1355-21519_A
R1D1355-21521_B</t>
  </si>
  <si>
    <t>Looks like an error, refer to AAB Power quote from 7/25/2017</t>
  </si>
  <si>
    <t>ST-LEDC</t>
  </si>
  <si>
    <t>BH1715FVC-E</t>
  </si>
  <si>
    <t>PWR-PII</t>
  </si>
  <si>
    <t>ODTLM-064CY-16B1</t>
  </si>
  <si>
    <t>PWR-FDI/SDI</t>
  </si>
  <si>
    <t>ODTLM-096CF-16B1</t>
  </si>
  <si>
    <t>ODTLM-096CY-16A1</t>
  </si>
  <si>
    <t>FDI/SDI RGB LED Module</t>
  </si>
  <si>
    <t>R1D1358-21438</t>
  </si>
  <si>
    <t>R1D1358-21410</t>
  </si>
  <si>
    <t>SWA 0859/360/4/0/DFRX30</t>
  </si>
  <si>
    <t>SP-RX</t>
  </si>
  <si>
    <t>PWR-PID</t>
  </si>
  <si>
    <t>R1C008308</t>
  </si>
  <si>
    <t>R1D020767</t>
  </si>
  <si>
    <t>R1D1355-21521</t>
  </si>
  <si>
    <t>The requoted price from HQ was $4000 and in 3months it has jumped $800 Need to discuss with HQ</t>
  </si>
  <si>
    <t>WISK Quote to Use</t>
  </si>
  <si>
    <t>AAB1 board (with front panel)</t>
  </si>
  <si>
    <t>AAB2 board (without front panel)</t>
  </si>
  <si>
    <t>AAB Power (without front panel)</t>
  </si>
  <si>
    <t>Latest WISK Quote to Sharon</t>
  </si>
  <si>
    <t>Content &amp; Control Server 2</t>
  </si>
  <si>
    <t>Hard Disk Drive Board 2</t>
  </si>
  <si>
    <t>re-engineered; conversion rate 1100</t>
  </si>
  <si>
    <t>$1680.00 is the quote of before or after re-engineering?; conversion rate 1081 from 4/25/18</t>
  </si>
  <si>
    <t>$525.00 was the price before re-engineering, concern is no change in base board; conversion rate 1081 from 4/25/18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</si>
</sst>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trike/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11"/>
      <color theme="2" tint="-0.499984740745262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trike/>
      <sz val="11"/>
      <color theme="2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22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4" fontId="0" fillId="0" borderId="0" xfId="0" applyNumberFormat="1" applyAlignment="1">
      <alignment vertical="center"/>
    </xf>
    <xf numFmtId="4" fontId="0" fillId="0" borderId="2" xfId="0" applyNumberFormat="1" applyBorder="1" applyAlignment="1">
      <alignment vertical="center"/>
    </xf>
    <xf numFmtId="4" fontId="0" fillId="0" borderId="6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" fontId="0" fillId="0" borderId="8" xfId="0" applyNumberFormat="1" applyBorder="1" applyAlignment="1">
      <alignment vertical="center"/>
    </xf>
    <xf numFmtId="4" fontId="0" fillId="0" borderId="10" xfId="0" applyNumberFormat="1" applyBorder="1" applyAlignment="1">
      <alignment vertical="center"/>
    </xf>
    <xf numFmtId="4" fontId="0" fillId="0" borderId="12" xfId="0" applyNumberFormat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8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" fontId="0" fillId="0" borderId="10" xfId="0" applyNumberFormat="1" applyBorder="1" applyAlignment="1">
      <alignment horizontal="right" vertical="center"/>
    </xf>
    <xf numFmtId="4" fontId="0" fillId="0" borderId="12" xfId="0" applyNumberForma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4" fontId="1" fillId="0" borderId="15" xfId="0" applyNumberFormat="1" applyFont="1" applyBorder="1" applyAlignment="1">
      <alignment horizontal="right" vertical="center"/>
    </xf>
    <xf numFmtId="4" fontId="0" fillId="0" borderId="0" xfId="0" applyNumberFormat="1" applyFill="1" applyAlignment="1">
      <alignment vertical="center" wrapText="1"/>
    </xf>
    <xf numFmtId="4" fontId="0" fillId="0" borderId="0" xfId="0" applyNumberFormat="1" applyFill="1" applyAlignment="1">
      <alignment horizontal="center" vertical="center" wrapText="1"/>
    </xf>
    <xf numFmtId="4" fontId="0" fillId="0" borderId="3" xfId="0" applyNumberFormat="1" applyFill="1" applyBorder="1" applyAlignment="1">
      <alignment horizontal="center" vertical="center" wrapText="1"/>
    </xf>
    <xf numFmtId="4" fontId="0" fillId="0" borderId="3" xfId="0" applyNumberFormat="1" applyFill="1" applyBorder="1" applyAlignment="1">
      <alignment horizontal="right" vertical="center" wrapText="1"/>
    </xf>
    <xf numFmtId="4" fontId="0" fillId="0" borderId="4" xfId="0" applyNumberFormat="1" applyFill="1" applyBorder="1" applyAlignment="1">
      <alignment vertical="center" wrapText="1"/>
    </xf>
    <xf numFmtId="4" fontId="0" fillId="0" borderId="3" xfId="0" applyNumberFormat="1" applyFill="1" applyBorder="1" applyAlignment="1">
      <alignment vertical="center" wrapText="1"/>
    </xf>
    <xf numFmtId="4" fontId="0" fillId="0" borderId="11" xfId="0" applyNumberFormat="1" applyFill="1" applyBorder="1" applyAlignment="1">
      <alignment vertical="center" wrapText="1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0" xfId="0" applyNumberFormat="1" applyFill="1" applyAlignment="1">
      <alignment vertical="center" wrapText="1"/>
    </xf>
    <xf numFmtId="14" fontId="0" fillId="0" borderId="5" xfId="0" applyNumberFormat="1" applyFill="1" applyBorder="1" applyAlignment="1">
      <alignment horizontal="center" vertical="center" wrapText="1"/>
    </xf>
    <xf numFmtId="14" fontId="0" fillId="0" borderId="5" xfId="0" applyNumberFormat="1" applyFill="1" applyBorder="1" applyAlignment="1">
      <alignment horizontal="right" vertical="center" wrapText="1"/>
    </xf>
    <xf numFmtId="14" fontId="0" fillId="0" borderId="7" xfId="0" applyNumberFormat="1" applyFill="1" applyBorder="1" applyAlignment="1">
      <alignment vertical="center" wrapText="1"/>
    </xf>
    <xf numFmtId="14" fontId="0" fillId="0" borderId="5" xfId="0" applyNumberFormat="1" applyFill="1" applyBorder="1" applyAlignment="1">
      <alignment vertical="center" wrapText="1"/>
    </xf>
    <xf numFmtId="14" fontId="0" fillId="0" borderId="23" xfId="0" applyNumberFormat="1" applyFill="1" applyBorder="1" applyAlignment="1">
      <alignment vertical="center" wrapText="1"/>
    </xf>
    <xf numFmtId="4" fontId="0" fillId="0" borderId="3" xfId="0" applyNumberFormat="1" applyBorder="1" applyAlignment="1">
      <alignment horizontal="center" vertical="center"/>
    </xf>
    <xf numFmtId="4" fontId="0" fillId="0" borderId="4" xfId="0" applyNumberFormat="1" applyBorder="1" applyAlignment="1">
      <alignment vertical="center"/>
    </xf>
    <xf numFmtId="4" fontId="0" fillId="0" borderId="3" xfId="0" applyNumberFormat="1" applyBorder="1" applyAlignment="1">
      <alignment vertical="center"/>
    </xf>
    <xf numFmtId="4" fontId="0" fillId="0" borderId="11" xfId="0" applyNumberForma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7" xfId="0" applyNumberFormat="1" applyBorder="1" applyAlignment="1">
      <alignment vertical="center"/>
    </xf>
    <xf numFmtId="14" fontId="0" fillId="0" borderId="5" xfId="0" applyNumberFormat="1" applyBorder="1" applyAlignment="1">
      <alignment vertical="center"/>
    </xf>
    <xf numFmtId="14" fontId="0" fillId="0" borderId="9" xfId="0" applyNumberFormat="1" applyBorder="1" applyAlignment="1">
      <alignment vertical="center"/>
    </xf>
    <xf numFmtId="14" fontId="0" fillId="0" borderId="25" xfId="0" applyNumberFormat="1" applyBorder="1" applyAlignment="1">
      <alignment horizontal="center" vertical="center"/>
    </xf>
    <xf numFmtId="14" fontId="0" fillId="0" borderId="19" xfId="0" applyNumberFormat="1" applyFill="1" applyBorder="1" applyAlignment="1">
      <alignment horizontal="center" vertical="center"/>
    </xf>
    <xf numFmtId="14" fontId="0" fillId="0" borderId="9" xfId="0" applyNumberFormat="1" applyFill="1" applyBorder="1" applyAlignment="1">
      <alignment vertical="center" wrapText="1"/>
    </xf>
    <xf numFmtId="14" fontId="0" fillId="0" borderId="5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1" xfId="0" applyBorder="1"/>
    <xf numFmtId="0" fontId="0" fillId="0" borderId="0" xfId="0" applyAlignment="1">
      <alignment horizontal="center"/>
    </xf>
    <xf numFmtId="4" fontId="0" fillId="0" borderId="3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9" xfId="0" applyBorder="1"/>
    <xf numFmtId="0" fontId="0" fillId="0" borderId="27" xfId="0" applyBorder="1"/>
    <xf numFmtId="164" fontId="0" fillId="0" borderId="19" xfId="0" applyNumberFormat="1" applyBorder="1"/>
    <xf numFmtId="164" fontId="0" fillId="0" borderId="26" xfId="0" applyNumberFormat="1" applyBorder="1"/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0" fillId="0" borderId="0" xfId="0" applyBorder="1"/>
    <xf numFmtId="0" fontId="0" fillId="0" borderId="31" xfId="0" applyBorder="1"/>
    <xf numFmtId="0" fontId="4" fillId="0" borderId="32" xfId="0" applyFont="1" applyBorder="1" applyAlignment="1">
      <alignment vertical="center" wrapText="1"/>
    </xf>
    <xf numFmtId="0" fontId="0" fillId="0" borderId="17" xfId="0" applyBorder="1" applyAlignment="1">
      <alignment horizontal="center"/>
    </xf>
    <xf numFmtId="164" fontId="0" fillId="0" borderId="28" xfId="0" applyNumberFormat="1" applyBorder="1"/>
    <xf numFmtId="164" fontId="0" fillId="0" borderId="33" xfId="0" applyNumberFormat="1" applyBorder="1"/>
    <xf numFmtId="0" fontId="0" fillId="0" borderId="28" xfId="0" applyBorder="1"/>
    <xf numFmtId="0" fontId="0" fillId="0" borderId="34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5" xfId="0" applyNumberFormat="1" applyFill="1" applyBorder="1" applyAlignment="1">
      <alignment horizontal="center" vertical="center" wrapText="1"/>
    </xf>
    <xf numFmtId="14" fontId="0" fillId="0" borderId="24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26" xfId="0" applyFont="1" applyFill="1" applyBorder="1" applyAlignment="1">
      <alignment vertical="center" wrapText="1"/>
    </xf>
    <xf numFmtId="0" fontId="8" fillId="2" borderId="17" xfId="0" applyFont="1" applyFill="1" applyBorder="1" applyAlignment="1">
      <alignment vertical="center" wrapText="1"/>
    </xf>
    <xf numFmtId="0" fontId="8" fillId="2" borderId="28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/>
    <xf numFmtId="164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1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9" fillId="0" borderId="1" xfId="0" applyFont="1" applyFill="1" applyBorder="1" applyAlignment="1">
      <alignment horizontal="center" vertical="center" wrapText="1"/>
    </xf>
    <xf numFmtId="44" fontId="0" fillId="0" borderId="1" xfId="1" applyFont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 vertical="center"/>
    </xf>
    <xf numFmtId="44" fontId="0" fillId="0" borderId="1" xfId="1" applyFont="1" applyFill="1" applyBorder="1"/>
    <xf numFmtId="44" fontId="9" fillId="0" borderId="1" xfId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44" fontId="0" fillId="0" borderId="1" xfId="1" applyFont="1" applyFill="1" applyBorder="1" applyAlignment="1">
      <alignment vertical="center" wrapText="1"/>
    </xf>
    <xf numFmtId="0" fontId="12" fillId="0" borderId="0" xfId="0" applyFont="1" applyAlignment="1">
      <alignment horizontal="right"/>
    </xf>
    <xf numFmtId="0" fontId="13" fillId="0" borderId="2" xfId="0" applyFont="1" applyBorder="1" applyAlignment="1">
      <alignment horizontal="right" wrapText="1"/>
    </xf>
    <xf numFmtId="0" fontId="13" fillId="0" borderId="17" xfId="0" applyFont="1" applyBorder="1" applyAlignment="1">
      <alignment horizontal="right" wrapText="1"/>
    </xf>
    <xf numFmtId="14" fontId="12" fillId="0" borderId="1" xfId="1" applyNumberFormat="1" applyFont="1" applyBorder="1" applyAlignment="1">
      <alignment horizontal="right"/>
    </xf>
    <xf numFmtId="0" fontId="12" fillId="0" borderId="0" xfId="0" applyFont="1" applyBorder="1" applyAlignment="1">
      <alignment horizontal="right"/>
    </xf>
    <xf numFmtId="0" fontId="12" fillId="2" borderId="0" xfId="0" applyFont="1" applyFill="1" applyAlignment="1">
      <alignment horizontal="right"/>
    </xf>
    <xf numFmtId="0" fontId="12" fillId="3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44" fontId="12" fillId="0" borderId="1" xfId="1" applyFont="1" applyBorder="1" applyAlignment="1">
      <alignment horizontal="right"/>
    </xf>
    <xf numFmtId="14" fontId="12" fillId="0" borderId="1" xfId="0" applyNumberFormat="1" applyFont="1" applyBorder="1" applyAlignment="1">
      <alignment horizontal="right" vertical="center"/>
    </xf>
    <xf numFmtId="44" fontId="12" fillId="0" borderId="1" xfId="1" applyFont="1" applyFill="1" applyBorder="1" applyAlignment="1">
      <alignment horizontal="right"/>
    </xf>
    <xf numFmtId="14" fontId="12" fillId="0" borderId="1" xfId="0" applyNumberFormat="1" applyFont="1" applyFill="1" applyBorder="1" applyAlignment="1">
      <alignment horizontal="right" vertical="center" wrapText="1"/>
    </xf>
    <xf numFmtId="44" fontId="14" fillId="0" borderId="1" xfId="1" applyFont="1" applyFill="1" applyBorder="1" applyAlignment="1">
      <alignment horizontal="right" vertical="center" wrapText="1"/>
    </xf>
    <xf numFmtId="0" fontId="10" fillId="0" borderId="0" xfId="0" applyFont="1" applyAlignment="1"/>
    <xf numFmtId="44" fontId="0" fillId="0" borderId="0" xfId="1" applyFont="1" applyBorder="1" applyAlignment="1">
      <alignment horizontal="center"/>
    </xf>
    <xf numFmtId="37" fontId="0" fillId="0" borderId="1" xfId="1" applyNumberFormat="1" applyFont="1" applyBorder="1" applyAlignment="1">
      <alignment horizontal="right"/>
    </xf>
    <xf numFmtId="0" fontId="4" fillId="0" borderId="1" xfId="0" applyFont="1" applyFill="1" applyBorder="1" applyAlignment="1">
      <alignment horizontal="left" vertical="center" wrapText="1"/>
    </xf>
    <xf numFmtId="37" fontId="0" fillId="0" borderId="1" xfId="1" applyNumberFormat="1" applyFont="1" applyBorder="1" applyAlignment="1">
      <alignment horizontal="left"/>
    </xf>
    <xf numFmtId="0" fontId="15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9" fillId="5" borderId="1" xfId="0" applyFont="1" applyFill="1" applyBorder="1" applyAlignment="1">
      <alignment horizontal="center" vertical="center" wrapText="1"/>
    </xf>
    <xf numFmtId="14" fontId="12" fillId="0" borderId="1" xfId="1" applyNumberFormat="1" applyFont="1" applyFill="1" applyBorder="1" applyAlignment="1">
      <alignment horizontal="right"/>
    </xf>
    <xf numFmtId="44" fontId="16" fillId="0" borderId="1" xfId="1" applyFont="1" applyFill="1" applyBorder="1" applyAlignment="1">
      <alignment horizontal="center"/>
    </xf>
    <xf numFmtId="14" fontId="17" fillId="0" borderId="1" xfId="1" applyNumberFormat="1" applyFont="1" applyBorder="1" applyAlignment="1">
      <alignment horizontal="right"/>
    </xf>
    <xf numFmtId="0" fontId="1" fillId="6" borderId="2" xfId="0" applyFont="1" applyFill="1" applyBorder="1" applyAlignment="1">
      <alignment horizontal="center" wrapText="1"/>
    </xf>
    <xf numFmtId="0" fontId="1" fillId="6" borderId="17" xfId="0" applyFont="1" applyFill="1" applyBorder="1" applyAlignment="1">
      <alignment horizontal="center" wrapText="1"/>
    </xf>
    <xf numFmtId="44" fontId="0" fillId="6" borderId="1" xfId="1" applyFont="1" applyFill="1" applyBorder="1" applyAlignment="1">
      <alignment horizontal="right"/>
    </xf>
    <xf numFmtId="37" fontId="0" fillId="6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left" wrapText="1"/>
    </xf>
    <xf numFmtId="37" fontId="0" fillId="7" borderId="1" xfId="1" applyNumberFormat="1" applyFont="1" applyFill="1" applyBorder="1" applyAlignment="1">
      <alignment horizontal="left"/>
    </xf>
    <xf numFmtId="4" fontId="0" fillId="7" borderId="1" xfId="0" quotePrefix="1" applyNumberFormat="1" applyFill="1" applyBorder="1" applyAlignment="1">
      <alignment vertical="center" wrapText="1"/>
    </xf>
    <xf numFmtId="0" fontId="0" fillId="7" borderId="1" xfId="0" quotePrefix="1" applyFill="1" applyBorder="1"/>
    <xf numFmtId="44" fontId="0" fillId="7" borderId="1" xfId="1" applyFont="1" applyFill="1" applyBorder="1" applyAlignment="1">
      <alignment vertical="center" wrapText="1"/>
    </xf>
    <xf numFmtId="14" fontId="12" fillId="7" borderId="1" xfId="0" applyNumberFormat="1" applyFont="1" applyFill="1" applyBorder="1" applyAlignment="1">
      <alignment horizontal="right" vertical="center"/>
    </xf>
    <xf numFmtId="44" fontId="0" fillId="7" borderId="1" xfId="1" applyFont="1" applyFill="1" applyBorder="1" applyAlignment="1">
      <alignment horizontal="center"/>
    </xf>
    <xf numFmtId="14" fontId="12" fillId="7" borderId="1" xfId="1" applyNumberFormat="1" applyFont="1" applyFill="1" applyBorder="1" applyAlignment="1">
      <alignment horizontal="right"/>
    </xf>
    <xf numFmtId="14" fontId="12" fillId="7" borderId="1" xfId="0" applyNumberFormat="1" applyFont="1" applyFill="1" applyBorder="1" applyAlignment="1">
      <alignment horizontal="right" vertical="center" wrapText="1"/>
    </xf>
    <xf numFmtId="44" fontId="0" fillId="7" borderId="1" xfId="1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an Lee" id="{6F3545F1-1D55-40F1-AF61-E92530FFD4BA}" userId="Sean Le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3" dT="2019-10-30T22:09:46.20" personId="{6F3545F1-1D55-40F1-AF61-E92530FFD4BA}" id="{270A0459-7112-4882-A20A-5043A89C31ED}">
    <text>Pricing for AAB Power Board from 7/25/17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A75F-6BAB-4161-B893-CE47C489B186}">
  <dimension ref="B2:Z56"/>
  <sheetViews>
    <sheetView topLeftCell="A13" zoomScale="87" zoomScaleNormal="87" workbookViewId="0">
      <pane xSplit="5" topLeftCell="F1" activePane="topRight" state="frozen"/>
      <selection pane="topRight" activeCell="F32" sqref="F32"/>
    </sheetView>
  </sheetViews>
  <sheetFormatPr defaultRowHeight="14.5" x14ac:dyDescent="0.35"/>
  <cols>
    <col min="1" max="1" width="2.81640625" customWidth="1"/>
    <col min="2" max="2" width="4.54296875" style="2" customWidth="1"/>
    <col min="3" max="3" width="17.90625" style="6" customWidth="1"/>
    <col min="4" max="4" width="51.90625" style="1" customWidth="1"/>
    <col min="5" max="5" width="12.81640625" style="49" customWidth="1"/>
    <col min="6" max="6" width="12.81640625" style="58" customWidth="1"/>
    <col min="7" max="7" width="11.81640625" style="20" customWidth="1"/>
    <col min="8" max="8" width="5.81640625" style="21" customWidth="1"/>
    <col min="9" max="10" width="12.81640625" style="13" customWidth="1"/>
    <col min="11" max="11" width="12.81640625" style="71" customWidth="1"/>
    <col min="12" max="12" width="11.81640625" style="2" customWidth="1"/>
    <col min="13" max="13" width="5.81640625" style="21" customWidth="1"/>
    <col min="14" max="15" width="12.81640625" style="13" customWidth="1"/>
    <col min="16" max="16" width="12.81640625" style="71" customWidth="1"/>
    <col min="17" max="17" width="11.81640625" style="20" customWidth="1"/>
    <col min="18" max="18" width="5.81640625" style="21" customWidth="1"/>
    <col min="19" max="20" width="12.81640625" style="13" customWidth="1"/>
    <col min="21" max="21" width="12.81640625" style="71" customWidth="1"/>
    <col min="22" max="22" width="11.81640625" style="2" customWidth="1"/>
    <col min="23" max="23" width="5.81640625" style="2" customWidth="1"/>
    <col min="24" max="25" width="12.81640625" style="39" customWidth="1"/>
    <col min="26" max="26" width="17.6328125" style="37" customWidth="1"/>
  </cols>
  <sheetData>
    <row r="2" spans="2:26" ht="15" thickBot="1" x14ac:dyDescent="0.4">
      <c r="C2" s="6" t="s">
        <v>73</v>
      </c>
    </row>
    <row r="3" spans="2:26" s="2" customFormat="1" x14ac:dyDescent="0.35">
      <c r="D3" s="30"/>
      <c r="E3" s="50"/>
      <c r="F3" s="124" t="s">
        <v>0</v>
      </c>
      <c r="G3" s="125"/>
      <c r="H3" s="125"/>
      <c r="I3" s="125"/>
      <c r="J3" s="125"/>
      <c r="K3" s="121" t="s">
        <v>7</v>
      </c>
      <c r="L3" s="122"/>
      <c r="M3" s="122"/>
      <c r="N3" s="122"/>
      <c r="O3" s="123"/>
      <c r="P3" s="124" t="s">
        <v>2</v>
      </c>
      <c r="Q3" s="125"/>
      <c r="R3" s="125"/>
      <c r="S3" s="125"/>
      <c r="T3" s="126"/>
      <c r="U3" s="121" t="s">
        <v>3</v>
      </c>
      <c r="V3" s="122"/>
      <c r="W3" s="122"/>
      <c r="X3" s="122"/>
      <c r="Y3" s="123"/>
    </row>
    <row r="4" spans="2:26" s="2" customFormat="1" x14ac:dyDescent="0.35">
      <c r="C4" s="4" t="s">
        <v>5</v>
      </c>
      <c r="D4" s="31" t="s">
        <v>4</v>
      </c>
      <c r="E4" s="51" t="s">
        <v>71</v>
      </c>
      <c r="F4" s="59" t="s">
        <v>84</v>
      </c>
      <c r="G4" s="56" t="s">
        <v>1</v>
      </c>
      <c r="H4" s="23" t="s">
        <v>10</v>
      </c>
      <c r="I4" s="32" t="s">
        <v>11</v>
      </c>
      <c r="J4" s="64" t="s">
        <v>6</v>
      </c>
      <c r="K4" s="59" t="s">
        <v>84</v>
      </c>
      <c r="L4" s="68" t="s">
        <v>1</v>
      </c>
      <c r="M4" s="23" t="s">
        <v>10</v>
      </c>
      <c r="N4" s="32" t="s">
        <v>11</v>
      </c>
      <c r="O4" s="33" t="s">
        <v>6</v>
      </c>
      <c r="P4" s="59" t="s">
        <v>84</v>
      </c>
      <c r="Q4" s="56" t="s">
        <v>1</v>
      </c>
      <c r="R4" s="23" t="s">
        <v>10</v>
      </c>
      <c r="S4" s="32" t="s">
        <v>11</v>
      </c>
      <c r="T4" s="33" t="s">
        <v>6</v>
      </c>
      <c r="U4" s="59" t="s">
        <v>84</v>
      </c>
      <c r="V4" s="68" t="s">
        <v>1</v>
      </c>
      <c r="W4" s="4" t="s">
        <v>10</v>
      </c>
      <c r="X4" s="40" t="s">
        <v>11</v>
      </c>
      <c r="Y4" s="41" t="s">
        <v>6</v>
      </c>
    </row>
    <row r="5" spans="2:26" s="2" customFormat="1" ht="29" x14ac:dyDescent="0.35">
      <c r="B5" s="2">
        <v>1</v>
      </c>
      <c r="C5" s="7" t="s">
        <v>81</v>
      </c>
      <c r="D5" s="8" t="s">
        <v>83</v>
      </c>
      <c r="E5" s="52">
        <v>240</v>
      </c>
      <c r="F5" s="60"/>
      <c r="G5" s="56"/>
      <c r="H5" s="23"/>
      <c r="I5" s="32"/>
      <c r="J5" s="64"/>
      <c r="K5" s="22"/>
      <c r="L5" s="68"/>
      <c r="M5" s="23"/>
      <c r="N5" s="32"/>
      <c r="O5" s="33"/>
      <c r="P5" s="22"/>
      <c r="Q5" s="56"/>
      <c r="R5" s="23"/>
      <c r="S5" s="32"/>
      <c r="T5" s="33"/>
      <c r="U5" s="22">
        <v>43545</v>
      </c>
      <c r="V5" s="56">
        <v>43558</v>
      </c>
      <c r="W5" s="4">
        <v>10</v>
      </c>
      <c r="X5" s="40">
        <v>572.9</v>
      </c>
      <c r="Y5" s="41">
        <f>W5*X5</f>
        <v>5729</v>
      </c>
      <c r="Z5" s="1" t="s">
        <v>82</v>
      </c>
    </row>
    <row r="6" spans="2:26" ht="28.75" customHeight="1" x14ac:dyDescent="0.35">
      <c r="B6" s="127">
        <v>2</v>
      </c>
      <c r="C6" s="130" t="s">
        <v>31</v>
      </c>
      <c r="D6" s="133" t="s">
        <v>32</v>
      </c>
      <c r="E6" s="53">
        <v>0</v>
      </c>
      <c r="F6" s="61"/>
      <c r="G6" s="57"/>
      <c r="H6" s="24"/>
      <c r="I6" s="16"/>
      <c r="J6" s="65"/>
      <c r="K6" s="72"/>
      <c r="L6" s="69"/>
      <c r="M6" s="24"/>
      <c r="N6" s="16"/>
      <c r="O6" s="17"/>
      <c r="P6" s="72"/>
      <c r="Q6" s="57"/>
      <c r="R6" s="24"/>
      <c r="S6" s="16"/>
      <c r="T6" s="17"/>
      <c r="U6" s="72"/>
      <c r="V6" s="57">
        <v>42627</v>
      </c>
      <c r="W6" s="3">
        <v>1</v>
      </c>
      <c r="X6" s="42">
        <v>331</v>
      </c>
      <c r="Y6" s="43">
        <f>W6*X6</f>
        <v>331</v>
      </c>
      <c r="Z6" s="37" t="s">
        <v>33</v>
      </c>
    </row>
    <row r="7" spans="2:26" ht="28.75" customHeight="1" x14ac:dyDescent="0.35">
      <c r="B7" s="128"/>
      <c r="C7" s="131"/>
      <c r="D7" s="134"/>
      <c r="E7" s="53">
        <v>191</v>
      </c>
      <c r="F7" s="61"/>
      <c r="G7" s="57"/>
      <c r="H7" s="24"/>
      <c r="I7" s="16"/>
      <c r="J7" s="65"/>
      <c r="K7" s="72"/>
      <c r="L7" s="69"/>
      <c r="M7" s="24"/>
      <c r="N7" s="16"/>
      <c r="O7" s="17"/>
      <c r="P7" s="72"/>
      <c r="Q7" s="57"/>
      <c r="R7" s="24"/>
      <c r="S7" s="16"/>
      <c r="T7" s="17"/>
      <c r="U7" s="72">
        <v>42769</v>
      </c>
      <c r="V7" s="57">
        <v>42814</v>
      </c>
      <c r="W7" s="3">
        <v>7</v>
      </c>
      <c r="X7" s="42">
        <v>423.25</v>
      </c>
      <c r="Y7" s="43">
        <f>W7*X7</f>
        <v>2962.75</v>
      </c>
    </row>
    <row r="8" spans="2:26" ht="28.75" customHeight="1" x14ac:dyDescent="0.35">
      <c r="B8" s="128"/>
      <c r="C8" s="131"/>
      <c r="D8" s="134"/>
      <c r="E8" s="53">
        <v>191</v>
      </c>
      <c r="F8" s="61"/>
      <c r="G8" s="57"/>
      <c r="H8" s="24"/>
      <c r="I8" s="16"/>
      <c r="J8" s="65"/>
      <c r="K8" s="72"/>
      <c r="L8" s="69"/>
      <c r="M8" s="24"/>
      <c r="N8" s="16"/>
      <c r="O8" s="17"/>
      <c r="P8" s="72"/>
      <c r="Q8" s="57"/>
      <c r="R8" s="24"/>
      <c r="S8" s="16"/>
      <c r="T8" s="17"/>
      <c r="U8" s="72">
        <v>42821</v>
      </c>
      <c r="V8" s="57">
        <v>42901</v>
      </c>
      <c r="W8" s="3">
        <v>25</v>
      </c>
      <c r="X8" s="42">
        <v>423.25</v>
      </c>
      <c r="Y8" s="43">
        <f>W8*X8</f>
        <v>10581.25</v>
      </c>
    </row>
    <row r="9" spans="2:26" x14ac:dyDescent="0.35">
      <c r="B9" s="128"/>
      <c r="C9" s="131"/>
      <c r="D9" s="134"/>
      <c r="E9" s="53">
        <v>220</v>
      </c>
      <c r="F9" s="61"/>
      <c r="G9" s="57"/>
      <c r="H9" s="24"/>
      <c r="I9" s="16"/>
      <c r="J9" s="65"/>
      <c r="K9" s="72">
        <v>43377</v>
      </c>
      <c r="L9" s="57">
        <v>43447</v>
      </c>
      <c r="M9" s="24">
        <v>25</v>
      </c>
      <c r="N9" s="16">
        <v>503.81</v>
      </c>
      <c r="O9" s="17">
        <f>M9*N9</f>
        <v>12595.25</v>
      </c>
      <c r="P9" s="72"/>
      <c r="Q9" s="57"/>
      <c r="R9" s="24"/>
      <c r="S9" s="16"/>
      <c r="T9" s="17"/>
      <c r="U9" s="72"/>
      <c r="V9" s="69"/>
      <c r="W9" s="3"/>
      <c r="X9" s="42"/>
      <c r="Y9" s="43"/>
    </row>
    <row r="10" spans="2:26" x14ac:dyDescent="0.35">
      <c r="B10" s="129"/>
      <c r="C10" s="132"/>
      <c r="D10" s="135"/>
      <c r="E10" s="53">
        <v>220</v>
      </c>
      <c r="F10" s="61"/>
      <c r="G10" s="57"/>
      <c r="H10" s="24"/>
      <c r="I10" s="16"/>
      <c r="J10" s="65"/>
      <c r="K10" s="72"/>
      <c r="L10" s="57"/>
      <c r="M10" s="24"/>
      <c r="N10" s="16"/>
      <c r="O10" s="17"/>
      <c r="P10" s="72"/>
      <c r="Q10" s="57"/>
      <c r="R10" s="24"/>
      <c r="S10" s="16"/>
      <c r="T10" s="17"/>
      <c r="U10" s="72">
        <v>43545</v>
      </c>
      <c r="V10" s="57">
        <v>43556</v>
      </c>
      <c r="W10" s="3">
        <v>10</v>
      </c>
      <c r="X10" s="42">
        <v>532</v>
      </c>
      <c r="Y10" s="43">
        <f t="shared" ref="Y10" si="0">W10*X10</f>
        <v>5320</v>
      </c>
      <c r="Z10" s="37" t="s">
        <v>74</v>
      </c>
    </row>
    <row r="11" spans="2:26" x14ac:dyDescent="0.35">
      <c r="B11" s="127">
        <v>3</v>
      </c>
      <c r="C11" s="130" t="s">
        <v>28</v>
      </c>
      <c r="D11" s="133" t="s">
        <v>68</v>
      </c>
      <c r="E11" s="53">
        <v>250</v>
      </c>
      <c r="F11" s="61"/>
      <c r="G11" s="57"/>
      <c r="H11" s="24"/>
      <c r="I11" s="16"/>
      <c r="J11" s="65"/>
      <c r="K11" s="72"/>
      <c r="L11" s="69"/>
      <c r="M11" s="24"/>
      <c r="N11" s="16"/>
      <c r="O11" s="17"/>
      <c r="P11" s="72"/>
      <c r="Q11" s="57"/>
      <c r="R11" s="24"/>
      <c r="S11" s="16"/>
      <c r="T11" s="17"/>
      <c r="U11" s="72">
        <v>41624</v>
      </c>
      <c r="V11" s="57">
        <v>41710</v>
      </c>
      <c r="W11" s="3">
        <v>20</v>
      </c>
      <c r="X11" s="42">
        <v>300</v>
      </c>
      <c r="Y11" s="43">
        <f>W11*X11</f>
        <v>6000</v>
      </c>
    </row>
    <row r="12" spans="2:26" x14ac:dyDescent="0.35">
      <c r="B12" s="128"/>
      <c r="C12" s="131"/>
      <c r="D12" s="134"/>
      <c r="E12" s="53">
        <v>200</v>
      </c>
      <c r="F12" s="61"/>
      <c r="G12" s="57"/>
      <c r="H12" s="24"/>
      <c r="I12" s="16"/>
      <c r="J12" s="65"/>
      <c r="K12" s="72"/>
      <c r="L12" s="69"/>
      <c r="M12" s="24"/>
      <c r="N12" s="16"/>
      <c r="O12" s="17"/>
      <c r="P12" s="72"/>
      <c r="Q12" s="57"/>
      <c r="R12" s="24"/>
      <c r="S12" s="16"/>
      <c r="T12" s="17"/>
      <c r="U12" s="72"/>
      <c r="V12" s="57">
        <v>42199</v>
      </c>
      <c r="W12" s="3">
        <v>6</v>
      </c>
      <c r="X12" s="42">
        <v>435</v>
      </c>
      <c r="Y12" s="43">
        <f>W12*X12</f>
        <v>2610</v>
      </c>
    </row>
    <row r="13" spans="2:26" x14ac:dyDescent="0.35">
      <c r="B13" s="128"/>
      <c r="C13" s="131"/>
      <c r="D13" s="134"/>
      <c r="E13" s="53">
        <v>225</v>
      </c>
      <c r="F13" s="61"/>
      <c r="G13" s="57"/>
      <c r="H13" s="24"/>
      <c r="I13" s="16"/>
      <c r="J13" s="65"/>
      <c r="K13" s="72">
        <v>42514</v>
      </c>
      <c r="L13" s="57">
        <v>42625</v>
      </c>
      <c r="M13" s="24">
        <v>8</v>
      </c>
      <c r="N13" s="16">
        <v>580</v>
      </c>
      <c r="O13" s="17">
        <f>M13*N13</f>
        <v>4640</v>
      </c>
      <c r="P13" s="72"/>
      <c r="Q13" s="57"/>
      <c r="R13" s="24"/>
      <c r="S13" s="16"/>
      <c r="T13" s="17"/>
      <c r="U13" s="72"/>
      <c r="V13" s="69"/>
      <c r="W13" s="3"/>
      <c r="X13" s="42"/>
      <c r="Y13" s="43"/>
    </row>
    <row r="14" spans="2:26" x14ac:dyDescent="0.35">
      <c r="B14" s="128"/>
      <c r="C14" s="131"/>
      <c r="D14" s="134"/>
      <c r="E14" s="53">
        <v>225</v>
      </c>
      <c r="F14" s="61"/>
      <c r="G14" s="57"/>
      <c r="H14" s="24"/>
      <c r="I14" s="16"/>
      <c r="J14" s="65"/>
      <c r="K14" s="72">
        <v>42703</v>
      </c>
      <c r="L14" s="57">
        <v>42748</v>
      </c>
      <c r="M14" s="24">
        <v>8</v>
      </c>
      <c r="N14" s="16">
        <v>580</v>
      </c>
      <c r="O14" s="17">
        <f>M14*N14</f>
        <v>4640</v>
      </c>
      <c r="P14" s="72"/>
      <c r="Q14" s="57"/>
      <c r="R14" s="24"/>
      <c r="S14" s="16"/>
      <c r="T14" s="17"/>
      <c r="U14" s="72"/>
      <c r="V14" s="69"/>
      <c r="W14" s="3"/>
      <c r="X14" s="42"/>
      <c r="Y14" s="43"/>
    </row>
    <row r="15" spans="2:26" x14ac:dyDescent="0.35">
      <c r="B15" s="129"/>
      <c r="C15" s="132"/>
      <c r="D15" s="135"/>
      <c r="E15" s="53">
        <v>170</v>
      </c>
      <c r="F15" s="61"/>
      <c r="G15" s="57"/>
      <c r="H15" s="24"/>
      <c r="I15" s="16"/>
      <c r="J15" s="65"/>
      <c r="K15" s="72"/>
      <c r="L15" s="57"/>
      <c r="M15" s="24"/>
      <c r="N15" s="16"/>
      <c r="O15" s="17"/>
      <c r="P15" s="72"/>
      <c r="Q15" s="57"/>
      <c r="R15" s="24"/>
      <c r="S15" s="16"/>
      <c r="T15" s="17"/>
      <c r="U15" s="72">
        <v>43535</v>
      </c>
      <c r="V15" s="57">
        <v>43539</v>
      </c>
      <c r="W15" s="3">
        <v>5</v>
      </c>
      <c r="X15" s="42">
        <v>555.34</v>
      </c>
      <c r="Y15" s="43">
        <f t="shared" ref="Y15" si="1">W15*X15</f>
        <v>2776.7000000000003</v>
      </c>
      <c r="Z15" s="37" t="s">
        <v>74</v>
      </c>
    </row>
    <row r="16" spans="2:26" x14ac:dyDescent="0.35">
      <c r="B16" s="3">
        <v>4</v>
      </c>
      <c r="C16" s="9" t="s">
        <v>24</v>
      </c>
      <c r="D16" s="10" t="s">
        <v>25</v>
      </c>
      <c r="E16" s="53">
        <v>2120</v>
      </c>
      <c r="F16" s="61">
        <v>42773</v>
      </c>
      <c r="G16" s="57">
        <v>42852</v>
      </c>
      <c r="H16" s="24">
        <v>10</v>
      </c>
      <c r="I16" s="16">
        <v>3200</v>
      </c>
      <c r="J16" s="65">
        <f>H16*I16</f>
        <v>32000</v>
      </c>
      <c r="K16" s="72"/>
      <c r="L16" s="69"/>
      <c r="M16" s="24"/>
      <c r="N16" s="16"/>
      <c r="O16" s="17"/>
      <c r="P16" s="72"/>
      <c r="Q16" s="57"/>
      <c r="R16" s="24"/>
      <c r="S16" s="16"/>
      <c r="T16" s="17"/>
      <c r="U16" s="72"/>
      <c r="V16" s="69"/>
      <c r="W16" s="3"/>
      <c r="X16" s="42"/>
      <c r="Y16" s="43"/>
    </row>
    <row r="17" spans="2:26" x14ac:dyDescent="0.35">
      <c r="B17" s="3">
        <v>5</v>
      </c>
      <c r="C17" s="9" t="s">
        <v>38</v>
      </c>
      <c r="D17" s="10" t="s">
        <v>39</v>
      </c>
      <c r="E17" s="53">
        <v>3285</v>
      </c>
      <c r="F17" s="61"/>
      <c r="G17" s="57"/>
      <c r="H17" s="24"/>
      <c r="I17" s="16"/>
      <c r="J17" s="65"/>
      <c r="K17" s="72"/>
      <c r="L17" s="69"/>
      <c r="M17" s="24"/>
      <c r="N17" s="16"/>
      <c r="O17" s="17"/>
      <c r="P17" s="72"/>
      <c r="Q17" s="57"/>
      <c r="R17" s="24"/>
      <c r="S17" s="16"/>
      <c r="T17" s="17"/>
      <c r="U17" s="72">
        <v>43157</v>
      </c>
      <c r="V17" s="57">
        <v>43353</v>
      </c>
      <c r="W17" s="3">
        <v>10</v>
      </c>
      <c r="X17" s="42">
        <v>5376.8</v>
      </c>
      <c r="Y17" s="43">
        <f t="shared" ref="Y17:Y22" si="2">W17*X17</f>
        <v>53768</v>
      </c>
    </row>
    <row r="18" spans="2:26" x14ac:dyDescent="0.35">
      <c r="B18" s="127">
        <v>6</v>
      </c>
      <c r="C18" s="130" t="s">
        <v>34</v>
      </c>
      <c r="D18" s="133" t="s">
        <v>35</v>
      </c>
      <c r="E18" s="53">
        <v>2936</v>
      </c>
      <c r="F18" s="61"/>
      <c r="G18" s="57"/>
      <c r="H18" s="24"/>
      <c r="I18" s="16"/>
      <c r="J18" s="65"/>
      <c r="K18" s="72"/>
      <c r="L18" s="69"/>
      <c r="M18" s="24"/>
      <c r="N18" s="16"/>
      <c r="O18" s="17"/>
      <c r="P18" s="72"/>
      <c r="Q18" s="57"/>
      <c r="R18" s="24"/>
      <c r="S18" s="16"/>
      <c r="T18" s="17"/>
      <c r="U18" s="72">
        <v>43087</v>
      </c>
      <c r="V18" s="57">
        <v>43293</v>
      </c>
      <c r="W18" s="3">
        <v>5</v>
      </c>
      <c r="X18" s="42">
        <v>4992.9399999999996</v>
      </c>
      <c r="Y18" s="43">
        <f t="shared" si="2"/>
        <v>24964.699999999997</v>
      </c>
    </row>
    <row r="19" spans="2:26" x14ac:dyDescent="0.35">
      <c r="B19" s="129"/>
      <c r="C19" s="132"/>
      <c r="D19" s="135"/>
      <c r="E19" s="53">
        <v>2747</v>
      </c>
      <c r="F19" s="61"/>
      <c r="G19" s="57"/>
      <c r="H19" s="24"/>
      <c r="I19" s="16"/>
      <c r="J19" s="65"/>
      <c r="K19" s="72"/>
      <c r="L19" s="69"/>
      <c r="M19" s="24"/>
      <c r="N19" s="16"/>
      <c r="O19" s="17"/>
      <c r="P19" s="72"/>
      <c r="Q19" s="57"/>
      <c r="R19" s="24"/>
      <c r="S19" s="16"/>
      <c r="T19" s="17"/>
      <c r="U19" s="72">
        <v>43433</v>
      </c>
      <c r="V19" s="57">
        <v>43452</v>
      </c>
      <c r="W19" s="3">
        <v>5</v>
      </c>
      <c r="X19" s="42">
        <v>4992.9399999999996</v>
      </c>
      <c r="Y19" s="43">
        <f t="shared" si="2"/>
        <v>24964.699999999997</v>
      </c>
      <c r="Z19" s="37" t="s">
        <v>74</v>
      </c>
    </row>
    <row r="20" spans="2:26" x14ac:dyDescent="0.35">
      <c r="B20" s="3">
        <v>7</v>
      </c>
      <c r="C20" s="9" t="s">
        <v>36</v>
      </c>
      <c r="D20" s="10" t="s">
        <v>37</v>
      </c>
      <c r="E20" s="53">
        <v>3072.3</v>
      </c>
      <c r="F20" s="61"/>
      <c r="G20" s="57"/>
      <c r="H20" s="24"/>
      <c r="I20" s="16"/>
      <c r="J20" s="65"/>
      <c r="K20" s="72"/>
      <c r="L20" s="69"/>
      <c r="M20" s="24"/>
      <c r="N20" s="16"/>
      <c r="O20" s="17"/>
      <c r="P20" s="72"/>
      <c r="Q20" s="57"/>
      <c r="R20" s="24"/>
      <c r="S20" s="16"/>
      <c r="T20" s="17"/>
      <c r="U20" s="72">
        <v>43126</v>
      </c>
      <c r="V20" s="57">
        <v>43312</v>
      </c>
      <c r="W20" s="3">
        <v>3</v>
      </c>
      <c r="X20" s="42">
        <v>5116.3599999999997</v>
      </c>
      <c r="Y20" s="43">
        <f t="shared" si="2"/>
        <v>15349.079999999998</v>
      </c>
    </row>
    <row r="21" spans="2:26" x14ac:dyDescent="0.35">
      <c r="B21" s="127">
        <v>8</v>
      </c>
      <c r="C21" s="130" t="s">
        <v>29</v>
      </c>
      <c r="D21" s="133" t="s">
        <v>30</v>
      </c>
      <c r="E21" s="53">
        <v>2847</v>
      </c>
      <c r="F21" s="61"/>
      <c r="G21" s="57"/>
      <c r="H21" s="24"/>
      <c r="I21" s="16"/>
      <c r="J21" s="65"/>
      <c r="K21" s="72"/>
      <c r="L21" s="69"/>
      <c r="M21" s="24"/>
      <c r="N21" s="16"/>
      <c r="O21" s="17"/>
      <c r="P21" s="72"/>
      <c r="Q21" s="57"/>
      <c r="R21" s="24"/>
      <c r="S21" s="16"/>
      <c r="T21" s="17"/>
      <c r="U21" s="72">
        <v>42347</v>
      </c>
      <c r="V21" s="57">
        <v>42557</v>
      </c>
      <c r="W21" s="3">
        <v>5</v>
      </c>
      <c r="X21" s="42">
        <v>3913</v>
      </c>
      <c r="Y21" s="43">
        <f t="shared" si="2"/>
        <v>19565</v>
      </c>
    </row>
    <row r="22" spans="2:26" x14ac:dyDescent="0.35">
      <c r="B22" s="128"/>
      <c r="C22" s="131"/>
      <c r="D22" s="134"/>
      <c r="E22" s="53">
        <v>2847</v>
      </c>
      <c r="F22" s="61"/>
      <c r="G22" s="57"/>
      <c r="H22" s="24"/>
      <c r="I22" s="16"/>
      <c r="J22" s="65"/>
      <c r="K22" s="72"/>
      <c r="L22" s="69"/>
      <c r="M22" s="24"/>
      <c r="N22" s="16"/>
      <c r="O22" s="17"/>
      <c r="P22" s="72"/>
      <c r="Q22" s="57"/>
      <c r="R22" s="24"/>
      <c r="S22" s="16"/>
      <c r="T22" s="17"/>
      <c r="U22" s="72" t="s">
        <v>85</v>
      </c>
      <c r="V22" s="57">
        <v>42331</v>
      </c>
      <c r="W22" s="3">
        <v>6</v>
      </c>
      <c r="X22" s="42">
        <v>3913</v>
      </c>
      <c r="Y22" s="43">
        <f t="shared" si="2"/>
        <v>23478</v>
      </c>
    </row>
    <row r="23" spans="2:26" ht="28.75" customHeight="1" x14ac:dyDescent="0.35">
      <c r="B23" s="128"/>
      <c r="C23" s="131"/>
      <c r="D23" s="134"/>
      <c r="E23" s="53">
        <v>3141</v>
      </c>
      <c r="F23" s="61"/>
      <c r="G23" s="57"/>
      <c r="H23" s="24"/>
      <c r="I23" s="16"/>
      <c r="J23" s="65"/>
      <c r="K23" s="72">
        <v>42776</v>
      </c>
      <c r="L23" s="57">
        <v>42965</v>
      </c>
      <c r="M23" s="24">
        <v>5</v>
      </c>
      <c r="N23" s="16">
        <v>3908.2</v>
      </c>
      <c r="O23" s="17">
        <f>M23*N23</f>
        <v>19541</v>
      </c>
      <c r="P23" s="72"/>
      <c r="Q23" s="57"/>
      <c r="R23" s="24"/>
      <c r="S23" s="16"/>
      <c r="T23" s="17"/>
      <c r="U23" s="72"/>
      <c r="V23" s="69"/>
      <c r="W23" s="3"/>
      <c r="X23" s="42"/>
      <c r="Y23" s="43"/>
    </row>
    <row r="24" spans="2:26" ht="28.75" customHeight="1" x14ac:dyDescent="0.35">
      <c r="B24" s="129"/>
      <c r="C24" s="132"/>
      <c r="D24" s="135"/>
      <c r="E24" s="53">
        <v>4000</v>
      </c>
      <c r="F24" s="61"/>
      <c r="G24" s="57"/>
      <c r="H24" s="24"/>
      <c r="I24" s="16"/>
      <c r="J24" s="65"/>
      <c r="K24" s="72"/>
      <c r="L24" s="57"/>
      <c r="M24" s="24"/>
      <c r="N24" s="16"/>
      <c r="O24" s="17"/>
      <c r="P24" s="72"/>
      <c r="Q24" s="57"/>
      <c r="R24" s="24"/>
      <c r="S24" s="16"/>
      <c r="T24" s="17"/>
      <c r="U24" s="72">
        <v>43535</v>
      </c>
      <c r="V24" s="76">
        <v>43474</v>
      </c>
      <c r="W24" s="3">
        <v>5</v>
      </c>
      <c r="X24" s="42">
        <v>5892.9</v>
      </c>
      <c r="Y24" s="43">
        <f t="shared" ref="Y24" si="3">W24*X24</f>
        <v>29464.5</v>
      </c>
      <c r="Z24" s="38" t="s">
        <v>79</v>
      </c>
    </row>
    <row r="25" spans="2:26" x14ac:dyDescent="0.35">
      <c r="B25" s="3">
        <v>9</v>
      </c>
      <c r="C25" s="9" t="s">
        <v>47</v>
      </c>
      <c r="D25" s="10" t="s">
        <v>59</v>
      </c>
      <c r="E25" s="53">
        <v>36</v>
      </c>
      <c r="F25" s="61"/>
      <c r="G25" s="57"/>
      <c r="H25" s="24"/>
      <c r="I25" s="16"/>
      <c r="J25" s="65"/>
      <c r="K25" s="72"/>
      <c r="L25" s="69"/>
      <c r="M25" s="24"/>
      <c r="N25" s="16"/>
      <c r="O25" s="17"/>
      <c r="P25" s="72"/>
      <c r="Q25" s="57"/>
      <c r="R25" s="24"/>
      <c r="S25" s="16"/>
      <c r="T25" s="17"/>
      <c r="U25" s="72">
        <v>43377</v>
      </c>
      <c r="V25" s="57">
        <v>43455</v>
      </c>
      <c r="W25" s="3">
        <v>25</v>
      </c>
      <c r="X25" s="44">
        <v>61.27</v>
      </c>
      <c r="Y25" s="43">
        <f t="shared" ref="Y25:Y38" si="4">W25*X25</f>
        <v>1531.75</v>
      </c>
    </row>
    <row r="26" spans="2:26" x14ac:dyDescent="0.35">
      <c r="B26" s="3">
        <v>10</v>
      </c>
      <c r="C26" s="9" t="s">
        <v>40</v>
      </c>
      <c r="D26" s="10" t="s">
        <v>52</v>
      </c>
      <c r="E26" s="53">
        <v>42</v>
      </c>
      <c r="F26" s="61"/>
      <c r="G26" s="57"/>
      <c r="H26" s="24"/>
      <c r="I26" s="16"/>
      <c r="J26" s="65"/>
      <c r="K26" s="72"/>
      <c r="L26" s="69"/>
      <c r="M26" s="24"/>
      <c r="N26" s="16"/>
      <c r="O26" s="17"/>
      <c r="P26" s="72"/>
      <c r="Q26" s="57"/>
      <c r="R26" s="24"/>
      <c r="S26" s="16"/>
      <c r="T26" s="17"/>
      <c r="U26" s="72">
        <v>43377</v>
      </c>
      <c r="V26" s="57">
        <v>43455</v>
      </c>
      <c r="W26" s="3">
        <v>25</v>
      </c>
      <c r="X26" s="44">
        <v>69.77</v>
      </c>
      <c r="Y26" s="43">
        <f t="shared" si="4"/>
        <v>1744.25</v>
      </c>
    </row>
    <row r="27" spans="2:26" x14ac:dyDescent="0.35">
      <c r="B27" s="3">
        <v>11</v>
      </c>
      <c r="C27" s="9" t="s">
        <v>48</v>
      </c>
      <c r="D27" s="10" t="s">
        <v>60</v>
      </c>
      <c r="E27" s="53">
        <v>34</v>
      </c>
      <c r="F27" s="61"/>
      <c r="G27" s="57"/>
      <c r="H27" s="24"/>
      <c r="I27" s="16"/>
      <c r="J27" s="65"/>
      <c r="K27" s="72"/>
      <c r="L27" s="69"/>
      <c r="M27" s="24"/>
      <c r="N27" s="16"/>
      <c r="O27" s="17"/>
      <c r="P27" s="72"/>
      <c r="Q27" s="57"/>
      <c r="R27" s="24"/>
      <c r="S27" s="16"/>
      <c r="T27" s="17"/>
      <c r="U27" s="72">
        <v>43377</v>
      </c>
      <c r="V27" s="57">
        <v>43455</v>
      </c>
      <c r="W27" s="3">
        <v>25</v>
      </c>
      <c r="X27" s="44">
        <v>58.43</v>
      </c>
      <c r="Y27" s="43">
        <f t="shared" si="4"/>
        <v>1460.75</v>
      </c>
    </row>
    <row r="28" spans="2:26" x14ac:dyDescent="0.35">
      <c r="B28" s="3">
        <v>12</v>
      </c>
      <c r="C28" s="9" t="s">
        <v>49</v>
      </c>
      <c r="D28" s="10" t="s">
        <v>61</v>
      </c>
      <c r="E28" s="53">
        <v>33</v>
      </c>
      <c r="F28" s="61"/>
      <c r="G28" s="57"/>
      <c r="H28" s="24"/>
      <c r="I28" s="16"/>
      <c r="J28" s="65"/>
      <c r="K28" s="72"/>
      <c r="L28" s="69"/>
      <c r="M28" s="24"/>
      <c r="N28" s="16"/>
      <c r="O28" s="17"/>
      <c r="P28" s="72"/>
      <c r="Q28" s="57"/>
      <c r="R28" s="24"/>
      <c r="S28" s="16"/>
      <c r="T28" s="17"/>
      <c r="U28" s="72">
        <v>43377</v>
      </c>
      <c r="V28" s="57">
        <v>43455</v>
      </c>
      <c r="W28" s="3">
        <v>25</v>
      </c>
      <c r="X28" s="44">
        <v>57.02</v>
      </c>
      <c r="Y28" s="43">
        <f t="shared" si="4"/>
        <v>1425.5</v>
      </c>
    </row>
    <row r="29" spans="2:26" x14ac:dyDescent="0.35">
      <c r="B29" s="3">
        <v>13</v>
      </c>
      <c r="C29" s="9" t="s">
        <v>44</v>
      </c>
      <c r="D29" s="10" t="s">
        <v>56</v>
      </c>
      <c r="E29" s="53">
        <v>35</v>
      </c>
      <c r="F29" s="61"/>
      <c r="G29" s="57"/>
      <c r="H29" s="24"/>
      <c r="I29" s="16"/>
      <c r="J29" s="65"/>
      <c r="K29" s="72"/>
      <c r="L29" s="69"/>
      <c r="M29" s="24"/>
      <c r="N29" s="16"/>
      <c r="O29" s="17"/>
      <c r="P29" s="72"/>
      <c r="Q29" s="57"/>
      <c r="R29" s="24"/>
      <c r="S29" s="16"/>
      <c r="T29" s="17"/>
      <c r="U29" s="72">
        <v>43377</v>
      </c>
      <c r="V29" s="57">
        <v>43455</v>
      </c>
      <c r="W29" s="3">
        <v>25</v>
      </c>
      <c r="X29" s="44">
        <v>59.85</v>
      </c>
      <c r="Y29" s="43">
        <f t="shared" si="4"/>
        <v>1496.25</v>
      </c>
    </row>
    <row r="30" spans="2:26" x14ac:dyDescent="0.35">
      <c r="B30" s="3">
        <v>14</v>
      </c>
      <c r="C30" s="9" t="s">
        <v>51</v>
      </c>
      <c r="D30" s="10" t="s">
        <v>63</v>
      </c>
      <c r="E30" s="53">
        <v>33</v>
      </c>
      <c r="F30" s="61"/>
      <c r="G30" s="57"/>
      <c r="H30" s="24"/>
      <c r="I30" s="16"/>
      <c r="J30" s="65"/>
      <c r="K30" s="72"/>
      <c r="L30" s="69"/>
      <c r="M30" s="24"/>
      <c r="N30" s="16"/>
      <c r="O30" s="17"/>
      <c r="P30" s="72"/>
      <c r="Q30" s="57"/>
      <c r="R30" s="24"/>
      <c r="S30" s="16"/>
      <c r="T30" s="17"/>
      <c r="U30" s="72">
        <v>43377</v>
      </c>
      <c r="V30" s="57">
        <v>43455</v>
      </c>
      <c r="W30" s="3">
        <v>25</v>
      </c>
      <c r="X30" s="44">
        <v>57.02</v>
      </c>
      <c r="Y30" s="43">
        <f t="shared" si="4"/>
        <v>1425.5</v>
      </c>
    </row>
    <row r="31" spans="2:26" x14ac:dyDescent="0.35">
      <c r="B31" s="3">
        <v>15</v>
      </c>
      <c r="C31" s="9" t="s">
        <v>42</v>
      </c>
      <c r="D31" s="10" t="s">
        <v>54</v>
      </c>
      <c r="E31" s="53">
        <v>33</v>
      </c>
      <c r="F31" s="61"/>
      <c r="G31" s="57"/>
      <c r="H31" s="24"/>
      <c r="I31" s="16"/>
      <c r="J31" s="65"/>
      <c r="K31" s="72"/>
      <c r="L31" s="69"/>
      <c r="M31" s="24"/>
      <c r="N31" s="16"/>
      <c r="O31" s="17"/>
      <c r="P31" s="72"/>
      <c r="Q31" s="57"/>
      <c r="R31" s="24"/>
      <c r="S31" s="16"/>
      <c r="T31" s="17"/>
      <c r="U31" s="72">
        <v>43377</v>
      </c>
      <c r="V31" s="57">
        <v>43455</v>
      </c>
      <c r="W31" s="3">
        <v>25</v>
      </c>
      <c r="X31" s="44">
        <v>57.02</v>
      </c>
      <c r="Y31" s="43">
        <f t="shared" si="4"/>
        <v>1425.5</v>
      </c>
    </row>
    <row r="32" spans="2:26" x14ac:dyDescent="0.35">
      <c r="B32" s="3">
        <v>16</v>
      </c>
      <c r="C32" s="9" t="s">
        <v>50</v>
      </c>
      <c r="D32" s="10" t="s">
        <v>62</v>
      </c>
      <c r="E32" s="53">
        <v>33</v>
      </c>
      <c r="F32" s="61"/>
      <c r="G32" s="57"/>
      <c r="H32" s="24"/>
      <c r="I32" s="16"/>
      <c r="J32" s="65"/>
      <c r="K32" s="72"/>
      <c r="L32" s="69"/>
      <c r="M32" s="24"/>
      <c r="N32" s="16"/>
      <c r="O32" s="17"/>
      <c r="P32" s="72"/>
      <c r="Q32" s="57"/>
      <c r="R32" s="24"/>
      <c r="S32" s="16"/>
      <c r="T32" s="17"/>
      <c r="U32" s="72">
        <v>43377</v>
      </c>
      <c r="V32" s="57">
        <v>43455</v>
      </c>
      <c r="W32" s="3">
        <v>25</v>
      </c>
      <c r="X32" s="44">
        <v>57.02</v>
      </c>
      <c r="Y32" s="43">
        <f t="shared" si="4"/>
        <v>1425.5</v>
      </c>
    </row>
    <row r="33" spans="2:26" x14ac:dyDescent="0.35">
      <c r="B33" s="3">
        <v>17</v>
      </c>
      <c r="C33" s="9" t="s">
        <v>43</v>
      </c>
      <c r="D33" s="10" t="s">
        <v>55</v>
      </c>
      <c r="E33" s="53">
        <v>29</v>
      </c>
      <c r="F33" s="61"/>
      <c r="G33" s="57"/>
      <c r="H33" s="24"/>
      <c r="I33" s="16"/>
      <c r="J33" s="65"/>
      <c r="K33" s="72"/>
      <c r="L33" s="69"/>
      <c r="M33" s="24"/>
      <c r="N33" s="16"/>
      <c r="O33" s="17"/>
      <c r="P33" s="72"/>
      <c r="Q33" s="57"/>
      <c r="R33" s="24"/>
      <c r="S33" s="16"/>
      <c r="T33" s="17"/>
      <c r="U33" s="72">
        <v>43377</v>
      </c>
      <c r="V33" s="57">
        <v>43455</v>
      </c>
      <c r="W33" s="3">
        <v>25</v>
      </c>
      <c r="X33" s="44">
        <v>51.35</v>
      </c>
      <c r="Y33" s="43">
        <f t="shared" si="4"/>
        <v>1283.75</v>
      </c>
    </row>
    <row r="34" spans="2:26" x14ac:dyDescent="0.35">
      <c r="B34" s="3">
        <v>18</v>
      </c>
      <c r="C34" s="9" t="s">
        <v>41</v>
      </c>
      <c r="D34" s="10" t="s">
        <v>53</v>
      </c>
      <c r="E34" s="53">
        <v>35</v>
      </c>
      <c r="F34" s="61"/>
      <c r="G34" s="57"/>
      <c r="H34" s="24"/>
      <c r="I34" s="16"/>
      <c r="J34" s="65"/>
      <c r="K34" s="72"/>
      <c r="L34" s="69"/>
      <c r="M34" s="24"/>
      <c r="N34" s="16"/>
      <c r="O34" s="17"/>
      <c r="P34" s="72"/>
      <c r="Q34" s="57"/>
      <c r="R34" s="24"/>
      <c r="S34" s="16"/>
      <c r="T34" s="17"/>
      <c r="U34" s="72">
        <v>43377</v>
      </c>
      <c r="V34" s="57">
        <v>43455</v>
      </c>
      <c r="W34" s="3">
        <v>25</v>
      </c>
      <c r="X34" s="44">
        <v>59.85</v>
      </c>
      <c r="Y34" s="43">
        <f t="shared" si="4"/>
        <v>1496.25</v>
      </c>
    </row>
    <row r="35" spans="2:26" x14ac:dyDescent="0.35">
      <c r="B35" s="3">
        <v>19</v>
      </c>
      <c r="C35" s="9" t="s">
        <v>45</v>
      </c>
      <c r="D35" s="10" t="s">
        <v>57</v>
      </c>
      <c r="E35" s="53">
        <v>29</v>
      </c>
      <c r="F35" s="61"/>
      <c r="G35" s="57"/>
      <c r="H35" s="24"/>
      <c r="I35" s="16"/>
      <c r="J35" s="65"/>
      <c r="K35" s="72"/>
      <c r="L35" s="69"/>
      <c r="M35" s="24"/>
      <c r="N35" s="16"/>
      <c r="O35" s="17"/>
      <c r="P35" s="72"/>
      <c r="Q35" s="57"/>
      <c r="R35" s="24"/>
      <c r="S35" s="16"/>
      <c r="T35" s="17"/>
      <c r="U35" s="72">
        <v>43377</v>
      </c>
      <c r="V35" s="57">
        <v>43455</v>
      </c>
      <c r="W35" s="3">
        <v>25</v>
      </c>
      <c r="X35" s="44">
        <v>51.35</v>
      </c>
      <c r="Y35" s="43">
        <f t="shared" si="4"/>
        <v>1283.75</v>
      </c>
    </row>
    <row r="36" spans="2:26" x14ac:dyDescent="0.35">
      <c r="B36" s="3">
        <v>20</v>
      </c>
      <c r="C36" s="9" t="s">
        <v>46</v>
      </c>
      <c r="D36" s="10" t="s">
        <v>58</v>
      </c>
      <c r="E36" s="53">
        <v>40</v>
      </c>
      <c r="F36" s="61"/>
      <c r="G36" s="57"/>
      <c r="H36" s="24"/>
      <c r="I36" s="16"/>
      <c r="J36" s="65"/>
      <c r="K36" s="72"/>
      <c r="L36" s="69"/>
      <c r="M36" s="24"/>
      <c r="N36" s="16"/>
      <c r="O36" s="17"/>
      <c r="P36" s="72"/>
      <c r="Q36" s="57"/>
      <c r="R36" s="24"/>
      <c r="S36" s="16"/>
      <c r="T36" s="17"/>
      <c r="U36" s="72">
        <v>43377</v>
      </c>
      <c r="V36" s="57">
        <v>43455</v>
      </c>
      <c r="W36" s="3">
        <v>25</v>
      </c>
      <c r="X36" s="44">
        <v>66.94</v>
      </c>
      <c r="Y36" s="43">
        <f t="shared" si="4"/>
        <v>1673.5</v>
      </c>
    </row>
    <row r="37" spans="2:26" x14ac:dyDescent="0.35">
      <c r="B37" s="3">
        <v>21</v>
      </c>
      <c r="C37" s="9" t="s">
        <v>8</v>
      </c>
      <c r="D37" s="10" t="s">
        <v>9</v>
      </c>
      <c r="E37" s="53">
        <v>722</v>
      </c>
      <c r="F37" s="61"/>
      <c r="G37" s="57"/>
      <c r="H37" s="24"/>
      <c r="I37" s="16"/>
      <c r="J37" s="65"/>
      <c r="K37" s="72"/>
      <c r="L37" s="69"/>
      <c r="M37" s="24"/>
      <c r="N37" s="16"/>
      <c r="O37" s="17"/>
      <c r="P37" s="72">
        <v>42941</v>
      </c>
      <c r="Q37" s="57">
        <v>43139</v>
      </c>
      <c r="R37" s="24">
        <v>12</v>
      </c>
      <c r="S37" s="16">
        <v>1222</v>
      </c>
      <c r="T37" s="17">
        <f>R37*S37</f>
        <v>14664</v>
      </c>
      <c r="U37" s="72"/>
      <c r="V37" s="69"/>
      <c r="W37" s="26"/>
      <c r="X37" s="42"/>
      <c r="Y37" s="43"/>
    </row>
    <row r="38" spans="2:26" x14ac:dyDescent="0.35">
      <c r="B38" s="3">
        <v>22</v>
      </c>
      <c r="C38" s="9" t="s">
        <v>77</v>
      </c>
      <c r="D38" s="10" t="s">
        <v>78</v>
      </c>
      <c r="E38" s="53">
        <v>1220</v>
      </c>
      <c r="F38" s="61"/>
      <c r="G38" s="57"/>
      <c r="H38" s="24"/>
      <c r="I38" s="16"/>
      <c r="J38" s="65"/>
      <c r="K38" s="72"/>
      <c r="L38" s="69"/>
      <c r="M38" s="24"/>
      <c r="N38" s="16"/>
      <c r="O38" s="17"/>
      <c r="P38" s="72"/>
      <c r="Q38" s="57"/>
      <c r="R38" s="24"/>
      <c r="S38" s="16"/>
      <c r="T38" s="17"/>
      <c r="U38" s="72">
        <v>43536</v>
      </c>
      <c r="V38" s="57">
        <v>43556</v>
      </c>
      <c r="W38" s="24">
        <v>10</v>
      </c>
      <c r="X38" s="42">
        <v>1986.3</v>
      </c>
      <c r="Y38" s="43">
        <f t="shared" si="4"/>
        <v>19863</v>
      </c>
      <c r="Z38" s="37" t="s">
        <v>74</v>
      </c>
    </row>
    <row r="39" spans="2:26" x14ac:dyDescent="0.35">
      <c r="B39" s="3">
        <v>23</v>
      </c>
      <c r="C39" s="9" t="s">
        <v>16</v>
      </c>
      <c r="D39" s="10" t="s">
        <v>17</v>
      </c>
      <c r="E39" s="53">
        <v>919</v>
      </c>
      <c r="F39" s="61"/>
      <c r="G39" s="57"/>
      <c r="H39" s="24"/>
      <c r="I39" s="16"/>
      <c r="J39" s="65"/>
      <c r="K39" s="72"/>
      <c r="L39" s="69"/>
      <c r="M39" s="24"/>
      <c r="N39" s="16"/>
      <c r="O39" s="17"/>
      <c r="P39" s="72">
        <v>42941</v>
      </c>
      <c r="Q39" s="57">
        <v>43139</v>
      </c>
      <c r="R39" s="24">
        <v>12</v>
      </c>
      <c r="S39" s="16">
        <v>1517.5</v>
      </c>
      <c r="T39" s="17">
        <f>R39*S39</f>
        <v>18210</v>
      </c>
      <c r="U39" s="72"/>
      <c r="V39" s="69"/>
      <c r="W39" s="3"/>
      <c r="X39" s="42"/>
      <c r="Y39" s="43"/>
    </row>
    <row r="40" spans="2:26" x14ac:dyDescent="0.35">
      <c r="B40" s="127">
        <v>24</v>
      </c>
      <c r="C40" s="130" t="s">
        <v>64</v>
      </c>
      <c r="D40" s="133" t="s">
        <v>66</v>
      </c>
      <c r="E40" s="53">
        <v>1250</v>
      </c>
      <c r="F40" s="61"/>
      <c r="G40" s="57"/>
      <c r="H40" s="24"/>
      <c r="I40" s="16"/>
      <c r="J40" s="65"/>
      <c r="K40" s="72"/>
      <c r="L40" s="69"/>
      <c r="M40" s="24"/>
      <c r="N40" s="16"/>
      <c r="O40" s="17"/>
      <c r="P40" s="72"/>
      <c r="Q40" s="57"/>
      <c r="R40" s="24"/>
      <c r="S40" s="16"/>
      <c r="T40" s="17"/>
      <c r="U40" s="72">
        <v>43251</v>
      </c>
      <c r="V40" s="57">
        <v>43501</v>
      </c>
      <c r="W40" s="3">
        <v>15</v>
      </c>
      <c r="X40" s="42">
        <v>2375.33</v>
      </c>
      <c r="Y40" s="43">
        <f>W40*X40</f>
        <v>35629.949999999997</v>
      </c>
    </row>
    <row r="41" spans="2:26" x14ac:dyDescent="0.35">
      <c r="B41" s="129"/>
      <c r="C41" s="132"/>
      <c r="D41" s="135"/>
      <c r="E41" s="53">
        <v>1280</v>
      </c>
      <c r="F41" s="61"/>
      <c r="G41" s="57"/>
      <c r="H41" s="24"/>
      <c r="I41" s="16"/>
      <c r="J41" s="65"/>
      <c r="K41" s="72"/>
      <c r="L41" s="69"/>
      <c r="M41" s="24"/>
      <c r="N41" s="16"/>
      <c r="O41" s="17"/>
      <c r="P41" s="72"/>
      <c r="Q41" s="57"/>
      <c r="R41" s="24"/>
      <c r="S41" s="16"/>
      <c r="T41" s="17"/>
      <c r="U41" s="72">
        <v>43535</v>
      </c>
      <c r="V41" s="57">
        <v>43542</v>
      </c>
      <c r="W41" s="3">
        <v>10</v>
      </c>
      <c r="X41" s="42">
        <v>2375.33</v>
      </c>
      <c r="Y41" s="43">
        <f>W41*X41</f>
        <v>23753.3</v>
      </c>
      <c r="Z41" s="37" t="s">
        <v>74</v>
      </c>
    </row>
    <row r="42" spans="2:26" x14ac:dyDescent="0.35">
      <c r="B42" s="34">
        <v>25</v>
      </c>
      <c r="C42" s="35" t="s">
        <v>75</v>
      </c>
      <c r="D42" s="36" t="s">
        <v>76</v>
      </c>
      <c r="E42" s="53">
        <v>860</v>
      </c>
      <c r="F42" s="61"/>
      <c r="G42" s="57"/>
      <c r="H42" s="24"/>
      <c r="I42" s="16"/>
      <c r="J42" s="65"/>
      <c r="K42" s="72"/>
      <c r="L42" s="69"/>
      <c r="M42" s="24"/>
      <c r="N42" s="16"/>
      <c r="O42" s="17"/>
      <c r="P42" s="72"/>
      <c r="Q42" s="57"/>
      <c r="R42" s="24"/>
      <c r="S42" s="16"/>
      <c r="T42" s="17"/>
      <c r="U42" s="72">
        <v>43535</v>
      </c>
      <c r="V42" s="57">
        <v>43539</v>
      </c>
      <c r="W42" s="3">
        <v>12</v>
      </c>
      <c r="X42" s="42">
        <v>1382.9</v>
      </c>
      <c r="Y42" s="43">
        <f>W42*X42</f>
        <v>16594.800000000003</v>
      </c>
      <c r="Z42" s="37" t="s">
        <v>74</v>
      </c>
    </row>
    <row r="43" spans="2:26" x14ac:dyDescent="0.35">
      <c r="B43" s="3">
        <v>26</v>
      </c>
      <c r="C43" s="9" t="s">
        <v>14</v>
      </c>
      <c r="D43" s="10" t="s">
        <v>15</v>
      </c>
      <c r="E43" s="53">
        <v>525</v>
      </c>
      <c r="F43" s="61"/>
      <c r="G43" s="57"/>
      <c r="H43" s="24"/>
      <c r="I43" s="16"/>
      <c r="J43" s="65"/>
      <c r="K43" s="72"/>
      <c r="L43" s="69"/>
      <c r="M43" s="24"/>
      <c r="N43" s="16"/>
      <c r="O43" s="17"/>
      <c r="P43" s="72">
        <v>42941</v>
      </c>
      <c r="Q43" s="57">
        <v>43139</v>
      </c>
      <c r="R43" s="24">
        <v>12</v>
      </c>
      <c r="S43" s="16">
        <v>926.5</v>
      </c>
      <c r="T43" s="17">
        <f t="shared" ref="T43:T50" si="5">R43*S43</f>
        <v>11118</v>
      </c>
      <c r="U43" s="72"/>
      <c r="V43" s="69"/>
      <c r="W43" s="3"/>
      <c r="X43" s="42"/>
      <c r="Y43" s="43"/>
    </row>
    <row r="44" spans="2:26" x14ac:dyDescent="0.35">
      <c r="B44" s="3">
        <v>27</v>
      </c>
      <c r="C44" s="9" t="s">
        <v>12</v>
      </c>
      <c r="D44" s="10" t="s">
        <v>13</v>
      </c>
      <c r="E44" s="53">
        <v>853</v>
      </c>
      <c r="F44" s="61"/>
      <c r="G44" s="57"/>
      <c r="H44" s="24"/>
      <c r="I44" s="16"/>
      <c r="J44" s="65"/>
      <c r="K44" s="72"/>
      <c r="L44" s="69"/>
      <c r="M44" s="24"/>
      <c r="N44" s="16"/>
      <c r="O44" s="17"/>
      <c r="P44" s="72">
        <v>42941</v>
      </c>
      <c r="Q44" s="57">
        <v>43139</v>
      </c>
      <c r="R44" s="24">
        <v>12</v>
      </c>
      <c r="S44" s="16">
        <v>1418.5</v>
      </c>
      <c r="T44" s="17">
        <f t="shared" si="5"/>
        <v>17022</v>
      </c>
      <c r="U44" s="72"/>
      <c r="V44" s="69"/>
      <c r="W44" s="3"/>
      <c r="X44" s="42"/>
      <c r="Y44" s="43"/>
    </row>
    <row r="45" spans="2:26" x14ac:dyDescent="0.35">
      <c r="B45" s="138">
        <v>28</v>
      </c>
      <c r="C45" s="136" t="s">
        <v>22</v>
      </c>
      <c r="D45" s="137" t="s">
        <v>23</v>
      </c>
      <c r="E45" s="53">
        <v>656</v>
      </c>
      <c r="F45" s="61"/>
      <c r="G45" s="57"/>
      <c r="H45" s="24"/>
      <c r="I45" s="16"/>
      <c r="J45" s="65"/>
      <c r="K45" s="72"/>
      <c r="L45" s="69"/>
      <c r="M45" s="24"/>
      <c r="N45" s="16"/>
      <c r="O45" s="17"/>
      <c r="P45" s="72">
        <v>42941</v>
      </c>
      <c r="Q45" s="57">
        <v>43245</v>
      </c>
      <c r="R45" s="24">
        <v>11</v>
      </c>
      <c r="S45" s="16">
        <v>1123</v>
      </c>
      <c r="T45" s="17">
        <f t="shared" si="5"/>
        <v>12353</v>
      </c>
      <c r="U45" s="72"/>
      <c r="V45" s="69"/>
      <c r="W45" s="3"/>
      <c r="X45" s="42"/>
      <c r="Y45" s="43"/>
    </row>
    <row r="46" spans="2:26" x14ac:dyDescent="0.35">
      <c r="B46" s="138"/>
      <c r="C46" s="136"/>
      <c r="D46" s="137"/>
      <c r="E46" s="53">
        <v>656</v>
      </c>
      <c r="F46" s="61"/>
      <c r="G46" s="57"/>
      <c r="H46" s="24"/>
      <c r="I46" s="16"/>
      <c r="J46" s="65"/>
      <c r="K46" s="72"/>
      <c r="L46" s="69"/>
      <c r="M46" s="24"/>
      <c r="N46" s="16"/>
      <c r="O46" s="17"/>
      <c r="P46" s="72">
        <v>42941</v>
      </c>
      <c r="Q46" s="57">
        <v>43269</v>
      </c>
      <c r="R46" s="24">
        <v>1</v>
      </c>
      <c r="S46" s="16">
        <v>1123</v>
      </c>
      <c r="T46" s="17">
        <f t="shared" si="5"/>
        <v>1123</v>
      </c>
      <c r="U46" s="72"/>
      <c r="V46" s="69"/>
      <c r="W46" s="3"/>
      <c r="X46" s="42"/>
      <c r="Y46" s="43"/>
    </row>
    <row r="47" spans="2:26" x14ac:dyDescent="0.35">
      <c r="B47" s="138">
        <v>29</v>
      </c>
      <c r="C47" s="136" t="s">
        <v>26</v>
      </c>
      <c r="D47" s="137" t="s">
        <v>27</v>
      </c>
      <c r="E47" s="53">
        <v>1178</v>
      </c>
      <c r="F47" s="119">
        <v>42941</v>
      </c>
      <c r="G47" s="57">
        <v>43146</v>
      </c>
      <c r="H47" s="24">
        <v>3</v>
      </c>
      <c r="I47" s="16">
        <v>1920.66</v>
      </c>
      <c r="J47" s="65">
        <f>H47*I47</f>
        <v>5761.9800000000005</v>
      </c>
      <c r="K47" s="72"/>
      <c r="L47" s="69"/>
      <c r="M47" s="24"/>
      <c r="N47" s="16"/>
      <c r="O47" s="17"/>
      <c r="P47" s="72"/>
      <c r="Q47" s="57"/>
      <c r="R47" s="24"/>
      <c r="S47" s="16"/>
      <c r="T47" s="17"/>
      <c r="U47" s="72"/>
      <c r="V47" s="69"/>
      <c r="W47" s="3"/>
      <c r="X47" s="42"/>
      <c r="Y47" s="43"/>
    </row>
    <row r="48" spans="2:26" x14ac:dyDescent="0.35">
      <c r="B48" s="138"/>
      <c r="C48" s="136"/>
      <c r="D48" s="137"/>
      <c r="E48" s="53">
        <v>1178</v>
      </c>
      <c r="F48" s="120"/>
      <c r="G48" s="57">
        <v>43223</v>
      </c>
      <c r="H48" s="24">
        <v>9</v>
      </c>
      <c r="I48" s="16">
        <v>1920.66</v>
      </c>
      <c r="J48" s="65">
        <f>H48*I48</f>
        <v>17285.940000000002</v>
      </c>
      <c r="K48" s="72"/>
      <c r="L48" s="69"/>
      <c r="M48" s="24"/>
      <c r="N48" s="16"/>
      <c r="O48" s="17"/>
      <c r="P48" s="72"/>
      <c r="Q48" s="57"/>
      <c r="R48" s="24"/>
      <c r="S48" s="16"/>
      <c r="T48" s="17"/>
      <c r="U48" s="72"/>
      <c r="V48" s="69"/>
      <c r="W48" s="3"/>
      <c r="X48" s="42"/>
      <c r="Y48" s="43"/>
    </row>
    <row r="49" spans="2:26" x14ac:dyDescent="0.35">
      <c r="B49" s="3">
        <v>30</v>
      </c>
      <c r="C49" s="9" t="s">
        <v>18</v>
      </c>
      <c r="D49" s="10" t="s">
        <v>19</v>
      </c>
      <c r="E49" s="53">
        <v>1077</v>
      </c>
      <c r="F49" s="61"/>
      <c r="G49" s="57"/>
      <c r="H49" s="24"/>
      <c r="I49" s="16"/>
      <c r="J49" s="65"/>
      <c r="K49" s="72"/>
      <c r="L49" s="69"/>
      <c r="M49" s="24"/>
      <c r="N49" s="16"/>
      <c r="O49" s="17"/>
      <c r="P49" s="72">
        <v>42941</v>
      </c>
      <c r="Q49" s="57">
        <v>43145</v>
      </c>
      <c r="R49" s="24">
        <v>12</v>
      </c>
      <c r="S49" s="16">
        <v>1772.19</v>
      </c>
      <c r="T49" s="17">
        <f t="shared" si="5"/>
        <v>21266.28</v>
      </c>
      <c r="U49" s="72"/>
      <c r="V49" s="69"/>
      <c r="W49" s="3"/>
      <c r="X49" s="42"/>
      <c r="Y49" s="43"/>
    </row>
    <row r="50" spans="2:26" x14ac:dyDescent="0.35">
      <c r="B50" s="127">
        <v>31</v>
      </c>
      <c r="C50" s="130" t="s">
        <v>20</v>
      </c>
      <c r="D50" s="133" t="s">
        <v>21</v>
      </c>
      <c r="E50" s="53">
        <v>984</v>
      </c>
      <c r="F50" s="61"/>
      <c r="G50" s="57"/>
      <c r="H50" s="24"/>
      <c r="I50" s="16"/>
      <c r="J50" s="65"/>
      <c r="K50" s="72"/>
      <c r="L50" s="69"/>
      <c r="M50" s="24"/>
      <c r="N50" s="16"/>
      <c r="O50" s="17"/>
      <c r="P50" s="72">
        <v>42941</v>
      </c>
      <c r="Q50" s="57">
        <v>43147</v>
      </c>
      <c r="R50" s="24">
        <v>3</v>
      </c>
      <c r="S50" s="16">
        <v>1615</v>
      </c>
      <c r="T50" s="17">
        <f t="shared" si="5"/>
        <v>4845</v>
      </c>
      <c r="U50" s="72"/>
      <c r="V50" s="69"/>
      <c r="W50" s="3"/>
      <c r="X50" s="42"/>
      <c r="Y50" s="43"/>
    </row>
    <row r="51" spans="2:26" x14ac:dyDescent="0.35">
      <c r="B51" s="129"/>
      <c r="C51" s="132"/>
      <c r="D51" s="135"/>
      <c r="E51" s="53">
        <v>1009</v>
      </c>
      <c r="F51" s="61"/>
      <c r="G51" s="57"/>
      <c r="H51" s="24"/>
      <c r="I51" s="16"/>
      <c r="J51" s="65"/>
      <c r="K51" s="72"/>
      <c r="L51" s="69"/>
      <c r="M51" s="24"/>
      <c r="N51" s="16"/>
      <c r="O51" s="17"/>
      <c r="P51" s="72"/>
      <c r="Q51" s="57"/>
      <c r="R51" s="24"/>
      <c r="S51" s="16"/>
      <c r="T51" s="17"/>
      <c r="U51" s="72">
        <v>43588</v>
      </c>
      <c r="V51" s="57"/>
      <c r="W51" s="3">
        <v>5</v>
      </c>
      <c r="X51" s="42">
        <v>1890.93</v>
      </c>
      <c r="Y51" s="43">
        <f t="shared" ref="Y51" si="6">W51*X51</f>
        <v>9454.65</v>
      </c>
      <c r="Z51" s="37" t="s">
        <v>80</v>
      </c>
    </row>
    <row r="52" spans="2:26" x14ac:dyDescent="0.35">
      <c r="B52" s="127">
        <v>32</v>
      </c>
      <c r="C52" s="130" t="s">
        <v>65</v>
      </c>
      <c r="D52" s="133" t="s">
        <v>67</v>
      </c>
      <c r="E52" s="53">
        <v>1170</v>
      </c>
      <c r="F52" s="61"/>
      <c r="G52" s="57"/>
      <c r="H52" s="24"/>
      <c r="I52" s="16"/>
      <c r="J52" s="65"/>
      <c r="K52" s="72"/>
      <c r="L52" s="69"/>
      <c r="M52" s="24"/>
      <c r="N52" s="16"/>
      <c r="O52" s="17"/>
      <c r="P52" s="72"/>
      <c r="Q52" s="57"/>
      <c r="R52" s="24"/>
      <c r="S52" s="16"/>
      <c r="T52" s="17"/>
      <c r="U52" s="72">
        <v>43251</v>
      </c>
      <c r="V52" s="57">
        <v>43501</v>
      </c>
      <c r="W52" s="3">
        <v>15</v>
      </c>
      <c r="X52" s="42">
        <v>2240.09</v>
      </c>
      <c r="Y52" s="43">
        <f>W52*X52</f>
        <v>33601.350000000006</v>
      </c>
    </row>
    <row r="53" spans="2:26" x14ac:dyDescent="0.35">
      <c r="B53" s="129"/>
      <c r="C53" s="132"/>
      <c r="D53" s="135"/>
      <c r="E53" s="54">
        <v>1170</v>
      </c>
      <c r="F53" s="62"/>
      <c r="G53" s="56"/>
      <c r="H53" s="23"/>
      <c r="I53" s="14"/>
      <c r="J53" s="66"/>
      <c r="K53" s="73"/>
      <c r="L53" s="68"/>
      <c r="M53" s="23"/>
      <c r="N53" s="14"/>
      <c r="O53" s="15"/>
      <c r="P53" s="73"/>
      <c r="Q53" s="56"/>
      <c r="R53" s="23"/>
      <c r="S53" s="14"/>
      <c r="T53" s="15"/>
      <c r="U53" s="73">
        <v>43535</v>
      </c>
      <c r="V53" s="56">
        <v>43542</v>
      </c>
      <c r="W53" s="4">
        <v>10</v>
      </c>
      <c r="X53" s="40">
        <v>2240.09</v>
      </c>
      <c r="Y53" s="43">
        <f>W53*X53</f>
        <v>22400.9</v>
      </c>
      <c r="Z53" s="37" t="s">
        <v>74</v>
      </c>
    </row>
    <row r="54" spans="2:26" ht="15" thickBot="1" x14ac:dyDescent="0.4">
      <c r="B54" s="4">
        <v>33</v>
      </c>
      <c r="C54" s="7" t="s">
        <v>69</v>
      </c>
      <c r="D54" s="8" t="s">
        <v>70</v>
      </c>
      <c r="E54" s="54">
        <v>340</v>
      </c>
      <c r="F54" s="63"/>
      <c r="G54" s="56"/>
      <c r="H54" s="23"/>
      <c r="I54" s="14"/>
      <c r="J54" s="66"/>
      <c r="K54" s="73"/>
      <c r="L54" s="68"/>
      <c r="M54" s="23"/>
      <c r="N54" s="14"/>
      <c r="O54" s="15"/>
      <c r="P54" s="73"/>
      <c r="Q54" s="56"/>
      <c r="R54" s="23"/>
      <c r="S54" s="14"/>
      <c r="T54" s="15"/>
      <c r="U54" s="73" t="s">
        <v>86</v>
      </c>
      <c r="V54" s="56">
        <v>41870</v>
      </c>
      <c r="W54" s="4">
        <v>10</v>
      </c>
      <c r="X54" s="40">
        <v>634.6</v>
      </c>
      <c r="Y54" s="41">
        <f>W54*X54</f>
        <v>6346</v>
      </c>
    </row>
    <row r="55" spans="2:26" ht="15" thickBot="1" x14ac:dyDescent="0.4">
      <c r="B55" s="5"/>
      <c r="C55" s="11"/>
      <c r="D55" s="12"/>
      <c r="E55" s="55"/>
      <c r="F55" s="77"/>
      <c r="G55" s="75"/>
      <c r="H55" s="25"/>
      <c r="I55" s="18"/>
      <c r="J55" s="67">
        <f>SUM(J6:J54)</f>
        <v>55047.920000000006</v>
      </c>
      <c r="K55" s="74"/>
      <c r="L55" s="70"/>
      <c r="M55" s="25"/>
      <c r="N55" s="18"/>
      <c r="O55" s="19">
        <f>SUM(O6:O54)</f>
        <v>41416.25</v>
      </c>
      <c r="P55" s="74"/>
      <c r="Q55" s="75"/>
      <c r="R55" s="25"/>
      <c r="S55" s="18"/>
      <c r="T55" s="19">
        <f>SUM(T6:T54)</f>
        <v>100601.28</v>
      </c>
      <c r="U55" s="74"/>
      <c r="V55" s="70"/>
      <c r="W55" s="27"/>
      <c r="X55" s="45"/>
      <c r="Y55" s="46">
        <f>SUM(Y6:Y54)</f>
        <v>407451.88</v>
      </c>
    </row>
    <row r="56" spans="2:26" ht="15" thickBot="1" x14ac:dyDescent="0.4">
      <c r="V56" s="28"/>
      <c r="W56" s="29"/>
      <c r="X56" s="47" t="s">
        <v>72</v>
      </c>
      <c r="Y56" s="48">
        <f>SUM(J55,O55,T55,Y55)</f>
        <v>604517.33000000007</v>
      </c>
    </row>
  </sheetData>
  <mergeCells count="32">
    <mergeCell ref="D18:D19"/>
    <mergeCell ref="D52:D53"/>
    <mergeCell ref="C52:C53"/>
    <mergeCell ref="B52:B53"/>
    <mergeCell ref="B40:B41"/>
    <mergeCell ref="C40:C41"/>
    <mergeCell ref="D40:D41"/>
    <mergeCell ref="D50:D51"/>
    <mergeCell ref="C50:C51"/>
    <mergeCell ref="B50:B51"/>
    <mergeCell ref="C47:C48"/>
    <mergeCell ref="D47:D48"/>
    <mergeCell ref="B45:B46"/>
    <mergeCell ref="B47:B48"/>
    <mergeCell ref="C45:C46"/>
    <mergeCell ref="D45:D46"/>
    <mergeCell ref="F47:F48"/>
    <mergeCell ref="K3:O3"/>
    <mergeCell ref="P3:T3"/>
    <mergeCell ref="U3:Y3"/>
    <mergeCell ref="B6:B10"/>
    <mergeCell ref="C6:C10"/>
    <mergeCell ref="D6:D10"/>
    <mergeCell ref="F3:J3"/>
    <mergeCell ref="D11:D15"/>
    <mergeCell ref="C11:C15"/>
    <mergeCell ref="B11:B15"/>
    <mergeCell ref="B21:B24"/>
    <mergeCell ref="C21:C24"/>
    <mergeCell ref="D21:D24"/>
    <mergeCell ref="C18:C19"/>
    <mergeCell ref="B18:B19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4337-B235-4A67-B3C2-7157CF315DA6}">
  <dimension ref="A1:K51"/>
  <sheetViews>
    <sheetView workbookViewId="0">
      <selection activeCell="E2" sqref="E2"/>
    </sheetView>
  </sheetViews>
  <sheetFormatPr defaultRowHeight="14.5" x14ac:dyDescent="0.35"/>
  <cols>
    <col min="1" max="1" width="8.7265625" style="90"/>
    <col min="2" max="2" width="14.81640625" customWidth="1"/>
    <col min="3" max="3" width="40.1796875" customWidth="1"/>
    <col min="4" max="4" width="17.1796875" customWidth="1"/>
    <col min="5" max="5" width="13.54296875" customWidth="1"/>
    <col min="6" max="6" width="12.08984375" customWidth="1"/>
    <col min="10" max="10" width="10.453125" bestFit="1" customWidth="1"/>
    <col min="11" max="11" width="8.7265625" style="90"/>
  </cols>
  <sheetData>
    <row r="1" spans="1:11" x14ac:dyDescent="0.35">
      <c r="A1" s="2"/>
      <c r="B1" s="79" t="s">
        <v>5</v>
      </c>
      <c r="C1" s="31" t="s">
        <v>4</v>
      </c>
      <c r="D1" s="51" t="s">
        <v>71</v>
      </c>
      <c r="E1" s="78" t="s">
        <v>84</v>
      </c>
      <c r="F1" s="68" t="s">
        <v>1</v>
      </c>
      <c r="G1" s="79" t="s">
        <v>10</v>
      </c>
      <c r="H1" s="40" t="s">
        <v>11</v>
      </c>
      <c r="I1" s="91" t="s">
        <v>6</v>
      </c>
      <c r="J1" s="89"/>
      <c r="K1" s="93"/>
    </row>
    <row r="2" spans="1:11" x14ac:dyDescent="0.35">
      <c r="A2" s="2">
        <v>1</v>
      </c>
      <c r="B2" s="81" t="s">
        <v>81</v>
      </c>
      <c r="C2" s="83" t="s">
        <v>83</v>
      </c>
      <c r="D2" s="52">
        <v>240</v>
      </c>
      <c r="E2" s="22">
        <v>43545</v>
      </c>
      <c r="F2" s="56">
        <v>43558</v>
      </c>
      <c r="G2" s="79">
        <v>10</v>
      </c>
      <c r="H2" s="40">
        <v>572.9</v>
      </c>
      <c r="I2" s="91">
        <f t="shared" ref="I2:I33" si="0">G2*H2</f>
        <v>5729</v>
      </c>
      <c r="J2" s="26">
        <v>43545</v>
      </c>
      <c r="K2" s="87">
        <v>10</v>
      </c>
    </row>
    <row r="3" spans="1:11" ht="14.5" customHeight="1" x14ac:dyDescent="0.35">
      <c r="A3" s="79">
        <v>2</v>
      </c>
      <c r="B3" s="94" t="s">
        <v>149</v>
      </c>
      <c r="C3" s="95" t="s">
        <v>32</v>
      </c>
      <c r="D3" s="53">
        <v>220</v>
      </c>
      <c r="E3" s="72">
        <v>43545</v>
      </c>
      <c r="F3" s="57">
        <v>43556</v>
      </c>
      <c r="G3" s="87">
        <v>10</v>
      </c>
      <c r="H3" s="42">
        <v>532</v>
      </c>
      <c r="I3" s="92">
        <f t="shared" si="0"/>
        <v>5320</v>
      </c>
      <c r="J3" s="26">
        <v>42814</v>
      </c>
      <c r="K3" s="93">
        <v>67</v>
      </c>
    </row>
    <row r="4" spans="1:11" ht="29" x14ac:dyDescent="0.35">
      <c r="A4" s="79">
        <v>2</v>
      </c>
      <c r="B4" s="94" t="s">
        <v>149</v>
      </c>
      <c r="C4" s="95" t="s">
        <v>32</v>
      </c>
      <c r="D4" s="53">
        <v>220</v>
      </c>
      <c r="E4" s="72">
        <v>43377</v>
      </c>
      <c r="F4" s="57">
        <v>43447</v>
      </c>
      <c r="G4" s="24">
        <v>25</v>
      </c>
      <c r="H4" s="16">
        <v>503.81</v>
      </c>
      <c r="I4" s="65">
        <f t="shared" si="0"/>
        <v>12595.25</v>
      </c>
      <c r="J4" s="26">
        <v>42814</v>
      </c>
      <c r="K4" s="93">
        <f>SUM(G4:G7)</f>
        <v>58</v>
      </c>
    </row>
    <row r="5" spans="1:11" ht="29" x14ac:dyDescent="0.35">
      <c r="A5" s="79">
        <v>2</v>
      </c>
      <c r="B5" s="94" t="s">
        <v>149</v>
      </c>
      <c r="C5" s="95" t="s">
        <v>32</v>
      </c>
      <c r="D5" s="53">
        <v>191</v>
      </c>
      <c r="E5" s="72">
        <v>42821</v>
      </c>
      <c r="F5" s="57">
        <v>42901</v>
      </c>
      <c r="G5" s="87">
        <v>25</v>
      </c>
      <c r="H5" s="42">
        <v>423.25</v>
      </c>
      <c r="I5" s="92">
        <f t="shared" si="0"/>
        <v>10581.25</v>
      </c>
      <c r="J5" s="89"/>
      <c r="K5" s="93"/>
    </row>
    <row r="6" spans="1:11" ht="29" x14ac:dyDescent="0.35">
      <c r="A6" s="79">
        <v>2</v>
      </c>
      <c r="B6" s="94" t="s">
        <v>149</v>
      </c>
      <c r="C6" s="95" t="s">
        <v>32</v>
      </c>
      <c r="D6" s="53">
        <v>191</v>
      </c>
      <c r="E6" s="72">
        <v>42769</v>
      </c>
      <c r="F6" s="57">
        <v>42814</v>
      </c>
      <c r="G6" s="87">
        <v>7</v>
      </c>
      <c r="H6" s="42">
        <v>423.25</v>
      </c>
      <c r="I6" s="92">
        <f t="shared" si="0"/>
        <v>2962.75</v>
      </c>
      <c r="J6" s="89"/>
      <c r="K6" s="93"/>
    </row>
    <row r="7" spans="1:11" ht="29" x14ac:dyDescent="0.35">
      <c r="A7" s="79">
        <v>2</v>
      </c>
      <c r="B7" s="94" t="s">
        <v>31</v>
      </c>
      <c r="C7" s="95" t="s">
        <v>32</v>
      </c>
      <c r="D7" s="53">
        <v>0</v>
      </c>
      <c r="E7" s="72"/>
      <c r="F7" s="57">
        <v>42627</v>
      </c>
      <c r="G7" s="87">
        <v>1</v>
      </c>
      <c r="H7" s="42">
        <v>331</v>
      </c>
      <c r="I7" s="92">
        <f t="shared" si="0"/>
        <v>331</v>
      </c>
      <c r="J7" s="89"/>
      <c r="K7" s="93"/>
    </row>
    <row r="8" spans="1:11" x14ac:dyDescent="0.35">
      <c r="A8" s="79">
        <v>3</v>
      </c>
      <c r="B8" s="94" t="s">
        <v>28</v>
      </c>
      <c r="C8" s="95" t="s">
        <v>68</v>
      </c>
      <c r="D8" s="53">
        <v>250</v>
      </c>
      <c r="E8" s="72">
        <v>43545</v>
      </c>
      <c r="F8" s="57">
        <v>43556</v>
      </c>
      <c r="G8" s="87">
        <v>10</v>
      </c>
      <c r="H8" s="42">
        <v>532</v>
      </c>
      <c r="I8" s="92">
        <f t="shared" si="0"/>
        <v>5320</v>
      </c>
      <c r="J8" s="26">
        <v>41710</v>
      </c>
      <c r="K8" s="93">
        <f>SUM(G8:G12)</f>
        <v>52</v>
      </c>
    </row>
    <row r="9" spans="1:11" x14ac:dyDescent="0.35">
      <c r="A9" s="79">
        <v>3</v>
      </c>
      <c r="B9" s="94" t="s">
        <v>28</v>
      </c>
      <c r="C9" s="95" t="s">
        <v>68</v>
      </c>
      <c r="D9" s="53">
        <v>170</v>
      </c>
      <c r="E9" s="72">
        <v>42703</v>
      </c>
      <c r="F9" s="57">
        <v>42748</v>
      </c>
      <c r="G9" s="24">
        <v>8</v>
      </c>
      <c r="H9" s="16">
        <v>580</v>
      </c>
      <c r="I9" s="65">
        <f t="shared" si="0"/>
        <v>4640</v>
      </c>
      <c r="J9" s="89"/>
      <c r="K9" s="93"/>
    </row>
    <row r="10" spans="1:11" x14ac:dyDescent="0.35">
      <c r="A10" s="79">
        <v>3</v>
      </c>
      <c r="B10" s="94" t="s">
        <v>28</v>
      </c>
      <c r="C10" s="95" t="s">
        <v>68</v>
      </c>
      <c r="D10" s="53">
        <v>225</v>
      </c>
      <c r="E10" s="72">
        <v>42514</v>
      </c>
      <c r="F10" s="57">
        <v>42625</v>
      </c>
      <c r="G10" s="24">
        <v>8</v>
      </c>
      <c r="H10" s="16">
        <v>580</v>
      </c>
      <c r="I10" s="65">
        <f t="shared" si="0"/>
        <v>4640</v>
      </c>
      <c r="J10" s="89"/>
      <c r="K10" s="93"/>
    </row>
    <row r="11" spans="1:11" x14ac:dyDescent="0.35">
      <c r="A11" s="79">
        <v>3</v>
      </c>
      <c r="B11" s="94" t="s">
        <v>28</v>
      </c>
      <c r="C11" s="95" t="s">
        <v>68</v>
      </c>
      <c r="D11" s="53">
        <v>225</v>
      </c>
      <c r="E11" s="72"/>
      <c r="F11" s="57">
        <v>42199</v>
      </c>
      <c r="G11" s="87">
        <v>6</v>
      </c>
      <c r="H11" s="42">
        <v>435</v>
      </c>
      <c r="I11" s="92">
        <f t="shared" si="0"/>
        <v>2610</v>
      </c>
      <c r="J11" s="89"/>
      <c r="K11" s="93"/>
    </row>
    <row r="12" spans="1:11" x14ac:dyDescent="0.35">
      <c r="A12" s="79">
        <v>3</v>
      </c>
      <c r="B12" s="94" t="s">
        <v>28</v>
      </c>
      <c r="C12" s="95" t="s">
        <v>68</v>
      </c>
      <c r="D12" s="53">
        <v>200</v>
      </c>
      <c r="E12" s="72">
        <v>41624</v>
      </c>
      <c r="F12" s="57">
        <v>41710</v>
      </c>
      <c r="G12" s="87">
        <v>20</v>
      </c>
      <c r="H12" s="42">
        <v>300</v>
      </c>
      <c r="I12" s="92">
        <f t="shared" si="0"/>
        <v>6000</v>
      </c>
      <c r="J12" s="89"/>
      <c r="K12" s="93"/>
    </row>
    <row r="13" spans="1:11" x14ac:dyDescent="0.35">
      <c r="A13" s="87">
        <v>4</v>
      </c>
      <c r="B13" s="85" t="s">
        <v>24</v>
      </c>
      <c r="C13" s="86" t="s">
        <v>25</v>
      </c>
      <c r="D13" s="53">
        <v>2120</v>
      </c>
      <c r="E13" s="61">
        <v>42773</v>
      </c>
      <c r="F13" s="57">
        <v>42852</v>
      </c>
      <c r="G13" s="24">
        <v>10</v>
      </c>
      <c r="H13" s="16">
        <v>3200</v>
      </c>
      <c r="I13" s="65">
        <f t="shared" si="0"/>
        <v>32000</v>
      </c>
      <c r="J13" s="26">
        <v>42852</v>
      </c>
      <c r="K13" s="24">
        <v>10</v>
      </c>
    </row>
    <row r="14" spans="1:11" x14ac:dyDescent="0.35">
      <c r="A14" s="87">
        <v>5</v>
      </c>
      <c r="B14" s="85" t="s">
        <v>38</v>
      </c>
      <c r="C14" s="86" t="s">
        <v>39</v>
      </c>
      <c r="D14" s="53">
        <v>3285</v>
      </c>
      <c r="E14" s="72">
        <v>43157</v>
      </c>
      <c r="F14" s="57">
        <v>43353</v>
      </c>
      <c r="G14" s="87">
        <v>10</v>
      </c>
      <c r="H14" s="42">
        <v>5376.8</v>
      </c>
      <c r="I14" s="92">
        <f t="shared" si="0"/>
        <v>53768</v>
      </c>
      <c r="J14" s="26">
        <v>43353</v>
      </c>
      <c r="K14" s="87">
        <v>10</v>
      </c>
    </row>
    <row r="15" spans="1:11" x14ac:dyDescent="0.35">
      <c r="A15" s="79">
        <v>6</v>
      </c>
      <c r="B15" s="94" t="s">
        <v>34</v>
      </c>
      <c r="C15" s="95" t="s">
        <v>35</v>
      </c>
      <c r="D15" s="53">
        <v>2747</v>
      </c>
      <c r="E15" s="72">
        <v>43433</v>
      </c>
      <c r="F15" s="57">
        <v>43452</v>
      </c>
      <c r="G15" s="87">
        <v>5</v>
      </c>
      <c r="H15" s="42">
        <v>4992.9399999999996</v>
      </c>
      <c r="I15" s="92">
        <f t="shared" si="0"/>
        <v>24964.699999999997</v>
      </c>
      <c r="J15" s="26">
        <v>43293</v>
      </c>
      <c r="K15" s="93">
        <f>SUM(G15:G16)</f>
        <v>10</v>
      </c>
    </row>
    <row r="16" spans="1:11" x14ac:dyDescent="0.35">
      <c r="A16" s="79">
        <v>6</v>
      </c>
      <c r="B16" s="94" t="s">
        <v>34</v>
      </c>
      <c r="C16" s="95" t="s">
        <v>35</v>
      </c>
      <c r="D16" s="53">
        <v>2936</v>
      </c>
      <c r="E16" s="72">
        <v>43087</v>
      </c>
      <c r="F16" s="57">
        <v>43293</v>
      </c>
      <c r="G16" s="87">
        <v>5</v>
      </c>
      <c r="H16" s="42">
        <v>4992.9399999999996</v>
      </c>
      <c r="I16" s="92">
        <f t="shared" si="0"/>
        <v>24964.699999999997</v>
      </c>
      <c r="J16" s="89"/>
      <c r="K16" s="93"/>
    </row>
    <row r="17" spans="1:11" x14ac:dyDescent="0.35">
      <c r="A17" s="87">
        <v>7</v>
      </c>
      <c r="B17" s="85" t="s">
        <v>36</v>
      </c>
      <c r="C17" s="86" t="s">
        <v>37</v>
      </c>
      <c r="D17" s="53">
        <v>3072.3</v>
      </c>
      <c r="E17" s="72">
        <v>43126</v>
      </c>
      <c r="F17" s="57">
        <v>43312</v>
      </c>
      <c r="G17" s="87">
        <v>3</v>
      </c>
      <c r="H17" s="42">
        <v>5116.3599999999997</v>
      </c>
      <c r="I17" s="92">
        <f t="shared" si="0"/>
        <v>15349.079999999998</v>
      </c>
      <c r="J17" s="26">
        <v>43312</v>
      </c>
      <c r="K17" s="87">
        <v>3</v>
      </c>
    </row>
    <row r="18" spans="1:11" x14ac:dyDescent="0.35">
      <c r="A18" s="79">
        <v>8</v>
      </c>
      <c r="B18" s="94" t="s">
        <v>29</v>
      </c>
      <c r="C18" s="95" t="s">
        <v>30</v>
      </c>
      <c r="D18" s="53">
        <v>4000</v>
      </c>
      <c r="E18" s="72">
        <v>43535</v>
      </c>
      <c r="F18" s="76">
        <v>43474</v>
      </c>
      <c r="G18" s="87">
        <v>5</v>
      </c>
      <c r="H18" s="42">
        <v>5892.9</v>
      </c>
      <c r="I18" s="92">
        <f t="shared" si="0"/>
        <v>29464.5</v>
      </c>
      <c r="J18" s="26">
        <v>42331</v>
      </c>
      <c r="K18" s="93">
        <f>SUM(G18:G21)</f>
        <v>21</v>
      </c>
    </row>
    <row r="19" spans="1:11" ht="14.5" customHeight="1" x14ac:dyDescent="0.35">
      <c r="A19" s="79">
        <v>8</v>
      </c>
      <c r="B19" s="94" t="s">
        <v>29</v>
      </c>
      <c r="C19" s="95" t="s">
        <v>30</v>
      </c>
      <c r="D19" s="53">
        <v>3141</v>
      </c>
      <c r="E19" s="72">
        <v>42776</v>
      </c>
      <c r="F19" s="57">
        <v>42965</v>
      </c>
      <c r="G19" s="24">
        <v>5</v>
      </c>
      <c r="H19" s="16">
        <v>3908.2</v>
      </c>
      <c r="I19" s="65">
        <f t="shared" si="0"/>
        <v>19541</v>
      </c>
      <c r="J19" s="89"/>
      <c r="K19" s="93"/>
    </row>
    <row r="20" spans="1:11" x14ac:dyDescent="0.35">
      <c r="A20" s="79">
        <v>8</v>
      </c>
      <c r="B20" s="94" t="s">
        <v>29</v>
      </c>
      <c r="C20" s="95" t="s">
        <v>30</v>
      </c>
      <c r="D20" s="53">
        <v>2847</v>
      </c>
      <c r="E20" s="72">
        <v>42347</v>
      </c>
      <c r="F20" s="57">
        <v>42557</v>
      </c>
      <c r="G20" s="87">
        <v>5</v>
      </c>
      <c r="H20" s="42">
        <v>3913</v>
      </c>
      <c r="I20" s="92">
        <f t="shared" si="0"/>
        <v>19565</v>
      </c>
      <c r="J20" s="89"/>
      <c r="K20" s="93"/>
    </row>
    <row r="21" spans="1:11" x14ac:dyDescent="0.35">
      <c r="A21" s="79">
        <v>8</v>
      </c>
      <c r="B21" s="94" t="s">
        <v>29</v>
      </c>
      <c r="C21" s="95" t="s">
        <v>30</v>
      </c>
      <c r="D21" s="53">
        <v>2847</v>
      </c>
      <c r="E21" s="72" t="s">
        <v>85</v>
      </c>
      <c r="F21" s="57">
        <v>42331</v>
      </c>
      <c r="G21" s="87">
        <v>6</v>
      </c>
      <c r="H21" s="42">
        <v>3913</v>
      </c>
      <c r="I21" s="92">
        <f t="shared" si="0"/>
        <v>23478</v>
      </c>
      <c r="J21" s="89"/>
      <c r="K21" s="93"/>
    </row>
    <row r="22" spans="1:11" x14ac:dyDescent="0.35">
      <c r="A22" s="87">
        <v>9</v>
      </c>
      <c r="B22" s="85" t="s">
        <v>47</v>
      </c>
      <c r="C22" s="86" t="s">
        <v>59</v>
      </c>
      <c r="D22" s="53">
        <v>36</v>
      </c>
      <c r="E22" s="72">
        <v>43377</v>
      </c>
      <c r="F22" s="57">
        <v>43455</v>
      </c>
      <c r="G22" s="87">
        <v>25</v>
      </c>
      <c r="H22" s="44">
        <v>61.27</v>
      </c>
      <c r="I22" s="92">
        <f t="shared" si="0"/>
        <v>1531.75</v>
      </c>
      <c r="J22" s="89"/>
      <c r="K22" s="93"/>
    </row>
    <row r="23" spans="1:11" x14ac:dyDescent="0.35">
      <c r="A23" s="87">
        <v>10</v>
      </c>
      <c r="B23" s="85" t="s">
        <v>40</v>
      </c>
      <c r="C23" s="86" t="s">
        <v>52</v>
      </c>
      <c r="D23" s="53">
        <v>42</v>
      </c>
      <c r="E23" s="72">
        <v>43377</v>
      </c>
      <c r="F23" s="57">
        <v>43455</v>
      </c>
      <c r="G23" s="87">
        <v>25</v>
      </c>
      <c r="H23" s="44">
        <v>69.77</v>
      </c>
      <c r="I23" s="92">
        <f t="shared" si="0"/>
        <v>1744.25</v>
      </c>
      <c r="J23" s="89"/>
      <c r="K23" s="93"/>
    </row>
    <row r="24" spans="1:11" x14ac:dyDescent="0.35">
      <c r="A24" s="87">
        <v>11</v>
      </c>
      <c r="B24" s="85" t="s">
        <v>48</v>
      </c>
      <c r="C24" s="86" t="s">
        <v>60</v>
      </c>
      <c r="D24" s="53">
        <v>34</v>
      </c>
      <c r="E24" s="72">
        <v>43377</v>
      </c>
      <c r="F24" s="57">
        <v>43455</v>
      </c>
      <c r="G24" s="87">
        <v>25</v>
      </c>
      <c r="H24" s="44">
        <v>58.43</v>
      </c>
      <c r="I24" s="92">
        <f t="shared" si="0"/>
        <v>1460.75</v>
      </c>
      <c r="J24" s="89"/>
      <c r="K24" s="93"/>
    </row>
    <row r="25" spans="1:11" x14ac:dyDescent="0.35">
      <c r="A25" s="87">
        <v>12</v>
      </c>
      <c r="B25" s="85" t="s">
        <v>49</v>
      </c>
      <c r="C25" s="86" t="s">
        <v>61</v>
      </c>
      <c r="D25" s="53">
        <v>33</v>
      </c>
      <c r="E25" s="72">
        <v>43377</v>
      </c>
      <c r="F25" s="57">
        <v>43455</v>
      </c>
      <c r="G25" s="87">
        <v>25</v>
      </c>
      <c r="H25" s="44">
        <v>57.02</v>
      </c>
      <c r="I25" s="92">
        <f t="shared" si="0"/>
        <v>1425.5</v>
      </c>
      <c r="J25" s="89"/>
      <c r="K25" s="93"/>
    </row>
    <row r="26" spans="1:11" x14ac:dyDescent="0.35">
      <c r="A26" s="87">
        <v>13</v>
      </c>
      <c r="B26" s="85" t="s">
        <v>44</v>
      </c>
      <c r="C26" s="86" t="s">
        <v>56</v>
      </c>
      <c r="D26" s="53">
        <v>35</v>
      </c>
      <c r="E26" s="72">
        <v>43377</v>
      </c>
      <c r="F26" s="57">
        <v>43455</v>
      </c>
      <c r="G26" s="87">
        <v>25</v>
      </c>
      <c r="H26" s="44">
        <v>59.85</v>
      </c>
      <c r="I26" s="92">
        <f t="shared" si="0"/>
        <v>1496.25</v>
      </c>
      <c r="J26" s="89"/>
      <c r="K26" s="93"/>
    </row>
    <row r="27" spans="1:11" x14ac:dyDescent="0.35">
      <c r="A27" s="87">
        <v>14</v>
      </c>
      <c r="B27" s="85" t="s">
        <v>51</v>
      </c>
      <c r="C27" s="86" t="s">
        <v>63</v>
      </c>
      <c r="D27" s="53">
        <v>33</v>
      </c>
      <c r="E27" s="72">
        <v>43377</v>
      </c>
      <c r="F27" s="57">
        <v>43455</v>
      </c>
      <c r="G27" s="87">
        <v>25</v>
      </c>
      <c r="H27" s="44">
        <v>57.02</v>
      </c>
      <c r="I27" s="92">
        <f t="shared" si="0"/>
        <v>1425.5</v>
      </c>
      <c r="J27" s="89"/>
      <c r="K27" s="93"/>
    </row>
    <row r="28" spans="1:11" x14ac:dyDescent="0.35">
      <c r="A28" s="87">
        <v>15</v>
      </c>
      <c r="B28" s="85" t="s">
        <v>42</v>
      </c>
      <c r="C28" s="86" t="s">
        <v>54</v>
      </c>
      <c r="D28" s="53">
        <v>33</v>
      </c>
      <c r="E28" s="72">
        <v>43377</v>
      </c>
      <c r="F28" s="57">
        <v>43455</v>
      </c>
      <c r="G28" s="87">
        <v>25</v>
      </c>
      <c r="H28" s="44">
        <v>57.02</v>
      </c>
      <c r="I28" s="92">
        <f t="shared" si="0"/>
        <v>1425.5</v>
      </c>
      <c r="J28" s="89"/>
      <c r="K28" s="93"/>
    </row>
    <row r="29" spans="1:11" x14ac:dyDescent="0.35">
      <c r="A29" s="87">
        <v>16</v>
      </c>
      <c r="B29" s="85" t="s">
        <v>50</v>
      </c>
      <c r="C29" s="86" t="s">
        <v>62</v>
      </c>
      <c r="D29" s="53">
        <v>33</v>
      </c>
      <c r="E29" s="72">
        <v>43377</v>
      </c>
      <c r="F29" s="57">
        <v>43455</v>
      </c>
      <c r="G29" s="87">
        <v>25</v>
      </c>
      <c r="H29" s="44">
        <v>57.02</v>
      </c>
      <c r="I29" s="92">
        <f t="shared" si="0"/>
        <v>1425.5</v>
      </c>
      <c r="J29" s="89"/>
      <c r="K29" s="93"/>
    </row>
    <row r="30" spans="1:11" x14ac:dyDescent="0.35">
      <c r="A30" s="87">
        <v>17</v>
      </c>
      <c r="B30" s="85" t="s">
        <v>43</v>
      </c>
      <c r="C30" s="86" t="s">
        <v>55</v>
      </c>
      <c r="D30" s="53">
        <v>29</v>
      </c>
      <c r="E30" s="72">
        <v>43377</v>
      </c>
      <c r="F30" s="57">
        <v>43455</v>
      </c>
      <c r="G30" s="87">
        <v>25</v>
      </c>
      <c r="H30" s="44">
        <v>51.35</v>
      </c>
      <c r="I30" s="92">
        <f t="shared" si="0"/>
        <v>1283.75</v>
      </c>
      <c r="J30" s="89"/>
      <c r="K30" s="93"/>
    </row>
    <row r="31" spans="1:11" x14ac:dyDescent="0.35">
      <c r="A31" s="87">
        <v>18</v>
      </c>
      <c r="B31" s="85" t="s">
        <v>41</v>
      </c>
      <c r="C31" s="86" t="s">
        <v>53</v>
      </c>
      <c r="D31" s="53">
        <v>35</v>
      </c>
      <c r="E31" s="72">
        <v>43377</v>
      </c>
      <c r="F31" s="57">
        <v>43455</v>
      </c>
      <c r="G31" s="87">
        <v>25</v>
      </c>
      <c r="H31" s="44">
        <v>59.85</v>
      </c>
      <c r="I31" s="92">
        <f t="shared" si="0"/>
        <v>1496.25</v>
      </c>
      <c r="J31" s="89"/>
      <c r="K31" s="93"/>
    </row>
    <row r="32" spans="1:11" x14ac:dyDescent="0.35">
      <c r="A32" s="87">
        <v>19</v>
      </c>
      <c r="B32" s="85" t="s">
        <v>45</v>
      </c>
      <c r="C32" s="86" t="s">
        <v>57</v>
      </c>
      <c r="D32" s="53">
        <v>29</v>
      </c>
      <c r="E32" s="72">
        <v>43377</v>
      </c>
      <c r="F32" s="57">
        <v>43455</v>
      </c>
      <c r="G32" s="87">
        <v>25</v>
      </c>
      <c r="H32" s="44">
        <v>51.35</v>
      </c>
      <c r="I32" s="92">
        <f t="shared" si="0"/>
        <v>1283.75</v>
      </c>
      <c r="J32" s="89"/>
      <c r="K32" s="93"/>
    </row>
    <row r="33" spans="1:11" x14ac:dyDescent="0.35">
      <c r="A33" s="87">
        <v>20</v>
      </c>
      <c r="B33" s="85" t="s">
        <v>46</v>
      </c>
      <c r="C33" s="86" t="s">
        <v>58</v>
      </c>
      <c r="D33" s="53">
        <v>40</v>
      </c>
      <c r="E33" s="72">
        <v>43377</v>
      </c>
      <c r="F33" s="57">
        <v>43455</v>
      </c>
      <c r="G33" s="87">
        <v>25</v>
      </c>
      <c r="H33" s="44">
        <v>66.94</v>
      </c>
      <c r="I33" s="92">
        <f t="shared" si="0"/>
        <v>1673.5</v>
      </c>
      <c r="J33" s="89"/>
      <c r="K33" s="93"/>
    </row>
    <row r="34" spans="1:11" x14ac:dyDescent="0.35">
      <c r="A34" s="87">
        <v>21</v>
      </c>
      <c r="B34" s="85" t="s">
        <v>8</v>
      </c>
      <c r="C34" s="86" t="s">
        <v>9</v>
      </c>
      <c r="D34" s="53">
        <v>722</v>
      </c>
      <c r="E34" s="72">
        <v>42941</v>
      </c>
      <c r="F34" s="57">
        <v>43139</v>
      </c>
      <c r="G34" s="24">
        <v>12</v>
      </c>
      <c r="H34" s="16">
        <v>1222</v>
      </c>
      <c r="I34" s="65">
        <f t="shared" ref="I34:I51" si="1">G34*H34</f>
        <v>14664</v>
      </c>
      <c r="J34" s="57">
        <v>43139</v>
      </c>
      <c r="K34" s="93">
        <v>12</v>
      </c>
    </row>
    <row r="35" spans="1:11" x14ac:dyDescent="0.35">
      <c r="A35" s="87">
        <v>22</v>
      </c>
      <c r="B35" s="85" t="s">
        <v>77</v>
      </c>
      <c r="C35" s="86" t="s">
        <v>78</v>
      </c>
      <c r="D35" s="53">
        <v>1220</v>
      </c>
      <c r="E35" s="72">
        <v>43536</v>
      </c>
      <c r="F35" s="57">
        <v>43556</v>
      </c>
      <c r="G35" s="24">
        <v>10</v>
      </c>
      <c r="H35" s="42">
        <v>1986.3</v>
      </c>
      <c r="I35" s="92">
        <f t="shared" si="1"/>
        <v>19863</v>
      </c>
      <c r="J35" s="57">
        <v>43556</v>
      </c>
      <c r="K35" s="93">
        <v>10</v>
      </c>
    </row>
    <row r="36" spans="1:11" x14ac:dyDescent="0.35">
      <c r="A36" s="87">
        <v>23</v>
      </c>
      <c r="B36" s="85" t="s">
        <v>16</v>
      </c>
      <c r="C36" s="86" t="s">
        <v>17</v>
      </c>
      <c r="D36" s="53">
        <v>919</v>
      </c>
      <c r="E36" s="72">
        <v>42941</v>
      </c>
      <c r="F36" s="57">
        <v>43139</v>
      </c>
      <c r="G36" s="24">
        <v>12</v>
      </c>
      <c r="H36" s="16">
        <v>1517.5</v>
      </c>
      <c r="I36" s="65">
        <f t="shared" si="1"/>
        <v>18210</v>
      </c>
      <c r="J36" s="57">
        <v>43139</v>
      </c>
      <c r="K36" s="93">
        <v>12</v>
      </c>
    </row>
    <row r="37" spans="1:11" x14ac:dyDescent="0.35">
      <c r="A37" s="79">
        <v>24</v>
      </c>
      <c r="B37" s="94" t="s">
        <v>64</v>
      </c>
      <c r="C37" s="95" t="s">
        <v>66</v>
      </c>
      <c r="D37" s="53">
        <v>1280</v>
      </c>
      <c r="E37" s="72">
        <v>43535</v>
      </c>
      <c r="F37" s="57">
        <v>43542</v>
      </c>
      <c r="G37" s="87">
        <v>10</v>
      </c>
      <c r="H37" s="42">
        <v>2375.33</v>
      </c>
      <c r="I37" s="92">
        <f t="shared" si="1"/>
        <v>23753.3</v>
      </c>
      <c r="J37" s="57">
        <v>43501</v>
      </c>
      <c r="K37" s="93">
        <v>25</v>
      </c>
    </row>
    <row r="38" spans="1:11" x14ac:dyDescent="0.35">
      <c r="A38" s="79">
        <v>24</v>
      </c>
      <c r="B38" s="94" t="s">
        <v>64</v>
      </c>
      <c r="C38" s="95" t="s">
        <v>66</v>
      </c>
      <c r="D38" s="53">
        <v>1250</v>
      </c>
      <c r="E38" s="72">
        <v>43251</v>
      </c>
      <c r="F38" s="57">
        <v>43501</v>
      </c>
      <c r="G38" s="87">
        <v>15</v>
      </c>
      <c r="H38" s="42">
        <v>2375.33</v>
      </c>
      <c r="I38" s="92">
        <f t="shared" si="1"/>
        <v>35629.949999999997</v>
      </c>
      <c r="J38" s="57">
        <v>43542</v>
      </c>
      <c r="K38" s="93"/>
    </row>
    <row r="39" spans="1:11" x14ac:dyDescent="0.35">
      <c r="A39" s="80">
        <v>25</v>
      </c>
      <c r="B39" s="82" t="s">
        <v>75</v>
      </c>
      <c r="C39" s="84" t="s">
        <v>76</v>
      </c>
      <c r="D39" s="53">
        <v>860</v>
      </c>
      <c r="E39" s="72">
        <v>43535</v>
      </c>
      <c r="F39" s="57">
        <v>43539</v>
      </c>
      <c r="G39" s="87">
        <v>12</v>
      </c>
      <c r="H39" s="42">
        <v>1382.9</v>
      </c>
      <c r="I39" s="92">
        <f t="shared" si="1"/>
        <v>16594.800000000003</v>
      </c>
      <c r="J39" s="57">
        <v>43539</v>
      </c>
      <c r="K39" s="87">
        <v>12</v>
      </c>
    </row>
    <row r="40" spans="1:11" ht="16.5" customHeight="1" x14ac:dyDescent="0.35">
      <c r="A40" s="87">
        <v>26</v>
      </c>
      <c r="B40" s="85" t="s">
        <v>14</v>
      </c>
      <c r="C40" s="86" t="s">
        <v>15</v>
      </c>
      <c r="D40" s="53">
        <v>525</v>
      </c>
      <c r="E40" s="72">
        <v>42941</v>
      </c>
      <c r="F40" s="57">
        <v>43139</v>
      </c>
      <c r="G40" s="24">
        <v>12</v>
      </c>
      <c r="H40" s="16">
        <v>926.5</v>
      </c>
      <c r="I40" s="65">
        <f t="shared" si="1"/>
        <v>11118</v>
      </c>
      <c r="J40" s="57">
        <v>43139</v>
      </c>
      <c r="K40" s="24">
        <v>12</v>
      </c>
    </row>
    <row r="41" spans="1:11" x14ac:dyDescent="0.35">
      <c r="A41" s="87">
        <v>27</v>
      </c>
      <c r="B41" s="85" t="s">
        <v>12</v>
      </c>
      <c r="C41" s="86" t="s">
        <v>13</v>
      </c>
      <c r="D41" s="53">
        <v>853</v>
      </c>
      <c r="E41" s="72">
        <v>42941</v>
      </c>
      <c r="F41" s="57">
        <v>43139</v>
      </c>
      <c r="G41" s="24">
        <v>12</v>
      </c>
      <c r="H41" s="16">
        <v>1418.5</v>
      </c>
      <c r="I41" s="65">
        <f t="shared" si="1"/>
        <v>17022</v>
      </c>
      <c r="J41" s="57">
        <v>43139</v>
      </c>
      <c r="K41" s="24">
        <v>12</v>
      </c>
    </row>
    <row r="42" spans="1:11" x14ac:dyDescent="0.35">
      <c r="A42" s="87">
        <v>28</v>
      </c>
      <c r="B42" s="96" t="s">
        <v>22</v>
      </c>
      <c r="C42" s="97" t="s">
        <v>23</v>
      </c>
      <c r="D42" s="53">
        <v>656</v>
      </c>
      <c r="E42" s="72">
        <v>42941</v>
      </c>
      <c r="F42" s="57">
        <v>43269</v>
      </c>
      <c r="G42" s="24">
        <v>1</v>
      </c>
      <c r="H42" s="16">
        <v>1123</v>
      </c>
      <c r="I42" s="65">
        <f t="shared" si="1"/>
        <v>1123</v>
      </c>
      <c r="J42" s="57">
        <v>43245</v>
      </c>
      <c r="K42" s="24">
        <v>12</v>
      </c>
    </row>
    <row r="43" spans="1:11" x14ac:dyDescent="0.35">
      <c r="A43" s="87">
        <v>28</v>
      </c>
      <c r="B43" s="96" t="s">
        <v>22</v>
      </c>
      <c r="C43" s="97" t="s">
        <v>23</v>
      </c>
      <c r="D43" s="53">
        <v>656</v>
      </c>
      <c r="E43" s="72">
        <v>42941</v>
      </c>
      <c r="F43" s="57">
        <v>43245</v>
      </c>
      <c r="G43" s="24">
        <v>11</v>
      </c>
      <c r="H43" s="16">
        <v>1123</v>
      </c>
      <c r="I43" s="65">
        <f t="shared" si="1"/>
        <v>12353</v>
      </c>
      <c r="J43" s="89"/>
      <c r="K43" s="93"/>
    </row>
    <row r="44" spans="1:11" ht="14.5" customHeight="1" x14ac:dyDescent="0.35">
      <c r="A44" s="87">
        <v>29</v>
      </c>
      <c r="B44" s="96" t="s">
        <v>26</v>
      </c>
      <c r="C44" s="97" t="s">
        <v>27</v>
      </c>
      <c r="D44" s="53">
        <v>1178</v>
      </c>
      <c r="E44" s="62">
        <v>42941</v>
      </c>
      <c r="F44" s="57">
        <v>43223</v>
      </c>
      <c r="G44" s="24">
        <v>9</v>
      </c>
      <c r="H44" s="16">
        <v>1920.66</v>
      </c>
      <c r="I44" s="65">
        <f t="shared" si="1"/>
        <v>17285.940000000002</v>
      </c>
      <c r="J44" s="57">
        <v>43146</v>
      </c>
      <c r="K44" s="93">
        <v>12</v>
      </c>
    </row>
    <row r="45" spans="1:11" ht="29" customHeight="1" x14ac:dyDescent="0.35">
      <c r="A45" s="87">
        <v>29</v>
      </c>
      <c r="B45" s="96" t="s">
        <v>26</v>
      </c>
      <c r="C45" s="97" t="s">
        <v>27</v>
      </c>
      <c r="D45" s="53">
        <v>1178</v>
      </c>
      <c r="E45" s="62">
        <v>42941</v>
      </c>
      <c r="F45" s="57">
        <v>43146</v>
      </c>
      <c r="G45" s="24">
        <v>3</v>
      </c>
      <c r="H45" s="16">
        <v>1920.66</v>
      </c>
      <c r="I45" s="65">
        <f t="shared" si="1"/>
        <v>5761.9800000000005</v>
      </c>
      <c r="J45" s="89"/>
      <c r="K45" s="93"/>
    </row>
    <row r="46" spans="1:11" x14ac:dyDescent="0.35">
      <c r="A46" s="87">
        <v>30</v>
      </c>
      <c r="B46" s="85" t="s">
        <v>18</v>
      </c>
      <c r="C46" s="86" t="s">
        <v>19</v>
      </c>
      <c r="D46" s="53">
        <v>1077</v>
      </c>
      <c r="E46" s="72">
        <v>42941</v>
      </c>
      <c r="F46" s="57">
        <v>43145</v>
      </c>
      <c r="G46" s="24">
        <v>12</v>
      </c>
      <c r="H46" s="16">
        <v>1772.19</v>
      </c>
      <c r="I46" s="65">
        <f t="shared" si="1"/>
        <v>21266.28</v>
      </c>
      <c r="J46" s="57">
        <v>43145</v>
      </c>
      <c r="K46" s="24">
        <v>12</v>
      </c>
    </row>
    <row r="47" spans="1:11" x14ac:dyDescent="0.35">
      <c r="A47" s="79">
        <v>31</v>
      </c>
      <c r="B47" s="94" t="s">
        <v>20</v>
      </c>
      <c r="C47" s="95" t="s">
        <v>21</v>
      </c>
      <c r="D47" s="53">
        <v>984</v>
      </c>
      <c r="E47" s="72">
        <v>42941</v>
      </c>
      <c r="F47" s="57">
        <v>43147</v>
      </c>
      <c r="G47" s="24">
        <v>3</v>
      </c>
      <c r="H47" s="16">
        <v>1615</v>
      </c>
      <c r="I47" s="65">
        <f t="shared" si="1"/>
        <v>4845</v>
      </c>
      <c r="J47" s="57">
        <v>43147</v>
      </c>
      <c r="K47" s="93">
        <v>8</v>
      </c>
    </row>
    <row r="48" spans="1:11" x14ac:dyDescent="0.35">
      <c r="A48" s="79">
        <v>31</v>
      </c>
      <c r="B48" s="94" t="s">
        <v>20</v>
      </c>
      <c r="C48" s="95" t="s">
        <v>21</v>
      </c>
      <c r="D48" s="53">
        <v>1009</v>
      </c>
      <c r="E48" s="72">
        <v>43588</v>
      </c>
      <c r="F48" s="57"/>
      <c r="G48" s="87">
        <v>5</v>
      </c>
      <c r="H48" s="42">
        <v>1890.93</v>
      </c>
      <c r="I48" s="92">
        <f t="shared" si="1"/>
        <v>9454.65</v>
      </c>
      <c r="J48" s="89"/>
      <c r="K48" s="93"/>
    </row>
    <row r="49" spans="1:11" x14ac:dyDescent="0.35">
      <c r="A49" s="79">
        <v>32</v>
      </c>
      <c r="B49" s="94" t="s">
        <v>65</v>
      </c>
      <c r="C49" s="95" t="s">
        <v>67</v>
      </c>
      <c r="D49" s="53">
        <v>1170</v>
      </c>
      <c r="E49" s="72">
        <v>43535</v>
      </c>
      <c r="F49" s="57">
        <v>43542</v>
      </c>
      <c r="G49" s="87">
        <v>10</v>
      </c>
      <c r="H49" s="42">
        <v>2240.09</v>
      </c>
      <c r="I49" s="92">
        <f t="shared" si="1"/>
        <v>22400.9</v>
      </c>
      <c r="J49" s="57">
        <v>43501</v>
      </c>
      <c r="K49" s="93">
        <v>25</v>
      </c>
    </row>
    <row r="50" spans="1:11" x14ac:dyDescent="0.35">
      <c r="A50" s="79">
        <v>32</v>
      </c>
      <c r="B50" s="94" t="s">
        <v>65</v>
      </c>
      <c r="C50" s="95" t="s">
        <v>67</v>
      </c>
      <c r="D50" s="54">
        <v>1170</v>
      </c>
      <c r="E50" s="73">
        <v>43251</v>
      </c>
      <c r="F50" s="56">
        <v>43501</v>
      </c>
      <c r="G50" s="79">
        <v>15</v>
      </c>
      <c r="H50" s="40">
        <v>2240.09</v>
      </c>
      <c r="I50" s="92">
        <f t="shared" si="1"/>
        <v>33601.350000000006</v>
      </c>
      <c r="J50" s="89"/>
      <c r="K50" s="93"/>
    </row>
    <row r="51" spans="1:11" x14ac:dyDescent="0.35">
      <c r="A51" s="79">
        <v>33</v>
      </c>
      <c r="B51" s="81" t="s">
        <v>69</v>
      </c>
      <c r="C51" s="83" t="s">
        <v>70</v>
      </c>
      <c r="D51" s="54">
        <v>340</v>
      </c>
      <c r="E51" s="73" t="s">
        <v>86</v>
      </c>
      <c r="F51" s="56">
        <v>41870</v>
      </c>
      <c r="G51" s="79">
        <v>10</v>
      </c>
      <c r="H51" s="40">
        <v>634.6</v>
      </c>
      <c r="I51" s="91">
        <f t="shared" si="1"/>
        <v>6346</v>
      </c>
      <c r="J51" s="89"/>
      <c r="K51" s="93"/>
    </row>
  </sheetData>
  <autoFilter ref="A1:I1" xr:uid="{9B737342-D517-4C7A-945C-BB56408E30B1}">
    <sortState xmlns:xlrd2="http://schemas.microsoft.com/office/spreadsheetml/2017/richdata2" ref="A2:I51">
      <sortCondition ref="A1"/>
    </sortState>
  </autoFilter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1602-BDCD-44C9-BFE9-FA43E780C5F7}">
  <sheetPr>
    <pageSetUpPr fitToPage="1"/>
  </sheetPr>
  <dimension ref="A1:Y80"/>
  <sheetViews>
    <sheetView tabSelected="1" view="pageBreakPreview" zoomScale="60" zoomScaleNormal="85" workbookViewId="0">
      <pane ySplit="4" topLeftCell="A5" activePane="bottomLeft" state="frozen"/>
      <selection pane="bottomLeft" activeCell="P56" sqref="P56"/>
    </sheetView>
  </sheetViews>
  <sheetFormatPr defaultRowHeight="14.5" x14ac:dyDescent="0.35"/>
  <cols>
    <col min="2" max="2" width="40.54296875" customWidth="1"/>
    <col min="3" max="3" width="23.6328125" customWidth="1"/>
    <col min="4" max="7" width="8.7265625" customWidth="1"/>
    <col min="8" max="8" width="8.7265625" hidden="1" customWidth="1"/>
    <col min="9" max="9" width="13.1796875" hidden="1" customWidth="1"/>
    <col min="10" max="10" width="12" style="90" hidden="1" customWidth="1"/>
    <col min="11" max="13" width="8.7265625" hidden="1" customWidth="1"/>
    <col min="14" max="15" width="8.7265625" customWidth="1"/>
    <col min="16" max="16" width="14.54296875" customWidth="1"/>
    <col min="17" max="17" width="11.6328125" style="176" bestFit="1" customWidth="1"/>
    <col min="18" max="18" width="15.26953125" customWidth="1"/>
    <col min="19" max="19" width="11.6328125" style="176" bestFit="1" customWidth="1"/>
    <col min="20" max="20" width="12.36328125" customWidth="1"/>
    <col min="21" max="21" width="11.81640625" customWidth="1"/>
    <col min="22" max="22" width="17.81640625" customWidth="1"/>
    <col min="23" max="23" width="67.26953125" customWidth="1"/>
    <col min="24" max="24" width="91" customWidth="1"/>
  </cols>
  <sheetData>
    <row r="1" spans="1:24" ht="43" customHeight="1" x14ac:dyDescent="0.5">
      <c r="A1" s="189" t="s">
        <v>172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</row>
    <row r="3" spans="1:24" ht="14.5" customHeight="1" x14ac:dyDescent="0.35">
      <c r="A3" s="148" t="s">
        <v>145</v>
      </c>
      <c r="B3" s="148"/>
      <c r="C3" s="152" t="s">
        <v>178</v>
      </c>
      <c r="D3" s="148" t="s">
        <v>167</v>
      </c>
      <c r="E3" s="148"/>
      <c r="F3" s="148"/>
      <c r="G3" s="148"/>
      <c r="H3" s="148" t="s">
        <v>153</v>
      </c>
      <c r="I3" s="148"/>
      <c r="J3" s="148"/>
      <c r="K3" s="148"/>
      <c r="L3" s="148" t="s">
        <v>164</v>
      </c>
      <c r="M3" s="148"/>
      <c r="N3" s="200" t="s">
        <v>166</v>
      </c>
      <c r="O3" s="200"/>
      <c r="P3" s="152" t="s">
        <v>222</v>
      </c>
      <c r="Q3" s="177" t="s">
        <v>84</v>
      </c>
      <c r="R3" s="152" t="s">
        <v>179</v>
      </c>
      <c r="S3" s="177" t="s">
        <v>84</v>
      </c>
      <c r="T3" s="173" t="s">
        <v>182</v>
      </c>
      <c r="U3" s="173" t="s">
        <v>183</v>
      </c>
      <c r="V3" s="210" t="s">
        <v>218</v>
      </c>
      <c r="W3" s="173" t="s">
        <v>195</v>
      </c>
      <c r="X3" s="153" t="s">
        <v>168</v>
      </c>
    </row>
    <row r="4" spans="1:24" x14ac:dyDescent="0.35">
      <c r="A4" s="148"/>
      <c r="B4" s="148"/>
      <c r="C4" s="152"/>
      <c r="D4" s="100" t="s">
        <v>156</v>
      </c>
      <c r="E4" s="100" t="s">
        <v>157</v>
      </c>
      <c r="F4" s="100" t="s">
        <v>158</v>
      </c>
      <c r="G4" s="100" t="s">
        <v>159</v>
      </c>
      <c r="H4" s="100" t="s">
        <v>146</v>
      </c>
      <c r="I4" s="100" t="s">
        <v>147</v>
      </c>
      <c r="J4" s="100" t="s">
        <v>148</v>
      </c>
      <c r="K4" s="100" t="s">
        <v>150</v>
      </c>
      <c r="L4" s="100" t="s">
        <v>163</v>
      </c>
      <c r="M4" s="154" t="s">
        <v>154</v>
      </c>
      <c r="N4" s="201" t="s">
        <v>165</v>
      </c>
      <c r="O4" s="202" t="s">
        <v>146</v>
      </c>
      <c r="P4" s="152"/>
      <c r="Q4" s="178"/>
      <c r="R4" s="152"/>
      <c r="S4" s="178"/>
      <c r="T4" s="174"/>
      <c r="U4" s="174"/>
      <c r="V4" s="211"/>
      <c r="W4" s="174"/>
      <c r="X4" s="153"/>
    </row>
    <row r="5" spans="1:24" x14ac:dyDescent="0.35">
      <c r="A5" s="149" t="s">
        <v>87</v>
      </c>
      <c r="B5" s="149"/>
      <c r="C5" s="150" t="s">
        <v>196</v>
      </c>
      <c r="D5" s="99">
        <v>38</v>
      </c>
      <c r="E5" s="99">
        <v>41</v>
      </c>
      <c r="F5" s="99" t="s">
        <v>155</v>
      </c>
      <c r="G5" s="99">
        <v>79</v>
      </c>
      <c r="H5" s="93"/>
      <c r="I5" s="150"/>
      <c r="J5" s="93"/>
      <c r="K5" s="155">
        <f t="shared" ref="K5:K66" si="0">(J5-I5)/365</f>
        <v>0</v>
      </c>
      <c r="L5" s="156"/>
      <c r="M5" s="93">
        <v>2</v>
      </c>
      <c r="N5" s="203"/>
      <c r="O5" s="203">
        <f>N5*5</f>
        <v>0</v>
      </c>
      <c r="P5" s="168"/>
      <c r="Q5" s="184"/>
      <c r="R5" s="168"/>
      <c r="S5" s="179"/>
      <c r="T5" s="168">
        <f t="shared" ref="T5:T65" si="1">IF(R5&gt;0, IF(P5&gt;0, IF(SUM(R5,-P5)= 0,  "NC", SUM(R5,-P5)), 0),0)</f>
        <v>0</v>
      </c>
      <c r="U5" s="191" t="str">
        <f>IF(Q5&gt;0, IF(S5&gt;0, MROUND((S5-Q5)/30.4, 1) &amp; " months", "NA"), "NA")</f>
        <v>NA</v>
      </c>
      <c r="V5" s="212">
        <f>SUM(V7,V10:V21,V24:V26)</f>
        <v>18702.239999999998</v>
      </c>
      <c r="W5" s="191"/>
      <c r="X5" s="89"/>
    </row>
    <row r="6" spans="1:24" x14ac:dyDescent="0.35">
      <c r="A6" s="149" t="s">
        <v>88</v>
      </c>
      <c r="B6" s="149"/>
      <c r="C6" s="150" t="s">
        <v>216</v>
      </c>
      <c r="D6" s="99">
        <v>38</v>
      </c>
      <c r="E6" s="99" t="s">
        <v>155</v>
      </c>
      <c r="F6" s="99">
        <v>41</v>
      </c>
      <c r="G6" s="99">
        <v>79</v>
      </c>
      <c r="H6" s="93"/>
      <c r="I6" s="150"/>
      <c r="J6" s="93"/>
      <c r="K6" s="155">
        <f t="shared" si="0"/>
        <v>0</v>
      </c>
      <c r="L6" s="156"/>
      <c r="M6" s="93">
        <v>5</v>
      </c>
      <c r="N6" s="203"/>
      <c r="O6" s="203">
        <f t="shared" ref="O6:O61" si="2">N6*5</f>
        <v>0</v>
      </c>
      <c r="P6" s="168"/>
      <c r="Q6" s="184"/>
      <c r="R6" s="168"/>
      <c r="S6" s="179"/>
      <c r="T6" s="168">
        <f t="shared" si="1"/>
        <v>0</v>
      </c>
      <c r="U6" s="191" t="str">
        <f t="shared" ref="U6:U65" si="3">IF(Q6&gt;0, IF(S6&gt;0, MROUND((S6-Q6)/30.4, 1) &amp; " months", "NA"), "NA")</f>
        <v>NA</v>
      </c>
      <c r="V6" s="212">
        <f>SUM(V7,V10:V11,V18:V21,V24:V27)</f>
        <v>12958.04</v>
      </c>
      <c r="W6" s="191"/>
      <c r="X6" s="89"/>
    </row>
    <row r="7" spans="1:24" ht="28" x14ac:dyDescent="0.35">
      <c r="A7" s="150"/>
      <c r="B7" s="150" t="s">
        <v>152</v>
      </c>
      <c r="C7" s="150" t="s">
        <v>199</v>
      </c>
      <c r="D7" s="99">
        <v>76</v>
      </c>
      <c r="E7" s="99">
        <v>41</v>
      </c>
      <c r="F7" s="99">
        <v>41</v>
      </c>
      <c r="G7" s="99">
        <v>158</v>
      </c>
      <c r="H7" s="93"/>
      <c r="I7" s="150"/>
      <c r="J7" s="93"/>
      <c r="K7" s="155">
        <f t="shared" si="0"/>
        <v>0</v>
      </c>
      <c r="L7" s="156"/>
      <c r="M7" s="93"/>
      <c r="N7" s="203"/>
      <c r="O7" s="203">
        <f t="shared" si="2"/>
        <v>0</v>
      </c>
      <c r="P7" s="168"/>
      <c r="Q7" s="184"/>
      <c r="R7" s="168"/>
      <c r="S7" s="179"/>
      <c r="T7" s="168">
        <f t="shared" si="1"/>
        <v>0</v>
      </c>
      <c r="U7" s="191" t="str">
        <f t="shared" si="3"/>
        <v>NA</v>
      </c>
      <c r="V7" s="212">
        <f>R8+P9</f>
        <v>2580</v>
      </c>
      <c r="W7" s="191"/>
      <c r="X7" s="89"/>
    </row>
    <row r="8" spans="1:24" x14ac:dyDescent="0.35">
      <c r="A8" s="150"/>
      <c r="B8" s="150" t="s">
        <v>181</v>
      </c>
      <c r="C8" s="150" t="s">
        <v>198</v>
      </c>
      <c r="D8" s="99"/>
      <c r="E8" s="99"/>
      <c r="F8" s="99"/>
      <c r="G8" s="99"/>
      <c r="H8" s="93"/>
      <c r="I8" s="150"/>
      <c r="J8" s="93"/>
      <c r="K8" s="155"/>
      <c r="L8" s="156"/>
      <c r="M8" s="93"/>
      <c r="N8" s="203"/>
      <c r="O8" s="203"/>
      <c r="P8" s="168">
        <v>1560</v>
      </c>
      <c r="Q8" s="179">
        <v>43251</v>
      </c>
      <c r="R8" s="168">
        <v>1800</v>
      </c>
      <c r="S8" s="179">
        <v>43627</v>
      </c>
      <c r="T8" s="168">
        <f t="shared" si="1"/>
        <v>240</v>
      </c>
      <c r="U8" s="191" t="str">
        <f t="shared" si="3"/>
        <v>12 months</v>
      </c>
      <c r="V8" s="212">
        <f>R8</f>
        <v>1800</v>
      </c>
      <c r="W8" s="191"/>
      <c r="X8" s="89"/>
    </row>
    <row r="9" spans="1:24" x14ac:dyDescent="0.35">
      <c r="A9" s="150"/>
      <c r="B9" s="150" t="s">
        <v>180</v>
      </c>
      <c r="C9" s="150" t="s">
        <v>197</v>
      </c>
      <c r="D9" s="99"/>
      <c r="E9" s="99"/>
      <c r="F9" s="99"/>
      <c r="G9" s="99"/>
      <c r="H9" s="93"/>
      <c r="I9" s="150"/>
      <c r="J9" s="93"/>
      <c r="K9" s="155"/>
      <c r="L9" s="156"/>
      <c r="M9" s="93"/>
      <c r="N9" s="203"/>
      <c r="O9" s="203"/>
      <c r="P9" s="168">
        <v>780</v>
      </c>
      <c r="Q9" s="179">
        <v>43251</v>
      </c>
      <c r="R9" s="168"/>
      <c r="S9" s="179"/>
      <c r="T9" s="168">
        <f t="shared" si="1"/>
        <v>0</v>
      </c>
      <c r="U9" s="191" t="str">
        <f t="shared" si="3"/>
        <v>NA</v>
      </c>
      <c r="V9" s="212">
        <f>P9</f>
        <v>780</v>
      </c>
      <c r="W9" s="191"/>
      <c r="X9" s="89"/>
    </row>
    <row r="10" spans="1:24" x14ac:dyDescent="0.35">
      <c r="A10" s="151"/>
      <c r="B10" s="151" t="s">
        <v>89</v>
      </c>
      <c r="C10" s="195" t="s">
        <v>18</v>
      </c>
      <c r="D10" s="145">
        <v>76</v>
      </c>
      <c r="E10" s="145">
        <v>41</v>
      </c>
      <c r="F10" s="145">
        <v>41</v>
      </c>
      <c r="G10" s="145">
        <v>158</v>
      </c>
      <c r="H10" s="147">
        <v>12</v>
      </c>
      <c r="I10" s="146">
        <v>43145</v>
      </c>
      <c r="J10" s="146">
        <v>43145</v>
      </c>
      <c r="K10" s="157">
        <f t="shared" si="0"/>
        <v>0</v>
      </c>
      <c r="L10" s="158"/>
      <c r="M10" s="147">
        <v>5</v>
      </c>
      <c r="N10" s="203">
        <v>2</v>
      </c>
      <c r="O10" s="203">
        <f t="shared" si="2"/>
        <v>10</v>
      </c>
      <c r="P10" s="223">
        <f>1668894/1100</f>
        <v>1517.1763636363637</v>
      </c>
      <c r="Q10" s="219">
        <v>42971</v>
      </c>
      <c r="R10" s="169">
        <v>1292.4000000000001</v>
      </c>
      <c r="S10" s="179">
        <v>43627</v>
      </c>
      <c r="T10" s="168">
        <f t="shared" si="1"/>
        <v>-224.77636363636361</v>
      </c>
      <c r="U10" s="191" t="str">
        <f t="shared" si="3"/>
        <v>22 months</v>
      </c>
      <c r="V10" s="212">
        <f>P10</f>
        <v>1517.1763636363637</v>
      </c>
      <c r="W10" s="215" t="s">
        <v>225</v>
      </c>
      <c r="X10" s="89"/>
    </row>
    <row r="11" spans="1:24" x14ac:dyDescent="0.35">
      <c r="A11" s="151"/>
      <c r="B11" s="151" t="s">
        <v>90</v>
      </c>
      <c r="C11" s="195" t="s">
        <v>8</v>
      </c>
      <c r="D11" s="145">
        <v>76</v>
      </c>
      <c r="E11" s="145">
        <v>41</v>
      </c>
      <c r="F11" s="145">
        <v>41</v>
      </c>
      <c r="G11" s="145">
        <v>158</v>
      </c>
      <c r="H11" s="147">
        <v>12</v>
      </c>
      <c r="I11" s="146">
        <v>43139</v>
      </c>
      <c r="J11" s="146">
        <v>43139</v>
      </c>
      <c r="K11" s="157">
        <f t="shared" si="0"/>
        <v>0</v>
      </c>
      <c r="L11" s="158"/>
      <c r="M11" s="147">
        <v>1</v>
      </c>
      <c r="N11" s="203">
        <v>2</v>
      </c>
      <c r="O11" s="203">
        <f t="shared" si="2"/>
        <v>10</v>
      </c>
      <c r="P11" s="175">
        <v>722</v>
      </c>
      <c r="Q11" s="185">
        <v>42941</v>
      </c>
      <c r="R11" s="169">
        <v>866.4</v>
      </c>
      <c r="S11" s="179">
        <v>43627</v>
      </c>
      <c r="T11" s="168">
        <f t="shared" si="1"/>
        <v>144.39999999999998</v>
      </c>
      <c r="U11" s="191" t="str">
        <f t="shared" si="3"/>
        <v>23 months</v>
      </c>
      <c r="V11" s="212">
        <f>R11</f>
        <v>866.4</v>
      </c>
      <c r="W11" s="191"/>
      <c r="X11" s="89"/>
    </row>
    <row r="12" spans="1:24" x14ac:dyDescent="0.35">
      <c r="A12" s="151"/>
      <c r="B12" s="151" t="s">
        <v>91</v>
      </c>
      <c r="C12" s="151" t="s">
        <v>189</v>
      </c>
      <c r="D12" s="145">
        <v>38</v>
      </c>
      <c r="E12" s="145">
        <v>41</v>
      </c>
      <c r="F12" s="145" t="s">
        <v>155</v>
      </c>
      <c r="G12" s="145">
        <v>79</v>
      </c>
      <c r="H12" s="147"/>
      <c r="I12" s="151"/>
      <c r="J12" s="147"/>
      <c r="K12" s="157">
        <f t="shared" si="0"/>
        <v>0</v>
      </c>
      <c r="L12" s="158"/>
      <c r="M12" s="147">
        <v>4</v>
      </c>
      <c r="N12" s="203">
        <v>2</v>
      </c>
      <c r="O12" s="203">
        <f t="shared" si="2"/>
        <v>10</v>
      </c>
      <c r="P12" s="169"/>
      <c r="Q12" s="186"/>
      <c r="R12" s="169">
        <v>720</v>
      </c>
      <c r="S12" s="179">
        <v>43627</v>
      </c>
      <c r="T12" s="168">
        <f t="shared" si="1"/>
        <v>0</v>
      </c>
      <c r="U12" s="191" t="str">
        <f t="shared" si="3"/>
        <v>NA</v>
      </c>
      <c r="V12" s="212">
        <f>R12</f>
        <v>720</v>
      </c>
      <c r="W12" s="191"/>
      <c r="X12" s="89"/>
    </row>
    <row r="13" spans="1:24" x14ac:dyDescent="0.35">
      <c r="A13" s="151"/>
      <c r="B13" s="151" t="s">
        <v>92</v>
      </c>
      <c r="C13" s="196" t="s">
        <v>22</v>
      </c>
      <c r="D13" s="145">
        <v>38</v>
      </c>
      <c r="E13" s="145">
        <v>41</v>
      </c>
      <c r="F13" s="145" t="s">
        <v>155</v>
      </c>
      <c r="G13" s="145">
        <v>79</v>
      </c>
      <c r="H13" s="147">
        <v>12</v>
      </c>
      <c r="I13" s="146">
        <v>43245</v>
      </c>
      <c r="J13" s="146">
        <v>43269</v>
      </c>
      <c r="K13" s="157">
        <f t="shared" si="0"/>
        <v>6.575342465753424E-2</v>
      </c>
      <c r="L13" s="158"/>
      <c r="M13" s="147">
        <v>5</v>
      </c>
      <c r="N13" s="203">
        <v>2</v>
      </c>
      <c r="O13" s="203">
        <f t="shared" si="2"/>
        <v>10</v>
      </c>
      <c r="P13" s="175">
        <v>656</v>
      </c>
      <c r="Q13" s="185">
        <v>42941</v>
      </c>
      <c r="R13" s="169">
        <v>787.2</v>
      </c>
      <c r="S13" s="179">
        <v>43627</v>
      </c>
      <c r="T13" s="168">
        <f t="shared" si="1"/>
        <v>131.20000000000005</v>
      </c>
      <c r="U13" s="191" t="str">
        <f t="shared" si="3"/>
        <v>23 months</v>
      </c>
      <c r="V13" s="212">
        <f>R13</f>
        <v>787.2</v>
      </c>
      <c r="W13" s="191"/>
      <c r="X13" s="89"/>
    </row>
    <row r="14" spans="1:24" x14ac:dyDescent="0.35">
      <c r="A14" s="151"/>
      <c r="B14" s="151" t="s">
        <v>93</v>
      </c>
      <c r="C14" s="197" t="s">
        <v>20</v>
      </c>
      <c r="D14" s="145">
        <v>38</v>
      </c>
      <c r="E14" s="145">
        <v>41</v>
      </c>
      <c r="F14" s="145" t="s">
        <v>155</v>
      </c>
      <c r="G14" s="145">
        <v>79</v>
      </c>
      <c r="H14" s="147">
        <v>8</v>
      </c>
      <c r="I14" s="146">
        <v>43147</v>
      </c>
      <c r="J14" s="146">
        <v>43588</v>
      </c>
      <c r="K14" s="157">
        <f t="shared" si="0"/>
        <v>1.2082191780821918</v>
      </c>
      <c r="L14" s="158"/>
      <c r="M14" s="147">
        <v>1</v>
      </c>
      <c r="N14" s="203">
        <v>2</v>
      </c>
      <c r="O14" s="203">
        <f t="shared" si="2"/>
        <v>10</v>
      </c>
      <c r="P14" s="175">
        <v>1009</v>
      </c>
      <c r="Q14" s="185">
        <v>43588</v>
      </c>
      <c r="R14" s="169">
        <v>1200</v>
      </c>
      <c r="S14" s="179">
        <v>43627</v>
      </c>
      <c r="T14" s="168">
        <f t="shared" si="1"/>
        <v>191</v>
      </c>
      <c r="U14" s="191" t="str">
        <f t="shared" si="3"/>
        <v>1 months</v>
      </c>
      <c r="V14" s="212">
        <f>R14</f>
        <v>1200</v>
      </c>
      <c r="W14" s="191"/>
      <c r="X14" s="89"/>
    </row>
    <row r="15" spans="1:24" x14ac:dyDescent="0.35">
      <c r="A15" s="151"/>
      <c r="B15" s="151" t="s">
        <v>94</v>
      </c>
      <c r="C15" s="195" t="s">
        <v>12</v>
      </c>
      <c r="D15" s="145">
        <v>38</v>
      </c>
      <c r="E15" s="145">
        <v>41</v>
      </c>
      <c r="F15" s="145" t="s">
        <v>155</v>
      </c>
      <c r="G15" s="145">
        <v>79</v>
      </c>
      <c r="H15" s="147">
        <v>12</v>
      </c>
      <c r="I15" s="146">
        <v>43139</v>
      </c>
      <c r="J15" s="146">
        <v>43139</v>
      </c>
      <c r="K15" s="157">
        <f t="shared" si="0"/>
        <v>0</v>
      </c>
      <c r="L15" s="158"/>
      <c r="M15" s="147">
        <v>1</v>
      </c>
      <c r="N15" s="203">
        <v>2</v>
      </c>
      <c r="O15" s="203">
        <f t="shared" si="2"/>
        <v>10</v>
      </c>
      <c r="P15" s="175">
        <v>853</v>
      </c>
      <c r="Q15" s="185">
        <v>42941</v>
      </c>
      <c r="R15" s="169">
        <v>853</v>
      </c>
      <c r="S15" s="179">
        <v>43627</v>
      </c>
      <c r="T15" s="168" t="str">
        <f t="shared" si="1"/>
        <v>NC</v>
      </c>
      <c r="U15" s="191" t="str">
        <f t="shared" si="3"/>
        <v>23 months</v>
      </c>
      <c r="V15" s="212">
        <f>R15</f>
        <v>853</v>
      </c>
      <c r="W15" s="191"/>
      <c r="X15" s="89"/>
    </row>
    <row r="16" spans="1:24" ht="29" x14ac:dyDescent="0.35">
      <c r="A16" s="151"/>
      <c r="B16" s="151" t="s">
        <v>224</v>
      </c>
      <c r="C16" s="195" t="s">
        <v>215</v>
      </c>
      <c r="D16" s="145">
        <v>38</v>
      </c>
      <c r="E16" s="145">
        <v>41</v>
      </c>
      <c r="F16" s="145" t="s">
        <v>155</v>
      </c>
      <c r="G16" s="145">
        <v>79</v>
      </c>
      <c r="H16" s="147">
        <v>12</v>
      </c>
      <c r="I16" s="146">
        <v>43139</v>
      </c>
      <c r="J16" s="146">
        <v>43139</v>
      </c>
      <c r="K16" s="157">
        <f t="shared" si="0"/>
        <v>0</v>
      </c>
      <c r="L16" s="158"/>
      <c r="M16" s="147">
        <v>3</v>
      </c>
      <c r="N16" s="203">
        <v>5</v>
      </c>
      <c r="O16" s="203">
        <f t="shared" si="2"/>
        <v>25</v>
      </c>
      <c r="P16" s="218">
        <v>896</v>
      </c>
      <c r="Q16" s="219">
        <v>43214</v>
      </c>
      <c r="R16" s="169">
        <v>564</v>
      </c>
      <c r="S16" s="179">
        <v>43627</v>
      </c>
      <c r="T16" s="168">
        <f t="shared" si="1"/>
        <v>-332</v>
      </c>
      <c r="U16" s="191" t="str">
        <f t="shared" si="3"/>
        <v>14 months</v>
      </c>
      <c r="V16" s="212">
        <f>R16</f>
        <v>564</v>
      </c>
      <c r="W16" s="216" t="s">
        <v>227</v>
      </c>
      <c r="X16" s="159" t="s">
        <v>170</v>
      </c>
    </row>
    <row r="17" spans="1:24" x14ac:dyDescent="0.35">
      <c r="A17" s="151"/>
      <c r="B17" s="151" t="s">
        <v>223</v>
      </c>
      <c r="C17" s="151" t="s">
        <v>214</v>
      </c>
      <c r="D17" s="145">
        <v>38</v>
      </c>
      <c r="E17" s="145">
        <v>41</v>
      </c>
      <c r="F17" s="145" t="s">
        <v>155</v>
      </c>
      <c r="G17" s="145">
        <v>79</v>
      </c>
      <c r="H17" s="147"/>
      <c r="I17" s="151"/>
      <c r="J17" s="147"/>
      <c r="K17" s="157">
        <f t="shared" si="0"/>
        <v>0</v>
      </c>
      <c r="L17" s="158"/>
      <c r="M17" s="147">
        <v>7</v>
      </c>
      <c r="N17" s="203">
        <v>5</v>
      </c>
      <c r="O17" s="203">
        <f t="shared" si="2"/>
        <v>25</v>
      </c>
      <c r="P17" s="220">
        <v>2493</v>
      </c>
      <c r="Q17" s="221">
        <v>43214</v>
      </c>
      <c r="R17" s="169">
        <v>1680</v>
      </c>
      <c r="S17" s="179">
        <v>43627</v>
      </c>
      <c r="T17" s="168">
        <f t="shared" si="1"/>
        <v>-813</v>
      </c>
      <c r="U17" s="191" t="str">
        <f t="shared" si="3"/>
        <v>14 months</v>
      </c>
      <c r="V17" s="212">
        <f>R17</f>
        <v>1680</v>
      </c>
      <c r="W17" s="217" t="s">
        <v>226</v>
      </c>
      <c r="X17" s="159"/>
    </row>
    <row r="18" spans="1:24" x14ac:dyDescent="0.35">
      <c r="A18" s="151"/>
      <c r="B18" s="151" t="s">
        <v>95</v>
      </c>
      <c r="C18" s="195" t="s">
        <v>77</v>
      </c>
      <c r="D18" s="145">
        <v>76</v>
      </c>
      <c r="E18" s="145">
        <v>41</v>
      </c>
      <c r="F18" s="145">
        <v>41</v>
      </c>
      <c r="G18" s="145">
        <v>158</v>
      </c>
      <c r="H18" s="147">
        <v>10</v>
      </c>
      <c r="I18" s="146">
        <v>43556</v>
      </c>
      <c r="J18" s="146">
        <v>43556</v>
      </c>
      <c r="K18" s="157">
        <f t="shared" si="0"/>
        <v>0</v>
      </c>
      <c r="L18" s="158"/>
      <c r="M18" s="147">
        <v>6</v>
      </c>
      <c r="N18" s="203">
        <v>3</v>
      </c>
      <c r="O18" s="203">
        <v>15</v>
      </c>
      <c r="P18" s="175">
        <v>1220</v>
      </c>
      <c r="Q18" s="185">
        <v>43536</v>
      </c>
      <c r="R18" s="169">
        <v>1220</v>
      </c>
      <c r="S18" s="179">
        <v>43627</v>
      </c>
      <c r="T18" s="168" t="str">
        <f>IF(R18&gt;0, IF(P18&gt;0, IF(SUM(R18,-P18)= 0,  "NC", SUM(R18,-P18)), 0),0)</f>
        <v>NC</v>
      </c>
      <c r="U18" s="191" t="str">
        <f t="shared" si="3"/>
        <v>3 months</v>
      </c>
      <c r="V18" s="212">
        <f>R18</f>
        <v>1220</v>
      </c>
      <c r="W18" s="191"/>
      <c r="X18" s="89"/>
    </row>
    <row r="19" spans="1:24" x14ac:dyDescent="0.35">
      <c r="A19" s="151"/>
      <c r="B19" s="151" t="s">
        <v>96</v>
      </c>
      <c r="C19" s="195" t="s">
        <v>16</v>
      </c>
      <c r="D19" s="145">
        <v>76</v>
      </c>
      <c r="E19" s="145">
        <v>41</v>
      </c>
      <c r="F19" s="145">
        <v>41</v>
      </c>
      <c r="G19" s="145">
        <v>158</v>
      </c>
      <c r="H19" s="147">
        <v>12</v>
      </c>
      <c r="I19" s="146">
        <v>43139</v>
      </c>
      <c r="J19" s="146">
        <v>43139</v>
      </c>
      <c r="K19" s="157">
        <f t="shared" si="0"/>
        <v>0</v>
      </c>
      <c r="L19" s="158"/>
      <c r="M19" s="147">
        <v>10</v>
      </c>
      <c r="N19" s="203">
        <v>4</v>
      </c>
      <c r="O19" s="203">
        <f t="shared" si="2"/>
        <v>20</v>
      </c>
      <c r="P19" s="175">
        <v>919</v>
      </c>
      <c r="Q19" s="185">
        <v>42941</v>
      </c>
      <c r="R19" s="169">
        <v>1102.8</v>
      </c>
      <c r="S19" s="179">
        <v>43627</v>
      </c>
      <c r="T19" s="168">
        <f t="shared" si="1"/>
        <v>183.79999999999995</v>
      </c>
      <c r="U19" s="191" t="str">
        <f t="shared" si="3"/>
        <v>23 months</v>
      </c>
      <c r="V19" s="212">
        <f>R19</f>
        <v>1102.8</v>
      </c>
      <c r="W19" s="191"/>
      <c r="X19" s="89"/>
    </row>
    <row r="20" spans="1:24" x14ac:dyDescent="0.35">
      <c r="A20" s="151"/>
      <c r="B20" s="151" t="s">
        <v>97</v>
      </c>
      <c r="C20" s="197" t="s">
        <v>65</v>
      </c>
      <c r="D20" s="145">
        <v>76</v>
      </c>
      <c r="E20" s="145">
        <v>41</v>
      </c>
      <c r="F20" s="145">
        <v>41</v>
      </c>
      <c r="G20" s="145">
        <v>158</v>
      </c>
      <c r="H20" s="147">
        <v>25</v>
      </c>
      <c r="I20" s="146">
        <v>43501</v>
      </c>
      <c r="J20" s="146">
        <v>43542</v>
      </c>
      <c r="K20" s="157">
        <f t="shared" si="0"/>
        <v>0.11232876712328767</v>
      </c>
      <c r="L20" s="160"/>
      <c r="M20" s="161"/>
      <c r="N20" s="204">
        <v>4</v>
      </c>
      <c r="O20" s="204">
        <f t="shared" si="2"/>
        <v>20</v>
      </c>
      <c r="P20" s="175">
        <v>1170</v>
      </c>
      <c r="Q20" s="185">
        <v>43535</v>
      </c>
      <c r="R20" s="170">
        <v>1170</v>
      </c>
      <c r="S20" s="179">
        <v>43627</v>
      </c>
      <c r="T20" s="168" t="str">
        <f t="shared" si="1"/>
        <v>NC</v>
      </c>
      <c r="U20" s="191" t="str">
        <f t="shared" si="3"/>
        <v>3 months</v>
      </c>
      <c r="V20" s="212">
        <f>R20</f>
        <v>1170</v>
      </c>
      <c r="W20" s="191"/>
      <c r="X20" s="162" t="s">
        <v>171</v>
      </c>
    </row>
    <row r="21" spans="1:24" x14ac:dyDescent="0.35">
      <c r="A21" s="151"/>
      <c r="B21" s="151" t="s">
        <v>98</v>
      </c>
      <c r="C21" s="197" t="s">
        <v>64</v>
      </c>
      <c r="D21" s="145">
        <v>76</v>
      </c>
      <c r="E21" s="145">
        <v>41</v>
      </c>
      <c r="F21" s="145">
        <v>41</v>
      </c>
      <c r="G21" s="145">
        <v>158</v>
      </c>
      <c r="H21" s="147">
        <v>25</v>
      </c>
      <c r="I21" s="146">
        <v>43501</v>
      </c>
      <c r="J21" s="146">
        <v>43542</v>
      </c>
      <c r="K21" s="157">
        <f t="shared" si="0"/>
        <v>0.11232876712328767</v>
      </c>
      <c r="L21" s="158"/>
      <c r="M21" s="147">
        <v>8</v>
      </c>
      <c r="N21" s="203">
        <v>8</v>
      </c>
      <c r="O21" s="203">
        <f t="shared" si="2"/>
        <v>40</v>
      </c>
      <c r="P21" s="175">
        <v>1280</v>
      </c>
      <c r="Q21" s="185">
        <v>43535</v>
      </c>
      <c r="R21" s="169">
        <v>1280</v>
      </c>
      <c r="S21" s="179">
        <v>43627</v>
      </c>
      <c r="T21" s="168" t="str">
        <f t="shared" si="1"/>
        <v>NC</v>
      </c>
      <c r="U21" s="191" t="str">
        <f t="shared" si="3"/>
        <v>3 months</v>
      </c>
      <c r="V21" s="212">
        <f>R21</f>
        <v>1280</v>
      </c>
      <c r="W21" s="191"/>
      <c r="X21" s="89"/>
    </row>
    <row r="22" spans="1:24" x14ac:dyDescent="0.35">
      <c r="A22" s="151"/>
      <c r="B22" s="163" t="s">
        <v>176</v>
      </c>
      <c r="C22" s="163"/>
      <c r="D22" s="145">
        <v>456</v>
      </c>
      <c r="E22" s="145">
        <v>246</v>
      </c>
      <c r="F22" s="145">
        <v>246</v>
      </c>
      <c r="G22" s="145">
        <v>948</v>
      </c>
      <c r="H22" s="147"/>
      <c r="I22" s="146"/>
      <c r="J22" s="146"/>
      <c r="K22" s="157"/>
      <c r="L22" s="158"/>
      <c r="M22" s="147"/>
      <c r="N22" s="203">
        <v>20</v>
      </c>
      <c r="O22" s="203">
        <f>N22*5</f>
        <v>100</v>
      </c>
      <c r="P22" s="169"/>
      <c r="Q22" s="186"/>
      <c r="R22" s="169">
        <v>30</v>
      </c>
      <c r="S22" s="179">
        <v>43627</v>
      </c>
      <c r="T22" s="168">
        <f t="shared" si="1"/>
        <v>0</v>
      </c>
      <c r="U22" s="191" t="str">
        <f t="shared" si="3"/>
        <v>NA</v>
      </c>
      <c r="V22" s="212"/>
      <c r="W22" s="193" t="s">
        <v>194</v>
      </c>
      <c r="X22" s="89" t="s">
        <v>177</v>
      </c>
    </row>
    <row r="23" spans="1:24" x14ac:dyDescent="0.35">
      <c r="A23" s="151"/>
      <c r="B23" s="194" t="s">
        <v>99</v>
      </c>
      <c r="C23" s="151"/>
      <c r="D23" s="145">
        <v>76</v>
      </c>
      <c r="E23" s="145">
        <v>41</v>
      </c>
      <c r="F23" s="145">
        <v>41</v>
      </c>
      <c r="G23" s="145">
        <v>158</v>
      </c>
      <c r="H23" s="147"/>
      <c r="I23" s="151"/>
      <c r="J23" s="147"/>
      <c r="K23" s="157">
        <f t="shared" si="0"/>
        <v>0</v>
      </c>
      <c r="L23" s="158"/>
      <c r="M23" s="147">
        <v>3</v>
      </c>
      <c r="N23" s="203">
        <v>2</v>
      </c>
      <c r="O23" s="203">
        <f t="shared" si="2"/>
        <v>10</v>
      </c>
      <c r="P23" s="169"/>
      <c r="Q23" s="186"/>
      <c r="R23" s="208">
        <v>1178</v>
      </c>
      <c r="S23" s="209">
        <v>43627</v>
      </c>
      <c r="T23" s="168">
        <f t="shared" si="1"/>
        <v>0</v>
      </c>
      <c r="U23" s="191" t="str">
        <f t="shared" si="3"/>
        <v>NA</v>
      </c>
      <c r="V23" s="212"/>
      <c r="W23" s="193" t="s">
        <v>200</v>
      </c>
      <c r="X23" s="89"/>
    </row>
    <row r="24" spans="1:24" x14ac:dyDescent="0.35">
      <c r="A24" s="151"/>
      <c r="B24" s="192" t="s">
        <v>219</v>
      </c>
      <c r="C24" s="192" t="s">
        <v>190</v>
      </c>
      <c r="D24" s="145">
        <v>76</v>
      </c>
      <c r="E24" s="145">
        <v>41</v>
      </c>
      <c r="F24" s="145">
        <v>41</v>
      </c>
      <c r="G24" s="145">
        <v>158</v>
      </c>
      <c r="H24" s="147"/>
      <c r="I24" s="151"/>
      <c r="J24" s="147"/>
      <c r="K24" s="157">
        <f t="shared" si="0"/>
        <v>0</v>
      </c>
      <c r="L24" s="158"/>
      <c r="M24" s="147">
        <v>14</v>
      </c>
      <c r="N24" s="203">
        <v>5</v>
      </c>
      <c r="O24" s="203">
        <f t="shared" si="2"/>
        <v>25</v>
      </c>
      <c r="P24" s="169">
        <v>969</v>
      </c>
      <c r="Q24" s="207">
        <v>43696</v>
      </c>
      <c r="R24" s="169"/>
      <c r="S24" s="179"/>
      <c r="T24" s="168">
        <f t="shared" si="1"/>
        <v>0</v>
      </c>
      <c r="U24" s="191" t="str">
        <f t="shared" si="3"/>
        <v>NA</v>
      </c>
      <c r="V24" s="212">
        <f>P24</f>
        <v>969</v>
      </c>
      <c r="W24" s="193"/>
      <c r="X24" s="89"/>
    </row>
    <row r="25" spans="1:24" x14ac:dyDescent="0.35">
      <c r="A25" s="151"/>
      <c r="B25" s="192" t="s">
        <v>220</v>
      </c>
      <c r="C25" s="198" t="s">
        <v>75</v>
      </c>
      <c r="D25" s="145">
        <v>76</v>
      </c>
      <c r="E25" s="145">
        <v>41</v>
      </c>
      <c r="F25" s="145">
        <v>41</v>
      </c>
      <c r="G25" s="145">
        <v>158</v>
      </c>
      <c r="H25" s="147">
        <v>12</v>
      </c>
      <c r="I25" s="146">
        <v>43539</v>
      </c>
      <c r="J25" s="146">
        <v>43539</v>
      </c>
      <c r="K25" s="157">
        <f t="shared" si="0"/>
        <v>0</v>
      </c>
      <c r="L25" s="158"/>
      <c r="M25" s="147"/>
      <c r="N25" s="203"/>
      <c r="O25" s="203">
        <f t="shared" si="2"/>
        <v>0</v>
      </c>
      <c r="P25" s="175">
        <v>860</v>
      </c>
      <c r="Q25" s="185">
        <v>43535</v>
      </c>
      <c r="R25" s="169"/>
      <c r="S25" s="179"/>
      <c r="T25" s="168">
        <f t="shared" si="1"/>
        <v>0</v>
      </c>
      <c r="U25" s="191" t="str">
        <f t="shared" si="3"/>
        <v>NA</v>
      </c>
      <c r="V25" s="212">
        <f>P25</f>
        <v>860</v>
      </c>
      <c r="W25" s="193"/>
      <c r="X25" s="89"/>
    </row>
    <row r="26" spans="1:24" x14ac:dyDescent="0.35">
      <c r="A26" s="151"/>
      <c r="B26" s="192" t="s">
        <v>221</v>
      </c>
      <c r="C26" s="196" t="s">
        <v>26</v>
      </c>
      <c r="D26" s="145">
        <v>76</v>
      </c>
      <c r="E26" s="145">
        <v>41</v>
      </c>
      <c r="F26" s="145">
        <v>41</v>
      </c>
      <c r="G26" s="145">
        <v>158</v>
      </c>
      <c r="H26" s="147">
        <v>12</v>
      </c>
      <c r="I26" s="146">
        <v>43146</v>
      </c>
      <c r="J26" s="146">
        <v>43223</v>
      </c>
      <c r="K26" s="157">
        <f t="shared" si="0"/>
        <v>0.21095890410958903</v>
      </c>
      <c r="L26" s="158"/>
      <c r="M26" s="147">
        <v>5</v>
      </c>
      <c r="N26" s="203">
        <v>2</v>
      </c>
      <c r="O26" s="203">
        <f t="shared" si="2"/>
        <v>10</v>
      </c>
      <c r="P26" s="218">
        <f>1465930/1100</f>
        <v>1332.6636363636364</v>
      </c>
      <c r="Q26" s="222">
        <v>42971</v>
      </c>
      <c r="R26" s="169">
        <v>1178</v>
      </c>
      <c r="S26" s="179">
        <v>42941</v>
      </c>
      <c r="T26" s="168">
        <f t="shared" si="1"/>
        <v>-154.66363636363644</v>
      </c>
      <c r="U26" s="191" t="e">
        <f t="shared" si="3"/>
        <v>#NUM!</v>
      </c>
      <c r="V26" s="212">
        <f>P26</f>
        <v>1332.6636363636364</v>
      </c>
      <c r="W26" s="215" t="s">
        <v>225</v>
      </c>
      <c r="X26" s="89"/>
    </row>
    <row r="27" spans="1:24" x14ac:dyDescent="0.35">
      <c r="A27" s="151"/>
      <c r="B27" s="151" t="s">
        <v>100</v>
      </c>
      <c r="C27" s="151" t="s">
        <v>191</v>
      </c>
      <c r="D27" s="145">
        <v>38</v>
      </c>
      <c r="E27" s="145" t="s">
        <v>155</v>
      </c>
      <c r="F27" s="145">
        <v>41</v>
      </c>
      <c r="G27" s="145">
        <v>79</v>
      </c>
      <c r="H27" s="147"/>
      <c r="I27" s="151"/>
      <c r="J27" s="147"/>
      <c r="K27" s="157">
        <f t="shared" si="0"/>
        <v>0</v>
      </c>
      <c r="L27" s="158"/>
      <c r="M27" s="147"/>
      <c r="N27" s="203"/>
      <c r="O27" s="203">
        <f t="shared" si="2"/>
        <v>0</v>
      </c>
      <c r="P27" s="169"/>
      <c r="Q27" s="186"/>
      <c r="R27" s="169">
        <v>60</v>
      </c>
      <c r="S27" s="179">
        <v>43627</v>
      </c>
      <c r="T27" s="168">
        <f t="shared" si="1"/>
        <v>0</v>
      </c>
      <c r="U27" s="191" t="str">
        <f t="shared" si="3"/>
        <v>NA</v>
      </c>
      <c r="V27" s="212">
        <f>R27</f>
        <v>60</v>
      </c>
      <c r="W27" s="193"/>
      <c r="X27" s="89"/>
    </row>
    <row r="28" spans="1:24" ht="29" x14ac:dyDescent="0.35">
      <c r="A28" s="164" t="s">
        <v>101</v>
      </c>
      <c r="B28" s="164"/>
      <c r="C28" s="197" t="s">
        <v>29</v>
      </c>
      <c r="D28" s="145">
        <v>76</v>
      </c>
      <c r="E28" s="145">
        <v>41</v>
      </c>
      <c r="F28" s="145">
        <v>41</v>
      </c>
      <c r="G28" s="145">
        <v>158</v>
      </c>
      <c r="H28" s="147">
        <v>21</v>
      </c>
      <c r="I28" s="146">
        <v>42331</v>
      </c>
      <c r="J28" s="146">
        <v>43474</v>
      </c>
      <c r="K28" s="157">
        <f t="shared" si="0"/>
        <v>3.1315068493150684</v>
      </c>
      <c r="L28" s="158"/>
      <c r="M28" s="147">
        <v>3</v>
      </c>
      <c r="N28" s="203">
        <v>2</v>
      </c>
      <c r="O28" s="203">
        <f t="shared" si="2"/>
        <v>10</v>
      </c>
      <c r="P28" s="169">
        <v>4000</v>
      </c>
      <c r="Q28" s="185">
        <v>43535</v>
      </c>
      <c r="R28" s="169">
        <v>4800</v>
      </c>
      <c r="S28" s="179">
        <v>43627</v>
      </c>
      <c r="T28" s="168">
        <f t="shared" si="1"/>
        <v>800</v>
      </c>
      <c r="U28" s="191" t="str">
        <f t="shared" si="3"/>
        <v>3 months</v>
      </c>
      <c r="V28" s="212">
        <f>R28</f>
        <v>4800</v>
      </c>
      <c r="W28" s="214" t="s">
        <v>217</v>
      </c>
    </row>
    <row r="29" spans="1:24" hidden="1" x14ac:dyDescent="0.35">
      <c r="A29" s="151"/>
      <c r="B29" s="151" t="s">
        <v>102</v>
      </c>
      <c r="C29" s="151"/>
      <c r="D29" s="145">
        <v>76</v>
      </c>
      <c r="E29" s="145">
        <v>41</v>
      </c>
      <c r="F29" s="145">
        <v>41</v>
      </c>
      <c r="G29" s="145">
        <v>158</v>
      </c>
      <c r="H29" s="147"/>
      <c r="I29" s="151"/>
      <c r="J29" s="147"/>
      <c r="K29" s="157">
        <f t="shared" si="0"/>
        <v>0</v>
      </c>
      <c r="L29" s="158"/>
      <c r="M29" s="147"/>
      <c r="N29" s="203"/>
      <c r="O29" s="203">
        <f t="shared" si="2"/>
        <v>0</v>
      </c>
      <c r="P29" s="169"/>
      <c r="Q29" s="186"/>
      <c r="R29" s="169"/>
      <c r="S29" s="179">
        <v>43627</v>
      </c>
      <c r="T29" s="168">
        <f t="shared" si="1"/>
        <v>0</v>
      </c>
      <c r="U29" s="191" t="str">
        <f t="shared" si="3"/>
        <v>NA</v>
      </c>
      <c r="V29" s="212"/>
      <c r="W29" s="191"/>
      <c r="X29" s="89"/>
    </row>
    <row r="30" spans="1:24" x14ac:dyDescent="0.35">
      <c r="A30" s="151"/>
      <c r="B30" s="151" t="s">
        <v>103</v>
      </c>
      <c r="C30" s="197" t="s">
        <v>149</v>
      </c>
      <c r="D30" s="145">
        <v>76</v>
      </c>
      <c r="E30" s="145">
        <v>41</v>
      </c>
      <c r="F30" s="145">
        <v>41</v>
      </c>
      <c r="G30" s="145">
        <v>158</v>
      </c>
      <c r="H30" s="147">
        <f>Sheet2!K4</f>
        <v>58</v>
      </c>
      <c r="I30" s="146">
        <v>42814</v>
      </c>
      <c r="J30" s="146">
        <v>43556</v>
      </c>
      <c r="K30" s="157">
        <f t="shared" si="0"/>
        <v>2.032876712328767</v>
      </c>
      <c r="L30" s="158"/>
      <c r="M30" s="147"/>
      <c r="N30" s="203">
        <v>30</v>
      </c>
      <c r="O30" s="203">
        <f t="shared" si="2"/>
        <v>150</v>
      </c>
      <c r="P30" s="169">
        <v>220</v>
      </c>
      <c r="Q30" s="185">
        <v>43545</v>
      </c>
      <c r="R30" s="169">
        <v>144</v>
      </c>
      <c r="S30" s="179">
        <v>43627</v>
      </c>
      <c r="T30" s="168">
        <f t="shared" si="1"/>
        <v>-76</v>
      </c>
      <c r="U30" s="191" t="str">
        <f t="shared" si="3"/>
        <v>3 months</v>
      </c>
      <c r="V30" s="212">
        <f>P30</f>
        <v>220</v>
      </c>
      <c r="W30" s="191"/>
      <c r="X30" s="89" t="s">
        <v>162</v>
      </c>
    </row>
    <row r="31" spans="1:24" x14ac:dyDescent="0.35">
      <c r="A31" s="151"/>
      <c r="B31" s="151" t="s">
        <v>104</v>
      </c>
      <c r="C31" s="151" t="s">
        <v>192</v>
      </c>
      <c r="D31" s="145">
        <v>76</v>
      </c>
      <c r="E31" s="145">
        <v>41</v>
      </c>
      <c r="F31" s="145">
        <v>41</v>
      </c>
      <c r="G31" s="145">
        <v>158</v>
      </c>
      <c r="H31" s="147"/>
      <c r="I31" s="151"/>
      <c r="J31" s="147"/>
      <c r="K31" s="157">
        <f t="shared" si="0"/>
        <v>0</v>
      </c>
      <c r="L31" s="158"/>
      <c r="M31" s="147"/>
      <c r="N31" s="203">
        <v>2</v>
      </c>
      <c r="O31" s="203">
        <f t="shared" si="2"/>
        <v>10</v>
      </c>
      <c r="P31" s="220">
        <f>910163/1100</f>
        <v>827.42090909090905</v>
      </c>
      <c r="Q31" s="221">
        <v>42971</v>
      </c>
      <c r="R31" s="169">
        <v>864</v>
      </c>
      <c r="S31" s="179">
        <v>43627</v>
      </c>
      <c r="T31" s="168">
        <f t="shared" si="1"/>
        <v>36.579090909090951</v>
      </c>
      <c r="U31" s="191" t="str">
        <f t="shared" si="3"/>
        <v>22 months</v>
      </c>
      <c r="V31" s="212">
        <f>R31</f>
        <v>864</v>
      </c>
      <c r="W31" s="215" t="s">
        <v>225</v>
      </c>
      <c r="X31" s="89"/>
    </row>
    <row r="32" spans="1:24" x14ac:dyDescent="0.35">
      <c r="A32" s="151"/>
      <c r="B32" s="151" t="s">
        <v>105</v>
      </c>
      <c r="C32" s="151" t="s">
        <v>193</v>
      </c>
      <c r="D32" s="145">
        <v>76</v>
      </c>
      <c r="E32" s="145">
        <v>41</v>
      </c>
      <c r="F32" s="145">
        <v>41</v>
      </c>
      <c r="G32" s="145">
        <v>158</v>
      </c>
      <c r="H32" s="147"/>
      <c r="I32" s="151"/>
      <c r="J32" s="147"/>
      <c r="K32" s="157">
        <f t="shared" si="0"/>
        <v>0</v>
      </c>
      <c r="L32" s="158"/>
      <c r="M32" s="147">
        <v>7</v>
      </c>
      <c r="N32" s="203">
        <v>4</v>
      </c>
      <c r="O32" s="203">
        <f t="shared" si="2"/>
        <v>20</v>
      </c>
      <c r="P32" s="169"/>
      <c r="Q32" s="186"/>
      <c r="R32" s="169">
        <v>2835.6</v>
      </c>
      <c r="S32" s="179">
        <v>43627</v>
      </c>
      <c r="T32" s="168">
        <f t="shared" si="1"/>
        <v>0</v>
      </c>
      <c r="U32" s="191" t="str">
        <f t="shared" si="3"/>
        <v>NA</v>
      </c>
      <c r="V32" s="212">
        <f>R32</f>
        <v>2835.6</v>
      </c>
      <c r="W32" s="191"/>
      <c r="X32" s="89"/>
    </row>
    <row r="33" spans="1:24" x14ac:dyDescent="0.35">
      <c r="A33" s="164" t="s">
        <v>106</v>
      </c>
      <c r="B33" s="164"/>
      <c r="C33" s="195" t="s">
        <v>38</v>
      </c>
      <c r="D33" s="145">
        <v>76</v>
      </c>
      <c r="E33" s="145">
        <v>41</v>
      </c>
      <c r="F33" s="145">
        <v>41</v>
      </c>
      <c r="G33" s="145">
        <v>158</v>
      </c>
      <c r="H33" s="147">
        <v>10</v>
      </c>
      <c r="I33" s="146">
        <v>43353</v>
      </c>
      <c r="J33" s="146">
        <v>43353</v>
      </c>
      <c r="K33" s="157">
        <f t="shared" si="0"/>
        <v>0</v>
      </c>
      <c r="L33" s="158"/>
      <c r="M33" s="147"/>
      <c r="N33" s="203"/>
      <c r="O33" s="203">
        <f t="shared" si="2"/>
        <v>0</v>
      </c>
      <c r="P33" s="169">
        <v>3285</v>
      </c>
      <c r="Q33" s="185">
        <v>43157</v>
      </c>
      <c r="R33" s="169">
        <v>3942</v>
      </c>
      <c r="S33" s="179">
        <v>43627</v>
      </c>
      <c r="T33" s="168">
        <f t="shared" si="1"/>
        <v>657</v>
      </c>
      <c r="U33" s="191" t="str">
        <f t="shared" si="3"/>
        <v>15 months</v>
      </c>
      <c r="V33" s="212">
        <f>R33</f>
        <v>3942</v>
      </c>
      <c r="W33" s="191"/>
      <c r="X33" s="89"/>
    </row>
    <row r="34" spans="1:24" x14ac:dyDescent="0.35">
      <c r="A34" s="164" t="s">
        <v>107</v>
      </c>
      <c r="B34" s="164"/>
      <c r="C34" s="195" t="s">
        <v>36</v>
      </c>
      <c r="D34" s="145">
        <v>152</v>
      </c>
      <c r="E34" s="145">
        <v>164</v>
      </c>
      <c r="F34" s="145">
        <v>164</v>
      </c>
      <c r="G34" s="145">
        <v>480</v>
      </c>
      <c r="H34" s="147">
        <v>3</v>
      </c>
      <c r="I34" s="146">
        <v>43312</v>
      </c>
      <c r="J34" s="146">
        <v>43312</v>
      </c>
      <c r="K34" s="157">
        <f t="shared" si="0"/>
        <v>0</v>
      </c>
      <c r="L34" s="158"/>
      <c r="M34" s="147">
        <v>2</v>
      </c>
      <c r="N34" s="203"/>
      <c r="O34" s="203">
        <f t="shared" si="2"/>
        <v>0</v>
      </c>
      <c r="P34" s="169">
        <v>3072.3</v>
      </c>
      <c r="Q34" s="185">
        <v>43126</v>
      </c>
      <c r="R34" s="169">
        <v>3686.4</v>
      </c>
      <c r="S34" s="179">
        <v>43627</v>
      </c>
      <c r="T34" s="168">
        <f t="shared" si="1"/>
        <v>614.09999999999991</v>
      </c>
      <c r="U34" s="191" t="str">
        <f t="shared" si="3"/>
        <v>16 months</v>
      </c>
      <c r="V34" s="212">
        <f>R34</f>
        <v>3686.4</v>
      </c>
      <c r="W34" s="191"/>
      <c r="X34" s="89"/>
    </row>
    <row r="35" spans="1:24" x14ac:dyDescent="0.35">
      <c r="A35" s="164" t="s">
        <v>112</v>
      </c>
      <c r="B35" s="164"/>
      <c r="C35" s="197" t="s">
        <v>34</v>
      </c>
      <c r="D35" s="145">
        <v>76</v>
      </c>
      <c r="E35" s="145">
        <v>82</v>
      </c>
      <c r="F35" s="145">
        <v>82</v>
      </c>
      <c r="G35" s="145">
        <v>240</v>
      </c>
      <c r="H35" s="147">
        <v>10</v>
      </c>
      <c r="I35" s="146">
        <v>43293</v>
      </c>
      <c r="J35" s="146">
        <v>43452</v>
      </c>
      <c r="K35" s="157">
        <f>(J35-I35)/365</f>
        <v>0.43561643835616437</v>
      </c>
      <c r="L35" s="158"/>
      <c r="M35" s="147">
        <v>1</v>
      </c>
      <c r="N35" s="203"/>
      <c r="O35" s="203">
        <f t="shared" si="2"/>
        <v>0</v>
      </c>
      <c r="P35" s="169">
        <v>2747</v>
      </c>
      <c r="Q35" s="185">
        <v>43433</v>
      </c>
      <c r="R35" s="169">
        <v>3296.4</v>
      </c>
      <c r="S35" s="179">
        <v>43627</v>
      </c>
      <c r="T35" s="168">
        <f t="shared" si="1"/>
        <v>549.40000000000009</v>
      </c>
      <c r="U35" s="191" t="str">
        <f t="shared" si="3"/>
        <v>6 months</v>
      </c>
      <c r="V35" s="212">
        <f>R35</f>
        <v>3296.4</v>
      </c>
      <c r="W35" s="191"/>
      <c r="X35" s="89"/>
    </row>
    <row r="36" spans="1:24" hidden="1" x14ac:dyDescent="0.35">
      <c r="A36" s="151"/>
      <c r="B36" s="151" t="s">
        <v>108</v>
      </c>
      <c r="C36" s="151"/>
      <c r="D36" s="145">
        <v>76</v>
      </c>
      <c r="E36" s="145">
        <v>41</v>
      </c>
      <c r="F36" s="145">
        <v>41</v>
      </c>
      <c r="G36" s="145">
        <v>158</v>
      </c>
      <c r="H36" s="147"/>
      <c r="I36" s="151"/>
      <c r="J36" s="147"/>
      <c r="K36" s="157">
        <f t="shared" si="0"/>
        <v>0</v>
      </c>
      <c r="L36" s="158"/>
      <c r="M36" s="147"/>
      <c r="N36" s="203"/>
      <c r="O36" s="203">
        <f t="shared" si="2"/>
        <v>0</v>
      </c>
      <c r="P36" s="169"/>
      <c r="Q36" s="186"/>
      <c r="R36" s="169"/>
      <c r="S36" s="179">
        <v>43627</v>
      </c>
      <c r="T36" s="168">
        <f t="shared" si="1"/>
        <v>0</v>
      </c>
      <c r="U36" s="191" t="str">
        <f t="shared" si="3"/>
        <v>NA</v>
      </c>
      <c r="V36" s="212"/>
      <c r="W36" s="191"/>
      <c r="X36" s="89"/>
    </row>
    <row r="37" spans="1:24" hidden="1" x14ac:dyDescent="0.35">
      <c r="A37" s="151"/>
      <c r="B37" s="151" t="s">
        <v>109</v>
      </c>
      <c r="C37" s="151"/>
      <c r="D37" s="145">
        <v>152</v>
      </c>
      <c r="E37" s="145">
        <v>164</v>
      </c>
      <c r="F37" s="145">
        <v>164</v>
      </c>
      <c r="G37" s="145">
        <v>480</v>
      </c>
      <c r="H37" s="147"/>
      <c r="I37" s="151"/>
      <c r="J37" s="147"/>
      <c r="K37" s="157">
        <f t="shared" si="0"/>
        <v>0</v>
      </c>
      <c r="L37" s="158"/>
      <c r="M37" s="147"/>
      <c r="N37" s="203"/>
      <c r="O37" s="203">
        <f t="shared" si="2"/>
        <v>0</v>
      </c>
      <c r="P37" s="169"/>
      <c r="Q37" s="186"/>
      <c r="R37" s="169"/>
      <c r="S37" s="179">
        <v>43627</v>
      </c>
      <c r="T37" s="168">
        <f t="shared" si="1"/>
        <v>0</v>
      </c>
      <c r="U37" s="191" t="str">
        <f t="shared" si="3"/>
        <v>NA</v>
      </c>
      <c r="V37" s="212"/>
      <c r="W37" s="191"/>
      <c r="X37" s="89"/>
    </row>
    <row r="38" spans="1:24" hidden="1" x14ac:dyDescent="0.35">
      <c r="A38" s="151"/>
      <c r="B38" s="151" t="s">
        <v>113</v>
      </c>
      <c r="C38" s="151"/>
      <c r="D38" s="145">
        <v>76</v>
      </c>
      <c r="E38" s="145">
        <v>82</v>
      </c>
      <c r="F38" s="145">
        <v>82</v>
      </c>
      <c r="G38" s="145">
        <v>240</v>
      </c>
      <c r="H38" s="147"/>
      <c r="I38" s="151"/>
      <c r="J38" s="147"/>
      <c r="K38" s="157">
        <f>(J38-I38)/365</f>
        <v>0</v>
      </c>
      <c r="L38" s="158"/>
      <c r="M38" s="147"/>
      <c r="N38" s="203"/>
      <c r="O38" s="203">
        <f t="shared" si="2"/>
        <v>0</v>
      </c>
      <c r="P38" s="169"/>
      <c r="Q38" s="186"/>
      <c r="R38" s="169"/>
      <c r="S38" s="179">
        <v>43627</v>
      </c>
      <c r="T38" s="168">
        <f t="shared" si="1"/>
        <v>0</v>
      </c>
      <c r="U38" s="191" t="str">
        <f t="shared" si="3"/>
        <v>NA</v>
      </c>
      <c r="V38" s="212"/>
      <c r="W38" s="191"/>
      <c r="X38" s="89"/>
    </row>
    <row r="39" spans="1:24" x14ac:dyDescent="0.35">
      <c r="A39" s="151"/>
      <c r="B39" s="151" t="s">
        <v>160</v>
      </c>
      <c r="C39" s="151" t="s">
        <v>205</v>
      </c>
      <c r="D39" s="145">
        <v>228</v>
      </c>
      <c r="E39" s="145">
        <v>205</v>
      </c>
      <c r="F39" s="145">
        <v>205</v>
      </c>
      <c r="G39" s="145">
        <v>638</v>
      </c>
      <c r="H39" s="147"/>
      <c r="I39" s="151"/>
      <c r="J39" s="147"/>
      <c r="K39" s="157">
        <f t="shared" si="0"/>
        <v>0</v>
      </c>
      <c r="L39" s="158"/>
      <c r="M39" s="147">
        <v>2</v>
      </c>
      <c r="N39" s="203">
        <v>4</v>
      </c>
      <c r="O39" s="203">
        <f t="shared" si="2"/>
        <v>20</v>
      </c>
      <c r="P39" s="169"/>
      <c r="Q39" s="186"/>
      <c r="R39" s="169">
        <v>1020</v>
      </c>
      <c r="S39" s="179">
        <v>43627</v>
      </c>
      <c r="T39" s="168">
        <f t="shared" si="1"/>
        <v>0</v>
      </c>
      <c r="U39" s="191" t="str">
        <f t="shared" si="3"/>
        <v>NA</v>
      </c>
      <c r="V39" s="212">
        <f>R39</f>
        <v>1020</v>
      </c>
      <c r="W39" s="191"/>
      <c r="X39" s="89"/>
    </row>
    <row r="40" spans="1:24" x14ac:dyDescent="0.35">
      <c r="A40" s="151"/>
      <c r="B40" s="151" t="s">
        <v>115</v>
      </c>
      <c r="C40" s="151" t="s">
        <v>203</v>
      </c>
      <c r="D40" s="145">
        <v>76</v>
      </c>
      <c r="E40" s="145">
        <v>82</v>
      </c>
      <c r="F40" s="145">
        <v>82</v>
      </c>
      <c r="G40" s="145">
        <v>240</v>
      </c>
      <c r="H40" s="147"/>
      <c r="I40" s="151"/>
      <c r="J40" s="147"/>
      <c r="K40" s="157">
        <f>(J40-I40)/365</f>
        <v>0</v>
      </c>
      <c r="L40" s="158"/>
      <c r="M40" s="147"/>
      <c r="N40" s="203">
        <v>3</v>
      </c>
      <c r="O40" s="203">
        <f t="shared" si="2"/>
        <v>15</v>
      </c>
      <c r="P40" s="220">
        <f>1008240/1100</f>
        <v>916.58181818181822</v>
      </c>
      <c r="Q40" s="221">
        <v>42971</v>
      </c>
      <c r="R40" s="169">
        <v>960</v>
      </c>
      <c r="S40" s="179">
        <v>43627</v>
      </c>
      <c r="T40" s="168">
        <f t="shared" si="1"/>
        <v>43.418181818181779</v>
      </c>
      <c r="U40" s="191" t="str">
        <f t="shared" si="3"/>
        <v>22 months</v>
      </c>
      <c r="V40" s="212">
        <f>R40</f>
        <v>960</v>
      </c>
      <c r="W40" s="215" t="s">
        <v>225</v>
      </c>
      <c r="X40" s="89"/>
    </row>
    <row r="41" spans="1:24" x14ac:dyDescent="0.35">
      <c r="A41" s="151"/>
      <c r="B41" s="151" t="s">
        <v>110</v>
      </c>
      <c r="C41" s="151" t="s">
        <v>207</v>
      </c>
      <c r="D41" s="145">
        <v>1976</v>
      </c>
      <c r="E41" s="145">
        <v>1722</v>
      </c>
      <c r="F41" s="145">
        <v>1722</v>
      </c>
      <c r="G41" s="145">
        <v>5420</v>
      </c>
      <c r="H41" s="147"/>
      <c r="I41" s="151"/>
      <c r="J41" s="147"/>
      <c r="K41" s="157">
        <f t="shared" si="0"/>
        <v>0</v>
      </c>
      <c r="L41" s="158"/>
      <c r="M41" s="147"/>
      <c r="N41" s="203">
        <v>250</v>
      </c>
      <c r="O41" s="203">
        <f t="shared" si="2"/>
        <v>1250</v>
      </c>
      <c r="P41" s="169"/>
      <c r="Q41" s="186"/>
      <c r="R41" s="169">
        <v>254</v>
      </c>
      <c r="S41" s="179">
        <v>43627</v>
      </c>
      <c r="T41" s="168">
        <f t="shared" si="1"/>
        <v>0</v>
      </c>
      <c r="U41" s="191" t="str">
        <f t="shared" si="3"/>
        <v>NA</v>
      </c>
      <c r="V41" s="212">
        <f>R41</f>
        <v>254</v>
      </c>
      <c r="W41" s="191"/>
      <c r="X41" s="159" t="s">
        <v>169</v>
      </c>
    </row>
    <row r="42" spans="1:24" x14ac:dyDescent="0.35">
      <c r="A42" s="151"/>
      <c r="B42" s="151" t="s">
        <v>208</v>
      </c>
      <c r="C42" s="151" t="s">
        <v>206</v>
      </c>
      <c r="D42" s="145">
        <v>304</v>
      </c>
      <c r="E42" s="145">
        <v>246</v>
      </c>
      <c r="F42" s="145">
        <v>246</v>
      </c>
      <c r="G42" s="145">
        <v>796</v>
      </c>
      <c r="H42" s="147"/>
      <c r="I42" s="151"/>
      <c r="J42" s="147"/>
      <c r="K42" s="157">
        <f t="shared" si="0"/>
        <v>0</v>
      </c>
      <c r="L42" s="158"/>
      <c r="M42" s="147"/>
      <c r="N42" s="203">
        <v>40</v>
      </c>
      <c r="O42" s="203">
        <f t="shared" si="2"/>
        <v>200</v>
      </c>
      <c r="P42" s="169"/>
      <c r="Q42" s="186"/>
      <c r="R42" s="169">
        <v>216</v>
      </c>
      <c r="S42" s="179">
        <v>43627</v>
      </c>
      <c r="T42" s="168">
        <f t="shared" si="1"/>
        <v>0</v>
      </c>
      <c r="U42" s="191" t="str">
        <f t="shared" si="3"/>
        <v>NA</v>
      </c>
      <c r="V42" s="212">
        <f>R42</f>
        <v>216</v>
      </c>
      <c r="W42" s="191"/>
      <c r="X42" s="159"/>
    </row>
    <row r="43" spans="1:24" x14ac:dyDescent="0.35">
      <c r="A43" s="151"/>
      <c r="B43" s="151" t="s">
        <v>114</v>
      </c>
      <c r="C43" s="151" t="s">
        <v>204</v>
      </c>
      <c r="D43" s="145">
        <v>608</v>
      </c>
      <c r="E43" s="145">
        <v>656</v>
      </c>
      <c r="F43" s="145">
        <v>656</v>
      </c>
      <c r="G43" s="145">
        <v>1920</v>
      </c>
      <c r="H43" s="147"/>
      <c r="I43" s="151"/>
      <c r="J43" s="147"/>
      <c r="K43" s="157">
        <f>(J43-I43)/365</f>
        <v>0</v>
      </c>
      <c r="L43" s="158"/>
      <c r="M43" s="147"/>
      <c r="N43" s="203">
        <v>100</v>
      </c>
      <c r="O43" s="203">
        <f t="shared" si="2"/>
        <v>500</v>
      </c>
      <c r="P43" s="169"/>
      <c r="Q43" s="186"/>
      <c r="R43" s="169">
        <v>576</v>
      </c>
      <c r="S43" s="179">
        <v>43627</v>
      </c>
      <c r="T43" s="168">
        <f t="shared" si="1"/>
        <v>0</v>
      </c>
      <c r="U43" s="191" t="str">
        <f t="shared" si="3"/>
        <v>NA</v>
      </c>
      <c r="V43" s="212">
        <f t="shared" ref="V43:V64" si="4">R43</f>
        <v>576</v>
      </c>
      <c r="W43" s="191"/>
      <c r="X43" s="159"/>
    </row>
    <row r="44" spans="1:24" x14ac:dyDescent="0.35">
      <c r="A44" s="151"/>
      <c r="B44" s="151" t="s">
        <v>151</v>
      </c>
      <c r="C44" s="151" t="s">
        <v>202</v>
      </c>
      <c r="D44" s="145">
        <v>205</v>
      </c>
      <c r="E44" s="145">
        <v>205</v>
      </c>
      <c r="F44" s="145">
        <v>205</v>
      </c>
      <c r="G44" s="145">
        <v>638</v>
      </c>
      <c r="H44" s="147"/>
      <c r="I44" s="151"/>
      <c r="J44" s="147"/>
      <c r="K44" s="157">
        <f>(J44-I44)/365</f>
        <v>0</v>
      </c>
      <c r="L44" s="158"/>
      <c r="M44" s="147"/>
      <c r="N44" s="203"/>
      <c r="O44" s="203">
        <f t="shared" si="2"/>
        <v>0</v>
      </c>
      <c r="P44" s="169"/>
      <c r="Q44" s="186"/>
      <c r="R44" s="169">
        <v>120</v>
      </c>
      <c r="S44" s="179">
        <v>43627</v>
      </c>
      <c r="T44" s="168">
        <f t="shared" si="1"/>
        <v>0</v>
      </c>
      <c r="U44" s="191" t="str">
        <f t="shared" si="3"/>
        <v>NA</v>
      </c>
      <c r="V44" s="212">
        <f t="shared" si="4"/>
        <v>120</v>
      </c>
      <c r="W44" s="191"/>
      <c r="X44" s="89"/>
    </row>
    <row r="45" spans="1:24" x14ac:dyDescent="0.35">
      <c r="A45" s="151"/>
      <c r="B45" s="151" t="s">
        <v>111</v>
      </c>
      <c r="C45" s="151" t="s">
        <v>201</v>
      </c>
      <c r="D45" s="147">
        <v>304</v>
      </c>
      <c r="E45" s="147">
        <v>287</v>
      </c>
      <c r="F45" s="147">
        <v>287</v>
      </c>
      <c r="G45" s="147">
        <v>878</v>
      </c>
      <c r="H45" s="147"/>
      <c r="I45" s="151"/>
      <c r="J45" s="147"/>
      <c r="K45" s="157">
        <f t="shared" si="0"/>
        <v>0</v>
      </c>
      <c r="L45" s="158"/>
      <c r="M45" s="147">
        <v>9</v>
      </c>
      <c r="N45" s="203">
        <v>4</v>
      </c>
      <c r="O45" s="203">
        <f t="shared" si="2"/>
        <v>20</v>
      </c>
      <c r="P45" s="169"/>
      <c r="Q45" s="186"/>
      <c r="R45" s="169">
        <v>600</v>
      </c>
      <c r="S45" s="179">
        <v>43627</v>
      </c>
      <c r="T45" s="168">
        <f t="shared" si="1"/>
        <v>0</v>
      </c>
      <c r="U45" s="191" t="str">
        <f t="shared" si="3"/>
        <v>NA</v>
      </c>
      <c r="V45" s="212">
        <f t="shared" si="4"/>
        <v>600</v>
      </c>
      <c r="W45" s="191"/>
      <c r="X45" s="89"/>
    </row>
    <row r="46" spans="1:24" x14ac:dyDescent="0.35">
      <c r="A46" s="164" t="s">
        <v>116</v>
      </c>
      <c r="B46" s="164"/>
      <c r="C46" s="151" t="s">
        <v>184</v>
      </c>
      <c r="D46" s="145">
        <v>152</v>
      </c>
      <c r="E46" s="145">
        <v>164</v>
      </c>
      <c r="F46" s="145">
        <v>164</v>
      </c>
      <c r="G46" s="145">
        <v>480</v>
      </c>
      <c r="H46" s="147"/>
      <c r="I46" s="151"/>
      <c r="J46" s="147"/>
      <c r="K46" s="157">
        <f t="shared" si="0"/>
        <v>0</v>
      </c>
      <c r="L46" s="158"/>
      <c r="M46" s="147"/>
      <c r="N46" s="203"/>
      <c r="O46" s="203">
        <f t="shared" si="2"/>
        <v>0</v>
      </c>
      <c r="P46" s="169"/>
      <c r="Q46" s="186"/>
      <c r="R46" s="169">
        <v>3000</v>
      </c>
      <c r="S46" s="179">
        <v>43627</v>
      </c>
      <c r="T46" s="168">
        <f t="shared" si="1"/>
        <v>0</v>
      </c>
      <c r="U46" s="191" t="str">
        <f t="shared" si="3"/>
        <v>NA</v>
      </c>
      <c r="V46" s="212">
        <f t="shared" si="4"/>
        <v>3000</v>
      </c>
      <c r="W46" s="191"/>
      <c r="X46" s="89"/>
    </row>
    <row r="47" spans="1:24" x14ac:dyDescent="0.35">
      <c r="A47" s="164" t="s">
        <v>117</v>
      </c>
      <c r="B47" s="164"/>
      <c r="C47" s="151" t="s">
        <v>187</v>
      </c>
      <c r="D47" s="145">
        <v>76</v>
      </c>
      <c r="E47" s="145">
        <v>82</v>
      </c>
      <c r="F47" s="145">
        <v>82</v>
      </c>
      <c r="G47" s="145">
        <v>240</v>
      </c>
      <c r="H47" s="147"/>
      <c r="I47" s="151"/>
      <c r="J47" s="147"/>
      <c r="K47" s="157">
        <f t="shared" si="0"/>
        <v>0</v>
      </c>
      <c r="L47" s="158"/>
      <c r="M47" s="147"/>
      <c r="N47" s="203"/>
      <c r="O47" s="203">
        <f t="shared" si="2"/>
        <v>0</v>
      </c>
      <c r="P47" s="169"/>
      <c r="Q47" s="186"/>
      <c r="R47" s="169">
        <v>3000</v>
      </c>
      <c r="S47" s="179">
        <v>43627</v>
      </c>
      <c r="T47" s="168">
        <f t="shared" si="1"/>
        <v>0</v>
      </c>
      <c r="U47" s="191" t="str">
        <f t="shared" si="3"/>
        <v>NA</v>
      </c>
      <c r="V47" s="212">
        <f t="shared" si="4"/>
        <v>3000</v>
      </c>
      <c r="W47" s="191"/>
      <c r="X47" s="89"/>
    </row>
    <row r="48" spans="1:24" hidden="1" x14ac:dyDescent="0.35">
      <c r="A48" s="151"/>
      <c r="B48" s="151" t="s">
        <v>118</v>
      </c>
      <c r="C48" s="151"/>
      <c r="D48" s="145">
        <v>152</v>
      </c>
      <c r="E48" s="145">
        <v>164</v>
      </c>
      <c r="F48" s="145">
        <v>164</v>
      </c>
      <c r="G48" s="145">
        <v>480</v>
      </c>
      <c r="H48" s="147"/>
      <c r="I48" s="151"/>
      <c r="J48" s="147"/>
      <c r="K48" s="157">
        <f t="shared" si="0"/>
        <v>0</v>
      </c>
      <c r="L48" s="158"/>
      <c r="M48" s="147"/>
      <c r="N48" s="203"/>
      <c r="O48" s="203">
        <f t="shared" si="2"/>
        <v>0</v>
      </c>
      <c r="P48" s="169"/>
      <c r="Q48" s="186"/>
      <c r="R48" s="169"/>
      <c r="S48" s="179">
        <v>43627</v>
      </c>
      <c r="T48" s="168">
        <f t="shared" si="1"/>
        <v>0</v>
      </c>
      <c r="U48" s="191" t="str">
        <f t="shared" si="3"/>
        <v>NA</v>
      </c>
      <c r="V48" s="212">
        <f t="shared" si="4"/>
        <v>0</v>
      </c>
      <c r="W48" s="191"/>
      <c r="X48" s="89"/>
    </row>
    <row r="49" spans="1:24" hidden="1" x14ac:dyDescent="0.35">
      <c r="A49" s="151"/>
      <c r="B49" s="151" t="s">
        <v>119</v>
      </c>
      <c r="C49" s="151"/>
      <c r="D49" s="145">
        <v>76</v>
      </c>
      <c r="E49" s="145">
        <v>82</v>
      </c>
      <c r="F49" s="145">
        <v>82</v>
      </c>
      <c r="G49" s="145">
        <v>240</v>
      </c>
      <c r="H49" s="147"/>
      <c r="I49" s="151"/>
      <c r="J49" s="147"/>
      <c r="K49" s="157">
        <f t="shared" si="0"/>
        <v>0</v>
      </c>
      <c r="L49" s="158"/>
      <c r="M49" s="147"/>
      <c r="N49" s="203"/>
      <c r="O49" s="203">
        <f t="shared" si="2"/>
        <v>0</v>
      </c>
      <c r="P49" s="169"/>
      <c r="Q49" s="186"/>
      <c r="R49" s="169"/>
      <c r="S49" s="179">
        <v>43627</v>
      </c>
      <c r="T49" s="168">
        <f t="shared" si="1"/>
        <v>0</v>
      </c>
      <c r="U49" s="191" t="str">
        <f t="shared" si="3"/>
        <v>NA</v>
      </c>
      <c r="V49" s="212">
        <f t="shared" si="4"/>
        <v>0</v>
      </c>
      <c r="W49" s="191"/>
      <c r="X49" s="89"/>
    </row>
    <row r="50" spans="1:24" x14ac:dyDescent="0.35">
      <c r="A50" s="151"/>
      <c r="B50" s="151" t="s">
        <v>120</v>
      </c>
      <c r="C50" s="151" t="s">
        <v>213</v>
      </c>
      <c r="D50" s="145">
        <v>228</v>
      </c>
      <c r="E50" s="145">
        <v>246</v>
      </c>
      <c r="F50" s="145">
        <v>246</v>
      </c>
      <c r="G50" s="145">
        <v>720</v>
      </c>
      <c r="H50" s="147"/>
      <c r="I50" s="151"/>
      <c r="J50" s="147"/>
      <c r="K50" s="157">
        <f t="shared" si="0"/>
        <v>0</v>
      </c>
      <c r="L50" s="158"/>
      <c r="M50" s="147">
        <v>19</v>
      </c>
      <c r="N50" s="203">
        <v>5</v>
      </c>
      <c r="O50" s="203">
        <f t="shared" si="2"/>
        <v>25</v>
      </c>
      <c r="P50" s="169"/>
      <c r="Q50" s="186"/>
      <c r="R50" s="169">
        <v>1080</v>
      </c>
      <c r="S50" s="179">
        <v>43627</v>
      </c>
      <c r="T50" s="168">
        <f t="shared" si="1"/>
        <v>0</v>
      </c>
      <c r="U50" s="191" t="str">
        <f t="shared" si="3"/>
        <v>NA</v>
      </c>
      <c r="V50" s="212">
        <f t="shared" si="4"/>
        <v>1080</v>
      </c>
      <c r="W50" s="191"/>
      <c r="X50" s="89"/>
    </row>
    <row r="51" spans="1:24" x14ac:dyDescent="0.35">
      <c r="A51" s="151"/>
      <c r="B51" s="151" t="s">
        <v>121</v>
      </c>
      <c r="C51" s="151" t="s">
        <v>212</v>
      </c>
      <c r="D51" s="145">
        <v>228</v>
      </c>
      <c r="E51" s="145">
        <v>246</v>
      </c>
      <c r="F51" s="145">
        <v>246</v>
      </c>
      <c r="G51" s="145">
        <v>720</v>
      </c>
      <c r="H51" s="147"/>
      <c r="I51" s="151"/>
      <c r="J51" s="147"/>
      <c r="K51" s="157">
        <f t="shared" si="0"/>
        <v>0</v>
      </c>
      <c r="L51" s="158"/>
      <c r="M51" s="147">
        <v>26</v>
      </c>
      <c r="N51" s="203">
        <v>5</v>
      </c>
      <c r="O51" s="203">
        <f t="shared" si="2"/>
        <v>25</v>
      </c>
      <c r="P51" s="169"/>
      <c r="Q51" s="186"/>
      <c r="R51" s="169">
        <v>1080</v>
      </c>
      <c r="S51" s="179">
        <v>43627</v>
      </c>
      <c r="T51" s="168">
        <f t="shared" si="1"/>
        <v>0</v>
      </c>
      <c r="U51" s="191" t="str">
        <f t="shared" si="3"/>
        <v>NA</v>
      </c>
      <c r="V51" s="212">
        <f t="shared" si="4"/>
        <v>1080</v>
      </c>
      <c r="W51" s="191"/>
      <c r="X51" s="89"/>
    </row>
    <row r="52" spans="1:24" x14ac:dyDescent="0.35">
      <c r="A52" s="151"/>
      <c r="B52" s="151" t="s">
        <v>122</v>
      </c>
      <c r="C52" s="199" t="s">
        <v>81</v>
      </c>
      <c r="D52" s="145">
        <v>228</v>
      </c>
      <c r="E52" s="145">
        <v>246</v>
      </c>
      <c r="F52" s="145">
        <v>246</v>
      </c>
      <c r="G52" s="145">
        <v>720</v>
      </c>
      <c r="H52" s="161">
        <v>10</v>
      </c>
      <c r="I52" s="146">
        <v>43558</v>
      </c>
      <c r="J52" s="146">
        <v>43558</v>
      </c>
      <c r="K52" s="157">
        <f t="shared" si="0"/>
        <v>0</v>
      </c>
      <c r="L52" s="158"/>
      <c r="M52" s="147"/>
      <c r="N52" s="203">
        <v>150</v>
      </c>
      <c r="O52" s="203">
        <f t="shared" si="2"/>
        <v>750</v>
      </c>
      <c r="P52" s="169">
        <v>240</v>
      </c>
      <c r="Q52" s="185">
        <v>43545</v>
      </c>
      <c r="R52" s="169">
        <v>288</v>
      </c>
      <c r="S52" s="179">
        <v>43627</v>
      </c>
      <c r="T52" s="168">
        <f t="shared" si="1"/>
        <v>48</v>
      </c>
      <c r="U52" s="191" t="str">
        <f t="shared" si="3"/>
        <v>3 months</v>
      </c>
      <c r="V52" s="212">
        <f t="shared" si="4"/>
        <v>288</v>
      </c>
      <c r="W52" s="191"/>
      <c r="X52" s="162" t="s">
        <v>161</v>
      </c>
    </row>
    <row r="53" spans="1:24" x14ac:dyDescent="0.35">
      <c r="A53" s="164" t="s">
        <v>123</v>
      </c>
      <c r="B53" s="164"/>
      <c r="C53" s="151" t="s">
        <v>210</v>
      </c>
      <c r="D53" s="145">
        <v>76</v>
      </c>
      <c r="E53" s="145">
        <v>41</v>
      </c>
      <c r="F53" s="145">
        <v>41</v>
      </c>
      <c r="G53" s="145">
        <v>158</v>
      </c>
      <c r="H53" s="147"/>
      <c r="I53" s="151"/>
      <c r="J53" s="147"/>
      <c r="K53" s="157">
        <f t="shared" si="0"/>
        <v>0</v>
      </c>
      <c r="L53" s="158"/>
      <c r="M53" s="147"/>
      <c r="N53" s="203"/>
      <c r="O53" s="203">
        <f t="shared" si="2"/>
        <v>0</v>
      </c>
      <c r="P53" s="169"/>
      <c r="Q53" s="186"/>
      <c r="R53" s="169">
        <v>264</v>
      </c>
      <c r="S53" s="179">
        <v>43627</v>
      </c>
      <c r="T53" s="168">
        <f t="shared" si="1"/>
        <v>0</v>
      </c>
      <c r="U53" s="191" t="str">
        <f t="shared" si="3"/>
        <v>NA</v>
      </c>
      <c r="V53" s="212">
        <f t="shared" si="4"/>
        <v>264</v>
      </c>
      <c r="W53" s="191"/>
      <c r="X53" s="89"/>
    </row>
    <row r="54" spans="1:24" x14ac:dyDescent="0.35">
      <c r="A54" s="164" t="s">
        <v>124</v>
      </c>
      <c r="B54" s="164"/>
      <c r="C54" s="151" t="s">
        <v>209</v>
      </c>
      <c r="D54" s="145">
        <v>304</v>
      </c>
      <c r="E54" s="145">
        <v>328</v>
      </c>
      <c r="F54" s="145">
        <v>328</v>
      </c>
      <c r="G54" s="145">
        <v>960</v>
      </c>
      <c r="H54" s="147"/>
      <c r="I54" s="151"/>
      <c r="J54" s="147"/>
      <c r="K54" s="157">
        <f t="shared" si="0"/>
        <v>0</v>
      </c>
      <c r="L54" s="158"/>
      <c r="M54" s="147"/>
      <c r="N54" s="203"/>
      <c r="O54" s="203">
        <f t="shared" si="2"/>
        <v>0</v>
      </c>
      <c r="P54" s="169"/>
      <c r="Q54" s="186"/>
      <c r="R54" s="169">
        <v>480</v>
      </c>
      <c r="S54" s="179">
        <v>43627</v>
      </c>
      <c r="T54" s="168">
        <f t="shared" si="1"/>
        <v>0</v>
      </c>
      <c r="U54" s="191" t="str">
        <f t="shared" si="3"/>
        <v>NA</v>
      </c>
      <c r="V54" s="212">
        <f t="shared" si="4"/>
        <v>480</v>
      </c>
      <c r="W54" s="191"/>
      <c r="X54" s="89"/>
    </row>
    <row r="55" spans="1:24" x14ac:dyDescent="0.35">
      <c r="A55" s="164" t="s">
        <v>125</v>
      </c>
      <c r="B55" s="164"/>
      <c r="C55" s="197" t="s">
        <v>28</v>
      </c>
      <c r="D55" s="145">
        <v>152</v>
      </c>
      <c r="E55" s="145">
        <v>164</v>
      </c>
      <c r="F55" s="145">
        <v>164</v>
      </c>
      <c r="G55" s="145">
        <v>480</v>
      </c>
      <c r="H55" s="147">
        <f>Sheet2!K8</f>
        <v>52</v>
      </c>
      <c r="I55" s="146">
        <v>41710</v>
      </c>
      <c r="J55" s="146">
        <v>43556</v>
      </c>
      <c r="K55" s="157">
        <f t="shared" si="0"/>
        <v>5.0575342465753428</v>
      </c>
      <c r="L55" s="158"/>
      <c r="M55" s="147">
        <v>12</v>
      </c>
      <c r="N55" s="203">
        <v>12</v>
      </c>
      <c r="O55" s="203">
        <f t="shared" si="2"/>
        <v>60</v>
      </c>
      <c r="P55" s="169">
        <v>250</v>
      </c>
      <c r="Q55" s="185">
        <v>43545</v>
      </c>
      <c r="R55" s="169">
        <v>360</v>
      </c>
      <c r="S55" s="179">
        <v>43627</v>
      </c>
      <c r="T55" s="168">
        <f t="shared" si="1"/>
        <v>110</v>
      </c>
      <c r="U55" s="191" t="str">
        <f t="shared" si="3"/>
        <v>3 months</v>
      </c>
      <c r="V55" s="212">
        <f t="shared" si="4"/>
        <v>360</v>
      </c>
      <c r="W55" s="191"/>
      <c r="X55" s="89"/>
    </row>
    <row r="56" spans="1:24" x14ac:dyDescent="0.35">
      <c r="A56" s="164" t="s">
        <v>126</v>
      </c>
      <c r="B56" s="164"/>
      <c r="C56" s="151" t="s">
        <v>186</v>
      </c>
      <c r="D56" s="145">
        <v>152</v>
      </c>
      <c r="E56" s="145">
        <v>164</v>
      </c>
      <c r="F56" s="145">
        <v>164</v>
      </c>
      <c r="G56" s="145">
        <v>480</v>
      </c>
      <c r="H56" s="147"/>
      <c r="I56" s="151"/>
      <c r="J56" s="147"/>
      <c r="K56" s="157">
        <f t="shared" si="0"/>
        <v>0</v>
      </c>
      <c r="L56" s="158"/>
      <c r="M56" s="147"/>
      <c r="N56" s="203"/>
      <c r="O56" s="203">
        <f t="shared" si="2"/>
        <v>0</v>
      </c>
      <c r="P56" s="169"/>
      <c r="Q56" s="186"/>
      <c r="R56" s="169">
        <v>240</v>
      </c>
      <c r="S56" s="179">
        <v>43627</v>
      </c>
      <c r="T56" s="168">
        <f t="shared" si="1"/>
        <v>0</v>
      </c>
      <c r="U56" s="191" t="str">
        <f t="shared" si="3"/>
        <v>NA</v>
      </c>
      <c r="V56" s="212">
        <f t="shared" si="4"/>
        <v>240</v>
      </c>
      <c r="W56" s="191"/>
      <c r="X56" s="89"/>
    </row>
    <row r="57" spans="1:24" x14ac:dyDescent="0.35">
      <c r="A57" s="164" t="s">
        <v>127</v>
      </c>
      <c r="B57" s="164"/>
      <c r="C57" s="151" t="s">
        <v>188</v>
      </c>
      <c r="D57" s="145">
        <v>76</v>
      </c>
      <c r="E57" s="145">
        <v>41</v>
      </c>
      <c r="F57" s="145">
        <v>41</v>
      </c>
      <c r="G57" s="145">
        <v>158</v>
      </c>
      <c r="H57" s="147"/>
      <c r="I57" s="151"/>
      <c r="J57" s="147"/>
      <c r="K57" s="157">
        <f t="shared" si="0"/>
        <v>0</v>
      </c>
      <c r="L57" s="158"/>
      <c r="M57" s="147"/>
      <c r="N57" s="203"/>
      <c r="O57" s="203">
        <f t="shared" si="2"/>
        <v>0</v>
      </c>
      <c r="P57" s="169"/>
      <c r="Q57" s="186"/>
      <c r="R57" s="169">
        <v>240</v>
      </c>
      <c r="S57" s="179">
        <v>43627</v>
      </c>
      <c r="T57" s="168">
        <f t="shared" si="1"/>
        <v>0</v>
      </c>
      <c r="U57" s="191" t="str">
        <f t="shared" si="3"/>
        <v>NA</v>
      </c>
      <c r="V57" s="212">
        <f t="shared" si="4"/>
        <v>240</v>
      </c>
      <c r="W57" s="191"/>
      <c r="X57" s="89"/>
    </row>
    <row r="58" spans="1:24" x14ac:dyDescent="0.35">
      <c r="A58" s="164" t="s">
        <v>128</v>
      </c>
      <c r="B58" s="164"/>
      <c r="C58" s="151" t="s">
        <v>185</v>
      </c>
      <c r="D58" s="145">
        <v>38</v>
      </c>
      <c r="E58" s="145">
        <v>41</v>
      </c>
      <c r="F58" s="145">
        <v>41</v>
      </c>
      <c r="G58" s="145">
        <v>120</v>
      </c>
      <c r="H58" s="147"/>
      <c r="I58" s="151"/>
      <c r="J58" s="147"/>
      <c r="K58" s="157">
        <f t="shared" si="0"/>
        <v>0</v>
      </c>
      <c r="L58" s="158"/>
      <c r="M58" s="147"/>
      <c r="N58" s="203"/>
      <c r="O58" s="203">
        <f t="shared" si="2"/>
        <v>0</v>
      </c>
      <c r="P58" s="169"/>
      <c r="Q58" s="186"/>
      <c r="R58" s="169">
        <v>240</v>
      </c>
      <c r="S58" s="179">
        <v>43627</v>
      </c>
      <c r="T58" s="168">
        <f t="shared" si="1"/>
        <v>0</v>
      </c>
      <c r="U58" s="191" t="str">
        <f t="shared" si="3"/>
        <v>NA</v>
      </c>
      <c r="V58" s="212">
        <f t="shared" si="4"/>
        <v>240</v>
      </c>
      <c r="W58" s="191"/>
      <c r="X58" s="89"/>
    </row>
    <row r="59" spans="1:24" x14ac:dyDescent="0.35">
      <c r="A59" s="164" t="s">
        <v>129</v>
      </c>
      <c r="B59" s="164"/>
      <c r="C59" s="195" t="s">
        <v>24</v>
      </c>
      <c r="D59" s="145">
        <v>0</v>
      </c>
      <c r="E59" s="145">
        <v>41</v>
      </c>
      <c r="F59" s="145">
        <v>0</v>
      </c>
      <c r="G59" s="145">
        <v>41</v>
      </c>
      <c r="H59" s="147">
        <v>10</v>
      </c>
      <c r="I59" s="146">
        <v>42852</v>
      </c>
      <c r="J59" s="146">
        <v>42852</v>
      </c>
      <c r="K59" s="157">
        <f t="shared" si="0"/>
        <v>0</v>
      </c>
      <c r="L59" s="158"/>
      <c r="M59" s="147"/>
      <c r="N59" s="203">
        <v>2</v>
      </c>
      <c r="O59" s="203">
        <f t="shared" si="2"/>
        <v>10</v>
      </c>
      <c r="P59" s="169">
        <v>2120</v>
      </c>
      <c r="Q59" s="187">
        <v>42773</v>
      </c>
      <c r="R59" s="169">
        <v>2544</v>
      </c>
      <c r="S59" s="179">
        <v>43627</v>
      </c>
      <c r="T59" s="168">
        <f t="shared" si="1"/>
        <v>424</v>
      </c>
      <c r="U59" s="191" t="str">
        <f t="shared" si="3"/>
        <v>28 months</v>
      </c>
      <c r="V59" s="212">
        <f t="shared" si="4"/>
        <v>2544</v>
      </c>
      <c r="W59" s="191"/>
      <c r="X59" s="89"/>
    </row>
    <row r="60" spans="1:24" x14ac:dyDescent="0.35">
      <c r="A60" s="151"/>
      <c r="B60" s="151" t="s">
        <v>130</v>
      </c>
      <c r="C60" s="151"/>
      <c r="D60" s="145">
        <v>0</v>
      </c>
      <c r="E60" s="145">
        <v>41</v>
      </c>
      <c r="F60" s="145">
        <v>0</v>
      </c>
      <c r="G60" s="145">
        <v>41</v>
      </c>
      <c r="H60" s="147"/>
      <c r="I60" s="151"/>
      <c r="J60" s="147"/>
      <c r="K60" s="157">
        <f t="shared" si="0"/>
        <v>0</v>
      </c>
      <c r="L60" s="158"/>
      <c r="M60" s="147"/>
      <c r="N60" s="203"/>
      <c r="O60" s="203">
        <f t="shared" si="2"/>
        <v>0</v>
      </c>
      <c r="P60" s="169"/>
      <c r="Q60" s="186"/>
      <c r="R60" s="169">
        <v>1560</v>
      </c>
      <c r="S60" s="179">
        <v>43627</v>
      </c>
      <c r="T60" s="168">
        <f t="shared" si="1"/>
        <v>0</v>
      </c>
      <c r="U60" s="191" t="str">
        <f t="shared" si="3"/>
        <v>NA</v>
      </c>
      <c r="V60" s="212">
        <f t="shared" si="4"/>
        <v>1560</v>
      </c>
      <c r="W60" s="191"/>
      <c r="X60" s="89"/>
    </row>
    <row r="61" spans="1:24" x14ac:dyDescent="0.35">
      <c r="A61" s="151"/>
      <c r="B61" s="151" t="s">
        <v>131</v>
      </c>
      <c r="C61" s="151"/>
      <c r="D61" s="145">
        <v>0</v>
      </c>
      <c r="E61" s="145">
        <v>41</v>
      </c>
      <c r="F61" s="145">
        <v>41</v>
      </c>
      <c r="G61" s="145">
        <v>82</v>
      </c>
      <c r="H61" s="147"/>
      <c r="I61" s="151"/>
      <c r="J61" s="147"/>
      <c r="K61" s="157">
        <f t="shared" si="0"/>
        <v>0</v>
      </c>
      <c r="L61" s="158"/>
      <c r="M61" s="147"/>
      <c r="N61" s="203"/>
      <c r="O61" s="203">
        <f t="shared" si="2"/>
        <v>0</v>
      </c>
      <c r="P61" s="169"/>
      <c r="Q61" s="186"/>
      <c r="R61" s="169">
        <v>720</v>
      </c>
      <c r="S61" s="179">
        <v>43627</v>
      </c>
      <c r="T61" s="168">
        <f t="shared" si="1"/>
        <v>0</v>
      </c>
      <c r="U61" s="191" t="str">
        <f t="shared" si="3"/>
        <v>NA</v>
      </c>
      <c r="V61" s="212">
        <f t="shared" si="4"/>
        <v>720</v>
      </c>
      <c r="W61" s="191"/>
      <c r="X61" s="89"/>
    </row>
    <row r="62" spans="1:24" hidden="1" x14ac:dyDescent="0.35">
      <c r="A62" s="165" t="s">
        <v>132</v>
      </c>
      <c r="B62" s="165"/>
      <c r="C62" s="194"/>
      <c r="D62" s="166"/>
      <c r="E62" s="166"/>
      <c r="F62" s="166"/>
      <c r="G62" s="166"/>
      <c r="H62" s="166"/>
      <c r="I62" s="151"/>
      <c r="J62" s="147"/>
      <c r="K62" s="157">
        <f t="shared" si="0"/>
        <v>0</v>
      </c>
      <c r="L62" s="157"/>
      <c r="M62" s="166"/>
      <c r="N62" s="205"/>
      <c r="O62" s="205"/>
      <c r="P62" s="171"/>
      <c r="Q62" s="186"/>
      <c r="R62" s="171"/>
      <c r="S62" s="179">
        <v>43627</v>
      </c>
      <c r="T62" s="168">
        <f t="shared" si="1"/>
        <v>0</v>
      </c>
      <c r="U62" s="191" t="str">
        <f>IF(Q62&gt;0, IF(S62&gt;0, MROUND((S62-Q62)/30.4, 1) &amp; " months", "NA"), "NA")</f>
        <v>NA</v>
      </c>
      <c r="V62" s="212">
        <f t="shared" si="4"/>
        <v>0</v>
      </c>
      <c r="W62" s="191"/>
      <c r="X62" s="89"/>
    </row>
    <row r="63" spans="1:24" hidden="1" x14ac:dyDescent="0.35">
      <c r="A63" s="165" t="s">
        <v>133</v>
      </c>
      <c r="B63" s="165"/>
      <c r="C63" s="194"/>
      <c r="D63" s="166"/>
      <c r="E63" s="166"/>
      <c r="F63" s="166"/>
      <c r="G63" s="166"/>
      <c r="H63" s="166"/>
      <c r="I63" s="151"/>
      <c r="J63" s="147"/>
      <c r="K63" s="157">
        <f t="shared" si="0"/>
        <v>0</v>
      </c>
      <c r="L63" s="157"/>
      <c r="M63" s="166"/>
      <c r="N63" s="205"/>
      <c r="O63" s="205"/>
      <c r="P63" s="171"/>
      <c r="Q63" s="186"/>
      <c r="R63" s="171"/>
      <c r="S63" s="179">
        <v>43627</v>
      </c>
      <c r="T63" s="168">
        <f t="shared" si="1"/>
        <v>0</v>
      </c>
      <c r="U63" s="191" t="str">
        <f t="shared" si="3"/>
        <v>NA</v>
      </c>
      <c r="V63" s="212">
        <f t="shared" si="4"/>
        <v>0</v>
      </c>
      <c r="W63" s="191"/>
      <c r="X63" s="89"/>
    </row>
    <row r="64" spans="1:24" hidden="1" x14ac:dyDescent="0.35">
      <c r="A64" s="165" t="s">
        <v>134</v>
      </c>
      <c r="B64" s="165"/>
      <c r="C64" s="194"/>
      <c r="D64" s="166"/>
      <c r="E64" s="166"/>
      <c r="F64" s="166"/>
      <c r="G64" s="166"/>
      <c r="H64" s="166"/>
      <c r="I64" s="151"/>
      <c r="J64" s="147"/>
      <c r="K64" s="157">
        <f t="shared" si="0"/>
        <v>0</v>
      </c>
      <c r="L64" s="157"/>
      <c r="M64" s="166"/>
      <c r="N64" s="205"/>
      <c r="O64" s="205"/>
      <c r="P64" s="171"/>
      <c r="Q64" s="186"/>
      <c r="R64" s="171"/>
      <c r="S64" s="179">
        <v>43627</v>
      </c>
      <c r="T64" s="168">
        <f t="shared" si="1"/>
        <v>0</v>
      </c>
      <c r="U64" s="191" t="str">
        <f t="shared" si="3"/>
        <v>NA</v>
      </c>
      <c r="V64" s="212">
        <f t="shared" si="4"/>
        <v>0</v>
      </c>
      <c r="W64" s="191"/>
      <c r="X64" s="89"/>
    </row>
    <row r="65" spans="1:24" ht="28" x14ac:dyDescent="0.35">
      <c r="A65" s="165" t="s">
        <v>135</v>
      </c>
      <c r="B65" s="165"/>
      <c r="C65" s="194" t="s">
        <v>211</v>
      </c>
      <c r="D65" s="145">
        <v>38</v>
      </c>
      <c r="E65" s="167">
        <v>41</v>
      </c>
      <c r="F65" s="167" t="s">
        <v>155</v>
      </c>
      <c r="G65" s="167">
        <v>79</v>
      </c>
      <c r="H65" s="166"/>
      <c r="I65" s="151"/>
      <c r="J65" s="147"/>
      <c r="K65" s="157">
        <f t="shared" si="0"/>
        <v>0</v>
      </c>
      <c r="L65" s="157"/>
      <c r="M65" s="166"/>
      <c r="N65" s="206">
        <v>4</v>
      </c>
      <c r="O65" s="206">
        <v>20</v>
      </c>
      <c r="P65" s="172"/>
      <c r="Q65" s="188"/>
      <c r="R65" s="172"/>
      <c r="S65" s="179"/>
      <c r="T65" s="168">
        <f t="shared" si="1"/>
        <v>0</v>
      </c>
      <c r="U65" s="191" t="str">
        <f t="shared" si="3"/>
        <v>NA</v>
      </c>
      <c r="V65" s="213"/>
      <c r="W65" s="191"/>
      <c r="X65" s="89"/>
    </row>
    <row r="66" spans="1:24" hidden="1" x14ac:dyDescent="0.35">
      <c r="A66" s="142" t="s">
        <v>136</v>
      </c>
      <c r="B66" s="143"/>
      <c r="C66" s="144"/>
      <c r="D66" s="107"/>
      <c r="E66" s="108"/>
      <c r="F66" s="108"/>
      <c r="G66" s="106"/>
      <c r="H66" s="109"/>
      <c r="I66" s="110"/>
      <c r="J66" s="111"/>
      <c r="K66" s="112">
        <f t="shared" si="0"/>
        <v>0</v>
      </c>
      <c r="L66" s="113"/>
      <c r="M66" s="114"/>
      <c r="N66" s="109"/>
      <c r="O66" s="115"/>
      <c r="P66" s="108"/>
      <c r="Q66" s="180"/>
      <c r="R66" s="108"/>
      <c r="S66" s="180"/>
      <c r="T66" s="168">
        <f>IF(P66&gt;0, R66-P66, 0)</f>
        <v>0</v>
      </c>
      <c r="U66" s="190"/>
      <c r="V66" s="190"/>
      <c r="W66" s="190"/>
    </row>
    <row r="67" spans="1:24" hidden="1" x14ac:dyDescent="0.35">
      <c r="A67" s="139" t="s">
        <v>137</v>
      </c>
      <c r="B67" s="141"/>
      <c r="C67" s="144"/>
      <c r="H67" s="102"/>
      <c r="I67" s="98"/>
      <c r="J67" s="93"/>
      <c r="K67" s="104">
        <f t="shared" ref="K67:K74" si="5">(J67-I67)/365</f>
        <v>0</v>
      </c>
      <c r="L67" s="103"/>
      <c r="M67" s="105"/>
      <c r="N67" s="101"/>
      <c r="O67" s="106"/>
      <c r="P67" s="108"/>
      <c r="Q67" s="180"/>
      <c r="R67" s="108"/>
      <c r="S67" s="180"/>
      <c r="T67" s="168">
        <f>IF(P67&gt;0, R67-P67, 0)</f>
        <v>0</v>
      </c>
      <c r="U67" s="190"/>
      <c r="V67" s="190"/>
      <c r="W67" s="190"/>
    </row>
    <row r="68" spans="1:24" hidden="1" x14ac:dyDescent="0.35">
      <c r="A68" s="139" t="s">
        <v>138</v>
      </c>
      <c r="B68" s="141"/>
      <c r="C68" s="144"/>
      <c r="H68" s="102"/>
      <c r="I68" s="98"/>
      <c r="J68" s="93"/>
      <c r="K68" s="104">
        <f t="shared" si="5"/>
        <v>0</v>
      </c>
      <c r="L68" s="103"/>
      <c r="M68" s="105"/>
      <c r="N68" s="101"/>
      <c r="O68" s="106"/>
      <c r="P68" s="108"/>
      <c r="Q68" s="180"/>
      <c r="R68" s="108"/>
      <c r="S68" s="180"/>
      <c r="T68" s="168">
        <f>IF(P68&gt;0, R68-P68, 0)</f>
        <v>0</v>
      </c>
      <c r="U68" s="190"/>
      <c r="V68" s="190"/>
      <c r="W68" s="190"/>
    </row>
    <row r="69" spans="1:24" hidden="1" x14ac:dyDescent="0.35">
      <c r="A69" s="139" t="s">
        <v>139</v>
      </c>
      <c r="B69" s="140"/>
      <c r="C69" s="144"/>
      <c r="D69" s="107"/>
      <c r="H69" s="102"/>
      <c r="I69" s="98"/>
      <c r="J69" s="93"/>
      <c r="K69" s="104">
        <f t="shared" si="5"/>
        <v>0</v>
      </c>
      <c r="L69" s="103"/>
      <c r="M69" s="105"/>
      <c r="N69" s="101"/>
      <c r="O69" s="106"/>
      <c r="P69" s="108"/>
      <c r="Q69" s="180"/>
      <c r="R69" s="108"/>
      <c r="S69" s="180"/>
      <c r="T69" s="168">
        <f>IF(P69&gt;0, R69-P69, 0)</f>
        <v>0</v>
      </c>
      <c r="U69" s="190"/>
      <c r="V69" s="190"/>
      <c r="W69" s="190"/>
    </row>
    <row r="70" spans="1:24" hidden="1" x14ac:dyDescent="0.35">
      <c r="A70" s="139" t="s">
        <v>140</v>
      </c>
      <c r="B70" s="141"/>
      <c r="C70" s="144"/>
      <c r="D70" s="107"/>
      <c r="G70" s="106"/>
      <c r="H70" s="101"/>
      <c r="I70" s="98"/>
      <c r="J70" s="93"/>
      <c r="K70" s="104">
        <f t="shared" si="5"/>
        <v>0</v>
      </c>
      <c r="L70" s="103"/>
      <c r="M70" s="105"/>
      <c r="N70" s="101"/>
      <c r="O70" s="106"/>
      <c r="P70" s="108"/>
      <c r="Q70" s="180"/>
      <c r="R70" s="108"/>
      <c r="S70" s="180"/>
      <c r="T70" s="168">
        <f>IF(P70&gt;0, R70-P70, 0)</f>
        <v>0</v>
      </c>
      <c r="U70" s="190"/>
      <c r="V70" s="190"/>
      <c r="W70" s="190"/>
    </row>
    <row r="71" spans="1:24" hidden="1" x14ac:dyDescent="0.35">
      <c r="A71" s="139" t="s">
        <v>141</v>
      </c>
      <c r="B71" s="140"/>
      <c r="C71" s="144"/>
      <c r="D71" s="107"/>
      <c r="H71" s="102"/>
      <c r="I71" s="98"/>
      <c r="J71" s="93"/>
      <c r="K71" s="104">
        <f t="shared" si="5"/>
        <v>0</v>
      </c>
      <c r="L71" s="103"/>
      <c r="M71" s="105"/>
      <c r="N71" s="101"/>
      <c r="O71" s="106"/>
      <c r="P71" s="108"/>
      <c r="Q71" s="180"/>
      <c r="R71" s="108"/>
      <c r="S71" s="180"/>
      <c r="T71" s="168">
        <f>IF(P71&gt;0, R71-P71, 0)</f>
        <v>0</v>
      </c>
      <c r="U71" s="190"/>
      <c r="V71" s="190"/>
      <c r="W71" s="190"/>
    </row>
    <row r="72" spans="1:24" hidden="1" x14ac:dyDescent="0.35">
      <c r="A72" s="139" t="s">
        <v>142</v>
      </c>
      <c r="B72" s="141"/>
      <c r="C72" s="144"/>
      <c r="H72" s="102"/>
      <c r="I72" s="98"/>
      <c r="J72" s="93"/>
      <c r="K72" s="104">
        <f t="shared" si="5"/>
        <v>0</v>
      </c>
      <c r="L72" s="103"/>
      <c r="M72" s="105"/>
      <c r="N72" s="101"/>
      <c r="O72" s="106"/>
      <c r="P72" s="108"/>
      <c r="Q72" s="180"/>
      <c r="R72" s="108"/>
      <c r="S72" s="180"/>
      <c r="T72" s="168">
        <f>IF(P72&gt;0, R72-P72, 0)</f>
        <v>0</v>
      </c>
      <c r="U72" s="190"/>
      <c r="V72" s="190"/>
      <c r="W72" s="190"/>
    </row>
    <row r="73" spans="1:24" hidden="1" x14ac:dyDescent="0.35">
      <c r="A73" s="139" t="s">
        <v>143</v>
      </c>
      <c r="B73" s="140"/>
      <c r="C73" s="144"/>
      <c r="D73" s="107"/>
      <c r="H73" s="102"/>
      <c r="I73" s="98"/>
      <c r="J73" s="93"/>
      <c r="K73" s="104">
        <f t="shared" si="5"/>
        <v>0</v>
      </c>
      <c r="L73" s="103"/>
      <c r="M73" s="105"/>
      <c r="N73" s="101"/>
      <c r="O73" s="106"/>
      <c r="P73" s="108"/>
      <c r="Q73" s="180"/>
      <c r="R73" s="108"/>
      <c r="S73" s="180"/>
      <c r="T73" s="168">
        <f>IF(P73&gt;0, R73-P73, 0)</f>
        <v>0</v>
      </c>
      <c r="U73" s="190"/>
      <c r="V73" s="190"/>
      <c r="W73" s="190"/>
    </row>
    <row r="74" spans="1:24" hidden="1" x14ac:dyDescent="0.35">
      <c r="A74" s="139" t="s">
        <v>144</v>
      </c>
      <c r="B74" s="140"/>
      <c r="C74" s="144"/>
      <c r="D74" s="107"/>
      <c r="H74" s="102"/>
      <c r="I74" s="98"/>
      <c r="J74" s="93"/>
      <c r="K74" s="104">
        <f t="shared" si="5"/>
        <v>0</v>
      </c>
      <c r="L74" s="103"/>
      <c r="M74" s="105"/>
      <c r="N74" s="101"/>
      <c r="O74" s="106"/>
      <c r="P74" s="108"/>
      <c r="Q74" s="180"/>
      <c r="R74" s="108"/>
      <c r="S74" s="180"/>
      <c r="T74" s="168">
        <f>IF(P74&gt;0, R74-P74, 0)</f>
        <v>0</v>
      </c>
      <c r="U74" s="190"/>
      <c r="V74" s="190"/>
      <c r="W74" s="190"/>
    </row>
    <row r="75" spans="1:24" x14ac:dyDescent="0.35">
      <c r="A75" s="88"/>
    </row>
    <row r="76" spans="1:24" x14ac:dyDescent="0.35">
      <c r="N76" s="116"/>
      <c r="O76" s="116"/>
      <c r="P76" s="116"/>
      <c r="Q76" s="181"/>
      <c r="R76" s="116"/>
      <c r="S76" s="181"/>
      <c r="T76" s="116"/>
      <c r="U76" s="116"/>
      <c r="V76" s="116"/>
      <c r="W76" s="116"/>
      <c r="X76" t="s">
        <v>173</v>
      </c>
    </row>
    <row r="77" spans="1:24" ht="7.5" customHeight="1" x14ac:dyDescent="0.35"/>
    <row r="78" spans="1:24" x14ac:dyDescent="0.35">
      <c r="N78" s="117"/>
      <c r="O78" s="117"/>
      <c r="P78" s="117"/>
      <c r="Q78" s="182"/>
      <c r="R78" s="117"/>
      <c r="S78" s="182"/>
      <c r="T78" s="117"/>
      <c r="U78" s="117"/>
      <c r="V78" s="117"/>
      <c r="W78" s="117"/>
      <c r="X78" t="s">
        <v>174</v>
      </c>
    </row>
    <row r="79" spans="1:24" ht="9" customHeight="1" x14ac:dyDescent="0.35"/>
    <row r="80" spans="1:24" x14ac:dyDescent="0.35">
      <c r="N80" s="118"/>
      <c r="O80" s="118"/>
      <c r="P80" s="118"/>
      <c r="Q80" s="183"/>
      <c r="R80" s="118"/>
      <c r="S80" s="183"/>
      <c r="T80" s="118"/>
      <c r="U80" s="118"/>
      <c r="V80" s="118"/>
      <c r="W80" s="118"/>
      <c r="X80" t="s">
        <v>175</v>
      </c>
    </row>
  </sheetData>
  <mergeCells count="45">
    <mergeCell ref="U3:U4"/>
    <mergeCell ref="W3:W4"/>
    <mergeCell ref="V3:V4"/>
    <mergeCell ref="R3:R4"/>
    <mergeCell ref="P3:P4"/>
    <mergeCell ref="S3:S4"/>
    <mergeCell ref="Q3:Q4"/>
    <mergeCell ref="T3:T4"/>
    <mergeCell ref="D3:G3"/>
    <mergeCell ref="H3:K3"/>
    <mergeCell ref="L3:M3"/>
    <mergeCell ref="N3:O3"/>
    <mergeCell ref="A3:B4"/>
    <mergeCell ref="C3:C4"/>
    <mergeCell ref="A5:B5"/>
    <mergeCell ref="A6:B6"/>
    <mergeCell ref="A28:B28"/>
    <mergeCell ref="A33:B33"/>
    <mergeCell ref="A34:B34"/>
    <mergeCell ref="A65:B65"/>
    <mergeCell ref="A35:B35"/>
    <mergeCell ref="A46:B46"/>
    <mergeCell ref="A47:B47"/>
    <mergeCell ref="A53:B53"/>
    <mergeCell ref="A54:B54"/>
    <mergeCell ref="A58:B58"/>
    <mergeCell ref="A59:B59"/>
    <mergeCell ref="A62:B62"/>
    <mergeCell ref="A63:B63"/>
    <mergeCell ref="A64:B64"/>
    <mergeCell ref="X3:X4"/>
    <mergeCell ref="X41:X43"/>
    <mergeCell ref="X16:X17"/>
    <mergeCell ref="A74:B74"/>
    <mergeCell ref="A68:B68"/>
    <mergeCell ref="A69:B69"/>
    <mergeCell ref="A70:B70"/>
    <mergeCell ref="A71:B71"/>
    <mergeCell ref="A72:B72"/>
    <mergeCell ref="A73:B73"/>
    <mergeCell ref="A66:B66"/>
    <mergeCell ref="A67:B67"/>
    <mergeCell ref="A55:B55"/>
    <mergeCell ref="A56:B56"/>
    <mergeCell ref="A57:B57"/>
  </mergeCells>
  <conditionalFormatting sqref="T5:T65">
    <cfRule type="cellIs" dxfId="3" priority="2" operator="equal">
      <formula>"NC"</formula>
    </cfRule>
    <cfRule type="cellIs" dxfId="2" priority="3" operator="lessThan">
      <formula>0</formula>
    </cfRule>
    <cfRule type="cellIs" dxfId="1" priority="4" operator="greaterThan">
      <formula>0</formula>
    </cfRule>
  </conditionalFormatting>
  <conditionalFormatting sqref="C5:C65">
    <cfRule type="duplicateValues" dxfId="0" priority="1"/>
  </conditionalFormatting>
  <pageMargins left="0.7" right="0.7" top="0.75" bottom="0.75" header="0.3" footer="0.3"/>
  <pageSetup scale="42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SPeck</dc:creator>
  <cp:lastModifiedBy>Sean Lee</cp:lastModifiedBy>
  <cp:lastPrinted>2019-10-30T23:10:40Z</cp:lastPrinted>
  <dcterms:created xsi:type="dcterms:W3CDTF">2019-05-09T18:01:49Z</dcterms:created>
  <dcterms:modified xsi:type="dcterms:W3CDTF">2019-10-30T23:28:43Z</dcterms:modified>
</cp:coreProperties>
</file>