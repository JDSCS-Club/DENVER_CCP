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ese\Documents\00 Biz Dev\2019 DTO Parts Agreement\"/>
    </mc:Choice>
  </mc:AlternateContent>
  <xr:revisionPtr revIDLastSave="0" documentId="8_{C565815D-5F4B-4F1C-8F84-AD80D2AE74BA}" xr6:coauthVersionLast="45" xr6:coauthVersionMax="45" xr10:uidLastSave="{00000000-0000-0000-0000-000000000000}"/>
  <bookViews>
    <workbookView xWindow="-28920" yWindow="-120" windowWidth="29040" windowHeight="16440" xr2:uid="{E8971259-2040-43FD-873D-BF0C19F0C7B6}"/>
  </bookViews>
  <sheets>
    <sheet name="Parts List" sheetId="4" r:id="rId1"/>
  </sheets>
  <definedNames>
    <definedName name="_xlnm.Print_Area" localSheetId="0">'Parts List'!$A$1:$O$69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70" i="4" l="1"/>
  <c r="O71" i="4"/>
  <c r="O72" i="4"/>
  <c r="P71" i="4"/>
  <c r="P72" i="4"/>
  <c r="P70" i="4" l="1"/>
</calcChain>
</file>

<file path=xl/sharedStrings.xml><?xml version="1.0" encoding="utf-8"?>
<sst xmlns="http://schemas.openxmlformats.org/spreadsheetml/2006/main" count="132" uniqueCount="131">
  <si>
    <t>Communication Rack A</t>
  </si>
  <si>
    <t>Power Supply ASSY</t>
  </si>
  <si>
    <t>Signal Control Board</t>
  </si>
  <si>
    <t>LonWorks Int. Card</t>
  </si>
  <si>
    <t>Wireless LAN Router</t>
  </si>
  <si>
    <t>Video TX Board</t>
  </si>
  <si>
    <t>Content &amp; Control Server</t>
  </si>
  <si>
    <t>PAC-INT</t>
  </si>
  <si>
    <t>PAC-MCU</t>
  </si>
  <si>
    <t>PAC-VOL</t>
  </si>
  <si>
    <t>PAC-RS485</t>
  </si>
  <si>
    <t>Communication Control Panel</t>
  </si>
  <si>
    <t>7” Touchscreen + LCD</t>
  </si>
  <si>
    <t>CCP Power Supply Board</t>
  </si>
  <si>
    <t>CCP Control Board</t>
  </si>
  <si>
    <t>LED SIGNS</t>
  </si>
  <si>
    <t>Front Destination Indicator</t>
  </si>
  <si>
    <t>Side Destination Indicator</t>
  </si>
  <si>
    <t>FDI/SDI Amber LED Module</t>
  </si>
  <si>
    <t>RGB LED Module</t>
  </si>
  <si>
    <t>LED Control Board</t>
  </si>
  <si>
    <t>Passenger Information Indicator</t>
  </si>
  <si>
    <t>PII Amber LED Module</t>
  </si>
  <si>
    <t>PII Power Supply Board</t>
  </si>
  <si>
    <t>LCD DISPLAY &amp; AUDIO</t>
  </si>
  <si>
    <t>Passenger Information Display 1</t>
  </si>
  <si>
    <t>Passenger Information Display 2</t>
  </si>
  <si>
    <t>PID1 Enclosure</t>
  </si>
  <si>
    <t>PID2 Enclosure</t>
  </si>
  <si>
    <t>PID Power Supply</t>
  </si>
  <si>
    <t>VRX Board</t>
  </si>
  <si>
    <t>19” LCD Panel + Inverter</t>
  </si>
  <si>
    <t>Cab Speaker</t>
  </si>
  <si>
    <t>Interior Speaker</t>
  </si>
  <si>
    <t>Exterior Speaker</t>
  </si>
  <si>
    <t>Transformer (Ext. Speaker)</t>
  </si>
  <si>
    <t>Jumper Plug and Receptacle ASSY</t>
  </si>
  <si>
    <t>Jumper Plug</t>
  </si>
  <si>
    <t>Receptacle</t>
  </si>
  <si>
    <t>Driver PA Operation Box</t>
  </si>
  <si>
    <t>Passenger Emergency Intercom</t>
  </si>
  <si>
    <t>AAB2 board</t>
  </si>
  <si>
    <t>Hard Disk Drive Board</t>
  </si>
  <si>
    <t>AAB1 board</t>
  </si>
  <si>
    <t>Parts</t>
  </si>
  <si>
    <t>CONTROLS</t>
  </si>
  <si>
    <t>FDI/SDI Light Sensor</t>
  </si>
  <si>
    <t>FDI/SDI Power Supply Board</t>
  </si>
  <si>
    <t>INTERCOMS</t>
  </si>
  <si>
    <t>Microphones</t>
  </si>
  <si>
    <t>Driver Microphone Assembly</t>
  </si>
  <si>
    <t>ANSM</t>
  </si>
  <si>
    <t>PEI Power Board</t>
  </si>
  <si>
    <t>PEI Control Board</t>
  </si>
  <si>
    <t>DPO Control Board</t>
  </si>
  <si>
    <t>DPO Power Board</t>
  </si>
  <si>
    <t>AF Board</t>
  </si>
  <si>
    <t>VOIP Board</t>
  </si>
  <si>
    <t>R1D000283</t>
  </si>
  <si>
    <t>R1D000304</t>
  </si>
  <si>
    <t>R1D000253</t>
  </si>
  <si>
    <t>R1D000258</t>
  </si>
  <si>
    <t>R1D000308</t>
  </si>
  <si>
    <t>R1D000300</t>
  </si>
  <si>
    <t>R1D000288</t>
  </si>
  <si>
    <t>R1D000262</t>
  </si>
  <si>
    <t>R1D000266</t>
  </si>
  <si>
    <t>R1D000292</t>
  </si>
  <si>
    <t>R1D000274</t>
  </si>
  <si>
    <t>R1D000278</t>
  </si>
  <si>
    <t>R1D000242</t>
  </si>
  <si>
    <t>R1D000245</t>
  </si>
  <si>
    <t>R1D000249</t>
  </si>
  <si>
    <t>R1D001044</t>
  </si>
  <si>
    <t>Backplane Board</t>
  </si>
  <si>
    <t>Comm Rack Enclosure</t>
  </si>
  <si>
    <t>R1D000312</t>
  </si>
  <si>
    <t>R1D000316</t>
  </si>
  <si>
    <t>R1D000313</t>
  </si>
  <si>
    <t>Part Number / Drawing Number</t>
  </si>
  <si>
    <t>R1D000270</t>
  </si>
  <si>
    <t>R1D00287</t>
  </si>
  <si>
    <t>LMS700KF05 + MN070000ACD 7Inch WIDE</t>
  </si>
  <si>
    <t>R1D000399</t>
  </si>
  <si>
    <t>R1D000400</t>
  </si>
  <si>
    <t>R1D000412</t>
  </si>
  <si>
    <t>R1D1473-25863_11~13</t>
  </si>
  <si>
    <t>AOM-4544P-2R</t>
  </si>
  <si>
    <t>R1D000416</t>
  </si>
  <si>
    <t>R1B000015</t>
  </si>
  <si>
    <t>R1D000320</t>
  </si>
  <si>
    <t>R1D000325</t>
  </si>
  <si>
    <t>R1D000324</t>
  </si>
  <si>
    <t>R1D000332</t>
  </si>
  <si>
    <t>R1D000350</t>
  </si>
  <si>
    <t>R1D000348</t>
  </si>
  <si>
    <t>R1B000024</t>
  </si>
  <si>
    <t>R1B000019</t>
  </si>
  <si>
    <t>R1D000326</t>
  </si>
  <si>
    <t>R1C000038</t>
  </si>
  <si>
    <t>R1C000042</t>
  </si>
  <si>
    <t>R1D000338</t>
  </si>
  <si>
    <t>R1D000337</t>
  </si>
  <si>
    <t>LTM190BT03 + GH317A</t>
  </si>
  <si>
    <t>R1C000049</t>
  </si>
  <si>
    <t>R1D000372_a</t>
  </si>
  <si>
    <t>R1D000375</t>
  </si>
  <si>
    <t>R1D000468</t>
  </si>
  <si>
    <t>R1D000389</t>
  </si>
  <si>
    <t>R1D000386_a</t>
  </si>
  <si>
    <t>Total</t>
  </si>
  <si>
    <t>AMP Power</t>
  </si>
  <si>
    <t>Gooseneck Mic</t>
  </si>
  <si>
    <t>Pushbutton</t>
  </si>
  <si>
    <t>-</t>
  </si>
  <si>
    <t>RG-11/U COAXIAL CABLE</t>
  </si>
  <si>
    <t>BNC CONNECTOR</t>
  </si>
  <si>
    <t>BAYONET CONNECTOR</t>
  </si>
  <si>
    <t>Unit Price  (USD)</t>
  </si>
  <si>
    <t>Driver PA Handheld Box</t>
  </si>
  <si>
    <t>R1D1473-25838</t>
  </si>
  <si>
    <t>MA</t>
  </si>
  <si>
    <t>MB</t>
  </si>
  <si>
    <t>MP</t>
  </si>
  <si>
    <t>In-Service</t>
  </si>
  <si>
    <t>Qty/Yr</t>
  </si>
  <si>
    <t>Tot. Qty</t>
  </si>
  <si>
    <t>DPH Power Board</t>
  </si>
  <si>
    <t>DPH Control Board</t>
  </si>
  <si>
    <t>DTO Woojin Parts Supply Agreement Quantities Worksheet</t>
  </si>
  <si>
    <t>WISK PART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</si>
</sst>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_-* #,##0_-;\-* #,##0_-;_-* &quot;-&quot;_-;_-@_-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u/>
      <sz val="11"/>
      <color rgb="FF000000"/>
      <name val="Arial"/>
      <family val="2"/>
    </font>
    <font>
      <b/>
      <sz val="20"/>
      <color theme="1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sz val="11"/>
      <name val="돋움"/>
      <family val="3"/>
      <charset val="129"/>
    </font>
    <font>
      <sz val="1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7" fillId="0" borderId="0"/>
    <xf numFmtId="44" fontId="9" fillId="0" borderId="0" applyFont="0" applyFill="0" applyBorder="0" applyAlignment="0" applyProtection="0"/>
    <xf numFmtId="0" fontId="10" fillId="0" borderId="0">
      <alignment vertical="center"/>
    </xf>
    <xf numFmtId="164" fontId="10" fillId="0" borderId="0" applyFont="0" applyFill="0" applyBorder="0" applyAlignment="0" applyProtection="0">
      <alignment vertical="center"/>
    </xf>
    <xf numFmtId="0" fontId="10" fillId="0" borderId="0">
      <alignment vertical="center"/>
    </xf>
  </cellStyleXfs>
  <cellXfs count="112">
    <xf numFmtId="0" fontId="0" fillId="0" borderId="0" xfId="0"/>
    <xf numFmtId="0" fontId="4" fillId="2" borderId="1" xfId="0" applyFont="1" applyFill="1" applyBorder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vertical="center"/>
    </xf>
    <xf numFmtId="44" fontId="0" fillId="0" borderId="0" xfId="2" applyFont="1"/>
    <xf numFmtId="6" fontId="0" fillId="0" borderId="0" xfId="0" applyNumberFormat="1"/>
    <xf numFmtId="0" fontId="0" fillId="0" borderId="0" xfId="0"/>
    <xf numFmtId="0" fontId="5" fillId="2" borderId="1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44" fontId="0" fillId="0" borderId="0" xfId="2" applyFont="1" applyBorder="1" applyAlignment="1">
      <alignment horizontal="center"/>
    </xf>
    <xf numFmtId="0" fontId="0" fillId="0" borderId="0" xfId="0" applyBorder="1" applyAlignment="1"/>
    <xf numFmtId="0" fontId="0" fillId="0" borderId="10" xfId="0" applyBorder="1"/>
    <xf numFmtId="0" fontId="4" fillId="2" borderId="8" xfId="0" applyFont="1" applyFill="1" applyBorder="1" applyAlignment="1"/>
    <xf numFmtId="0" fontId="1" fillId="0" borderId="9" xfId="0" applyFont="1" applyBorder="1" applyAlignment="1">
      <alignment horizontal="center"/>
    </xf>
    <xf numFmtId="1" fontId="0" fillId="0" borderId="8" xfId="2" applyNumberFormat="1" applyFont="1" applyBorder="1" applyAlignment="1">
      <alignment horizontal="center"/>
    </xf>
    <xf numFmtId="0" fontId="5" fillId="2" borderId="8" xfId="0" applyFont="1" applyFill="1" applyBorder="1" applyAlignment="1">
      <alignment vertical="center"/>
    </xf>
    <xf numFmtId="0" fontId="4" fillId="2" borderId="5" xfId="0" applyFont="1" applyFill="1" applyBorder="1" applyAlignment="1"/>
    <xf numFmtId="0" fontId="2" fillId="0" borderId="5" xfId="0" applyFont="1" applyBorder="1" applyAlignment="1">
      <alignment vertical="center" wrapText="1"/>
    </xf>
    <xf numFmtId="0" fontId="2" fillId="0" borderId="5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5" fillId="2" borderId="12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0" fillId="0" borderId="17" xfId="0" applyBorder="1"/>
    <xf numFmtId="0" fontId="3" fillId="0" borderId="3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center" wrapText="1"/>
    </xf>
    <xf numFmtId="0" fontId="2" fillId="0" borderId="8" xfId="0" applyFont="1" applyBorder="1" applyAlignment="1">
      <alignment vertical="center" wrapText="1"/>
    </xf>
    <xf numFmtId="0" fontId="8" fillId="0" borderId="10" xfId="1" applyFont="1" applyBorder="1" applyAlignment="1">
      <alignment vertical="center"/>
    </xf>
    <xf numFmtId="0" fontId="2" fillId="0" borderId="8" xfId="0" applyFont="1" applyFill="1" applyBorder="1" applyAlignment="1">
      <alignment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3" fillId="0" borderId="8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2" fillId="0" borderId="8" xfId="0" applyFont="1" applyFill="1" applyBorder="1" applyAlignment="1">
      <alignment horizontal="left" vertical="center"/>
    </xf>
    <xf numFmtId="0" fontId="2" fillId="0" borderId="10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horizontal="left" vertical="center"/>
    </xf>
    <xf numFmtId="44" fontId="2" fillId="5" borderId="8" xfId="2" applyFont="1" applyFill="1" applyBorder="1" applyAlignment="1">
      <alignment horizontal="center"/>
    </xf>
    <xf numFmtId="42" fontId="4" fillId="2" borderId="8" xfId="0" applyNumberFormat="1" applyFont="1" applyFill="1" applyBorder="1" applyAlignment="1"/>
    <xf numFmtId="42" fontId="2" fillId="5" borderId="8" xfId="2" applyNumberFormat="1" applyFont="1" applyFill="1" applyBorder="1" applyAlignment="1">
      <alignment horizontal="center"/>
    </xf>
    <xf numFmtId="44" fontId="0" fillId="0" borderId="10" xfId="2" applyFont="1" applyBorder="1" applyAlignment="1">
      <alignment horizontal="center"/>
    </xf>
    <xf numFmtId="1" fontId="0" fillId="0" borderId="9" xfId="2" applyNumberFormat="1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42" fontId="2" fillId="4" borderId="8" xfId="2" applyNumberFormat="1" applyFont="1" applyFill="1" applyBorder="1" applyAlignment="1">
      <alignment horizontal="center"/>
    </xf>
    <xf numFmtId="1" fontId="0" fillId="4" borderId="8" xfId="2" applyNumberFormat="1" applyFont="1" applyFill="1" applyBorder="1" applyAlignment="1">
      <alignment horizontal="center"/>
    </xf>
    <xf numFmtId="1" fontId="0" fillId="5" borderId="8" xfId="2" applyNumberFormat="1" applyFont="1" applyFill="1" applyBorder="1" applyAlignment="1">
      <alignment horizontal="center"/>
    </xf>
    <xf numFmtId="1" fontId="0" fillId="5" borderId="9" xfId="2" applyNumberFormat="1" applyFont="1" applyFill="1" applyBorder="1" applyAlignment="1">
      <alignment horizontal="center"/>
    </xf>
    <xf numFmtId="1" fontId="0" fillId="0" borderId="8" xfId="2" applyNumberFormat="1" applyFont="1" applyFill="1" applyBorder="1" applyAlignment="1">
      <alignment horizontal="center"/>
    </xf>
    <xf numFmtId="1" fontId="0" fillId="0" borderId="9" xfId="2" applyNumberFormat="1" applyFont="1" applyFill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1" fontId="0" fillId="0" borderId="8" xfId="2" applyNumberFormat="1" applyFont="1" applyBorder="1" applyAlignment="1">
      <alignment horizontal="center" vertical="center"/>
    </xf>
    <xf numFmtId="1" fontId="0" fillId="0" borderId="8" xfId="2" applyNumberFormat="1" applyFont="1" applyFill="1" applyBorder="1" applyAlignment="1">
      <alignment horizontal="center" vertical="center"/>
    </xf>
    <xf numFmtId="1" fontId="0" fillId="0" borderId="24" xfId="2" applyNumberFormat="1" applyFont="1" applyFill="1" applyBorder="1" applyAlignment="1">
      <alignment horizontal="center"/>
    </xf>
    <xf numFmtId="1" fontId="0" fillId="5" borderId="1" xfId="2" applyNumberFormat="1" applyFont="1" applyFill="1" applyBorder="1" applyAlignment="1">
      <alignment horizontal="center"/>
    </xf>
    <xf numFmtId="0" fontId="0" fillId="0" borderId="0" xfId="0" applyBorder="1"/>
    <xf numFmtId="44" fontId="0" fillId="0" borderId="25" xfId="2" applyFont="1" applyBorder="1" applyAlignment="1">
      <alignment horizontal="center"/>
    </xf>
    <xf numFmtId="1" fontId="0" fillId="0" borderId="12" xfId="2" applyNumberFormat="1" applyFont="1" applyBorder="1" applyAlignment="1">
      <alignment horizontal="center"/>
    </xf>
    <xf numFmtId="1" fontId="0" fillId="0" borderId="20" xfId="2" applyNumberFormat="1" applyFont="1" applyBorder="1" applyAlignment="1">
      <alignment horizontal="center"/>
    </xf>
    <xf numFmtId="42" fontId="2" fillId="5" borderId="26" xfId="2" applyNumberFormat="1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3" fillId="0" borderId="1" xfId="0" applyFont="1" applyFill="1" applyBorder="1" applyAlignment="1">
      <alignment vertical="center" wrapText="1"/>
    </xf>
    <xf numFmtId="0" fontId="3" fillId="0" borderId="5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11" fillId="0" borderId="3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11" fillId="0" borderId="19" xfId="0" applyFont="1" applyBorder="1" applyAlignment="1">
      <alignment horizontal="left" vertical="center"/>
    </xf>
    <xf numFmtId="0" fontId="3" fillId="0" borderId="15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3" fillId="3" borderId="1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3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2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11" fillId="0" borderId="22" xfId="0" applyFont="1" applyBorder="1" applyAlignment="1">
      <alignment horizontal="left" vertical="center"/>
    </xf>
    <xf numFmtId="0" fontId="11" fillId="0" borderId="20" xfId="0" applyFont="1" applyBorder="1" applyAlignment="1">
      <alignment horizontal="left" vertical="center"/>
    </xf>
    <xf numFmtId="0" fontId="4" fillId="2" borderId="12" xfId="0" applyFont="1" applyFill="1" applyBorder="1" applyAlignment="1"/>
    <xf numFmtId="0" fontId="3" fillId="0" borderId="12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2" fillId="0" borderId="12" xfId="0" applyFont="1" applyFill="1" applyBorder="1" applyAlignment="1">
      <alignment vertical="center" wrapText="1"/>
    </xf>
    <xf numFmtId="0" fontId="2" fillId="0" borderId="12" xfId="0" applyFont="1" applyFill="1" applyBorder="1" applyAlignment="1">
      <alignment horizontal="left" vertical="center" wrapText="1"/>
    </xf>
    <xf numFmtId="0" fontId="3" fillId="0" borderId="12" xfId="0" applyFont="1" applyFill="1" applyBorder="1" applyAlignment="1">
      <alignment vertical="center" wrapText="1"/>
    </xf>
    <xf numFmtId="0" fontId="3" fillId="0" borderId="17" xfId="0" applyFont="1" applyBorder="1" applyAlignment="1">
      <alignment horizontal="left"/>
    </xf>
    <xf numFmtId="0" fontId="3" fillId="3" borderId="12" xfId="0" applyFont="1" applyFill="1" applyBorder="1" applyAlignment="1">
      <alignment horizontal="left" vertical="center" wrapText="1"/>
    </xf>
    <xf numFmtId="0" fontId="3" fillId="0" borderId="12" xfId="0" applyFont="1" applyFill="1" applyBorder="1" applyAlignment="1">
      <alignment horizontal="left" vertical="center" wrapText="1"/>
    </xf>
    <xf numFmtId="0" fontId="3" fillId="0" borderId="16" xfId="0" applyFont="1" applyFill="1" applyBorder="1" applyAlignment="1">
      <alignment horizontal="left" vertical="center"/>
    </xf>
    <xf numFmtId="0" fontId="11" fillId="0" borderId="17" xfId="0" applyFont="1" applyBorder="1" applyAlignment="1">
      <alignment horizontal="left" vertical="center"/>
    </xf>
    <xf numFmtId="0" fontId="11" fillId="0" borderId="27" xfId="0" applyFont="1" applyBorder="1" applyAlignment="1">
      <alignment horizontal="left" vertical="center"/>
    </xf>
    <xf numFmtId="44" fontId="2" fillId="5" borderId="10" xfId="2" applyFont="1" applyFill="1" applyBorder="1" applyAlignment="1">
      <alignment horizontal="center"/>
    </xf>
    <xf numFmtId="0" fontId="1" fillId="0" borderId="13" xfId="0" applyFont="1" applyBorder="1" applyAlignment="1"/>
    <xf numFmtId="0" fontId="1" fillId="0" borderId="9" xfId="0" applyFont="1" applyBorder="1" applyAlignment="1"/>
    <xf numFmtId="0" fontId="6" fillId="0" borderId="0" xfId="0" applyFont="1" applyAlignment="1"/>
    <xf numFmtId="42" fontId="2" fillId="0" borderId="8" xfId="2" applyNumberFormat="1" applyFont="1" applyFill="1" applyBorder="1" applyAlignment="1">
      <alignment horizontal="center"/>
    </xf>
    <xf numFmtId="42" fontId="2" fillId="0" borderId="28" xfId="2" applyNumberFormat="1" applyFont="1" applyFill="1" applyBorder="1" applyAlignment="1">
      <alignment horizontal="center"/>
    </xf>
    <xf numFmtId="42" fontId="2" fillId="0" borderId="29" xfId="2" applyNumberFormat="1" applyFont="1" applyFill="1" applyBorder="1" applyAlignment="1">
      <alignment horizontal="center"/>
    </xf>
    <xf numFmtId="42" fontId="2" fillId="0" borderId="9" xfId="2" applyNumberFormat="1" applyFont="1" applyFill="1" applyBorder="1" applyAlignment="1">
      <alignment horizontal="center"/>
    </xf>
  </cellXfs>
  <cellStyles count="6">
    <cellStyle name="Comma [0] 2" xfId="4" xr:uid="{865B3F27-B808-449E-B565-D497A9238005}"/>
    <cellStyle name="Currency" xfId="2" builtinId="4"/>
    <cellStyle name="Normal" xfId="0" builtinId="0"/>
    <cellStyle name="Normal 2" xfId="5" xr:uid="{642365BD-B112-4010-9DB0-9BA8E71E4711}"/>
    <cellStyle name="표준 2" xfId="1" xr:uid="{C1CF5BBD-F856-4509-ACA8-3120274FFBCB}"/>
    <cellStyle name="표준_부산대전서울납품대금관리(20050302)내부자료" xfId="3" xr:uid="{A1C70229-C883-4E3C-B370-C850CDC9A8DB}"/>
  </cellStyles>
  <dxfs count="0"/>
  <tableStyles count="0" defaultTableStyle="TableStyleMedium2" defaultPivotStyle="PivotStyleLight16"/>
  <colors>
    <mruColors>
      <color rgb="FFE7E6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D0805-1FBD-42AC-89AE-61002601F704}">
  <sheetPr>
    <pageSetUpPr fitToPage="1"/>
  </sheetPr>
  <dimension ref="A1:R74"/>
  <sheetViews>
    <sheetView tabSelected="1" zoomScale="60" zoomScaleNormal="60" workbookViewId="0">
      <pane ySplit="4" topLeftCell="A5" activePane="bottomLeft" state="frozen"/>
      <selection pane="bottomLeft" activeCell="X35" sqref="X35"/>
    </sheetView>
  </sheetViews>
  <sheetFormatPr defaultRowHeight="14.5"/>
  <cols>
    <col min="1" max="1" width="8.7265625" style="7"/>
    <col min="2" max="2" width="31.08984375" style="7" customWidth="1"/>
    <col min="3" max="3" width="18.54296875" style="7" customWidth="1"/>
    <col min="4" max="4" width="17.453125" style="7" customWidth="1"/>
    <col min="5" max="5" width="14.54296875" style="7" customWidth="1"/>
    <col min="6" max="6" width="7.6328125" style="7" customWidth="1"/>
    <col min="7" max="7" width="7.453125" style="7" customWidth="1"/>
    <col min="8" max="15" width="7.26953125" style="7" customWidth="1"/>
    <col min="16" max="16" width="14.54296875" style="7" customWidth="1"/>
    <col min="17" max="17" width="8.7265625" style="7"/>
    <col min="18" max="18" width="12.90625" style="7" bestFit="1" customWidth="1"/>
    <col min="19" max="16384" width="8.7265625" style="7"/>
  </cols>
  <sheetData>
    <row r="1" spans="1:18" ht="43" customHeight="1">
      <c r="A1" s="107" t="s">
        <v>129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</row>
    <row r="2" spans="1:18" ht="15" thickBot="1"/>
    <row r="3" spans="1:18" ht="14.5" customHeight="1">
      <c r="A3" s="76" t="s">
        <v>44</v>
      </c>
      <c r="B3" s="77"/>
      <c r="C3" s="62" t="s">
        <v>130</v>
      </c>
      <c r="D3" s="80" t="s">
        <v>79</v>
      </c>
      <c r="E3" s="51"/>
      <c r="F3" s="82" t="s">
        <v>124</v>
      </c>
      <c r="G3" s="83"/>
      <c r="H3" s="84"/>
      <c r="I3" s="44"/>
      <c r="J3" s="44"/>
      <c r="K3" s="44"/>
      <c r="L3" s="44"/>
      <c r="M3" s="44"/>
      <c r="N3" s="44"/>
      <c r="O3" s="44"/>
      <c r="P3" s="105" t="s">
        <v>118</v>
      </c>
    </row>
    <row r="4" spans="1:18">
      <c r="A4" s="78"/>
      <c r="B4" s="79"/>
      <c r="C4" s="63"/>
      <c r="D4" s="81"/>
      <c r="E4" s="52"/>
      <c r="F4" s="16" t="s">
        <v>121</v>
      </c>
      <c r="G4" s="16" t="s">
        <v>122</v>
      </c>
      <c r="H4" s="16" t="s">
        <v>123</v>
      </c>
      <c r="I4" s="16">
        <v>2016</v>
      </c>
      <c r="J4" s="16">
        <v>2017</v>
      </c>
      <c r="K4" s="16">
        <v>2018</v>
      </c>
      <c r="L4" s="16">
        <v>2019</v>
      </c>
      <c r="M4" s="16" t="s">
        <v>110</v>
      </c>
      <c r="N4" s="16" t="s">
        <v>125</v>
      </c>
      <c r="O4" s="16" t="s">
        <v>126</v>
      </c>
      <c r="P4" s="106"/>
    </row>
    <row r="5" spans="1:18">
      <c r="A5" s="1" t="s">
        <v>45</v>
      </c>
      <c r="B5" s="19"/>
      <c r="C5" s="91"/>
      <c r="D5" s="29"/>
      <c r="E5" s="40"/>
      <c r="F5" s="15"/>
      <c r="G5" s="15"/>
      <c r="H5" s="15"/>
      <c r="I5" s="15"/>
      <c r="J5" s="15"/>
      <c r="K5" s="15"/>
      <c r="L5" s="15"/>
      <c r="M5" s="15"/>
      <c r="N5" s="15"/>
      <c r="O5" s="15"/>
      <c r="P5" s="40"/>
    </row>
    <row r="6" spans="1:18">
      <c r="A6" s="66" t="s">
        <v>0</v>
      </c>
      <c r="B6" s="67"/>
      <c r="C6" s="92"/>
      <c r="D6" s="30" t="s">
        <v>120</v>
      </c>
      <c r="E6" s="108"/>
      <c r="F6" s="17">
        <v>33</v>
      </c>
      <c r="G6" s="17">
        <v>33</v>
      </c>
      <c r="H6" s="17">
        <v>66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49">
        <v>0</v>
      </c>
      <c r="O6" s="49">
        <v>0</v>
      </c>
      <c r="P6" s="41">
        <v>50878.333333333336</v>
      </c>
      <c r="Q6" s="13"/>
      <c r="R6" s="5"/>
    </row>
    <row r="7" spans="1:18">
      <c r="A7" s="2"/>
      <c r="B7" s="20" t="s">
        <v>75</v>
      </c>
      <c r="C7" s="93"/>
      <c r="D7" s="30" t="s">
        <v>81</v>
      </c>
      <c r="E7" s="108"/>
      <c r="F7" s="17">
        <v>33</v>
      </c>
      <c r="G7" s="17">
        <v>33</v>
      </c>
      <c r="H7" s="17">
        <v>66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49">
        <v>0</v>
      </c>
      <c r="O7" s="49">
        <v>0</v>
      </c>
      <c r="P7" s="41">
        <v>0</v>
      </c>
      <c r="Q7" s="13"/>
      <c r="R7" s="6"/>
    </row>
    <row r="8" spans="1:18">
      <c r="A8" s="2"/>
      <c r="B8" s="20" t="s">
        <v>74</v>
      </c>
      <c r="C8" s="94"/>
      <c r="D8" s="31" t="s">
        <v>73</v>
      </c>
      <c r="E8" s="108"/>
      <c r="F8" s="17">
        <v>33</v>
      </c>
      <c r="G8" s="17">
        <v>33</v>
      </c>
      <c r="H8" s="17">
        <v>66</v>
      </c>
      <c r="I8" s="17">
        <v>0</v>
      </c>
      <c r="J8" s="17">
        <v>1</v>
      </c>
      <c r="K8" s="17">
        <v>0</v>
      </c>
      <c r="L8" s="17">
        <v>0</v>
      </c>
      <c r="M8" s="17">
        <v>1</v>
      </c>
      <c r="N8" s="49">
        <v>0</v>
      </c>
      <c r="O8" s="49">
        <v>0</v>
      </c>
      <c r="P8" s="41">
        <v>0</v>
      </c>
      <c r="Q8" s="13"/>
    </row>
    <row r="9" spans="1:18">
      <c r="A9" s="3"/>
      <c r="B9" s="21" t="s">
        <v>1</v>
      </c>
      <c r="C9" s="95"/>
      <c r="D9" s="32" t="s">
        <v>58</v>
      </c>
      <c r="E9" s="108"/>
      <c r="F9" s="17">
        <v>33</v>
      </c>
      <c r="G9" s="17">
        <v>33</v>
      </c>
      <c r="H9" s="17">
        <v>66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49">
        <v>0</v>
      </c>
      <c r="O9" s="49">
        <v>0</v>
      </c>
      <c r="P9" s="41">
        <v>0</v>
      </c>
      <c r="Q9" s="13"/>
    </row>
    <row r="10" spans="1:18">
      <c r="A10" s="3"/>
      <c r="B10" s="21" t="s">
        <v>2</v>
      </c>
      <c r="C10" s="95"/>
      <c r="D10" s="32" t="s">
        <v>67</v>
      </c>
      <c r="E10" s="108"/>
      <c r="F10" s="17">
        <v>33</v>
      </c>
      <c r="G10" s="17">
        <v>33</v>
      </c>
      <c r="H10" s="17">
        <v>66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49">
        <v>0</v>
      </c>
      <c r="O10" s="49">
        <v>0</v>
      </c>
      <c r="P10" s="41">
        <v>0</v>
      </c>
      <c r="Q10" s="13"/>
    </row>
    <row r="11" spans="1:18">
      <c r="A11" s="3"/>
      <c r="B11" s="21" t="s">
        <v>3</v>
      </c>
      <c r="C11" s="95"/>
      <c r="D11" s="32" t="s">
        <v>65</v>
      </c>
      <c r="E11" s="108"/>
      <c r="F11" s="17">
        <v>33</v>
      </c>
      <c r="G11" s="17">
        <v>33</v>
      </c>
      <c r="H11" s="17">
        <v>66</v>
      </c>
      <c r="I11" s="17">
        <v>0</v>
      </c>
      <c r="J11" s="17">
        <v>1</v>
      </c>
      <c r="K11" s="17">
        <v>1</v>
      </c>
      <c r="L11" s="17">
        <v>0</v>
      </c>
      <c r="M11" s="17">
        <v>2</v>
      </c>
      <c r="N11" s="49">
        <v>0</v>
      </c>
      <c r="O11" s="49">
        <v>0</v>
      </c>
      <c r="P11" s="41">
        <v>0</v>
      </c>
      <c r="Q11" s="13"/>
    </row>
    <row r="12" spans="1:18">
      <c r="A12" s="3"/>
      <c r="B12" s="21" t="s">
        <v>4</v>
      </c>
      <c r="C12" s="95"/>
      <c r="D12" s="32" t="s">
        <v>62</v>
      </c>
      <c r="E12" s="108"/>
      <c r="F12" s="17">
        <v>33</v>
      </c>
      <c r="G12" s="17">
        <v>33</v>
      </c>
      <c r="H12" s="17">
        <v>66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49">
        <v>0</v>
      </c>
      <c r="O12" s="49">
        <v>0</v>
      </c>
      <c r="P12" s="41">
        <v>0</v>
      </c>
      <c r="Q12" s="13"/>
    </row>
    <row r="13" spans="1:18">
      <c r="A13" s="3"/>
      <c r="B13" s="21" t="s">
        <v>5</v>
      </c>
      <c r="C13" s="95"/>
      <c r="D13" s="32" t="s">
        <v>59</v>
      </c>
      <c r="E13" s="108"/>
      <c r="F13" s="17">
        <v>33</v>
      </c>
      <c r="G13" s="17">
        <v>33</v>
      </c>
      <c r="H13" s="17">
        <v>66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49">
        <v>0</v>
      </c>
      <c r="O13" s="49">
        <v>0</v>
      </c>
      <c r="P13" s="41">
        <v>0</v>
      </c>
      <c r="Q13" s="13"/>
    </row>
    <row r="14" spans="1:18">
      <c r="A14" s="3"/>
      <c r="B14" s="21" t="s">
        <v>42</v>
      </c>
      <c r="C14" s="95"/>
      <c r="D14" s="32" t="s">
        <v>61</v>
      </c>
      <c r="E14" s="108"/>
      <c r="F14" s="17">
        <v>33</v>
      </c>
      <c r="G14" s="17">
        <v>33</v>
      </c>
      <c r="H14" s="17">
        <v>66</v>
      </c>
      <c r="I14" s="17">
        <v>0</v>
      </c>
      <c r="J14" s="17">
        <v>1</v>
      </c>
      <c r="K14" s="17">
        <v>4</v>
      </c>
      <c r="L14" s="17">
        <v>7</v>
      </c>
      <c r="M14" s="17">
        <v>12</v>
      </c>
      <c r="N14" s="47">
        <v>5</v>
      </c>
      <c r="O14" s="47">
        <v>25</v>
      </c>
      <c r="P14" s="41">
        <v>0</v>
      </c>
      <c r="Q14" s="13"/>
    </row>
    <row r="15" spans="1:18">
      <c r="A15" s="3"/>
      <c r="B15" s="21" t="s">
        <v>6</v>
      </c>
      <c r="C15" s="95"/>
      <c r="D15" s="32" t="s">
        <v>60</v>
      </c>
      <c r="E15" s="108"/>
      <c r="F15" s="17">
        <v>33</v>
      </c>
      <c r="G15" s="17">
        <v>33</v>
      </c>
      <c r="H15" s="17">
        <v>66</v>
      </c>
      <c r="I15" s="43">
        <v>6</v>
      </c>
      <c r="J15" s="43">
        <v>3</v>
      </c>
      <c r="K15" s="43">
        <v>1</v>
      </c>
      <c r="L15" s="43">
        <v>4</v>
      </c>
      <c r="M15" s="43">
        <v>14</v>
      </c>
      <c r="N15" s="48">
        <v>6</v>
      </c>
      <c r="O15" s="48">
        <v>30</v>
      </c>
      <c r="P15" s="41">
        <v>0</v>
      </c>
      <c r="Q15" s="13"/>
    </row>
    <row r="16" spans="1:18">
      <c r="A16" s="3"/>
      <c r="B16" s="21" t="s">
        <v>7</v>
      </c>
      <c r="C16" s="95"/>
      <c r="D16" s="32" t="s">
        <v>80</v>
      </c>
      <c r="E16" s="108"/>
      <c r="F16" s="17">
        <v>33</v>
      </c>
      <c r="G16" s="17">
        <v>33</v>
      </c>
      <c r="H16" s="17">
        <v>66</v>
      </c>
      <c r="I16" s="17">
        <v>2</v>
      </c>
      <c r="J16" s="17">
        <v>3</v>
      </c>
      <c r="K16" s="17">
        <v>1</v>
      </c>
      <c r="L16" s="17">
        <v>0</v>
      </c>
      <c r="M16" s="17">
        <v>6</v>
      </c>
      <c r="N16" s="47">
        <v>3</v>
      </c>
      <c r="O16" s="47">
        <v>15</v>
      </c>
      <c r="P16" s="41">
        <v>0</v>
      </c>
      <c r="Q16" s="13"/>
    </row>
    <row r="17" spans="1:17">
      <c r="A17" s="3"/>
      <c r="B17" s="21" t="s">
        <v>8</v>
      </c>
      <c r="C17" s="95"/>
      <c r="D17" s="32" t="s">
        <v>68</v>
      </c>
      <c r="E17" s="108"/>
      <c r="F17" s="17">
        <v>33</v>
      </c>
      <c r="G17" s="17">
        <v>33</v>
      </c>
      <c r="H17" s="17">
        <v>66</v>
      </c>
      <c r="I17" s="17">
        <v>1</v>
      </c>
      <c r="J17" s="17">
        <v>3</v>
      </c>
      <c r="K17" s="17">
        <v>2</v>
      </c>
      <c r="L17" s="17">
        <v>0</v>
      </c>
      <c r="M17" s="17">
        <v>6</v>
      </c>
      <c r="N17" s="47">
        <v>3</v>
      </c>
      <c r="O17" s="47">
        <v>15</v>
      </c>
      <c r="P17" s="41">
        <v>0</v>
      </c>
      <c r="Q17" s="13"/>
    </row>
    <row r="18" spans="1:17">
      <c r="A18" s="3"/>
      <c r="B18" s="21" t="s">
        <v>9</v>
      </c>
      <c r="C18" s="95"/>
      <c r="D18" s="32" t="s">
        <v>69</v>
      </c>
      <c r="E18" s="108"/>
      <c r="F18" s="17">
        <v>33</v>
      </c>
      <c r="G18" s="17">
        <v>33</v>
      </c>
      <c r="H18" s="17">
        <v>66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49">
        <v>0</v>
      </c>
      <c r="O18" s="49">
        <v>0</v>
      </c>
      <c r="P18" s="41">
        <v>0</v>
      </c>
      <c r="Q18" s="13"/>
    </row>
    <row r="19" spans="1:17">
      <c r="A19" s="3"/>
      <c r="B19" s="21" t="s">
        <v>10</v>
      </c>
      <c r="C19" s="95"/>
      <c r="D19" s="32" t="s">
        <v>66</v>
      </c>
      <c r="E19" s="108"/>
      <c r="F19" s="17">
        <v>33</v>
      </c>
      <c r="G19" s="17">
        <v>33</v>
      </c>
      <c r="H19" s="17">
        <v>66</v>
      </c>
      <c r="I19" s="17">
        <v>0</v>
      </c>
      <c r="J19" s="17">
        <v>2</v>
      </c>
      <c r="K19" s="17">
        <v>1</v>
      </c>
      <c r="L19" s="17">
        <v>0</v>
      </c>
      <c r="M19" s="17">
        <v>3</v>
      </c>
      <c r="N19" s="47">
        <v>3</v>
      </c>
      <c r="O19" s="47">
        <v>15</v>
      </c>
      <c r="P19" s="41">
        <v>0</v>
      </c>
      <c r="Q19" s="13"/>
    </row>
    <row r="20" spans="1:17">
      <c r="A20" s="3"/>
      <c r="B20" s="22" t="s">
        <v>43</v>
      </c>
      <c r="C20" s="96"/>
      <c r="D20" s="33" t="s">
        <v>70</v>
      </c>
      <c r="E20" s="108"/>
      <c r="F20" s="17">
        <v>33</v>
      </c>
      <c r="G20" s="17">
        <v>33</v>
      </c>
      <c r="H20" s="17">
        <v>66</v>
      </c>
      <c r="I20" s="17">
        <v>0</v>
      </c>
      <c r="J20" s="17">
        <v>1</v>
      </c>
      <c r="K20" s="17">
        <v>0</v>
      </c>
      <c r="L20" s="17">
        <v>0</v>
      </c>
      <c r="M20" s="17">
        <v>1</v>
      </c>
      <c r="N20" s="47">
        <v>2</v>
      </c>
      <c r="O20" s="47">
        <v>10</v>
      </c>
      <c r="P20" s="41">
        <v>0</v>
      </c>
      <c r="Q20" s="13"/>
    </row>
    <row r="21" spans="1:17">
      <c r="A21" s="3"/>
      <c r="B21" s="22" t="s">
        <v>41</v>
      </c>
      <c r="C21" s="96"/>
      <c r="D21" s="33" t="s">
        <v>71</v>
      </c>
      <c r="E21" s="108"/>
      <c r="F21" s="17">
        <v>33</v>
      </c>
      <c r="G21" s="17">
        <v>33</v>
      </c>
      <c r="H21" s="17">
        <v>66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49">
        <v>0</v>
      </c>
      <c r="O21" s="49">
        <v>0</v>
      </c>
      <c r="P21" s="41">
        <v>0</v>
      </c>
      <c r="Q21" s="13"/>
    </row>
    <row r="22" spans="1:17">
      <c r="A22" s="3"/>
      <c r="B22" s="22" t="s">
        <v>111</v>
      </c>
      <c r="C22" s="96"/>
      <c r="D22" s="33" t="s">
        <v>72</v>
      </c>
      <c r="E22" s="108"/>
      <c r="F22" s="17">
        <v>33</v>
      </c>
      <c r="G22" s="17">
        <v>33</v>
      </c>
      <c r="H22" s="17">
        <v>66</v>
      </c>
      <c r="I22" s="17">
        <v>1</v>
      </c>
      <c r="J22" s="17">
        <v>2</v>
      </c>
      <c r="K22" s="17">
        <v>2</v>
      </c>
      <c r="L22" s="17">
        <v>2</v>
      </c>
      <c r="M22" s="17">
        <v>7</v>
      </c>
      <c r="N22" s="47">
        <v>3</v>
      </c>
      <c r="O22" s="47">
        <v>15</v>
      </c>
      <c r="P22" s="41">
        <v>0</v>
      </c>
      <c r="Q22" s="13"/>
    </row>
    <row r="23" spans="1:17">
      <c r="A23" s="3"/>
      <c r="B23" s="22" t="s">
        <v>56</v>
      </c>
      <c r="C23" s="96"/>
      <c r="D23" s="33" t="s">
        <v>64</v>
      </c>
      <c r="E23" s="108"/>
      <c r="F23" s="17">
        <v>33</v>
      </c>
      <c r="G23" s="17">
        <v>33</v>
      </c>
      <c r="H23" s="17">
        <v>66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49">
        <v>0</v>
      </c>
      <c r="O23" s="49">
        <v>0</v>
      </c>
      <c r="P23" s="41">
        <v>0</v>
      </c>
      <c r="Q23" s="13"/>
    </row>
    <row r="24" spans="1:17">
      <c r="A24" s="3"/>
      <c r="B24" s="21" t="s">
        <v>57</v>
      </c>
      <c r="C24" s="95"/>
      <c r="D24" s="32" t="s">
        <v>63</v>
      </c>
      <c r="E24" s="108"/>
      <c r="F24" s="17">
        <v>33</v>
      </c>
      <c r="G24" s="17">
        <v>33</v>
      </c>
      <c r="H24" s="17">
        <v>66</v>
      </c>
      <c r="I24" s="17">
        <v>0</v>
      </c>
      <c r="J24" s="17">
        <v>2</v>
      </c>
      <c r="K24" s="17">
        <v>0</v>
      </c>
      <c r="L24" s="17">
        <v>0</v>
      </c>
      <c r="M24" s="17">
        <v>2</v>
      </c>
      <c r="N24" s="47">
        <v>2</v>
      </c>
      <c r="O24" s="47">
        <v>10</v>
      </c>
      <c r="P24" s="41">
        <v>0</v>
      </c>
      <c r="Q24" s="13"/>
    </row>
    <row r="25" spans="1:17">
      <c r="A25" s="64" t="s">
        <v>11</v>
      </c>
      <c r="B25" s="65"/>
      <c r="C25" s="97"/>
      <c r="D25" s="32" t="s">
        <v>76</v>
      </c>
      <c r="E25" s="108"/>
      <c r="F25" s="17">
        <v>33</v>
      </c>
      <c r="G25" s="17">
        <v>33</v>
      </c>
      <c r="H25" s="17">
        <v>66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49">
        <v>0</v>
      </c>
      <c r="O25" s="49">
        <v>0</v>
      </c>
      <c r="P25" s="41">
        <v>3343.4333333333334</v>
      </c>
      <c r="Q25" s="13"/>
    </row>
    <row r="26" spans="1:17" ht="42">
      <c r="A26" s="3"/>
      <c r="B26" s="21" t="s">
        <v>12</v>
      </c>
      <c r="C26" s="95"/>
      <c r="D26" s="32" t="s">
        <v>82</v>
      </c>
      <c r="E26" s="108"/>
      <c r="F26" s="53">
        <v>33</v>
      </c>
      <c r="G26" s="53">
        <v>33</v>
      </c>
      <c r="H26" s="53">
        <v>66</v>
      </c>
      <c r="I26" s="53">
        <v>0</v>
      </c>
      <c r="J26" s="53">
        <v>0</v>
      </c>
      <c r="K26" s="53">
        <v>0</v>
      </c>
      <c r="L26" s="53">
        <v>0</v>
      </c>
      <c r="M26" s="53">
        <v>0</v>
      </c>
      <c r="N26" s="54">
        <v>0</v>
      </c>
      <c r="O26" s="54">
        <v>0</v>
      </c>
      <c r="P26" s="41">
        <v>0</v>
      </c>
      <c r="Q26" s="13"/>
    </row>
    <row r="27" spans="1:17">
      <c r="A27" s="3"/>
      <c r="B27" s="21" t="s">
        <v>13</v>
      </c>
      <c r="C27" s="95"/>
      <c r="D27" s="32" t="s">
        <v>77</v>
      </c>
      <c r="E27" s="108"/>
      <c r="F27" s="17">
        <v>33</v>
      </c>
      <c r="G27" s="17">
        <v>33</v>
      </c>
      <c r="H27" s="17">
        <v>66</v>
      </c>
      <c r="I27" s="17">
        <v>0</v>
      </c>
      <c r="J27" s="17">
        <v>0</v>
      </c>
      <c r="K27" s="17">
        <v>1</v>
      </c>
      <c r="L27" s="17">
        <v>0</v>
      </c>
      <c r="M27" s="17">
        <v>1</v>
      </c>
      <c r="N27" s="49">
        <v>0</v>
      </c>
      <c r="O27" s="49">
        <v>0</v>
      </c>
      <c r="P27" s="41">
        <v>0</v>
      </c>
      <c r="Q27" s="13"/>
    </row>
    <row r="28" spans="1:17">
      <c r="A28" s="3"/>
      <c r="B28" s="21" t="s">
        <v>14</v>
      </c>
      <c r="C28" s="95"/>
      <c r="D28" s="32" t="s">
        <v>78</v>
      </c>
      <c r="E28" s="108"/>
      <c r="F28" s="17">
        <v>33</v>
      </c>
      <c r="G28" s="17">
        <v>33</v>
      </c>
      <c r="H28" s="17">
        <v>66</v>
      </c>
      <c r="I28" s="17">
        <v>0</v>
      </c>
      <c r="J28" s="17">
        <v>4</v>
      </c>
      <c r="K28" s="17">
        <v>4</v>
      </c>
      <c r="L28" s="17">
        <v>0</v>
      </c>
      <c r="M28" s="17">
        <v>8</v>
      </c>
      <c r="N28" s="47">
        <v>4</v>
      </c>
      <c r="O28" s="47">
        <v>20</v>
      </c>
      <c r="P28" s="41">
        <v>0</v>
      </c>
      <c r="Q28" s="13"/>
    </row>
    <row r="29" spans="1:17" ht="15" customHeight="1">
      <c r="A29" s="4" t="s">
        <v>15</v>
      </c>
      <c r="B29" s="23"/>
      <c r="C29" s="23"/>
      <c r="D29" s="18"/>
      <c r="E29" s="45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5"/>
    </row>
    <row r="30" spans="1:17">
      <c r="A30" s="66" t="s">
        <v>16</v>
      </c>
      <c r="B30" s="67"/>
      <c r="C30" s="92"/>
      <c r="D30" s="30" t="s">
        <v>89</v>
      </c>
      <c r="E30" s="108"/>
      <c r="F30" s="17">
        <v>33</v>
      </c>
      <c r="G30" s="17">
        <v>33</v>
      </c>
      <c r="H30" s="17">
        <v>66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49">
        <v>0</v>
      </c>
      <c r="O30" s="49">
        <v>0</v>
      </c>
      <c r="P30" s="41">
        <v>3721.3866666666668</v>
      </c>
    </row>
    <row r="31" spans="1:17">
      <c r="A31" s="66" t="s">
        <v>17</v>
      </c>
      <c r="B31" s="67"/>
      <c r="C31" s="92"/>
      <c r="D31" s="30" t="s">
        <v>97</v>
      </c>
      <c r="E31" s="108"/>
      <c r="F31" s="17">
        <v>132</v>
      </c>
      <c r="G31" s="17">
        <v>132</v>
      </c>
      <c r="H31" s="17">
        <v>264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49">
        <v>0</v>
      </c>
      <c r="O31" s="49">
        <v>0</v>
      </c>
      <c r="P31" s="41">
        <v>3689.4059999999999</v>
      </c>
    </row>
    <row r="32" spans="1:17">
      <c r="A32" s="66" t="s">
        <v>21</v>
      </c>
      <c r="B32" s="67"/>
      <c r="C32" s="92"/>
      <c r="D32" s="30" t="s">
        <v>96</v>
      </c>
      <c r="E32" s="108"/>
      <c r="F32" s="17">
        <v>66</v>
      </c>
      <c r="G32" s="17">
        <v>66</v>
      </c>
      <c r="H32" s="17">
        <v>132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49">
        <v>0</v>
      </c>
      <c r="O32" s="49">
        <v>0</v>
      </c>
      <c r="P32" s="41">
        <v>4785.4706666666671</v>
      </c>
    </row>
    <row r="33" spans="1:16">
      <c r="A33" s="3"/>
      <c r="B33" s="21" t="s">
        <v>47</v>
      </c>
      <c r="C33" s="95"/>
      <c r="D33" s="32" t="s">
        <v>91</v>
      </c>
      <c r="E33" s="108"/>
      <c r="F33" s="17">
        <v>165</v>
      </c>
      <c r="G33" s="17">
        <v>165</v>
      </c>
      <c r="H33" s="17">
        <v>330</v>
      </c>
      <c r="I33" s="17">
        <v>0</v>
      </c>
      <c r="J33" s="17">
        <v>0</v>
      </c>
      <c r="K33" s="17">
        <v>0</v>
      </c>
      <c r="L33" s="17">
        <v>1</v>
      </c>
      <c r="M33" s="17">
        <v>1</v>
      </c>
      <c r="N33" s="49">
        <v>0</v>
      </c>
      <c r="O33" s="49">
        <v>0</v>
      </c>
      <c r="P33" s="41">
        <v>0</v>
      </c>
    </row>
    <row r="34" spans="1:16">
      <c r="A34" s="3"/>
      <c r="B34" s="21" t="s">
        <v>23</v>
      </c>
      <c r="C34" s="95"/>
      <c r="D34" s="32" t="s">
        <v>94</v>
      </c>
      <c r="E34" s="108"/>
      <c r="F34" s="17">
        <v>66</v>
      </c>
      <c r="G34" s="17">
        <v>66</v>
      </c>
      <c r="H34" s="17">
        <v>132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49">
        <v>0</v>
      </c>
      <c r="O34" s="49">
        <v>0</v>
      </c>
      <c r="P34" s="41">
        <v>0</v>
      </c>
    </row>
    <row r="35" spans="1:16">
      <c r="A35" s="3"/>
      <c r="B35" s="21" t="s">
        <v>18</v>
      </c>
      <c r="C35" s="95"/>
      <c r="D35" s="32" t="s">
        <v>90</v>
      </c>
      <c r="E35" s="109"/>
      <c r="F35" s="59"/>
      <c r="G35" s="17"/>
      <c r="H35" s="17"/>
      <c r="I35" s="17">
        <v>0</v>
      </c>
      <c r="J35" s="17">
        <v>2</v>
      </c>
      <c r="K35" s="17">
        <v>0</v>
      </c>
      <c r="L35" s="17">
        <v>0</v>
      </c>
      <c r="M35" s="17">
        <v>2</v>
      </c>
      <c r="N35" s="47">
        <v>2</v>
      </c>
      <c r="O35" s="56">
        <v>10</v>
      </c>
      <c r="P35" s="61">
        <v>0</v>
      </c>
    </row>
    <row r="36" spans="1:16">
      <c r="A36" s="3"/>
      <c r="B36" s="21" t="s">
        <v>19</v>
      </c>
      <c r="C36" s="95"/>
      <c r="D36" s="32" t="s">
        <v>93</v>
      </c>
      <c r="E36" s="110"/>
      <c r="F36" s="60"/>
      <c r="G36" s="43"/>
      <c r="H36" s="43"/>
      <c r="I36" s="43">
        <v>0</v>
      </c>
      <c r="J36" s="43">
        <v>0</v>
      </c>
      <c r="K36" s="43">
        <v>0</v>
      </c>
      <c r="L36" s="43">
        <v>0</v>
      </c>
      <c r="M36" s="43">
        <v>0</v>
      </c>
      <c r="N36" s="50">
        <v>0</v>
      </c>
      <c r="O36" s="55">
        <v>0</v>
      </c>
      <c r="P36" s="61">
        <v>0</v>
      </c>
    </row>
    <row r="37" spans="1:16">
      <c r="A37" s="3"/>
      <c r="B37" s="21" t="s">
        <v>22</v>
      </c>
      <c r="C37" s="95"/>
      <c r="D37" s="32" t="s">
        <v>95</v>
      </c>
      <c r="E37" s="111"/>
      <c r="F37" s="43"/>
      <c r="G37" s="43"/>
      <c r="H37" s="43"/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50">
        <v>0</v>
      </c>
      <c r="O37" s="50">
        <v>0</v>
      </c>
      <c r="P37" s="41">
        <v>0</v>
      </c>
    </row>
    <row r="38" spans="1:16">
      <c r="A38" s="3"/>
      <c r="B38" s="21" t="s">
        <v>46</v>
      </c>
      <c r="C38" s="95"/>
      <c r="D38" s="32" t="s">
        <v>98</v>
      </c>
      <c r="E38" s="108"/>
      <c r="F38" s="17">
        <v>165</v>
      </c>
      <c r="G38" s="17">
        <v>165</v>
      </c>
      <c r="H38" s="17">
        <v>330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49">
        <v>0</v>
      </c>
      <c r="O38" s="49">
        <v>0</v>
      </c>
      <c r="P38" s="41">
        <v>0</v>
      </c>
    </row>
    <row r="39" spans="1:16">
      <c r="A39" s="3"/>
      <c r="B39" s="21" t="s">
        <v>20</v>
      </c>
      <c r="C39" s="95"/>
      <c r="D39" s="32" t="s">
        <v>92</v>
      </c>
      <c r="E39" s="108"/>
      <c r="F39" s="17">
        <v>231</v>
      </c>
      <c r="G39" s="17">
        <v>231</v>
      </c>
      <c r="H39" s="17">
        <v>462</v>
      </c>
      <c r="I39" s="17">
        <v>0</v>
      </c>
      <c r="J39" s="17">
        <v>0</v>
      </c>
      <c r="K39" s="17">
        <v>0</v>
      </c>
      <c r="L39" s="17">
        <v>2</v>
      </c>
      <c r="M39" s="17">
        <v>2</v>
      </c>
      <c r="N39" s="47">
        <v>2</v>
      </c>
      <c r="O39" s="47">
        <v>10</v>
      </c>
      <c r="P39" s="41">
        <v>0</v>
      </c>
    </row>
    <row r="40" spans="1:16" ht="15" customHeight="1">
      <c r="A40" s="4" t="s">
        <v>24</v>
      </c>
      <c r="B40" s="23"/>
      <c r="C40" s="23"/>
      <c r="D40" s="18"/>
      <c r="E40" s="45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5"/>
    </row>
    <row r="41" spans="1:16">
      <c r="A41" s="66" t="s">
        <v>25</v>
      </c>
      <c r="B41" s="67"/>
      <c r="C41" s="92"/>
      <c r="D41" s="30" t="s">
        <v>99</v>
      </c>
      <c r="E41" s="108"/>
      <c r="F41" s="17">
        <v>132</v>
      </c>
      <c r="G41" s="17">
        <v>132</v>
      </c>
      <c r="H41" s="17">
        <v>264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49">
        <v>0</v>
      </c>
      <c r="O41" s="49">
        <v>0</v>
      </c>
      <c r="P41" s="41">
        <v>4794.1926666666668</v>
      </c>
    </row>
    <row r="42" spans="1:16">
      <c r="A42" s="66" t="s">
        <v>26</v>
      </c>
      <c r="B42" s="67"/>
      <c r="C42" s="92"/>
      <c r="D42" s="30" t="s">
        <v>100</v>
      </c>
      <c r="E42" s="108"/>
      <c r="F42" s="17">
        <v>33</v>
      </c>
      <c r="G42" s="17">
        <v>33</v>
      </c>
      <c r="H42" s="17">
        <v>66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49">
        <v>0</v>
      </c>
      <c r="O42" s="49">
        <v>0</v>
      </c>
      <c r="P42" s="41">
        <v>6316.1816666666664</v>
      </c>
    </row>
    <row r="43" spans="1:16" ht="14.5" customHeight="1">
      <c r="A43" s="3"/>
      <c r="B43" s="20" t="s">
        <v>27</v>
      </c>
      <c r="C43" s="93"/>
      <c r="D43" s="30"/>
      <c r="E43" s="108"/>
      <c r="F43" s="17">
        <v>165</v>
      </c>
      <c r="G43" s="17">
        <v>165</v>
      </c>
      <c r="H43" s="17">
        <v>330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49">
        <v>0</v>
      </c>
      <c r="O43" s="49">
        <v>0</v>
      </c>
      <c r="P43" s="41">
        <v>0</v>
      </c>
    </row>
    <row r="44" spans="1:16" ht="14.5" customHeight="1">
      <c r="A44" s="3"/>
      <c r="B44" s="20" t="s">
        <v>28</v>
      </c>
      <c r="C44" s="93"/>
      <c r="D44" s="30"/>
      <c r="E44" s="108"/>
      <c r="F44" s="17">
        <v>165</v>
      </c>
      <c r="G44" s="17">
        <v>165</v>
      </c>
      <c r="H44" s="17">
        <v>330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49">
        <v>0</v>
      </c>
      <c r="O44" s="49">
        <v>0</v>
      </c>
      <c r="P44" s="41">
        <v>0</v>
      </c>
    </row>
    <row r="45" spans="1:16">
      <c r="A45" s="3"/>
      <c r="B45" s="21" t="s">
        <v>29</v>
      </c>
      <c r="C45" s="95"/>
      <c r="D45" s="32" t="s">
        <v>102</v>
      </c>
      <c r="E45" s="108"/>
      <c r="F45" s="17">
        <v>165</v>
      </c>
      <c r="G45" s="17">
        <v>165</v>
      </c>
      <c r="H45" s="17">
        <v>330</v>
      </c>
      <c r="I45" s="17">
        <v>2</v>
      </c>
      <c r="J45" s="17">
        <v>4</v>
      </c>
      <c r="K45" s="17">
        <v>10</v>
      </c>
      <c r="L45" s="17">
        <v>6</v>
      </c>
      <c r="M45" s="17">
        <v>22</v>
      </c>
      <c r="N45" s="47">
        <v>5</v>
      </c>
      <c r="O45" s="47">
        <v>25</v>
      </c>
      <c r="P45" s="41">
        <v>0</v>
      </c>
    </row>
    <row r="46" spans="1:16">
      <c r="A46" s="3"/>
      <c r="B46" s="21" t="s">
        <v>30</v>
      </c>
      <c r="C46" s="95"/>
      <c r="D46" s="32" t="s">
        <v>101</v>
      </c>
      <c r="E46" s="108"/>
      <c r="F46" s="17">
        <v>165</v>
      </c>
      <c r="G46" s="17">
        <v>165</v>
      </c>
      <c r="H46" s="17">
        <v>330</v>
      </c>
      <c r="I46" s="17">
        <v>0</v>
      </c>
      <c r="J46" s="17">
        <v>4</v>
      </c>
      <c r="K46" s="17">
        <v>1</v>
      </c>
      <c r="L46" s="17">
        <v>6</v>
      </c>
      <c r="M46" s="17">
        <v>11</v>
      </c>
      <c r="N46" s="47">
        <v>3</v>
      </c>
      <c r="O46" s="47">
        <v>15</v>
      </c>
      <c r="P46" s="41">
        <v>0</v>
      </c>
    </row>
    <row r="47" spans="1:16" ht="28">
      <c r="A47" s="3"/>
      <c r="B47" s="21" t="s">
        <v>31</v>
      </c>
      <c r="C47" s="95"/>
      <c r="D47" s="32" t="s">
        <v>103</v>
      </c>
      <c r="E47" s="108"/>
      <c r="F47" s="17">
        <v>165</v>
      </c>
      <c r="G47" s="17">
        <v>165</v>
      </c>
      <c r="H47" s="17">
        <v>330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49">
        <v>0</v>
      </c>
      <c r="O47" s="49">
        <v>0</v>
      </c>
      <c r="P47" s="41">
        <v>0</v>
      </c>
    </row>
    <row r="48" spans="1:16">
      <c r="A48" s="66" t="s">
        <v>32</v>
      </c>
      <c r="B48" s="67"/>
      <c r="C48" s="92"/>
      <c r="D48" s="30" t="s">
        <v>85</v>
      </c>
      <c r="E48" s="108"/>
      <c r="F48" s="17">
        <v>33</v>
      </c>
      <c r="G48" s="17">
        <v>33</v>
      </c>
      <c r="H48" s="17">
        <v>66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49">
        <v>0</v>
      </c>
      <c r="O48" s="49">
        <v>0</v>
      </c>
      <c r="P48" s="41">
        <v>465.17333333333335</v>
      </c>
    </row>
    <row r="49" spans="1:16">
      <c r="A49" s="66" t="s">
        <v>33</v>
      </c>
      <c r="B49" s="67"/>
      <c r="C49" s="92"/>
      <c r="D49" s="30" t="s">
        <v>83</v>
      </c>
      <c r="E49" s="108"/>
      <c r="F49" s="17">
        <v>264</v>
      </c>
      <c r="G49" s="17">
        <v>264</v>
      </c>
      <c r="H49" s="17">
        <v>528</v>
      </c>
      <c r="I49" s="17">
        <v>0</v>
      </c>
      <c r="J49" s="17">
        <v>1</v>
      </c>
      <c r="K49" s="17">
        <v>1</v>
      </c>
      <c r="L49" s="17">
        <v>0</v>
      </c>
      <c r="M49" s="17">
        <v>2</v>
      </c>
      <c r="N49" s="47">
        <v>2</v>
      </c>
      <c r="O49" s="47">
        <v>10</v>
      </c>
      <c r="P49" s="41">
        <v>581.46666666666658</v>
      </c>
    </row>
    <row r="50" spans="1:16">
      <c r="A50" s="64" t="s">
        <v>34</v>
      </c>
      <c r="B50" s="65"/>
      <c r="C50" s="97"/>
      <c r="D50" s="32" t="s">
        <v>84</v>
      </c>
      <c r="E50" s="108"/>
      <c r="F50" s="17">
        <v>132</v>
      </c>
      <c r="G50" s="17">
        <v>132</v>
      </c>
      <c r="H50" s="17">
        <v>264</v>
      </c>
      <c r="I50" s="17">
        <v>0</v>
      </c>
      <c r="J50" s="17">
        <v>1</v>
      </c>
      <c r="K50" s="17">
        <v>2</v>
      </c>
      <c r="L50" s="17">
        <v>1</v>
      </c>
      <c r="M50" s="17">
        <v>4</v>
      </c>
      <c r="N50" s="47">
        <v>2</v>
      </c>
      <c r="O50" s="47">
        <v>10</v>
      </c>
      <c r="P50" s="41">
        <v>436.09999999999997</v>
      </c>
    </row>
    <row r="51" spans="1:16">
      <c r="A51" s="66" t="s">
        <v>35</v>
      </c>
      <c r="B51" s="67"/>
      <c r="C51" s="92"/>
      <c r="D51" s="30" t="s">
        <v>88</v>
      </c>
      <c r="E51" s="108"/>
      <c r="F51" s="17">
        <v>66</v>
      </c>
      <c r="G51" s="17">
        <v>66</v>
      </c>
      <c r="H51" s="17">
        <v>132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49">
        <v>0</v>
      </c>
      <c r="O51" s="49">
        <v>0</v>
      </c>
      <c r="P51" s="41">
        <v>577.10566666666659</v>
      </c>
    </row>
    <row r="52" spans="1:16">
      <c r="A52" s="64" t="s">
        <v>36</v>
      </c>
      <c r="B52" s="65"/>
      <c r="C52" s="97"/>
      <c r="D52" s="34"/>
      <c r="E52" s="108"/>
      <c r="F52" s="17">
        <v>33</v>
      </c>
      <c r="G52" s="17" t="s">
        <v>114</v>
      </c>
      <c r="H52" s="17">
        <v>33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49">
        <v>0</v>
      </c>
      <c r="O52" s="49">
        <v>0</v>
      </c>
      <c r="P52" s="41">
        <v>766.08233333333339</v>
      </c>
    </row>
    <row r="53" spans="1:16">
      <c r="A53" s="2"/>
      <c r="B53" s="20" t="s">
        <v>37</v>
      </c>
      <c r="C53" s="93"/>
      <c r="D53" s="30"/>
      <c r="E53" s="108"/>
      <c r="F53" s="17">
        <v>33</v>
      </c>
      <c r="G53" s="17" t="s">
        <v>114</v>
      </c>
      <c r="H53" s="17">
        <v>33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49">
        <v>0</v>
      </c>
      <c r="O53" s="49">
        <v>0</v>
      </c>
      <c r="P53" s="41">
        <v>0</v>
      </c>
    </row>
    <row r="54" spans="1:16">
      <c r="A54" s="2"/>
      <c r="B54" s="20" t="s">
        <v>38</v>
      </c>
      <c r="C54" s="93"/>
      <c r="D54" s="30"/>
      <c r="E54" s="108"/>
      <c r="F54" s="17">
        <v>33</v>
      </c>
      <c r="G54" s="17">
        <v>33</v>
      </c>
      <c r="H54" s="17">
        <v>66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49">
        <v>0</v>
      </c>
      <c r="O54" s="49">
        <v>0</v>
      </c>
      <c r="P54" s="41">
        <v>0</v>
      </c>
    </row>
    <row r="55" spans="1:16" ht="15" customHeight="1">
      <c r="A55" s="8" t="s">
        <v>48</v>
      </c>
      <c r="B55" s="9"/>
      <c r="C55" s="23"/>
      <c r="D55" s="18"/>
      <c r="E55" s="45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5"/>
    </row>
    <row r="56" spans="1:16">
      <c r="A56" s="64" t="s">
        <v>39</v>
      </c>
      <c r="B56" s="65"/>
      <c r="C56" s="97"/>
      <c r="D56" s="32" t="s">
        <v>104</v>
      </c>
      <c r="E56" s="108"/>
      <c r="F56" s="17">
        <v>33</v>
      </c>
      <c r="G56" s="17">
        <v>33</v>
      </c>
      <c r="H56" s="17">
        <v>66</v>
      </c>
      <c r="I56" s="17">
        <v>1</v>
      </c>
      <c r="J56" s="17">
        <v>1</v>
      </c>
      <c r="K56" s="17">
        <v>1</v>
      </c>
      <c r="L56" s="17">
        <v>0</v>
      </c>
      <c r="M56" s="17">
        <v>3</v>
      </c>
      <c r="N56" s="47">
        <v>2</v>
      </c>
      <c r="O56" s="47">
        <v>10</v>
      </c>
      <c r="P56" s="41">
        <v>4724.416666666667</v>
      </c>
    </row>
    <row r="57" spans="1:16">
      <c r="A57" s="24"/>
      <c r="B57" s="21" t="s">
        <v>55</v>
      </c>
      <c r="C57" s="95"/>
      <c r="D57" s="32" t="s">
        <v>106</v>
      </c>
      <c r="E57" s="108"/>
      <c r="F57" s="17">
        <v>33</v>
      </c>
      <c r="G57" s="17">
        <v>33</v>
      </c>
      <c r="H57" s="17">
        <v>66</v>
      </c>
      <c r="I57" s="17">
        <v>0</v>
      </c>
      <c r="J57" s="17">
        <v>0</v>
      </c>
      <c r="K57" s="17">
        <v>0</v>
      </c>
      <c r="L57" s="17">
        <v>0</v>
      </c>
      <c r="M57" s="17">
        <v>0</v>
      </c>
      <c r="N57" s="49">
        <v>0</v>
      </c>
      <c r="O57" s="49">
        <v>0</v>
      </c>
      <c r="P57" s="41">
        <v>0</v>
      </c>
    </row>
    <row r="58" spans="1:16">
      <c r="A58" s="24"/>
      <c r="B58" s="21" t="s">
        <v>54</v>
      </c>
      <c r="C58" s="95"/>
      <c r="D58" s="32" t="s">
        <v>105</v>
      </c>
      <c r="E58" s="108"/>
      <c r="F58" s="17">
        <v>33</v>
      </c>
      <c r="G58" s="17">
        <v>33</v>
      </c>
      <c r="H58" s="17">
        <v>66</v>
      </c>
      <c r="I58" s="17">
        <v>0</v>
      </c>
      <c r="J58" s="17">
        <v>7</v>
      </c>
      <c r="K58" s="17">
        <v>4</v>
      </c>
      <c r="L58" s="17">
        <v>2</v>
      </c>
      <c r="M58" s="17">
        <v>13</v>
      </c>
      <c r="N58" s="47">
        <v>5</v>
      </c>
      <c r="O58" s="47">
        <v>25</v>
      </c>
      <c r="P58" s="41">
        <v>0</v>
      </c>
    </row>
    <row r="59" spans="1:16">
      <c r="A59" s="72" t="s">
        <v>119</v>
      </c>
      <c r="B59" s="73"/>
      <c r="C59" s="98"/>
      <c r="D59" s="14"/>
      <c r="E59" s="108"/>
      <c r="F59" s="17">
        <v>33</v>
      </c>
      <c r="G59" s="17">
        <v>33</v>
      </c>
      <c r="H59" s="17">
        <v>66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49">
        <v>0</v>
      </c>
      <c r="O59" s="49">
        <v>0</v>
      </c>
      <c r="P59" s="41">
        <v>4052.8226666666669</v>
      </c>
    </row>
    <row r="60" spans="1:16">
      <c r="A60" s="24"/>
      <c r="B60" s="25" t="s">
        <v>127</v>
      </c>
      <c r="C60" s="25"/>
      <c r="D60" s="14"/>
      <c r="E60" s="108"/>
      <c r="F60" s="17">
        <v>33</v>
      </c>
      <c r="G60" s="17">
        <v>33</v>
      </c>
      <c r="H60" s="17">
        <v>66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49">
        <v>0</v>
      </c>
      <c r="O60" s="49">
        <v>0</v>
      </c>
      <c r="P60" s="41">
        <v>0</v>
      </c>
    </row>
    <row r="61" spans="1:16">
      <c r="A61" s="24"/>
      <c r="B61" s="25" t="s">
        <v>128</v>
      </c>
      <c r="C61" s="25"/>
      <c r="D61" s="14"/>
      <c r="E61" s="108"/>
      <c r="F61" s="17">
        <v>33</v>
      </c>
      <c r="G61" s="17">
        <v>33</v>
      </c>
      <c r="H61" s="17">
        <v>66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49">
        <v>0</v>
      </c>
      <c r="O61" s="49">
        <v>0</v>
      </c>
      <c r="P61" s="41">
        <v>0</v>
      </c>
    </row>
    <row r="62" spans="1:16">
      <c r="A62" s="64" t="s">
        <v>40</v>
      </c>
      <c r="B62" s="65"/>
      <c r="C62" s="97"/>
      <c r="D62" s="32" t="s">
        <v>107</v>
      </c>
      <c r="E62" s="108"/>
      <c r="F62" s="17">
        <v>66</v>
      </c>
      <c r="G62" s="17">
        <v>66</v>
      </c>
      <c r="H62" s="17">
        <v>132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49">
        <v>0</v>
      </c>
      <c r="O62" s="49">
        <v>0</v>
      </c>
      <c r="P62" s="41">
        <v>5596.6166666666668</v>
      </c>
    </row>
    <row r="63" spans="1:16">
      <c r="A63" s="26"/>
      <c r="B63" s="21" t="s">
        <v>52</v>
      </c>
      <c r="C63" s="95"/>
      <c r="D63" s="32" t="s">
        <v>108</v>
      </c>
      <c r="E63" s="108"/>
      <c r="F63" s="17">
        <v>66</v>
      </c>
      <c r="G63" s="17">
        <v>66</v>
      </c>
      <c r="H63" s="17">
        <v>132</v>
      </c>
      <c r="I63" s="17">
        <v>0</v>
      </c>
      <c r="J63" s="17">
        <v>0</v>
      </c>
      <c r="K63" s="17">
        <v>0</v>
      </c>
      <c r="L63" s="17">
        <v>1</v>
      </c>
      <c r="M63" s="17">
        <v>1</v>
      </c>
      <c r="N63" s="47">
        <v>2</v>
      </c>
      <c r="O63" s="47">
        <v>10</v>
      </c>
      <c r="P63" s="41">
        <v>0</v>
      </c>
    </row>
    <row r="64" spans="1:16">
      <c r="A64" s="26"/>
      <c r="B64" s="21" t="s">
        <v>53</v>
      </c>
      <c r="C64" s="95"/>
      <c r="D64" s="32" t="s">
        <v>109</v>
      </c>
      <c r="E64" s="108"/>
      <c r="F64" s="17">
        <v>66</v>
      </c>
      <c r="G64" s="17">
        <v>66</v>
      </c>
      <c r="H64" s="17">
        <v>132</v>
      </c>
      <c r="I64" s="17">
        <v>4</v>
      </c>
      <c r="J64" s="17">
        <v>1</v>
      </c>
      <c r="K64" s="17">
        <v>2</v>
      </c>
      <c r="L64" s="17">
        <v>6</v>
      </c>
      <c r="M64" s="17">
        <v>13</v>
      </c>
      <c r="N64" s="47">
        <v>5</v>
      </c>
      <c r="O64" s="47">
        <v>25</v>
      </c>
      <c r="P64" s="41">
        <v>0</v>
      </c>
    </row>
    <row r="65" spans="1:16">
      <c r="A65" s="74" t="s">
        <v>49</v>
      </c>
      <c r="B65" s="75"/>
      <c r="C65" s="99"/>
      <c r="D65" s="35"/>
      <c r="E65" s="45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5"/>
    </row>
    <row r="66" spans="1:16" ht="28">
      <c r="A66" s="85" t="s">
        <v>50</v>
      </c>
      <c r="B66" s="86"/>
      <c r="C66" s="100"/>
      <c r="D66" s="33" t="s">
        <v>86</v>
      </c>
      <c r="E66" s="108"/>
      <c r="F66" s="17">
        <v>33</v>
      </c>
      <c r="G66" s="17">
        <v>33</v>
      </c>
      <c r="H66" s="17">
        <v>66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49">
        <v>0</v>
      </c>
      <c r="O66" s="49">
        <v>0</v>
      </c>
      <c r="P66" s="41">
        <v>901.2733333333332</v>
      </c>
    </row>
    <row r="67" spans="1:16">
      <c r="A67" s="27"/>
      <c r="B67" s="28" t="s">
        <v>112</v>
      </c>
      <c r="C67" s="100"/>
      <c r="D67" s="33"/>
      <c r="E67" s="108"/>
      <c r="F67" s="17">
        <v>33</v>
      </c>
      <c r="G67" s="17">
        <v>33</v>
      </c>
      <c r="H67" s="17">
        <v>66</v>
      </c>
      <c r="I67" s="17">
        <v>0</v>
      </c>
      <c r="J67" s="17">
        <v>0</v>
      </c>
      <c r="K67" s="17">
        <v>1</v>
      </c>
      <c r="L67" s="17">
        <v>1</v>
      </c>
      <c r="M67" s="17">
        <v>2</v>
      </c>
      <c r="N67" s="47">
        <v>2</v>
      </c>
      <c r="O67" s="47">
        <v>10</v>
      </c>
      <c r="P67" s="41">
        <v>0</v>
      </c>
    </row>
    <row r="68" spans="1:16">
      <c r="A68" s="27"/>
      <c r="B68" s="28" t="s">
        <v>113</v>
      </c>
      <c r="C68" s="100"/>
      <c r="D68" s="33"/>
      <c r="E68" s="108"/>
      <c r="F68" s="17">
        <v>33</v>
      </c>
      <c r="G68" s="17">
        <v>33</v>
      </c>
      <c r="H68" s="17">
        <v>66</v>
      </c>
      <c r="I68" s="17">
        <v>0</v>
      </c>
      <c r="J68" s="17">
        <v>0</v>
      </c>
      <c r="K68" s="17">
        <v>0</v>
      </c>
      <c r="L68" s="17">
        <v>2</v>
      </c>
      <c r="M68" s="17">
        <v>2</v>
      </c>
      <c r="N68" s="47">
        <v>2</v>
      </c>
      <c r="O68" s="47">
        <v>10</v>
      </c>
      <c r="P68" s="41">
        <v>0</v>
      </c>
    </row>
    <row r="69" spans="1:16" ht="15" thickBot="1">
      <c r="A69" s="87" t="s">
        <v>51</v>
      </c>
      <c r="B69" s="88"/>
      <c r="C69" s="101"/>
      <c r="D69" s="36" t="s">
        <v>87</v>
      </c>
      <c r="E69" s="108"/>
      <c r="F69" s="17">
        <v>66</v>
      </c>
      <c r="G69" s="17">
        <v>66</v>
      </c>
      <c r="H69" s="17">
        <v>132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49">
        <v>0</v>
      </c>
      <c r="O69" s="49">
        <v>0</v>
      </c>
      <c r="P69" s="41">
        <v>905.63433333333319</v>
      </c>
    </row>
    <row r="70" spans="1:16" ht="16" hidden="1">
      <c r="A70" s="89" t="s">
        <v>115</v>
      </c>
      <c r="B70" s="90"/>
      <c r="C70" s="102"/>
      <c r="D70" s="37"/>
      <c r="E70" s="104"/>
      <c r="F70" s="42"/>
      <c r="G70" s="42"/>
      <c r="H70" s="42"/>
      <c r="I70" s="42"/>
      <c r="J70" s="42"/>
      <c r="K70" s="42"/>
      <c r="L70" s="42"/>
      <c r="M70" s="42"/>
      <c r="N70" s="42"/>
      <c r="O70" s="42">
        <f t="shared" ref="O70:O72" si="0">N70*5</f>
        <v>0</v>
      </c>
      <c r="P70" s="39" t="e">
        <f>#REF!*1.7444</f>
        <v>#REF!</v>
      </c>
    </row>
    <row r="71" spans="1:16" ht="16" hidden="1">
      <c r="A71" s="68" t="s">
        <v>116</v>
      </c>
      <c r="B71" s="69"/>
      <c r="C71" s="102"/>
      <c r="D71" s="37"/>
      <c r="E71" s="104"/>
      <c r="F71" s="42"/>
      <c r="G71" s="42"/>
      <c r="H71" s="42"/>
      <c r="I71" s="42"/>
      <c r="J71" s="42"/>
      <c r="K71" s="42"/>
      <c r="L71" s="42"/>
      <c r="M71" s="42"/>
      <c r="N71" s="42"/>
      <c r="O71" s="42">
        <f t="shared" si="0"/>
        <v>0</v>
      </c>
      <c r="P71" s="39" t="e">
        <f>#REF!*1.7444</f>
        <v>#REF!</v>
      </c>
    </row>
    <row r="72" spans="1:16" ht="16.5" hidden="1" thickBot="1">
      <c r="A72" s="70" t="s">
        <v>117</v>
      </c>
      <c r="B72" s="71"/>
      <c r="C72" s="103"/>
      <c r="D72" s="38"/>
      <c r="E72" s="104"/>
      <c r="F72" s="42"/>
      <c r="G72" s="42"/>
      <c r="H72" s="42"/>
      <c r="I72" s="42"/>
      <c r="J72" s="42"/>
      <c r="K72" s="42"/>
      <c r="L72" s="42"/>
      <c r="M72" s="42"/>
      <c r="N72" s="42"/>
      <c r="O72" s="42">
        <f t="shared" si="0"/>
        <v>0</v>
      </c>
      <c r="P72" s="39" t="e">
        <f>#REF!*1.7444</f>
        <v>#REF!</v>
      </c>
    </row>
    <row r="73" spans="1:16">
      <c r="A73" s="10"/>
      <c r="B73" s="10"/>
      <c r="C73" s="10"/>
      <c r="D73" s="11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58"/>
    </row>
    <row r="74" spans="1:16">
      <c r="K74" s="57"/>
      <c r="L74" s="57"/>
      <c r="M74" s="57"/>
      <c r="N74" s="57"/>
    </row>
  </sheetData>
  <mergeCells count="25">
    <mergeCell ref="F3:H3"/>
    <mergeCell ref="A66:B66"/>
    <mergeCell ref="A69:B69"/>
    <mergeCell ref="A70:B70"/>
    <mergeCell ref="C3:C4"/>
    <mergeCell ref="A72:B72"/>
    <mergeCell ref="A51:B51"/>
    <mergeCell ref="A52:B52"/>
    <mergeCell ref="A56:B56"/>
    <mergeCell ref="A59:B59"/>
    <mergeCell ref="A62:B62"/>
    <mergeCell ref="A65:B65"/>
    <mergeCell ref="A41:B41"/>
    <mergeCell ref="A42:B42"/>
    <mergeCell ref="A48:B48"/>
    <mergeCell ref="A49:B49"/>
    <mergeCell ref="A71:B71"/>
    <mergeCell ref="A50:B50"/>
    <mergeCell ref="A25:B25"/>
    <mergeCell ref="A30:B30"/>
    <mergeCell ref="A31:B31"/>
    <mergeCell ref="A32:B32"/>
    <mergeCell ref="A6:B6"/>
    <mergeCell ref="A3:B4"/>
    <mergeCell ref="D3:D4"/>
  </mergeCells>
  <pageMargins left="0.7" right="0.7" top="0.75" bottom="0.75" header="0.3" footer="0.3"/>
  <pageSetup scale="97" fitToHeight="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Parts List</vt:lpstr>
      <vt:lpstr>'Parts List'!Print_Area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SPeck</dc:creator>
  <cp:lastModifiedBy>Sean Lee</cp:lastModifiedBy>
  <cp:lastPrinted>2019-10-28T18:41:42Z</cp:lastPrinted>
  <dcterms:created xsi:type="dcterms:W3CDTF">2019-05-09T18:01:49Z</dcterms:created>
  <dcterms:modified xsi:type="dcterms:W3CDTF">2019-10-29T21:29:43Z</dcterms:modified>
</cp:coreProperties>
</file>