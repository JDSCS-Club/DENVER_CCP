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JH\Documents\3-수리결과보고서\DENVER 수리결과 보고서\"/>
    </mc:Choice>
  </mc:AlternateContent>
  <bookViews>
    <workbookView xWindow="0" yWindow="0" windowWidth="25200" windowHeight="12195" activeTab="1"/>
  </bookViews>
  <sheets>
    <sheet name="수리 LIST" sheetId="1" r:id="rId1"/>
    <sheet name="원인별 수량" sheetId="2" r:id="rId2"/>
  </sheets>
  <definedNames>
    <definedName name="_xlnm._FilterDatabase" localSheetId="0" hidden="1">'수리 LIST'!$A$3:$L$68</definedName>
    <definedName name="_xlnm.Print_Titles" localSheetId="0">'수리 LIST'!$1:$3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2" l="1"/>
  <c r="K15" i="2"/>
  <c r="K6" i="2"/>
  <c r="K7" i="2"/>
  <c r="K8" i="2"/>
  <c r="K9" i="2"/>
  <c r="K10" i="2"/>
  <c r="K11" i="2"/>
  <c r="K12" i="2"/>
  <c r="K13" i="2"/>
  <c r="K14" i="2"/>
  <c r="K5" i="2"/>
  <c r="D15" i="2" l="1"/>
  <c r="E15" i="2"/>
  <c r="F15" i="2"/>
  <c r="G15" i="2"/>
  <c r="H15" i="2"/>
  <c r="J15" i="2"/>
  <c r="C15" i="2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</calcChain>
</file>

<file path=xl/sharedStrings.xml><?xml version="1.0" encoding="utf-8"?>
<sst xmlns="http://schemas.openxmlformats.org/spreadsheetml/2006/main" count="547" uniqueCount="214">
  <si>
    <t>NO</t>
    <phoneticPr fontId="1" type="noConversion"/>
  </si>
  <si>
    <t>PROJECT</t>
    <phoneticPr fontId="1" type="noConversion"/>
  </si>
  <si>
    <t>NCR #</t>
    <phoneticPr fontId="1" type="noConversion"/>
  </si>
  <si>
    <t>BOARD</t>
    <phoneticPr fontId="1" type="noConversion"/>
  </si>
  <si>
    <t>SERIAL</t>
    <phoneticPr fontId="1" type="noConversion"/>
  </si>
  <si>
    <t>현상</t>
    <phoneticPr fontId="1" type="noConversion"/>
  </si>
  <si>
    <t>원인 ( 문제점 )</t>
    <phoneticPr fontId="1" type="noConversion"/>
  </si>
  <si>
    <t>접수일</t>
    <phoneticPr fontId="1" type="noConversion"/>
  </si>
  <si>
    <t>조치내용</t>
    <phoneticPr fontId="1" type="noConversion"/>
  </si>
  <si>
    <t>조치 결과</t>
    <phoneticPr fontId="1" type="noConversion"/>
  </si>
  <si>
    <t>DENVER</t>
    <phoneticPr fontId="1" type="noConversion"/>
  </si>
  <si>
    <t>2016.12.10</t>
    <phoneticPr fontId="1" type="noConversion"/>
  </si>
  <si>
    <t>MCU</t>
    <phoneticPr fontId="1" type="noConversion"/>
  </si>
  <si>
    <t>비상호출 방송메세지 출력 불량</t>
    <phoneticPr fontId="1" type="noConversion"/>
  </si>
  <si>
    <t>USB 납땜 불량에 의한 USB 인식 불량</t>
    <phoneticPr fontId="1" type="noConversion"/>
  </si>
  <si>
    <t>USB 재 납땜</t>
    <phoneticPr fontId="1" type="noConversion"/>
  </si>
  <si>
    <t>작업불량</t>
    <phoneticPr fontId="1" type="noConversion"/>
  </si>
  <si>
    <t>불량 구분</t>
    <phoneticPr fontId="1" type="noConversion"/>
  </si>
  <si>
    <t>완료</t>
    <phoneticPr fontId="1" type="noConversion"/>
  </si>
  <si>
    <t>비고</t>
    <phoneticPr fontId="1" type="noConversion"/>
  </si>
  <si>
    <t>2017.01.03</t>
    <phoneticPr fontId="1" type="noConversion"/>
  </si>
  <si>
    <t>INT</t>
    <phoneticPr fontId="1" type="noConversion"/>
  </si>
  <si>
    <t>PEI 동작시 CAB ANNOUNCEMENT 출력 불량</t>
    <phoneticPr fontId="1" type="noConversion"/>
  </si>
  <si>
    <t>불명</t>
    <phoneticPr fontId="1" type="noConversion"/>
  </si>
  <si>
    <t>단품 재시험</t>
    <phoneticPr fontId="1" type="noConversion"/>
  </si>
  <si>
    <t>회송</t>
    <phoneticPr fontId="1" type="noConversion"/>
  </si>
  <si>
    <t>불명</t>
    <phoneticPr fontId="1" type="noConversion"/>
  </si>
  <si>
    <t>U3 특성 불량 ( 소자 불량 및 소손 )</t>
    <phoneticPr fontId="1" type="noConversion"/>
  </si>
  <si>
    <t>PA 방송 않됨 ( 수동방송 불량 )</t>
    <phoneticPr fontId="1" type="noConversion"/>
  </si>
  <si>
    <t>U3 교체, 단품 시험, 기능시험</t>
    <phoneticPr fontId="1" type="noConversion"/>
  </si>
  <si>
    <t>완료</t>
    <phoneticPr fontId="1" type="noConversion"/>
  </si>
  <si>
    <t>DENVER A/S LIST</t>
    <phoneticPr fontId="1" type="noConversion"/>
  </si>
  <si>
    <t>2017.03.09</t>
    <phoneticPr fontId="1" type="noConversion"/>
  </si>
  <si>
    <t>DPO</t>
    <phoneticPr fontId="1" type="noConversion"/>
  </si>
  <si>
    <t>DPO - PEI 간 통화 불량</t>
    <phoneticPr fontId="1" type="noConversion"/>
  </si>
  <si>
    <t>D5 PTZ-6.2B 불량</t>
    <phoneticPr fontId="1" type="noConversion"/>
  </si>
  <si>
    <t>D5, U6 교체 및 단품 시험</t>
    <phoneticPr fontId="1" type="noConversion"/>
  </si>
  <si>
    <t>2017.03.09</t>
    <phoneticPr fontId="1" type="noConversion"/>
  </si>
  <si>
    <t>PEI</t>
    <phoneticPr fontId="1" type="noConversion"/>
  </si>
  <si>
    <t xml:space="preserve"> PEI 동작 않함</t>
    <phoneticPr fontId="1" type="noConversion"/>
  </si>
  <si>
    <t>U16 (SPS1R5-24-12) 불량
전원 불안 의심</t>
    <phoneticPr fontId="1" type="noConversion"/>
  </si>
  <si>
    <t>U16 교체 및 단품 시험</t>
    <phoneticPr fontId="1" type="noConversion"/>
  </si>
  <si>
    <t>불명</t>
    <phoneticPr fontId="1" type="noConversion"/>
  </si>
  <si>
    <t>2017.04.25</t>
    <phoneticPr fontId="1" type="noConversion"/>
  </si>
  <si>
    <t>RS485</t>
    <phoneticPr fontId="1" type="noConversion"/>
  </si>
  <si>
    <t>PCB 소손</t>
    <phoneticPr fontId="1" type="noConversion"/>
  </si>
  <si>
    <t>R391,R392 소손, 37.5V 전원에 이상전압 추정</t>
    <phoneticPr fontId="1" type="noConversion"/>
  </si>
  <si>
    <t>R391,R392 교체 및 단품시험</t>
    <phoneticPr fontId="1" type="noConversion"/>
  </si>
  <si>
    <t>완료</t>
    <phoneticPr fontId="1" type="noConversion"/>
  </si>
  <si>
    <t>2017.05.15</t>
    <phoneticPr fontId="1" type="noConversion"/>
  </si>
  <si>
    <t>4056 호차 CCP 화면내 간헐적 통신 고장</t>
    <phoneticPr fontId="1" type="noConversion"/>
  </si>
  <si>
    <t>불명</t>
    <phoneticPr fontId="1" type="noConversion"/>
  </si>
  <si>
    <t>우진 시험랙 시험시 정상</t>
    <phoneticPr fontId="1" type="noConversion"/>
  </si>
  <si>
    <t>회송</t>
    <phoneticPr fontId="1" type="noConversion"/>
  </si>
  <si>
    <t>음원 파일은 있으나 재상 않됨 (운전자 통화음은 재생됨 ), 음원파일 소손됨.</t>
    <phoneticPr fontId="1" type="noConversion"/>
  </si>
  <si>
    <t>음원파일 재 다운로드 및 단품시험
우진 시험랙에서 기능 시험 확인</t>
    <phoneticPr fontId="1" type="noConversion"/>
  </si>
  <si>
    <t>2017.05.15</t>
    <phoneticPr fontId="1" type="noConversion"/>
  </si>
  <si>
    <t>불명</t>
    <phoneticPr fontId="1" type="noConversion"/>
  </si>
  <si>
    <t>프로그램 확인 및 우진 시험랙에서 
기능시험 확인</t>
    <phoneticPr fontId="1" type="noConversion"/>
  </si>
  <si>
    <t>불명</t>
    <phoneticPr fontId="1" type="noConversion"/>
  </si>
  <si>
    <t>회송</t>
    <phoneticPr fontId="1" type="noConversion"/>
  </si>
  <si>
    <t>음성 입/출력 불량</t>
    <phoneticPr fontId="1" type="noConversion"/>
  </si>
  <si>
    <t>U3 동작 불량 ( MP7720 )</t>
    <phoneticPr fontId="1" type="noConversion"/>
  </si>
  <si>
    <t>U3 교체, 단품 시험, 우진시험랙 기능시험 확인</t>
    <phoneticPr fontId="1" type="noConversion"/>
  </si>
  <si>
    <t>2017.05.15</t>
    <phoneticPr fontId="1" type="noConversion"/>
  </si>
  <si>
    <t>PEI</t>
    <phoneticPr fontId="1" type="noConversion"/>
  </si>
  <si>
    <t>4063 호차 운전실과 대화 않됨.</t>
    <phoneticPr fontId="1" type="noConversion"/>
  </si>
  <si>
    <t>DPH</t>
    <phoneticPr fontId="1" type="noConversion"/>
  </si>
  <si>
    <t>4056 호차 내부 배선 G,H,T 핀 접지됨</t>
    <phoneticPr fontId="1" type="noConversion"/>
  </si>
  <si>
    <t>MIC - GND 배선과 CASE 배선 도통됨.</t>
    <phoneticPr fontId="1" type="noConversion"/>
  </si>
  <si>
    <t>우진산전 배선 수정후 정상</t>
    <phoneticPr fontId="1" type="noConversion"/>
  </si>
  <si>
    <t>오배선</t>
    <phoneticPr fontId="1" type="noConversion"/>
  </si>
  <si>
    <t>4056 호차 CCP 화면내 간헐적 통신 고장</t>
    <phoneticPr fontId="1" type="noConversion"/>
  </si>
  <si>
    <t>U75 (MAX1480) 동작 불량 (IC 불량으로 판단됨)</t>
    <phoneticPr fontId="1" type="noConversion"/>
  </si>
  <si>
    <t>U75 교체 후 정상동작, 
우진산전 시험랙 기능시험 시 정상</t>
    <phoneticPr fontId="1" type="noConversion"/>
  </si>
  <si>
    <t>자재 불량</t>
    <phoneticPr fontId="1" type="noConversion"/>
  </si>
  <si>
    <t>2017.05.15</t>
    <phoneticPr fontId="1" type="noConversion"/>
  </si>
  <si>
    <t>INT</t>
    <phoneticPr fontId="1" type="noConversion"/>
  </si>
  <si>
    <t>4056 호차 운전실 선두차 점유 및
중련된 4063,4064 객식 인터폰 동작 점검 후 CANCLE 않됨</t>
    <phoneticPr fontId="1" type="noConversion"/>
  </si>
  <si>
    <t>MCU</t>
    <phoneticPr fontId="1" type="noConversion"/>
  </si>
  <si>
    <t>PEI 동작시 CAB ANNOUNCEMENT 출력 불량</t>
    <phoneticPr fontId="1" type="noConversion"/>
  </si>
  <si>
    <t>USB 내 음원파일 삭제되어 있음</t>
    <phoneticPr fontId="1" type="noConversion"/>
  </si>
  <si>
    <t>DPO</t>
    <phoneticPr fontId="1" type="noConversion"/>
  </si>
  <si>
    <t>4047호 DPO 와 PEI 통화 불량</t>
    <phoneticPr fontId="1" type="noConversion"/>
  </si>
  <si>
    <t>4063 호차 PEI 동작시 대화 않됨</t>
    <phoneticPr fontId="1" type="noConversion"/>
  </si>
  <si>
    <t>U1 (MP7720) 동작 불량</t>
    <phoneticPr fontId="1" type="noConversion"/>
  </si>
  <si>
    <t>U1 교체 및 단품시험,
우진 시험랙 시험시 정상</t>
    <phoneticPr fontId="1" type="noConversion"/>
  </si>
  <si>
    <t>H/W</t>
    <phoneticPr fontId="1" type="noConversion"/>
  </si>
  <si>
    <t>2017.05.15</t>
    <phoneticPr fontId="1" type="noConversion"/>
  </si>
  <si>
    <t>ABPB</t>
    <phoneticPr fontId="1" type="noConversion"/>
  </si>
  <si>
    <t>4055 호차 CRA 마더보드 소손</t>
    <phoneticPr fontId="1" type="noConversion"/>
  </si>
  <si>
    <t>불명 ( 이상전압 유입으로 의심됨 )</t>
    <phoneticPr fontId="1" type="noConversion"/>
  </si>
  <si>
    <t>수리불가</t>
    <phoneticPr fontId="1" type="noConversion"/>
  </si>
  <si>
    <t>수리불가</t>
    <phoneticPr fontId="1" type="noConversion"/>
  </si>
  <si>
    <t>2017.06.26</t>
    <phoneticPr fontId="1" type="noConversion"/>
  </si>
  <si>
    <t>PEI,IC,IS 모두 음성 출력 불량</t>
    <phoneticPr fontId="1" type="noConversion"/>
  </si>
  <si>
    <t>U3 교체 및 단품 시험</t>
    <phoneticPr fontId="1" type="noConversion"/>
  </si>
  <si>
    <t>H/W</t>
    <phoneticPr fontId="1" type="noConversion"/>
  </si>
  <si>
    <t>VOIP</t>
    <phoneticPr fontId="1" type="noConversion"/>
  </si>
  <si>
    <t>PEI-OCC 간 연결불량, PING 않됨</t>
    <phoneticPr fontId="1" type="noConversion"/>
  </si>
  <si>
    <t>초기화 설정 후 AUDIO 및 PING TEST 시 정상 확인</t>
    <phoneticPr fontId="1" type="noConversion"/>
  </si>
  <si>
    <t>완료</t>
    <phoneticPr fontId="1" type="noConversion"/>
  </si>
  <si>
    <t>VOIP</t>
    <phoneticPr fontId="1" type="noConversion"/>
  </si>
  <si>
    <t>PEI-OCC 간 연결불량</t>
    <phoneticPr fontId="1" type="noConversion"/>
  </si>
  <si>
    <t>AAB1</t>
    <phoneticPr fontId="1" type="noConversion"/>
  </si>
  <si>
    <t>실내방송 소리 않나옴</t>
    <phoneticPr fontId="1" type="noConversion"/>
  </si>
  <si>
    <t>AUDIO LEVEL 조정 불량으로 의심됨</t>
    <phoneticPr fontId="1" type="noConversion"/>
  </si>
  <si>
    <t>PCB 단품시험 및 BOARD 내 VOLUME 재 조정</t>
    <phoneticPr fontId="1" type="noConversion"/>
  </si>
  <si>
    <t>작업불량</t>
    <phoneticPr fontId="1" type="noConversion"/>
  </si>
  <si>
    <t>PEI-OCC 간 연결불량, PAC LED 동작 이상</t>
    <phoneticPr fontId="1" type="noConversion"/>
  </si>
  <si>
    <t>Q3 (2SA1298) 파손 ( RACK 삽입 시 주변과 접촉된 것으로 예상)</t>
    <phoneticPr fontId="1" type="noConversion"/>
  </si>
  <si>
    <t>Q3 교체, 단품시험</t>
    <phoneticPr fontId="1" type="noConversion"/>
  </si>
  <si>
    <t>취급부주의</t>
    <phoneticPr fontId="1" type="noConversion"/>
  </si>
  <si>
    <t>음원파일 재 다운로드 및 단품시험</t>
    <phoneticPr fontId="1" type="noConversion"/>
  </si>
  <si>
    <t>DPO</t>
    <phoneticPr fontId="1" type="noConversion"/>
  </si>
  <si>
    <t>INT</t>
    <phoneticPr fontId="1" type="noConversion"/>
  </si>
  <si>
    <t>PCB 단품시험 시 이상 없음</t>
    <phoneticPr fontId="1" type="noConversion"/>
  </si>
  <si>
    <t>SCB</t>
    <phoneticPr fontId="1" type="noConversion"/>
  </si>
  <si>
    <t>4035,4036 간 통신 불량</t>
    <phoneticPr fontId="1" type="noConversion"/>
  </si>
  <si>
    <t>MCU</t>
    <phoneticPr fontId="1" type="noConversion"/>
  </si>
  <si>
    <t>자동방송 출력 불량</t>
    <phoneticPr fontId="1" type="noConversion"/>
  </si>
  <si>
    <t>TEST PEOGEAM 에 의한 PCB 단품시험 시 이상 없음</t>
    <phoneticPr fontId="1" type="noConversion"/>
  </si>
  <si>
    <t>2017.08.24</t>
    <phoneticPr fontId="1" type="noConversion"/>
  </si>
  <si>
    <t>CAB 방송 과대 출력</t>
    <phoneticPr fontId="1" type="noConversion"/>
  </si>
  <si>
    <t>CAB 방송 불량</t>
    <phoneticPr fontId="1" type="noConversion"/>
  </si>
  <si>
    <t>DPO</t>
    <phoneticPr fontId="1" type="noConversion"/>
  </si>
  <si>
    <t>DTMF 동작 불량</t>
    <phoneticPr fontId="1" type="noConversion"/>
  </si>
  <si>
    <t>T6 소자 파손 ( 트랜스 파손 )</t>
    <phoneticPr fontId="1" type="noConversion"/>
  </si>
  <si>
    <t>T6 교체 및 단품시험</t>
    <phoneticPr fontId="1" type="noConversion"/>
  </si>
  <si>
    <t>2017.09.04</t>
    <phoneticPr fontId="1" type="noConversion"/>
  </si>
  <si>
    <t>PEI 소리 출력 불량</t>
    <phoneticPr fontId="1" type="noConversion"/>
  </si>
  <si>
    <t>J4 점퍼 휨, 점퍼 핀 빠짐 (운송/취급 시 충격에 의한 불량</t>
    <phoneticPr fontId="1" type="noConversion"/>
  </si>
  <si>
    <t>J4 수리 후 단품 시험.</t>
    <phoneticPr fontId="1" type="noConversion"/>
  </si>
  <si>
    <t>2017.09.07</t>
    <phoneticPr fontId="1" type="noConversion"/>
  </si>
  <si>
    <t>PEI 연결시 소리 출력 불량</t>
    <phoneticPr fontId="1" type="noConversion"/>
  </si>
  <si>
    <t>INT</t>
    <phoneticPr fontId="1" type="noConversion"/>
  </si>
  <si>
    <t>PEI 동작시 CAB ANNOUNCEMENT 출력 불량, PEI-OCC 간 연결 불량</t>
    <phoneticPr fontId="1" type="noConversion"/>
  </si>
  <si>
    <t>S1 교체후 단품시험 시 이상 없음</t>
    <phoneticPr fontId="1" type="noConversion"/>
  </si>
  <si>
    <t>S1 소자 소손 (RESET SW) 에 의한 동작 불량</t>
    <phoneticPr fontId="1" type="noConversion"/>
  </si>
  <si>
    <t>취급부주의</t>
    <phoneticPr fontId="1" type="noConversion"/>
  </si>
  <si>
    <t>OCC 와 연결 않됨</t>
    <phoneticPr fontId="1" type="noConversion"/>
  </si>
  <si>
    <t>DPO</t>
    <phoneticPr fontId="1" type="noConversion"/>
  </si>
  <si>
    <t>스피커 출력 불량</t>
    <phoneticPr fontId="1" type="noConversion"/>
  </si>
  <si>
    <t>스피커 출력 LEVEL 낮음 (-30 dBm)</t>
    <phoneticPr fontId="1" type="noConversion"/>
  </si>
  <si>
    <t>스피커 출력 LEVEL 조정 ( -16 dBm )</t>
    <phoneticPr fontId="1" type="noConversion"/>
  </si>
  <si>
    <t>작업불량</t>
    <phoneticPr fontId="1" type="noConversion"/>
  </si>
  <si>
    <t>AAB1</t>
    <phoneticPr fontId="1" type="noConversion"/>
  </si>
  <si>
    <t>시뮬레이션 불량</t>
    <phoneticPr fontId="1" type="noConversion"/>
  </si>
  <si>
    <t>스피커 단 저항값 조정 ( 현지값 적용 )</t>
    <phoneticPr fontId="1" type="noConversion"/>
  </si>
  <si>
    <t>스피커 출력 단 조정값 상이 ( 구형 조정값 적용됨 )</t>
    <phoneticPr fontId="1" type="noConversion"/>
  </si>
  <si>
    <t>수정사항</t>
    <phoneticPr fontId="1" type="noConversion"/>
  </si>
  <si>
    <t>VOL</t>
    <phoneticPr fontId="1" type="noConversion"/>
  </si>
  <si>
    <t>ABPB 소손에 의한 불량 의심</t>
    <phoneticPr fontId="1" type="noConversion"/>
  </si>
  <si>
    <t>운전실로 음성 전달 않됨</t>
    <phoneticPr fontId="1" type="noConversion"/>
  </si>
  <si>
    <t>스피커 출력 불량</t>
    <phoneticPr fontId="1" type="noConversion"/>
  </si>
  <si>
    <t>PEI 동작시 PEI-DPO 연결 않됨</t>
    <phoneticPr fontId="1" type="noConversion"/>
  </si>
  <si>
    <t>MCU</t>
    <phoneticPr fontId="1" type="noConversion"/>
  </si>
  <si>
    <t>2017.05.26</t>
    <phoneticPr fontId="1" type="noConversion"/>
  </si>
  <si>
    <t>2017.05.26</t>
    <phoneticPr fontId="1" type="noConversion"/>
  </si>
  <si>
    <t>2017.08.24</t>
    <phoneticPr fontId="1" type="noConversion"/>
  </si>
  <si>
    <t>2017.10.16</t>
    <phoneticPr fontId="1" type="noConversion"/>
  </si>
  <si>
    <t>2017.12.01</t>
    <phoneticPr fontId="1" type="noConversion"/>
  </si>
  <si>
    <t>2017.11.10</t>
    <phoneticPr fontId="1" type="noConversion"/>
  </si>
  <si>
    <t>2017.11.22</t>
    <phoneticPr fontId="1" type="noConversion"/>
  </si>
  <si>
    <t>2017.10.21</t>
    <phoneticPr fontId="1" type="noConversion"/>
  </si>
  <si>
    <t>2017.10.30</t>
    <phoneticPr fontId="1" type="noConversion"/>
  </si>
  <si>
    <t>2017.05.24</t>
    <phoneticPr fontId="1" type="noConversion"/>
  </si>
  <si>
    <t>MCU</t>
    <phoneticPr fontId="1" type="noConversion"/>
  </si>
  <si>
    <t>2017.10.16</t>
    <phoneticPr fontId="1" type="noConversion"/>
  </si>
  <si>
    <t>전원 ON 않됨</t>
    <phoneticPr fontId="1" type="noConversion"/>
  </si>
  <si>
    <t>U3 ( SC2C256-TQ144) 소자의 DPO 연결 LINE 소손</t>
    <phoneticPr fontId="1" type="noConversion"/>
  </si>
  <si>
    <t>회로 라인 소손에 의한 수리 불가</t>
    <phoneticPr fontId="1" type="noConversion"/>
  </si>
  <si>
    <t>수리 불가</t>
    <phoneticPr fontId="1" type="noConversion"/>
  </si>
  <si>
    <t>수리불가</t>
    <phoneticPr fontId="1" type="noConversion"/>
  </si>
  <si>
    <t>U3 ( SC2C256-TQ144) 소자의 3.3V 전원 LINE 단락 ( GND 와 합선 )</t>
    <phoneticPr fontId="1" type="noConversion"/>
  </si>
  <si>
    <t>수리 불가, PCB 교체 진행함.</t>
    <phoneticPr fontId="1" type="noConversion"/>
  </si>
  <si>
    <t>PCB 교체</t>
    <phoneticPr fontId="1" type="noConversion"/>
  </si>
  <si>
    <t>2017.10.09</t>
    <phoneticPr fontId="1" type="noConversion"/>
  </si>
  <si>
    <t>PEI-OCC 연결 불량</t>
    <phoneticPr fontId="1" type="noConversion"/>
  </si>
  <si>
    <t>2017.10.25</t>
    <phoneticPr fontId="1" type="noConversion"/>
  </si>
  <si>
    <t>2017.10.09</t>
    <phoneticPr fontId="1" type="noConversion"/>
  </si>
  <si>
    <t>X1 (H2005ANL) 소자 냉납</t>
    <phoneticPr fontId="1" type="noConversion"/>
  </si>
  <si>
    <t>X1 납땜 수리 및 단품시험</t>
    <phoneticPr fontId="1" type="noConversion"/>
  </si>
  <si>
    <t>2017.10.25</t>
    <phoneticPr fontId="1" type="noConversion"/>
  </si>
  <si>
    <t>RS485</t>
    <phoneticPr fontId="1" type="noConversion"/>
  </si>
  <si>
    <t>PCB 소손, 차량간 연결 불량</t>
    <phoneticPr fontId="1" type="noConversion"/>
  </si>
  <si>
    <t>R391,R392 소손, MAX1480 모두 미삽 상태, 전원 입력 불량에 의한 소손 추정</t>
    <phoneticPr fontId="1" type="noConversion"/>
  </si>
  <si>
    <t>2017.07.17</t>
    <phoneticPr fontId="1" type="noConversion"/>
  </si>
  <si>
    <t>중련 동작 불량</t>
    <phoneticPr fontId="1" type="noConversion"/>
  </si>
  <si>
    <t>U76 (MAX1480) 불량</t>
    <phoneticPr fontId="1" type="noConversion"/>
  </si>
  <si>
    <t>U76 교체 및 단품 시험</t>
    <phoneticPr fontId="1" type="noConversion"/>
  </si>
  <si>
    <t>완료</t>
    <phoneticPr fontId="1" type="noConversion"/>
  </si>
  <si>
    <t>2017.06.26</t>
    <phoneticPr fontId="1" type="noConversion"/>
  </si>
  <si>
    <t>자체 시험기 사용</t>
    <phoneticPr fontId="1" type="noConversion"/>
  </si>
  <si>
    <t>자체 시험기 사용</t>
    <phoneticPr fontId="1" type="noConversion"/>
  </si>
  <si>
    <t>DPO</t>
    <phoneticPr fontId="1" type="noConversion"/>
  </si>
  <si>
    <t>자재</t>
    <phoneticPr fontId="1" type="noConversion"/>
  </si>
  <si>
    <t>작업</t>
    <phoneticPr fontId="1" type="noConversion"/>
  </si>
  <si>
    <t>취급부주의</t>
    <phoneticPr fontId="1" type="noConversion"/>
  </si>
  <si>
    <t>오배선</t>
    <phoneticPr fontId="1" type="noConversion"/>
  </si>
  <si>
    <t>DPH</t>
    <phoneticPr fontId="1" type="noConversion"/>
  </si>
  <si>
    <t>수정사항
미적용</t>
    <phoneticPr fontId="1" type="noConversion"/>
  </si>
  <si>
    <t>INT</t>
    <phoneticPr fontId="1" type="noConversion"/>
  </si>
  <si>
    <t>MCU</t>
    <phoneticPr fontId="1" type="noConversion"/>
  </si>
  <si>
    <t>VOIP</t>
    <phoneticPr fontId="1" type="noConversion"/>
  </si>
  <si>
    <t>BOARD</t>
    <phoneticPr fontId="1" type="noConversion"/>
  </si>
  <si>
    <t>NO</t>
    <phoneticPr fontId="1" type="noConversion"/>
  </si>
  <si>
    <t>TOTAL</t>
    <phoneticPr fontId="1" type="noConversion"/>
  </si>
  <si>
    <t>TOTAL</t>
    <phoneticPr fontId="1" type="noConversion"/>
  </si>
  <si>
    <t>단품</t>
    <phoneticPr fontId="1" type="noConversion"/>
  </si>
  <si>
    <t>DENVER 불량 원인별 구분</t>
    <phoneticPr fontId="1" type="noConversion"/>
  </si>
  <si>
    <t>원인불명</t>
    <phoneticPr fontId="1" type="noConversion"/>
  </si>
  <si>
    <t>부품 파손</t>
    <phoneticPr fontId="1" type="noConversion"/>
  </si>
  <si>
    <t>정상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</si>
</sst>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20"/>
      <color theme="1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6"/>
  <sheetViews>
    <sheetView zoomScaleNormal="100" workbookViewId="0">
      <pane ySplit="3" topLeftCell="A4" activePane="bottomLeft" state="frozen"/>
      <selection pane="bottomLeft" activeCell="F3" sqref="F3"/>
    </sheetView>
  </sheetViews>
  <sheetFormatPr defaultRowHeight="13.5" x14ac:dyDescent="0.3"/>
  <cols>
    <col min="1" max="1" width="6.5" style="3" customWidth="1"/>
    <col min="2" max="2" width="11.5" style="1" customWidth="1"/>
    <col min="3" max="3" width="10.5" style="3" customWidth="1"/>
    <col min="4" max="4" width="9.125" style="3" customWidth="1"/>
    <col min="5" max="6" width="9" style="3"/>
    <col min="7" max="7" width="30.875" style="6" customWidth="1"/>
    <col min="8" max="8" width="28.375" style="6" customWidth="1"/>
    <col min="9" max="9" width="27.375" style="6" customWidth="1"/>
    <col min="10" max="10" width="10.625" style="3" customWidth="1"/>
    <col min="11" max="11" width="11.5" style="3" customWidth="1"/>
    <col min="12" max="12" width="13.125" style="3" customWidth="1"/>
    <col min="13" max="16384" width="9" style="1"/>
  </cols>
  <sheetData>
    <row r="1" spans="1:12" ht="25.5" x14ac:dyDescent="0.3">
      <c r="A1" s="34" t="s">
        <v>31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14.25" thickBot="1" x14ac:dyDescent="0.35">
      <c r="L2" s="3">
        <v>2017</v>
      </c>
    </row>
    <row r="3" spans="1:12" ht="24.75" customHeight="1" x14ac:dyDescent="0.3">
      <c r="A3" s="17" t="s">
        <v>0</v>
      </c>
      <c r="B3" s="18" t="s">
        <v>1</v>
      </c>
      <c r="C3" s="18" t="s">
        <v>7</v>
      </c>
      <c r="D3" s="18" t="s">
        <v>2</v>
      </c>
      <c r="E3" s="18" t="s">
        <v>3</v>
      </c>
      <c r="F3" s="18" t="s">
        <v>4</v>
      </c>
      <c r="G3" s="19" t="s">
        <v>5</v>
      </c>
      <c r="H3" s="19" t="s">
        <v>6</v>
      </c>
      <c r="I3" s="19" t="s">
        <v>8</v>
      </c>
      <c r="J3" s="18" t="s">
        <v>9</v>
      </c>
      <c r="K3" s="18" t="s">
        <v>17</v>
      </c>
      <c r="L3" s="20" t="s">
        <v>19</v>
      </c>
    </row>
    <row r="4" spans="1:12" ht="19.5" customHeight="1" x14ac:dyDescent="0.3">
      <c r="A4" s="10">
        <v>1</v>
      </c>
      <c r="B4" s="8" t="s">
        <v>10</v>
      </c>
      <c r="C4" s="7" t="s">
        <v>11</v>
      </c>
      <c r="D4" s="7"/>
      <c r="E4" s="7" t="s">
        <v>12</v>
      </c>
      <c r="F4" s="7">
        <v>13041</v>
      </c>
      <c r="G4" s="9" t="s">
        <v>13</v>
      </c>
      <c r="H4" s="9" t="s">
        <v>14</v>
      </c>
      <c r="I4" s="9" t="s">
        <v>15</v>
      </c>
      <c r="J4" s="7" t="s">
        <v>18</v>
      </c>
      <c r="K4" s="7" t="s">
        <v>16</v>
      </c>
      <c r="L4" s="15"/>
    </row>
    <row r="5" spans="1:12" ht="27.75" customHeight="1" x14ac:dyDescent="0.3">
      <c r="A5" s="10">
        <f>A4+1</f>
        <v>2</v>
      </c>
      <c r="B5" s="8" t="s">
        <v>10</v>
      </c>
      <c r="C5" s="7" t="s">
        <v>20</v>
      </c>
      <c r="D5" s="7"/>
      <c r="E5" s="7" t="s">
        <v>21</v>
      </c>
      <c r="F5" s="7">
        <v>13045</v>
      </c>
      <c r="G5" s="9" t="s">
        <v>22</v>
      </c>
      <c r="H5" s="9" t="s">
        <v>23</v>
      </c>
      <c r="I5" s="9" t="s">
        <v>24</v>
      </c>
      <c r="J5" s="7" t="s">
        <v>18</v>
      </c>
      <c r="K5" s="7" t="s">
        <v>26</v>
      </c>
      <c r="L5" s="15" t="s">
        <v>25</v>
      </c>
    </row>
    <row r="6" spans="1:12" ht="19.5" customHeight="1" x14ac:dyDescent="0.3">
      <c r="A6" s="10">
        <f t="shared" ref="A6:A68" si="0">A5+1</f>
        <v>3</v>
      </c>
      <c r="B6" s="8" t="s">
        <v>10</v>
      </c>
      <c r="C6" s="7" t="s">
        <v>20</v>
      </c>
      <c r="D6" s="7"/>
      <c r="E6" s="7" t="s">
        <v>12</v>
      </c>
      <c r="F6" s="7">
        <v>13017</v>
      </c>
      <c r="G6" s="35" t="s">
        <v>28</v>
      </c>
      <c r="H6" s="35" t="s">
        <v>27</v>
      </c>
      <c r="I6" s="35" t="s">
        <v>29</v>
      </c>
      <c r="J6" s="36" t="s">
        <v>30</v>
      </c>
      <c r="K6" s="36" t="s">
        <v>23</v>
      </c>
      <c r="L6" s="15"/>
    </row>
    <row r="7" spans="1:12" ht="19.5" customHeight="1" x14ac:dyDescent="0.3">
      <c r="A7" s="10">
        <f t="shared" si="0"/>
        <v>4</v>
      </c>
      <c r="B7" s="8" t="s">
        <v>10</v>
      </c>
      <c r="C7" s="7" t="s">
        <v>20</v>
      </c>
      <c r="D7" s="7"/>
      <c r="E7" s="7" t="s">
        <v>12</v>
      </c>
      <c r="F7" s="7">
        <v>13060</v>
      </c>
      <c r="G7" s="35"/>
      <c r="H7" s="35"/>
      <c r="I7" s="35"/>
      <c r="J7" s="36"/>
      <c r="K7" s="36"/>
      <c r="L7" s="15"/>
    </row>
    <row r="8" spans="1:12" ht="19.5" customHeight="1" x14ac:dyDescent="0.3">
      <c r="A8" s="10">
        <f t="shared" si="0"/>
        <v>5</v>
      </c>
      <c r="B8" s="8" t="s">
        <v>10</v>
      </c>
      <c r="C8" s="7" t="s">
        <v>20</v>
      </c>
      <c r="D8" s="7"/>
      <c r="E8" s="7" t="s">
        <v>12</v>
      </c>
      <c r="F8" s="7">
        <v>16001</v>
      </c>
      <c r="G8" s="35"/>
      <c r="H8" s="35"/>
      <c r="I8" s="35"/>
      <c r="J8" s="36"/>
      <c r="K8" s="36"/>
      <c r="L8" s="15"/>
    </row>
    <row r="9" spans="1:12" ht="19.5" customHeight="1" x14ac:dyDescent="0.3">
      <c r="A9" s="10">
        <f t="shared" si="0"/>
        <v>6</v>
      </c>
      <c r="B9" s="8" t="s">
        <v>10</v>
      </c>
      <c r="C9" s="7" t="s">
        <v>20</v>
      </c>
      <c r="D9" s="7"/>
      <c r="E9" s="7" t="s">
        <v>12</v>
      </c>
      <c r="F9" s="7">
        <v>13228</v>
      </c>
      <c r="G9" s="35"/>
      <c r="H9" s="35"/>
      <c r="I9" s="35"/>
      <c r="J9" s="36"/>
      <c r="K9" s="36"/>
      <c r="L9" s="15"/>
    </row>
    <row r="10" spans="1:12" ht="19.5" customHeight="1" x14ac:dyDescent="0.3">
      <c r="A10" s="10">
        <f t="shared" si="0"/>
        <v>7</v>
      </c>
      <c r="B10" s="8" t="s">
        <v>10</v>
      </c>
      <c r="C10" s="7" t="s">
        <v>20</v>
      </c>
      <c r="D10" s="7"/>
      <c r="E10" s="7" t="s">
        <v>12</v>
      </c>
      <c r="F10" s="7">
        <v>15003</v>
      </c>
      <c r="G10" s="35"/>
      <c r="H10" s="35"/>
      <c r="I10" s="35"/>
      <c r="J10" s="36"/>
      <c r="K10" s="36"/>
      <c r="L10" s="15"/>
    </row>
    <row r="11" spans="1:12" ht="19.5" customHeight="1" x14ac:dyDescent="0.3">
      <c r="A11" s="10">
        <f t="shared" si="0"/>
        <v>8</v>
      </c>
      <c r="B11" s="8" t="s">
        <v>10</v>
      </c>
      <c r="C11" s="7" t="s">
        <v>32</v>
      </c>
      <c r="D11" s="7"/>
      <c r="E11" s="7" t="s">
        <v>33</v>
      </c>
      <c r="F11" s="7">
        <v>13026</v>
      </c>
      <c r="G11" s="9" t="s">
        <v>34</v>
      </c>
      <c r="H11" s="9" t="s">
        <v>35</v>
      </c>
      <c r="I11" s="9" t="s">
        <v>36</v>
      </c>
      <c r="J11" s="7" t="s">
        <v>18</v>
      </c>
      <c r="K11" s="7" t="s">
        <v>42</v>
      </c>
      <c r="L11" s="15"/>
    </row>
    <row r="12" spans="1:12" ht="30" customHeight="1" x14ac:dyDescent="0.3">
      <c r="A12" s="10">
        <f t="shared" si="0"/>
        <v>9</v>
      </c>
      <c r="B12" s="8" t="s">
        <v>10</v>
      </c>
      <c r="C12" s="7" t="s">
        <v>37</v>
      </c>
      <c r="D12" s="7"/>
      <c r="E12" s="7" t="s">
        <v>38</v>
      </c>
      <c r="F12" s="7">
        <v>14006</v>
      </c>
      <c r="G12" s="9" t="s">
        <v>39</v>
      </c>
      <c r="H12" s="9" t="s">
        <v>40</v>
      </c>
      <c r="I12" s="9" t="s">
        <v>41</v>
      </c>
      <c r="J12" s="7" t="s">
        <v>30</v>
      </c>
      <c r="K12" s="7" t="s">
        <v>26</v>
      </c>
      <c r="L12" s="15"/>
    </row>
    <row r="13" spans="1:12" ht="29.25" customHeight="1" x14ac:dyDescent="0.3">
      <c r="A13" s="10">
        <f t="shared" si="0"/>
        <v>10</v>
      </c>
      <c r="B13" s="8" t="s">
        <v>10</v>
      </c>
      <c r="C13" s="7" t="s">
        <v>43</v>
      </c>
      <c r="D13" s="7"/>
      <c r="E13" s="7" t="s">
        <v>44</v>
      </c>
      <c r="F13" s="7">
        <v>16020</v>
      </c>
      <c r="G13" s="9" t="s">
        <v>45</v>
      </c>
      <c r="H13" s="9" t="s">
        <v>46</v>
      </c>
      <c r="I13" s="9" t="s">
        <v>47</v>
      </c>
      <c r="J13" s="7" t="s">
        <v>48</v>
      </c>
      <c r="K13" s="7" t="s">
        <v>26</v>
      </c>
      <c r="L13" s="15"/>
    </row>
    <row r="14" spans="1:12" ht="21" customHeight="1" x14ac:dyDescent="0.3">
      <c r="A14" s="10">
        <f t="shared" si="0"/>
        <v>11</v>
      </c>
      <c r="B14" s="8" t="s">
        <v>10</v>
      </c>
      <c r="C14" s="7" t="s">
        <v>49</v>
      </c>
      <c r="D14" s="7"/>
      <c r="E14" s="7" t="s">
        <v>44</v>
      </c>
      <c r="F14" s="7">
        <v>16048</v>
      </c>
      <c r="G14" s="9" t="s">
        <v>50</v>
      </c>
      <c r="H14" s="9" t="s">
        <v>51</v>
      </c>
      <c r="I14" s="9" t="s">
        <v>52</v>
      </c>
      <c r="J14" s="7" t="s">
        <v>48</v>
      </c>
      <c r="K14" s="7"/>
      <c r="L14" s="15" t="s">
        <v>53</v>
      </c>
    </row>
    <row r="15" spans="1:12" ht="33.75" customHeight="1" x14ac:dyDescent="0.3">
      <c r="A15" s="10">
        <f t="shared" si="0"/>
        <v>12</v>
      </c>
      <c r="B15" s="8" t="s">
        <v>10</v>
      </c>
      <c r="C15" s="7" t="s">
        <v>49</v>
      </c>
      <c r="D15" s="7"/>
      <c r="E15" s="7" t="s">
        <v>12</v>
      </c>
      <c r="F15" s="7">
        <v>13025</v>
      </c>
      <c r="G15" s="9" t="s">
        <v>22</v>
      </c>
      <c r="H15" s="9" t="s">
        <v>54</v>
      </c>
      <c r="I15" s="9" t="s">
        <v>55</v>
      </c>
      <c r="J15" s="7" t="s">
        <v>48</v>
      </c>
      <c r="K15" s="7" t="s">
        <v>26</v>
      </c>
      <c r="L15" s="15"/>
    </row>
    <row r="16" spans="1:12" ht="22.5" x14ac:dyDescent="0.3">
      <c r="A16" s="10">
        <f t="shared" si="0"/>
        <v>13</v>
      </c>
      <c r="B16" s="8" t="s">
        <v>10</v>
      </c>
      <c r="C16" s="7" t="s">
        <v>56</v>
      </c>
      <c r="D16" s="7"/>
      <c r="E16" s="7" t="s">
        <v>12</v>
      </c>
      <c r="F16" s="7">
        <v>13070</v>
      </c>
      <c r="G16" s="9" t="s">
        <v>22</v>
      </c>
      <c r="H16" s="9" t="s">
        <v>57</v>
      </c>
      <c r="I16" s="9" t="s">
        <v>58</v>
      </c>
      <c r="J16" s="7" t="s">
        <v>48</v>
      </c>
      <c r="K16" s="7" t="s">
        <v>59</v>
      </c>
      <c r="L16" s="15" t="s">
        <v>60</v>
      </c>
    </row>
    <row r="17" spans="1:12" ht="22.5" x14ac:dyDescent="0.3">
      <c r="A17" s="10">
        <f t="shared" si="0"/>
        <v>14</v>
      </c>
      <c r="B17" s="8" t="s">
        <v>10</v>
      </c>
      <c r="C17" s="7" t="s">
        <v>56</v>
      </c>
      <c r="D17" s="7"/>
      <c r="E17" s="7" t="s">
        <v>33</v>
      </c>
      <c r="F17" s="7">
        <v>13032</v>
      </c>
      <c r="G17" s="9" t="s">
        <v>61</v>
      </c>
      <c r="H17" s="9" t="s">
        <v>62</v>
      </c>
      <c r="I17" s="9" t="s">
        <v>63</v>
      </c>
      <c r="J17" s="7" t="s">
        <v>18</v>
      </c>
      <c r="K17" s="7" t="s">
        <v>87</v>
      </c>
      <c r="L17" s="15"/>
    </row>
    <row r="18" spans="1:12" ht="24" customHeight="1" x14ac:dyDescent="0.3">
      <c r="A18" s="10">
        <f t="shared" si="0"/>
        <v>15</v>
      </c>
      <c r="B18" s="8" t="s">
        <v>10</v>
      </c>
      <c r="C18" s="7" t="s">
        <v>64</v>
      </c>
      <c r="D18" s="7"/>
      <c r="E18" s="7" t="s">
        <v>65</v>
      </c>
      <c r="F18" s="7">
        <v>13061</v>
      </c>
      <c r="G18" s="9" t="s">
        <v>66</v>
      </c>
      <c r="H18" s="9" t="s">
        <v>26</v>
      </c>
      <c r="I18" s="9" t="s">
        <v>52</v>
      </c>
      <c r="J18" s="7" t="s">
        <v>18</v>
      </c>
      <c r="K18" s="7" t="s">
        <v>26</v>
      </c>
      <c r="L18" s="15" t="s">
        <v>53</v>
      </c>
    </row>
    <row r="19" spans="1:12" ht="24" customHeight="1" x14ac:dyDescent="0.3">
      <c r="A19" s="10">
        <f t="shared" si="0"/>
        <v>16</v>
      </c>
      <c r="B19" s="8" t="s">
        <v>10</v>
      </c>
      <c r="C19" s="7" t="s">
        <v>56</v>
      </c>
      <c r="D19" s="7"/>
      <c r="E19" s="7" t="s">
        <v>67</v>
      </c>
      <c r="F19" s="7">
        <v>13030</v>
      </c>
      <c r="G19" s="9" t="s">
        <v>68</v>
      </c>
      <c r="H19" s="9" t="s">
        <v>69</v>
      </c>
      <c r="I19" s="9" t="s">
        <v>70</v>
      </c>
      <c r="J19" s="7" t="s">
        <v>18</v>
      </c>
      <c r="K19" s="7" t="s">
        <v>71</v>
      </c>
      <c r="L19" s="15"/>
    </row>
    <row r="20" spans="1:12" ht="36.75" customHeight="1" x14ac:dyDescent="0.3">
      <c r="A20" s="10">
        <f t="shared" si="0"/>
        <v>17</v>
      </c>
      <c r="B20" s="8" t="s">
        <v>10</v>
      </c>
      <c r="C20" s="7" t="s">
        <v>56</v>
      </c>
      <c r="D20" s="7"/>
      <c r="E20" s="7" t="s">
        <v>44</v>
      </c>
      <c r="F20" s="7">
        <v>16036</v>
      </c>
      <c r="G20" s="9" t="s">
        <v>72</v>
      </c>
      <c r="H20" s="9" t="s">
        <v>73</v>
      </c>
      <c r="I20" s="9" t="s">
        <v>74</v>
      </c>
      <c r="J20" s="7" t="s">
        <v>18</v>
      </c>
      <c r="K20" s="7" t="s">
        <v>75</v>
      </c>
      <c r="L20" s="15"/>
    </row>
    <row r="21" spans="1:12" ht="47.25" customHeight="1" x14ac:dyDescent="0.3">
      <c r="A21" s="10">
        <f t="shared" si="0"/>
        <v>18</v>
      </c>
      <c r="B21" s="8" t="s">
        <v>10</v>
      </c>
      <c r="C21" s="7" t="s">
        <v>76</v>
      </c>
      <c r="D21" s="7"/>
      <c r="E21" s="7" t="s">
        <v>77</v>
      </c>
      <c r="F21" s="7">
        <v>13045</v>
      </c>
      <c r="G21" s="9" t="s">
        <v>78</v>
      </c>
      <c r="H21" s="9" t="s">
        <v>26</v>
      </c>
      <c r="I21" s="9" t="s">
        <v>52</v>
      </c>
      <c r="J21" s="7" t="s">
        <v>18</v>
      </c>
      <c r="K21" s="7" t="s">
        <v>26</v>
      </c>
      <c r="L21" s="15" t="s">
        <v>53</v>
      </c>
    </row>
    <row r="22" spans="1:12" ht="30" customHeight="1" x14ac:dyDescent="0.3">
      <c r="A22" s="10">
        <f t="shared" si="0"/>
        <v>19</v>
      </c>
      <c r="B22" s="8" t="s">
        <v>10</v>
      </c>
      <c r="C22" s="7" t="s">
        <v>76</v>
      </c>
      <c r="D22" s="7"/>
      <c r="E22" s="7" t="s">
        <v>79</v>
      </c>
      <c r="F22" s="7">
        <v>13052</v>
      </c>
      <c r="G22" s="9" t="s">
        <v>80</v>
      </c>
      <c r="H22" s="9" t="s">
        <v>26</v>
      </c>
      <c r="I22" s="9" t="s">
        <v>52</v>
      </c>
      <c r="J22" s="7" t="s">
        <v>18</v>
      </c>
      <c r="K22" s="7" t="s">
        <v>26</v>
      </c>
      <c r="L22" s="15" t="s">
        <v>53</v>
      </c>
    </row>
    <row r="23" spans="1:12" ht="32.25" customHeight="1" x14ac:dyDescent="0.3">
      <c r="A23" s="10">
        <f t="shared" si="0"/>
        <v>20</v>
      </c>
      <c r="B23" s="8" t="s">
        <v>10</v>
      </c>
      <c r="C23" s="7" t="s">
        <v>76</v>
      </c>
      <c r="D23" s="7"/>
      <c r="E23" s="7" t="s">
        <v>79</v>
      </c>
      <c r="F23" s="7">
        <v>15702</v>
      </c>
      <c r="G23" s="9" t="s">
        <v>80</v>
      </c>
      <c r="H23" s="9" t="s">
        <v>81</v>
      </c>
      <c r="I23" s="9" t="s">
        <v>55</v>
      </c>
      <c r="J23" s="7" t="s">
        <v>18</v>
      </c>
      <c r="K23" s="7" t="s">
        <v>26</v>
      </c>
      <c r="L23" s="15"/>
    </row>
    <row r="24" spans="1:12" ht="21" customHeight="1" x14ac:dyDescent="0.3">
      <c r="A24" s="10">
        <f t="shared" si="0"/>
        <v>21</v>
      </c>
      <c r="B24" s="8" t="s">
        <v>10</v>
      </c>
      <c r="C24" s="7" t="s">
        <v>76</v>
      </c>
      <c r="D24" s="7"/>
      <c r="E24" s="7" t="s">
        <v>82</v>
      </c>
      <c r="F24" s="7">
        <v>13040</v>
      </c>
      <c r="G24" s="9" t="s">
        <v>83</v>
      </c>
      <c r="H24" s="9" t="s">
        <v>23</v>
      </c>
      <c r="I24" s="9" t="s">
        <v>52</v>
      </c>
      <c r="J24" s="7" t="s">
        <v>18</v>
      </c>
      <c r="K24" s="7" t="s">
        <v>26</v>
      </c>
      <c r="L24" s="15" t="s">
        <v>53</v>
      </c>
    </row>
    <row r="25" spans="1:12" ht="30" customHeight="1" x14ac:dyDescent="0.3">
      <c r="A25" s="10">
        <f t="shared" si="0"/>
        <v>22</v>
      </c>
      <c r="B25" s="8" t="s">
        <v>10</v>
      </c>
      <c r="C25" s="7" t="s">
        <v>76</v>
      </c>
      <c r="D25" s="7"/>
      <c r="E25" s="7" t="s">
        <v>38</v>
      </c>
      <c r="F25" s="7">
        <v>170003</v>
      </c>
      <c r="G25" s="9" t="s">
        <v>84</v>
      </c>
      <c r="H25" s="9" t="s">
        <v>85</v>
      </c>
      <c r="I25" s="9" t="s">
        <v>86</v>
      </c>
      <c r="J25" s="7" t="s">
        <v>18</v>
      </c>
      <c r="K25" s="7" t="s">
        <v>87</v>
      </c>
      <c r="L25" s="15"/>
    </row>
    <row r="26" spans="1:12" ht="22.5" customHeight="1" x14ac:dyDescent="0.3">
      <c r="A26" s="10">
        <f t="shared" si="0"/>
        <v>23</v>
      </c>
      <c r="B26" s="8" t="s">
        <v>10</v>
      </c>
      <c r="C26" s="7" t="s">
        <v>88</v>
      </c>
      <c r="D26" s="7"/>
      <c r="E26" s="7" t="s">
        <v>89</v>
      </c>
      <c r="F26" s="7">
        <v>14009</v>
      </c>
      <c r="G26" s="9" t="s">
        <v>90</v>
      </c>
      <c r="H26" s="9" t="s">
        <v>91</v>
      </c>
      <c r="I26" s="9" t="s">
        <v>92</v>
      </c>
      <c r="J26" s="7"/>
      <c r="K26" s="7"/>
      <c r="L26" s="15" t="s">
        <v>93</v>
      </c>
    </row>
    <row r="27" spans="1:12" ht="21.75" customHeight="1" x14ac:dyDescent="0.3">
      <c r="A27" s="10">
        <f t="shared" si="0"/>
        <v>24</v>
      </c>
      <c r="B27" s="8" t="s">
        <v>10</v>
      </c>
      <c r="C27" s="7" t="s">
        <v>94</v>
      </c>
      <c r="D27" s="7">
        <v>479</v>
      </c>
      <c r="E27" s="7" t="s">
        <v>33</v>
      </c>
      <c r="F27" s="7">
        <v>12030</v>
      </c>
      <c r="G27" s="9" t="s">
        <v>95</v>
      </c>
      <c r="H27" s="9" t="s">
        <v>62</v>
      </c>
      <c r="I27" s="9" t="s">
        <v>96</v>
      </c>
      <c r="J27" s="7" t="s">
        <v>48</v>
      </c>
      <c r="K27" s="7" t="s">
        <v>97</v>
      </c>
      <c r="L27" s="15"/>
    </row>
    <row r="28" spans="1:12" ht="27.75" customHeight="1" x14ac:dyDescent="0.3">
      <c r="A28" s="10">
        <f t="shared" si="0"/>
        <v>25</v>
      </c>
      <c r="B28" s="8" t="s">
        <v>10</v>
      </c>
      <c r="C28" s="7" t="s">
        <v>94</v>
      </c>
      <c r="D28" s="7">
        <v>513</v>
      </c>
      <c r="E28" s="7" t="s">
        <v>98</v>
      </c>
      <c r="F28" s="7">
        <v>15703</v>
      </c>
      <c r="G28" s="9" t="s">
        <v>99</v>
      </c>
      <c r="H28" s="9" t="s">
        <v>26</v>
      </c>
      <c r="I28" s="9" t="s">
        <v>100</v>
      </c>
      <c r="J28" s="7" t="s">
        <v>101</v>
      </c>
      <c r="K28" s="7" t="s">
        <v>26</v>
      </c>
      <c r="L28" s="15"/>
    </row>
    <row r="29" spans="1:12" ht="30" customHeight="1" x14ac:dyDescent="0.3">
      <c r="A29" s="10">
        <f t="shared" si="0"/>
        <v>26</v>
      </c>
      <c r="B29" s="8" t="s">
        <v>10</v>
      </c>
      <c r="C29" s="7" t="s">
        <v>94</v>
      </c>
      <c r="D29" s="7">
        <v>490</v>
      </c>
      <c r="E29" s="7" t="s">
        <v>102</v>
      </c>
      <c r="F29" s="7">
        <v>13041</v>
      </c>
      <c r="G29" s="9" t="s">
        <v>103</v>
      </c>
      <c r="H29" s="9" t="s">
        <v>26</v>
      </c>
      <c r="I29" s="9" t="s">
        <v>100</v>
      </c>
      <c r="J29" s="7" t="s">
        <v>101</v>
      </c>
      <c r="K29" s="7" t="s">
        <v>26</v>
      </c>
      <c r="L29" s="15"/>
    </row>
    <row r="30" spans="1:12" ht="30.75" customHeight="1" x14ac:dyDescent="0.3">
      <c r="A30" s="10">
        <f t="shared" si="0"/>
        <v>27</v>
      </c>
      <c r="B30" s="8" t="s">
        <v>10</v>
      </c>
      <c r="C30" s="7" t="s">
        <v>94</v>
      </c>
      <c r="D30" s="7">
        <v>497</v>
      </c>
      <c r="E30" s="7" t="s">
        <v>104</v>
      </c>
      <c r="F30" s="7">
        <v>13041</v>
      </c>
      <c r="G30" s="9" t="s">
        <v>105</v>
      </c>
      <c r="H30" s="9" t="s">
        <v>106</v>
      </c>
      <c r="I30" s="9" t="s">
        <v>107</v>
      </c>
      <c r="J30" s="7" t="s">
        <v>18</v>
      </c>
      <c r="K30" s="7" t="s">
        <v>108</v>
      </c>
      <c r="L30" s="15"/>
    </row>
    <row r="31" spans="1:12" ht="30.75" customHeight="1" x14ac:dyDescent="0.3">
      <c r="A31" s="10">
        <f t="shared" si="0"/>
        <v>28</v>
      </c>
      <c r="B31" s="8" t="s">
        <v>10</v>
      </c>
      <c r="C31" s="7" t="s">
        <v>94</v>
      </c>
      <c r="D31" s="7">
        <v>505</v>
      </c>
      <c r="E31" s="7" t="s">
        <v>21</v>
      </c>
      <c r="F31" s="7">
        <v>12018</v>
      </c>
      <c r="G31" s="9" t="s">
        <v>109</v>
      </c>
      <c r="H31" s="9" t="s">
        <v>110</v>
      </c>
      <c r="I31" s="9" t="s">
        <v>111</v>
      </c>
      <c r="J31" s="7" t="s">
        <v>18</v>
      </c>
      <c r="K31" s="7" t="s">
        <v>112</v>
      </c>
      <c r="L31" s="15"/>
    </row>
    <row r="32" spans="1:12" ht="27.75" customHeight="1" x14ac:dyDescent="0.3">
      <c r="A32" s="10">
        <f t="shared" si="0"/>
        <v>29</v>
      </c>
      <c r="B32" s="8" t="s">
        <v>10</v>
      </c>
      <c r="C32" s="7" t="s">
        <v>94</v>
      </c>
      <c r="D32" s="7">
        <v>515</v>
      </c>
      <c r="E32" s="7" t="s">
        <v>12</v>
      </c>
      <c r="F32" s="7">
        <v>13018</v>
      </c>
      <c r="G32" s="9" t="s">
        <v>80</v>
      </c>
      <c r="H32" s="9" t="s">
        <v>54</v>
      </c>
      <c r="I32" s="9" t="s">
        <v>113</v>
      </c>
      <c r="J32" s="7" t="s">
        <v>18</v>
      </c>
      <c r="K32" s="7" t="s">
        <v>26</v>
      </c>
      <c r="L32" s="15"/>
    </row>
    <row r="33" spans="1:12" ht="24" customHeight="1" x14ac:dyDescent="0.3">
      <c r="A33" s="10">
        <f t="shared" si="0"/>
        <v>30</v>
      </c>
      <c r="B33" s="8" t="s">
        <v>10</v>
      </c>
      <c r="C33" s="7" t="s">
        <v>94</v>
      </c>
      <c r="D33" s="7">
        <v>479</v>
      </c>
      <c r="E33" s="7" t="s">
        <v>114</v>
      </c>
      <c r="F33" s="7">
        <v>170010</v>
      </c>
      <c r="G33" s="9" t="s">
        <v>95</v>
      </c>
      <c r="H33" s="9" t="s">
        <v>62</v>
      </c>
      <c r="I33" s="9" t="s">
        <v>96</v>
      </c>
      <c r="J33" s="7" t="s">
        <v>48</v>
      </c>
      <c r="K33" s="7" t="s">
        <v>97</v>
      </c>
      <c r="L33" s="15"/>
    </row>
    <row r="34" spans="1:12" ht="32.25" customHeight="1" x14ac:dyDescent="0.3">
      <c r="A34" s="10">
        <f t="shared" si="0"/>
        <v>31</v>
      </c>
      <c r="B34" s="8" t="s">
        <v>10</v>
      </c>
      <c r="C34" s="7" t="s">
        <v>94</v>
      </c>
      <c r="D34" s="7">
        <v>490</v>
      </c>
      <c r="E34" s="7" t="s">
        <v>102</v>
      </c>
      <c r="F34" s="7">
        <v>14476</v>
      </c>
      <c r="G34" s="9" t="s">
        <v>103</v>
      </c>
      <c r="H34" s="9" t="s">
        <v>26</v>
      </c>
      <c r="I34" s="9" t="s">
        <v>100</v>
      </c>
      <c r="J34" s="7" t="s">
        <v>101</v>
      </c>
      <c r="K34" s="7" t="s">
        <v>26</v>
      </c>
      <c r="L34" s="15"/>
    </row>
    <row r="35" spans="1:12" ht="33" customHeight="1" x14ac:dyDescent="0.3">
      <c r="A35" s="10">
        <f t="shared" si="0"/>
        <v>32</v>
      </c>
      <c r="B35" s="8" t="s">
        <v>10</v>
      </c>
      <c r="C35" s="7" t="s">
        <v>94</v>
      </c>
      <c r="D35" s="7">
        <v>513</v>
      </c>
      <c r="E35" s="7" t="s">
        <v>98</v>
      </c>
      <c r="F35" s="7">
        <v>13037</v>
      </c>
      <c r="G35" s="9" t="s">
        <v>99</v>
      </c>
      <c r="H35" s="9" t="s">
        <v>26</v>
      </c>
      <c r="I35" s="9" t="s">
        <v>100</v>
      </c>
      <c r="J35" s="7" t="s">
        <v>101</v>
      </c>
      <c r="K35" s="7" t="s">
        <v>26</v>
      </c>
      <c r="L35" s="15"/>
    </row>
    <row r="36" spans="1:12" ht="31.5" customHeight="1" x14ac:dyDescent="0.3">
      <c r="A36" s="10">
        <f t="shared" si="0"/>
        <v>33</v>
      </c>
      <c r="B36" s="8" t="s">
        <v>10</v>
      </c>
      <c r="C36" s="7" t="s">
        <v>94</v>
      </c>
      <c r="D36" s="7">
        <v>494</v>
      </c>
      <c r="E36" s="7" t="s">
        <v>115</v>
      </c>
      <c r="F36" s="7">
        <v>15701</v>
      </c>
      <c r="G36" s="9" t="s">
        <v>80</v>
      </c>
      <c r="H36" s="9" t="s">
        <v>26</v>
      </c>
      <c r="I36" s="9" t="s">
        <v>121</v>
      </c>
      <c r="J36" s="7" t="s">
        <v>101</v>
      </c>
      <c r="K36" s="7" t="s">
        <v>26</v>
      </c>
      <c r="L36" s="15"/>
    </row>
    <row r="37" spans="1:12" ht="22.5" customHeight="1" x14ac:dyDescent="0.3">
      <c r="A37" s="10">
        <f t="shared" si="0"/>
        <v>34</v>
      </c>
      <c r="B37" s="8" t="s">
        <v>10</v>
      </c>
      <c r="C37" s="7" t="s">
        <v>94</v>
      </c>
      <c r="D37" s="7">
        <v>499</v>
      </c>
      <c r="E37" s="7" t="s">
        <v>117</v>
      </c>
      <c r="F37" s="7">
        <v>13038</v>
      </c>
      <c r="G37" s="9" t="s">
        <v>118</v>
      </c>
      <c r="H37" s="9" t="s">
        <v>26</v>
      </c>
      <c r="I37" s="9" t="s">
        <v>116</v>
      </c>
      <c r="J37" s="7" t="s">
        <v>18</v>
      </c>
      <c r="K37" s="7" t="s">
        <v>26</v>
      </c>
      <c r="L37" s="15"/>
    </row>
    <row r="38" spans="1:12" ht="21.75" customHeight="1" x14ac:dyDescent="0.3">
      <c r="A38" s="10">
        <f t="shared" si="0"/>
        <v>35</v>
      </c>
      <c r="B38" s="8" t="s">
        <v>10</v>
      </c>
      <c r="C38" s="7" t="s">
        <v>94</v>
      </c>
      <c r="D38" s="7">
        <v>498</v>
      </c>
      <c r="E38" s="7" t="s">
        <v>119</v>
      </c>
      <c r="F38" s="7">
        <v>16001</v>
      </c>
      <c r="G38" s="9" t="s">
        <v>120</v>
      </c>
      <c r="H38" s="9" t="s">
        <v>26</v>
      </c>
      <c r="I38" s="9" t="s">
        <v>116</v>
      </c>
      <c r="J38" s="7" t="s">
        <v>18</v>
      </c>
      <c r="K38" s="7" t="s">
        <v>26</v>
      </c>
      <c r="L38" s="15"/>
    </row>
    <row r="39" spans="1:12" ht="30" customHeight="1" x14ac:dyDescent="0.3">
      <c r="A39" s="10">
        <f t="shared" si="0"/>
        <v>36</v>
      </c>
      <c r="B39" s="8" t="s">
        <v>10</v>
      </c>
      <c r="C39" s="7" t="s">
        <v>94</v>
      </c>
      <c r="D39" s="7">
        <v>540</v>
      </c>
      <c r="E39" s="7" t="s">
        <v>21</v>
      </c>
      <c r="F39" s="7">
        <v>13052</v>
      </c>
      <c r="G39" s="9" t="s">
        <v>80</v>
      </c>
      <c r="H39" s="9" t="s">
        <v>26</v>
      </c>
      <c r="I39" s="9" t="s">
        <v>121</v>
      </c>
      <c r="J39" s="7" t="s">
        <v>18</v>
      </c>
      <c r="K39" s="7" t="s">
        <v>26</v>
      </c>
      <c r="L39" s="15"/>
    </row>
    <row r="40" spans="1:12" ht="21.75" customHeight="1" x14ac:dyDescent="0.3">
      <c r="A40" s="10">
        <f t="shared" si="0"/>
        <v>37</v>
      </c>
      <c r="B40" s="8" t="s">
        <v>10</v>
      </c>
      <c r="C40" s="7" t="s">
        <v>122</v>
      </c>
      <c r="D40" s="7">
        <v>534</v>
      </c>
      <c r="E40" s="7" t="s">
        <v>79</v>
      </c>
      <c r="F40" s="7">
        <v>13049</v>
      </c>
      <c r="G40" s="9" t="s">
        <v>123</v>
      </c>
      <c r="H40" s="9" t="s">
        <v>26</v>
      </c>
      <c r="I40" s="9" t="s">
        <v>116</v>
      </c>
      <c r="J40" s="7" t="s">
        <v>18</v>
      </c>
      <c r="K40" s="7" t="s">
        <v>26</v>
      </c>
      <c r="L40" s="15"/>
    </row>
    <row r="41" spans="1:12" ht="34.5" customHeight="1" x14ac:dyDescent="0.3">
      <c r="A41" s="10">
        <f t="shared" si="0"/>
        <v>38</v>
      </c>
      <c r="B41" s="8" t="s">
        <v>10</v>
      </c>
      <c r="C41" s="7" t="s">
        <v>122</v>
      </c>
      <c r="D41" s="7">
        <v>534</v>
      </c>
      <c r="E41" s="7" t="s">
        <v>79</v>
      </c>
      <c r="F41" s="7">
        <v>13025</v>
      </c>
      <c r="G41" s="9" t="s">
        <v>124</v>
      </c>
      <c r="H41" s="9" t="s">
        <v>81</v>
      </c>
      <c r="I41" s="9" t="s">
        <v>55</v>
      </c>
      <c r="J41" s="7" t="s">
        <v>18</v>
      </c>
      <c r="K41" s="7" t="s">
        <v>26</v>
      </c>
      <c r="L41" s="15"/>
    </row>
    <row r="42" spans="1:12" ht="21.75" customHeight="1" x14ac:dyDescent="0.3">
      <c r="A42" s="10">
        <f t="shared" si="0"/>
        <v>39</v>
      </c>
      <c r="B42" s="8" t="s">
        <v>10</v>
      </c>
      <c r="C42" s="7" t="s">
        <v>122</v>
      </c>
      <c r="D42" s="7"/>
      <c r="E42" s="7" t="s">
        <v>125</v>
      </c>
      <c r="F42" s="7">
        <v>14004</v>
      </c>
      <c r="G42" s="9" t="s">
        <v>126</v>
      </c>
      <c r="H42" s="9" t="s">
        <v>127</v>
      </c>
      <c r="I42" s="9" t="s">
        <v>128</v>
      </c>
      <c r="J42" s="7" t="s">
        <v>18</v>
      </c>
      <c r="K42" s="7" t="s">
        <v>112</v>
      </c>
      <c r="L42" s="15"/>
    </row>
    <row r="43" spans="1:12" ht="30.75" customHeight="1" x14ac:dyDescent="0.3">
      <c r="A43" s="10">
        <f t="shared" si="0"/>
        <v>40</v>
      </c>
      <c r="B43" s="8" t="s">
        <v>10</v>
      </c>
      <c r="C43" s="7" t="s">
        <v>129</v>
      </c>
      <c r="D43" s="7">
        <v>532</v>
      </c>
      <c r="E43" s="7" t="s">
        <v>38</v>
      </c>
      <c r="F43" s="7">
        <v>17006</v>
      </c>
      <c r="G43" s="9" t="s">
        <v>130</v>
      </c>
      <c r="H43" s="9" t="s">
        <v>131</v>
      </c>
      <c r="I43" s="9" t="s">
        <v>132</v>
      </c>
      <c r="J43" s="7" t="s">
        <v>18</v>
      </c>
      <c r="K43" s="7" t="s">
        <v>112</v>
      </c>
      <c r="L43" s="15"/>
    </row>
    <row r="44" spans="1:12" ht="24" customHeight="1" x14ac:dyDescent="0.3">
      <c r="A44" s="10">
        <f t="shared" si="0"/>
        <v>41</v>
      </c>
      <c r="B44" s="8" t="s">
        <v>10</v>
      </c>
      <c r="C44" s="7" t="s">
        <v>133</v>
      </c>
      <c r="D44" s="7"/>
      <c r="E44" s="7" t="s">
        <v>125</v>
      </c>
      <c r="F44" s="7">
        <v>13015</v>
      </c>
      <c r="G44" s="9" t="s">
        <v>134</v>
      </c>
      <c r="H44" s="9" t="s">
        <v>62</v>
      </c>
      <c r="I44" s="9" t="s">
        <v>96</v>
      </c>
      <c r="J44" s="7" t="s">
        <v>48</v>
      </c>
      <c r="K44" s="7" t="s">
        <v>97</v>
      </c>
      <c r="L44" s="15"/>
    </row>
    <row r="45" spans="1:12" ht="33" customHeight="1" x14ac:dyDescent="0.3">
      <c r="A45" s="10">
        <f t="shared" si="0"/>
        <v>42</v>
      </c>
      <c r="B45" s="8" t="s">
        <v>10</v>
      </c>
      <c r="C45" s="7" t="s">
        <v>157</v>
      </c>
      <c r="D45" s="7">
        <v>494</v>
      </c>
      <c r="E45" s="7" t="s">
        <v>135</v>
      </c>
      <c r="F45" s="7">
        <v>13054</v>
      </c>
      <c r="G45" s="9" t="s">
        <v>80</v>
      </c>
      <c r="H45" s="9" t="s">
        <v>26</v>
      </c>
      <c r="I45" s="9" t="s">
        <v>121</v>
      </c>
      <c r="J45" s="7" t="s">
        <v>18</v>
      </c>
      <c r="K45" s="7" t="s">
        <v>26</v>
      </c>
      <c r="L45" s="15"/>
    </row>
    <row r="46" spans="1:12" ht="30.75" customHeight="1" x14ac:dyDescent="0.3">
      <c r="A46" s="10">
        <f t="shared" si="0"/>
        <v>43</v>
      </c>
      <c r="B46" s="8" t="s">
        <v>10</v>
      </c>
      <c r="C46" s="7" t="s">
        <v>158</v>
      </c>
      <c r="D46" s="7">
        <v>494</v>
      </c>
      <c r="E46" s="7" t="s">
        <v>135</v>
      </c>
      <c r="F46" s="7">
        <v>13201</v>
      </c>
      <c r="G46" s="9" t="s">
        <v>80</v>
      </c>
      <c r="H46" s="9" t="s">
        <v>26</v>
      </c>
      <c r="I46" s="9" t="s">
        <v>121</v>
      </c>
      <c r="J46" s="7" t="s">
        <v>18</v>
      </c>
      <c r="K46" s="7" t="s">
        <v>26</v>
      </c>
      <c r="L46" s="15"/>
    </row>
    <row r="47" spans="1:12" ht="30.75" customHeight="1" x14ac:dyDescent="0.3">
      <c r="A47" s="10">
        <f t="shared" si="0"/>
        <v>44</v>
      </c>
      <c r="B47" s="8" t="s">
        <v>10</v>
      </c>
      <c r="C47" s="7" t="s">
        <v>159</v>
      </c>
      <c r="D47" s="7">
        <v>555</v>
      </c>
      <c r="E47" s="7" t="s">
        <v>21</v>
      </c>
      <c r="F47" s="7">
        <v>12006</v>
      </c>
      <c r="G47" s="9" t="s">
        <v>136</v>
      </c>
      <c r="H47" s="9" t="s">
        <v>138</v>
      </c>
      <c r="I47" s="9" t="s">
        <v>137</v>
      </c>
      <c r="J47" s="7" t="s">
        <v>18</v>
      </c>
      <c r="K47" s="7" t="s">
        <v>139</v>
      </c>
      <c r="L47" s="15"/>
    </row>
    <row r="48" spans="1:12" ht="32.25" customHeight="1" x14ac:dyDescent="0.3">
      <c r="A48" s="10">
        <f t="shared" si="0"/>
        <v>45</v>
      </c>
      <c r="B48" s="8" t="s">
        <v>10</v>
      </c>
      <c r="C48" s="7" t="s">
        <v>160</v>
      </c>
      <c r="D48" s="7">
        <v>617</v>
      </c>
      <c r="E48" s="7" t="s">
        <v>21</v>
      </c>
      <c r="F48" s="7">
        <v>13024</v>
      </c>
      <c r="G48" s="9" t="s">
        <v>80</v>
      </c>
      <c r="H48" s="9" t="s">
        <v>26</v>
      </c>
      <c r="I48" s="9" t="s">
        <v>121</v>
      </c>
      <c r="J48" s="7" t="s">
        <v>18</v>
      </c>
      <c r="K48" s="7" t="s">
        <v>26</v>
      </c>
      <c r="L48" s="15"/>
    </row>
    <row r="49" spans="1:12" ht="31.5" customHeight="1" x14ac:dyDescent="0.3">
      <c r="A49" s="10">
        <f t="shared" si="0"/>
        <v>46</v>
      </c>
      <c r="B49" s="8" t="s">
        <v>10</v>
      </c>
      <c r="C49" s="7" t="s">
        <v>161</v>
      </c>
      <c r="D49" s="7">
        <v>880</v>
      </c>
      <c r="E49" s="7" t="s">
        <v>21</v>
      </c>
      <c r="F49" s="7">
        <v>15003</v>
      </c>
      <c r="G49" s="9" t="s">
        <v>140</v>
      </c>
      <c r="H49" s="9" t="s">
        <v>26</v>
      </c>
      <c r="I49" s="9" t="s">
        <v>121</v>
      </c>
      <c r="J49" s="7" t="s">
        <v>18</v>
      </c>
      <c r="K49" s="7" t="s">
        <v>26</v>
      </c>
      <c r="L49" s="15"/>
    </row>
    <row r="50" spans="1:12" ht="21" customHeight="1" x14ac:dyDescent="0.3">
      <c r="A50" s="10">
        <f t="shared" si="0"/>
        <v>47</v>
      </c>
      <c r="B50" s="8" t="s">
        <v>10</v>
      </c>
      <c r="C50" s="7" t="s">
        <v>162</v>
      </c>
      <c r="D50" s="7">
        <v>858</v>
      </c>
      <c r="E50" s="7" t="s">
        <v>141</v>
      </c>
      <c r="F50" s="7">
        <v>170010</v>
      </c>
      <c r="G50" s="9" t="s">
        <v>142</v>
      </c>
      <c r="H50" s="9" t="s">
        <v>26</v>
      </c>
      <c r="I50" s="9" t="s">
        <v>116</v>
      </c>
      <c r="J50" s="7" t="s">
        <v>18</v>
      </c>
      <c r="K50" s="7" t="s">
        <v>26</v>
      </c>
      <c r="L50" s="15"/>
    </row>
    <row r="51" spans="1:12" ht="24" customHeight="1" x14ac:dyDescent="0.3">
      <c r="A51" s="10">
        <f t="shared" si="0"/>
        <v>48</v>
      </c>
      <c r="B51" s="8" t="s">
        <v>10</v>
      </c>
      <c r="C51" s="7" t="s">
        <v>163</v>
      </c>
      <c r="D51" s="7">
        <v>875</v>
      </c>
      <c r="E51" s="7" t="s">
        <v>125</v>
      </c>
      <c r="F51" s="7">
        <v>170005</v>
      </c>
      <c r="G51" s="9" t="s">
        <v>142</v>
      </c>
      <c r="H51" s="9" t="s">
        <v>143</v>
      </c>
      <c r="I51" s="9" t="s">
        <v>144</v>
      </c>
      <c r="J51" s="7" t="s">
        <v>18</v>
      </c>
      <c r="K51" s="7" t="s">
        <v>145</v>
      </c>
      <c r="L51" s="15"/>
    </row>
    <row r="52" spans="1:12" ht="30.75" customHeight="1" x14ac:dyDescent="0.3">
      <c r="A52" s="10">
        <f t="shared" si="0"/>
        <v>49</v>
      </c>
      <c r="B52" s="8" t="s">
        <v>10</v>
      </c>
      <c r="C52" s="7" t="s">
        <v>164</v>
      </c>
      <c r="D52" s="7">
        <v>826</v>
      </c>
      <c r="E52" s="7" t="s">
        <v>146</v>
      </c>
      <c r="F52" s="7">
        <v>13046</v>
      </c>
      <c r="G52" s="9" t="s">
        <v>147</v>
      </c>
      <c r="H52" s="9" t="s">
        <v>149</v>
      </c>
      <c r="I52" s="9" t="s">
        <v>148</v>
      </c>
      <c r="J52" s="7" t="s">
        <v>18</v>
      </c>
      <c r="K52" s="7" t="s">
        <v>150</v>
      </c>
      <c r="L52" s="15"/>
    </row>
    <row r="53" spans="1:12" ht="22.5" customHeight="1" x14ac:dyDescent="0.3">
      <c r="A53" s="10">
        <f t="shared" si="0"/>
        <v>50</v>
      </c>
      <c r="B53" s="8" t="s">
        <v>10</v>
      </c>
      <c r="C53" s="7" t="s">
        <v>56</v>
      </c>
      <c r="D53" s="7">
        <v>458</v>
      </c>
      <c r="E53" s="7" t="s">
        <v>151</v>
      </c>
      <c r="F53" s="7">
        <v>15701</v>
      </c>
      <c r="G53" s="9" t="s">
        <v>152</v>
      </c>
      <c r="H53" s="9" t="s">
        <v>26</v>
      </c>
      <c r="I53" s="9" t="s">
        <v>116</v>
      </c>
      <c r="J53" s="7" t="s">
        <v>18</v>
      </c>
      <c r="K53" s="7" t="s">
        <v>26</v>
      </c>
      <c r="L53" s="15"/>
    </row>
    <row r="54" spans="1:12" ht="22.5" customHeight="1" x14ac:dyDescent="0.3">
      <c r="A54" s="10">
        <f t="shared" si="0"/>
        <v>51</v>
      </c>
      <c r="B54" s="8" t="s">
        <v>10</v>
      </c>
      <c r="C54" s="7" t="s">
        <v>76</v>
      </c>
      <c r="D54" s="7">
        <v>481</v>
      </c>
      <c r="E54" s="7" t="s">
        <v>38</v>
      </c>
      <c r="F54" s="7">
        <v>170005</v>
      </c>
      <c r="G54" s="9" t="s">
        <v>153</v>
      </c>
      <c r="H54" s="9" t="s">
        <v>26</v>
      </c>
      <c r="I54" s="9" t="s">
        <v>116</v>
      </c>
      <c r="J54" s="7" t="s">
        <v>18</v>
      </c>
      <c r="K54" s="7" t="s">
        <v>26</v>
      </c>
      <c r="L54" s="15"/>
    </row>
    <row r="55" spans="1:12" ht="22.5" customHeight="1" x14ac:dyDescent="0.3">
      <c r="A55" s="10">
        <f t="shared" si="0"/>
        <v>52</v>
      </c>
      <c r="B55" s="8" t="s">
        <v>10</v>
      </c>
      <c r="C55" s="7" t="s">
        <v>162</v>
      </c>
      <c r="D55" s="7">
        <v>857</v>
      </c>
      <c r="E55" s="7" t="s">
        <v>38</v>
      </c>
      <c r="F55" s="7">
        <v>13096</v>
      </c>
      <c r="G55" s="9" t="s">
        <v>154</v>
      </c>
      <c r="H55" s="9" t="s">
        <v>26</v>
      </c>
      <c r="I55" s="9" t="s">
        <v>116</v>
      </c>
      <c r="J55" s="7" t="s">
        <v>18</v>
      </c>
      <c r="K55" s="7" t="s">
        <v>26</v>
      </c>
      <c r="L55" s="15"/>
    </row>
    <row r="56" spans="1:12" ht="22.5" customHeight="1" x14ac:dyDescent="0.3">
      <c r="A56" s="10">
        <f t="shared" si="0"/>
        <v>53</v>
      </c>
      <c r="B56" s="8" t="s">
        <v>10</v>
      </c>
      <c r="C56" s="7" t="s">
        <v>165</v>
      </c>
      <c r="D56" s="7">
        <v>815</v>
      </c>
      <c r="E56" s="7" t="s">
        <v>38</v>
      </c>
      <c r="F56" s="7">
        <v>14001</v>
      </c>
      <c r="G56" s="9" t="s">
        <v>155</v>
      </c>
      <c r="H56" s="9" t="s">
        <v>26</v>
      </c>
      <c r="I56" s="9" t="s">
        <v>116</v>
      </c>
      <c r="J56" s="7" t="s">
        <v>18</v>
      </c>
      <c r="K56" s="7" t="s">
        <v>26</v>
      </c>
      <c r="L56" s="15"/>
    </row>
    <row r="57" spans="1:12" ht="22.5" customHeight="1" x14ac:dyDescent="0.3">
      <c r="A57" s="10">
        <f t="shared" si="0"/>
        <v>54</v>
      </c>
      <c r="B57" s="8" t="s">
        <v>10</v>
      </c>
      <c r="C57" s="7" t="s">
        <v>166</v>
      </c>
      <c r="D57" s="7">
        <v>498</v>
      </c>
      <c r="E57" s="7" t="s">
        <v>156</v>
      </c>
      <c r="F57" s="7">
        <v>14009</v>
      </c>
      <c r="G57" s="9" t="s">
        <v>120</v>
      </c>
      <c r="H57" s="9" t="s">
        <v>26</v>
      </c>
      <c r="I57" s="9" t="s">
        <v>116</v>
      </c>
      <c r="J57" s="7" t="s">
        <v>18</v>
      </c>
      <c r="K57" s="7" t="s">
        <v>26</v>
      </c>
      <c r="L57" s="15"/>
    </row>
    <row r="58" spans="1:12" ht="22.5" customHeight="1" x14ac:dyDescent="0.3">
      <c r="A58" s="10">
        <f t="shared" si="0"/>
        <v>55</v>
      </c>
      <c r="B58" s="8" t="s">
        <v>10</v>
      </c>
      <c r="C58" s="7" t="s">
        <v>160</v>
      </c>
      <c r="D58" s="7">
        <v>498</v>
      </c>
      <c r="E58" s="7" t="s">
        <v>167</v>
      </c>
      <c r="F58" s="7">
        <v>15702</v>
      </c>
      <c r="G58" s="9" t="s">
        <v>28</v>
      </c>
      <c r="H58" s="9" t="s">
        <v>26</v>
      </c>
      <c r="I58" s="9" t="s">
        <v>116</v>
      </c>
      <c r="J58" s="7" t="s">
        <v>18</v>
      </c>
      <c r="K58" s="7" t="s">
        <v>26</v>
      </c>
      <c r="L58" s="15"/>
    </row>
    <row r="59" spans="1:12" ht="31.5" customHeight="1" x14ac:dyDescent="0.3">
      <c r="A59" s="10">
        <f t="shared" si="0"/>
        <v>56</v>
      </c>
      <c r="B59" s="8" t="s">
        <v>10</v>
      </c>
      <c r="C59" s="7" t="s">
        <v>168</v>
      </c>
      <c r="D59" s="7">
        <v>498</v>
      </c>
      <c r="E59" s="7" t="s">
        <v>167</v>
      </c>
      <c r="F59" s="7">
        <v>13039</v>
      </c>
      <c r="G59" s="9" t="s">
        <v>169</v>
      </c>
      <c r="H59" s="9" t="s">
        <v>170</v>
      </c>
      <c r="I59" s="9" t="s">
        <v>171</v>
      </c>
      <c r="J59" s="7" t="s">
        <v>172</v>
      </c>
      <c r="K59" s="7" t="s">
        <v>26</v>
      </c>
      <c r="L59" s="15" t="s">
        <v>173</v>
      </c>
    </row>
    <row r="60" spans="1:12" ht="33" customHeight="1" x14ac:dyDescent="0.3">
      <c r="A60" s="10">
        <f t="shared" si="0"/>
        <v>57</v>
      </c>
      <c r="B60" s="8" t="s">
        <v>10</v>
      </c>
      <c r="C60" s="7" t="s">
        <v>160</v>
      </c>
      <c r="D60" s="7">
        <v>498</v>
      </c>
      <c r="E60" s="7" t="s">
        <v>167</v>
      </c>
      <c r="F60" s="7">
        <v>13047</v>
      </c>
      <c r="G60" s="9" t="s">
        <v>169</v>
      </c>
      <c r="H60" s="9" t="s">
        <v>174</v>
      </c>
      <c r="I60" s="9" t="s">
        <v>175</v>
      </c>
      <c r="J60" s="7" t="s">
        <v>18</v>
      </c>
      <c r="K60" s="7" t="s">
        <v>26</v>
      </c>
      <c r="L60" s="15" t="s">
        <v>176</v>
      </c>
    </row>
    <row r="61" spans="1:12" ht="19.5" customHeight="1" x14ac:dyDescent="0.3">
      <c r="A61" s="10">
        <f t="shared" si="0"/>
        <v>58</v>
      </c>
      <c r="B61" s="8" t="s">
        <v>10</v>
      </c>
      <c r="C61" s="7" t="s">
        <v>177</v>
      </c>
      <c r="D61" s="7">
        <v>813</v>
      </c>
      <c r="E61" s="7" t="s">
        <v>102</v>
      </c>
      <c r="F61" s="7">
        <v>13007</v>
      </c>
      <c r="G61" s="9" t="s">
        <v>178</v>
      </c>
      <c r="H61" s="9" t="s">
        <v>26</v>
      </c>
      <c r="I61" s="9" t="s">
        <v>116</v>
      </c>
      <c r="J61" s="7" t="s">
        <v>18</v>
      </c>
      <c r="K61" s="7" t="s">
        <v>26</v>
      </c>
      <c r="L61" s="15"/>
    </row>
    <row r="62" spans="1:12" ht="19.5" customHeight="1" x14ac:dyDescent="0.3">
      <c r="A62" s="10">
        <f t="shared" si="0"/>
        <v>59</v>
      </c>
      <c r="B62" s="8" t="s">
        <v>10</v>
      </c>
      <c r="C62" s="7" t="s">
        <v>179</v>
      </c>
      <c r="D62" s="7">
        <v>586</v>
      </c>
      <c r="E62" s="7" t="s">
        <v>102</v>
      </c>
      <c r="F62" s="7">
        <v>13026</v>
      </c>
      <c r="G62" s="9" t="s">
        <v>178</v>
      </c>
      <c r="H62" s="9" t="s">
        <v>26</v>
      </c>
      <c r="I62" s="9" t="s">
        <v>116</v>
      </c>
      <c r="J62" s="7" t="s">
        <v>18</v>
      </c>
      <c r="K62" s="7" t="s">
        <v>26</v>
      </c>
      <c r="L62" s="15"/>
    </row>
    <row r="63" spans="1:12" ht="19.5" customHeight="1" x14ac:dyDescent="0.3">
      <c r="A63" s="10">
        <f t="shared" si="0"/>
        <v>60</v>
      </c>
      <c r="B63" s="8" t="s">
        <v>10</v>
      </c>
      <c r="C63" s="7" t="s">
        <v>180</v>
      </c>
      <c r="D63" s="7">
        <v>812</v>
      </c>
      <c r="E63" s="7" t="s">
        <v>102</v>
      </c>
      <c r="F63" s="7">
        <v>14007</v>
      </c>
      <c r="G63" s="9" t="s">
        <v>178</v>
      </c>
      <c r="H63" s="9" t="s">
        <v>181</v>
      </c>
      <c r="I63" s="9" t="s">
        <v>182</v>
      </c>
      <c r="J63" s="7" t="s">
        <v>18</v>
      </c>
      <c r="K63" s="7" t="s">
        <v>108</v>
      </c>
      <c r="L63" s="15"/>
    </row>
    <row r="64" spans="1:12" ht="32.25" customHeight="1" x14ac:dyDescent="0.3">
      <c r="A64" s="10">
        <f t="shared" si="0"/>
        <v>61</v>
      </c>
      <c r="B64" s="8" t="s">
        <v>10</v>
      </c>
      <c r="C64" s="7" t="s">
        <v>183</v>
      </c>
      <c r="D64" s="7">
        <v>620</v>
      </c>
      <c r="E64" s="7" t="s">
        <v>184</v>
      </c>
      <c r="F64" s="7">
        <v>16053</v>
      </c>
      <c r="G64" s="9" t="s">
        <v>185</v>
      </c>
      <c r="H64" s="9" t="s">
        <v>186</v>
      </c>
      <c r="I64" s="9" t="s">
        <v>47</v>
      </c>
      <c r="J64" s="7" t="s">
        <v>18</v>
      </c>
      <c r="K64" s="7" t="s">
        <v>26</v>
      </c>
      <c r="L64" s="15"/>
    </row>
    <row r="65" spans="1:12" ht="20.25" customHeight="1" x14ac:dyDescent="0.3">
      <c r="A65" s="10">
        <f t="shared" si="0"/>
        <v>62</v>
      </c>
      <c r="B65" s="8" t="s">
        <v>10</v>
      </c>
      <c r="C65" s="7" t="s">
        <v>187</v>
      </c>
      <c r="D65" s="7">
        <v>556</v>
      </c>
      <c r="E65" s="7" t="s">
        <v>184</v>
      </c>
      <c r="F65" s="7">
        <v>16048</v>
      </c>
      <c r="G65" s="9" t="s">
        <v>188</v>
      </c>
      <c r="H65" s="9" t="s">
        <v>26</v>
      </c>
      <c r="I65" s="9" t="s">
        <v>116</v>
      </c>
      <c r="J65" s="7" t="s">
        <v>18</v>
      </c>
      <c r="K65" s="7" t="s">
        <v>26</v>
      </c>
      <c r="L65" s="15" t="s">
        <v>193</v>
      </c>
    </row>
    <row r="66" spans="1:12" ht="20.25" customHeight="1" x14ac:dyDescent="0.3">
      <c r="A66" s="10">
        <f t="shared" si="0"/>
        <v>63</v>
      </c>
      <c r="B66" s="8" t="s">
        <v>10</v>
      </c>
      <c r="C66" s="7" t="s">
        <v>187</v>
      </c>
      <c r="D66" s="7">
        <v>556</v>
      </c>
      <c r="E66" s="7" t="s">
        <v>184</v>
      </c>
      <c r="F66" s="7">
        <v>15810</v>
      </c>
      <c r="G66" s="9" t="s">
        <v>188</v>
      </c>
      <c r="H66" s="9" t="s">
        <v>189</v>
      </c>
      <c r="I66" s="9" t="s">
        <v>190</v>
      </c>
      <c r="J66" s="7" t="s">
        <v>191</v>
      </c>
      <c r="K66" s="7" t="s">
        <v>75</v>
      </c>
      <c r="L66" s="15"/>
    </row>
    <row r="67" spans="1:12" ht="20.25" customHeight="1" x14ac:dyDescent="0.3">
      <c r="A67" s="10">
        <f t="shared" si="0"/>
        <v>64</v>
      </c>
      <c r="B67" s="8" t="s">
        <v>10</v>
      </c>
      <c r="C67" s="7" t="s">
        <v>192</v>
      </c>
      <c r="D67" s="7">
        <v>493</v>
      </c>
      <c r="E67" s="7" t="s">
        <v>184</v>
      </c>
      <c r="F67" s="7">
        <v>16024</v>
      </c>
      <c r="G67" s="9" t="s">
        <v>188</v>
      </c>
      <c r="H67" s="9" t="s">
        <v>26</v>
      </c>
      <c r="I67" s="9" t="s">
        <v>116</v>
      </c>
      <c r="J67" s="7" t="s">
        <v>18</v>
      </c>
      <c r="K67" s="7" t="s">
        <v>26</v>
      </c>
      <c r="L67" s="15" t="s">
        <v>193</v>
      </c>
    </row>
    <row r="68" spans="1:12" ht="20.25" customHeight="1" thickBot="1" x14ac:dyDescent="0.35">
      <c r="A68" s="11">
        <f t="shared" si="0"/>
        <v>65</v>
      </c>
      <c r="B68" s="12" t="s">
        <v>10</v>
      </c>
      <c r="C68" s="13" t="s">
        <v>94</v>
      </c>
      <c r="D68" s="13">
        <v>493</v>
      </c>
      <c r="E68" s="13" t="s">
        <v>184</v>
      </c>
      <c r="F68" s="13">
        <v>16035</v>
      </c>
      <c r="G68" s="14" t="s">
        <v>188</v>
      </c>
      <c r="H68" s="14" t="s">
        <v>26</v>
      </c>
      <c r="I68" s="14" t="s">
        <v>116</v>
      </c>
      <c r="J68" s="13" t="s">
        <v>18</v>
      </c>
      <c r="K68" s="13" t="s">
        <v>26</v>
      </c>
      <c r="L68" s="16" t="s">
        <v>194</v>
      </c>
    </row>
    <row r="69" spans="1:12" ht="18.75" customHeight="1" x14ac:dyDescent="0.3">
      <c r="A69" s="4"/>
      <c r="B69" s="2"/>
      <c r="C69" s="4"/>
      <c r="D69" s="4"/>
      <c r="E69" s="4"/>
      <c r="F69" s="4"/>
      <c r="G69" s="5"/>
      <c r="H69" s="5"/>
      <c r="I69" s="5"/>
      <c r="J69" s="4"/>
      <c r="K69" s="4"/>
      <c r="L69" s="4"/>
    </row>
    <row r="70" spans="1:12" ht="18.75" customHeight="1" x14ac:dyDescent="0.3">
      <c r="A70" s="4"/>
      <c r="B70" s="2"/>
      <c r="C70" s="4"/>
      <c r="D70" s="4"/>
      <c r="E70" s="4"/>
      <c r="F70" s="4"/>
      <c r="G70" s="5"/>
      <c r="H70" s="5"/>
      <c r="I70" s="5"/>
      <c r="J70" s="4"/>
      <c r="K70" s="4"/>
      <c r="L70" s="4"/>
    </row>
    <row r="71" spans="1:12" ht="18.75" customHeight="1" x14ac:dyDescent="0.3">
      <c r="A71" s="4"/>
      <c r="B71" s="2"/>
      <c r="C71" s="4"/>
      <c r="D71" s="4"/>
      <c r="E71" s="4"/>
      <c r="F71" s="4"/>
      <c r="G71" s="5"/>
      <c r="H71" s="5"/>
      <c r="I71" s="5"/>
      <c r="J71" s="4"/>
      <c r="K71" s="4"/>
      <c r="L71" s="4"/>
    </row>
    <row r="72" spans="1:12" ht="18.75" customHeight="1" x14ac:dyDescent="0.3">
      <c r="A72" s="4"/>
      <c r="B72" s="2"/>
      <c r="C72" s="4"/>
      <c r="D72" s="4"/>
      <c r="E72" s="4"/>
      <c r="F72" s="4"/>
      <c r="G72" s="5"/>
      <c r="H72" s="5"/>
      <c r="I72" s="5"/>
      <c r="J72" s="4"/>
      <c r="K72" s="4"/>
      <c r="L72" s="4"/>
    </row>
    <row r="73" spans="1:12" ht="18.75" customHeight="1" x14ac:dyDescent="0.3">
      <c r="A73" s="4"/>
      <c r="B73" s="2"/>
      <c r="C73" s="4"/>
      <c r="D73" s="4"/>
      <c r="E73" s="4"/>
      <c r="F73" s="4"/>
      <c r="G73" s="5"/>
      <c r="H73" s="5"/>
      <c r="I73" s="5"/>
      <c r="J73" s="4"/>
      <c r="K73" s="4"/>
      <c r="L73" s="4"/>
    </row>
    <row r="74" spans="1:12" ht="18.75" customHeight="1" x14ac:dyDescent="0.3">
      <c r="A74" s="4"/>
      <c r="B74" s="2"/>
      <c r="C74" s="4"/>
      <c r="D74" s="4"/>
      <c r="E74" s="4"/>
      <c r="F74" s="4"/>
      <c r="G74" s="5"/>
      <c r="H74" s="5"/>
      <c r="I74" s="5"/>
      <c r="J74" s="4"/>
      <c r="K74" s="4"/>
      <c r="L74" s="4"/>
    </row>
    <row r="75" spans="1:12" ht="18.75" customHeight="1" x14ac:dyDescent="0.3">
      <c r="A75" s="4"/>
      <c r="B75" s="2"/>
      <c r="C75" s="4"/>
      <c r="D75" s="4"/>
      <c r="E75" s="4"/>
      <c r="F75" s="4"/>
      <c r="G75" s="5"/>
      <c r="H75" s="5"/>
      <c r="I75" s="5"/>
      <c r="J75" s="4"/>
      <c r="K75" s="4"/>
      <c r="L75" s="4"/>
    </row>
    <row r="76" spans="1:12" ht="18.75" customHeight="1" x14ac:dyDescent="0.3">
      <c r="A76" s="4"/>
      <c r="B76" s="2"/>
      <c r="C76" s="4"/>
      <c r="D76" s="4"/>
      <c r="E76" s="4"/>
      <c r="F76" s="4"/>
      <c r="G76" s="5"/>
      <c r="H76" s="5"/>
      <c r="I76" s="5"/>
      <c r="J76" s="4"/>
      <c r="K76" s="4"/>
      <c r="L76" s="4"/>
    </row>
    <row r="77" spans="1:12" ht="18.75" customHeight="1" x14ac:dyDescent="0.3">
      <c r="A77" s="4"/>
      <c r="B77" s="2"/>
      <c r="C77" s="4"/>
      <c r="D77" s="4"/>
      <c r="E77" s="4"/>
      <c r="F77" s="4"/>
      <c r="G77" s="5"/>
      <c r="H77" s="5"/>
      <c r="I77" s="5"/>
      <c r="J77" s="4"/>
      <c r="K77" s="4"/>
      <c r="L77" s="4"/>
    </row>
    <row r="78" spans="1:12" ht="18.75" customHeight="1" x14ac:dyDescent="0.3">
      <c r="A78" s="4"/>
      <c r="B78" s="2"/>
      <c r="C78" s="4"/>
      <c r="D78" s="4"/>
      <c r="E78" s="4"/>
      <c r="F78" s="4"/>
      <c r="G78" s="5"/>
      <c r="H78" s="5"/>
      <c r="I78" s="5"/>
      <c r="J78" s="4"/>
      <c r="K78" s="4"/>
      <c r="L78" s="4"/>
    </row>
    <row r="79" spans="1:12" ht="18.75" customHeight="1" x14ac:dyDescent="0.3">
      <c r="A79" s="4"/>
      <c r="B79" s="2"/>
      <c r="C79" s="4"/>
      <c r="D79" s="4"/>
      <c r="E79" s="4"/>
      <c r="F79" s="4"/>
      <c r="G79" s="5"/>
      <c r="H79" s="5"/>
      <c r="I79" s="5"/>
      <c r="J79" s="4"/>
      <c r="K79" s="4"/>
      <c r="L79" s="4"/>
    </row>
    <row r="80" spans="1:12" ht="18.75" customHeight="1" x14ac:dyDescent="0.3">
      <c r="A80" s="4"/>
      <c r="B80" s="2"/>
      <c r="C80" s="4"/>
      <c r="D80" s="4"/>
      <c r="E80" s="4"/>
      <c r="F80" s="4"/>
      <c r="G80" s="5"/>
      <c r="H80" s="5"/>
      <c r="I80" s="5"/>
      <c r="J80" s="4"/>
      <c r="K80" s="4"/>
      <c r="L80" s="4"/>
    </row>
    <row r="81" spans="1:12" ht="18.75" customHeight="1" x14ac:dyDescent="0.3">
      <c r="A81" s="4"/>
      <c r="B81" s="2"/>
      <c r="C81" s="4"/>
      <c r="D81" s="4"/>
      <c r="E81" s="4"/>
      <c r="F81" s="4"/>
      <c r="G81" s="5"/>
      <c r="H81" s="5"/>
      <c r="I81" s="5"/>
      <c r="J81" s="4"/>
      <c r="K81" s="4"/>
      <c r="L81" s="4"/>
    </row>
    <row r="82" spans="1:12" ht="18.75" customHeight="1" x14ac:dyDescent="0.3">
      <c r="A82" s="4"/>
      <c r="B82" s="2"/>
      <c r="C82" s="4"/>
      <c r="D82" s="4"/>
      <c r="E82" s="4"/>
      <c r="F82" s="4"/>
      <c r="G82" s="5"/>
      <c r="H82" s="5"/>
      <c r="I82" s="5"/>
      <c r="J82" s="4"/>
      <c r="K82" s="4"/>
      <c r="L82" s="4"/>
    </row>
    <row r="83" spans="1:12" ht="18.75" customHeight="1" x14ac:dyDescent="0.3">
      <c r="A83" s="4"/>
      <c r="B83" s="2"/>
      <c r="C83" s="4"/>
      <c r="D83" s="4"/>
      <c r="E83" s="4"/>
      <c r="F83" s="4"/>
      <c r="G83" s="5"/>
      <c r="H83" s="5"/>
      <c r="I83" s="5"/>
      <c r="J83" s="4"/>
      <c r="K83" s="4"/>
      <c r="L83" s="4"/>
    </row>
    <row r="84" spans="1:12" ht="18.75" customHeight="1" x14ac:dyDescent="0.3">
      <c r="A84" s="4"/>
      <c r="B84" s="2"/>
      <c r="C84" s="4"/>
      <c r="D84" s="4"/>
      <c r="E84" s="4"/>
      <c r="F84" s="4"/>
      <c r="G84" s="5"/>
      <c r="H84" s="5"/>
      <c r="I84" s="5"/>
      <c r="J84" s="4"/>
      <c r="K84" s="4"/>
      <c r="L84" s="4"/>
    </row>
    <row r="85" spans="1:12" ht="18.75" customHeight="1" x14ac:dyDescent="0.3">
      <c r="A85" s="4"/>
      <c r="B85" s="2"/>
      <c r="C85" s="4"/>
      <c r="D85" s="4"/>
      <c r="E85" s="4"/>
      <c r="F85" s="4"/>
      <c r="G85" s="5"/>
      <c r="H85" s="5"/>
      <c r="I85" s="5"/>
      <c r="J85" s="4"/>
      <c r="K85" s="4"/>
      <c r="L85" s="4"/>
    </row>
    <row r="86" spans="1:12" x14ac:dyDescent="0.3">
      <c r="A86" s="4"/>
      <c r="B86" s="2"/>
      <c r="C86" s="4"/>
      <c r="D86" s="4"/>
      <c r="E86" s="4"/>
      <c r="F86" s="4"/>
      <c r="G86" s="5"/>
      <c r="H86" s="5"/>
      <c r="I86" s="5"/>
      <c r="J86" s="4"/>
      <c r="K86" s="4"/>
      <c r="L86" s="4"/>
    </row>
  </sheetData>
  <autoFilter ref="A3:L68"/>
  <mergeCells count="6">
    <mergeCell ref="A1:L1"/>
    <mergeCell ref="G6:G10"/>
    <mergeCell ref="H6:H10"/>
    <mergeCell ref="I6:I10"/>
    <mergeCell ref="J6:J10"/>
    <mergeCell ref="K6:K10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74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5"/>
  <sheetViews>
    <sheetView tabSelected="1" workbookViewId="0">
      <selection activeCell="J18" sqref="J18"/>
    </sheetView>
  </sheetViews>
  <sheetFormatPr defaultRowHeight="13.5" x14ac:dyDescent="0.3"/>
  <cols>
    <col min="1" max="1" width="5.5" style="3" customWidth="1"/>
    <col min="2" max="2" width="9" style="1"/>
    <col min="3" max="9" width="11.125" style="1" customWidth="1"/>
    <col min="10" max="10" width="11.625" style="1" customWidth="1"/>
    <col min="11" max="11" width="12.875" style="1" customWidth="1"/>
    <col min="12" max="16384" width="9" style="1"/>
  </cols>
  <sheetData>
    <row r="1" spans="1:11" ht="25.5" x14ac:dyDescent="0.3">
      <c r="A1" s="39" t="s">
        <v>210</v>
      </c>
      <c r="B1" s="40"/>
      <c r="C1" s="40"/>
      <c r="D1" s="40"/>
      <c r="E1" s="40"/>
      <c r="F1" s="40"/>
      <c r="G1" s="40"/>
      <c r="H1" s="40"/>
      <c r="I1" s="40"/>
      <c r="J1" s="40"/>
      <c r="K1" s="41"/>
    </row>
    <row r="2" spans="1:11" ht="14.25" thickBot="1" x14ac:dyDescent="0.35">
      <c r="A2" s="26"/>
      <c r="B2" s="27"/>
      <c r="C2" s="27"/>
      <c r="D2" s="27"/>
      <c r="E2" s="27"/>
      <c r="F2" s="27"/>
      <c r="G2" s="27"/>
      <c r="H2" s="27"/>
      <c r="I2" s="27"/>
      <c r="J2" s="27"/>
      <c r="K2" s="28"/>
    </row>
    <row r="3" spans="1:11" ht="17.25" customHeight="1" x14ac:dyDescent="0.3">
      <c r="A3" s="42" t="s">
        <v>206</v>
      </c>
      <c r="B3" s="44" t="s">
        <v>205</v>
      </c>
      <c r="C3" s="44" t="s">
        <v>209</v>
      </c>
      <c r="D3" s="44" t="s">
        <v>196</v>
      </c>
      <c r="E3" s="44" t="s">
        <v>197</v>
      </c>
      <c r="F3" s="44" t="s">
        <v>198</v>
      </c>
      <c r="G3" s="44" t="s">
        <v>199</v>
      </c>
      <c r="H3" s="46" t="s">
        <v>211</v>
      </c>
      <c r="I3" s="44"/>
      <c r="J3" s="46" t="s">
        <v>201</v>
      </c>
      <c r="K3" s="48" t="s">
        <v>208</v>
      </c>
    </row>
    <row r="4" spans="1:11" ht="14.25" thickBot="1" x14ac:dyDescent="0.35">
      <c r="A4" s="43"/>
      <c r="B4" s="45"/>
      <c r="C4" s="45"/>
      <c r="D4" s="45"/>
      <c r="E4" s="45"/>
      <c r="F4" s="45"/>
      <c r="G4" s="45"/>
      <c r="H4" s="33" t="s">
        <v>212</v>
      </c>
      <c r="I4" s="33" t="s">
        <v>213</v>
      </c>
      <c r="J4" s="47"/>
      <c r="K4" s="49"/>
    </row>
    <row r="5" spans="1:11" ht="23.25" customHeight="1" x14ac:dyDescent="0.3">
      <c r="A5" s="29">
        <v>1</v>
      </c>
      <c r="B5" s="30" t="s">
        <v>38</v>
      </c>
      <c r="C5" s="30">
        <v>1</v>
      </c>
      <c r="D5" s="30"/>
      <c r="E5" s="30"/>
      <c r="F5" s="30">
        <v>1</v>
      </c>
      <c r="G5" s="30"/>
      <c r="H5" s="30">
        <v>1</v>
      </c>
      <c r="I5" s="30">
        <v>4</v>
      </c>
      <c r="J5" s="31"/>
      <c r="K5" s="32">
        <f>SUM(C5:J5)</f>
        <v>7</v>
      </c>
    </row>
    <row r="6" spans="1:11" ht="23.25" customHeight="1" x14ac:dyDescent="0.3">
      <c r="A6" s="22">
        <v>2</v>
      </c>
      <c r="B6" s="21" t="s">
        <v>195</v>
      </c>
      <c r="C6" s="21">
        <v>4</v>
      </c>
      <c r="D6" s="21"/>
      <c r="E6" s="21">
        <v>1</v>
      </c>
      <c r="F6" s="21">
        <v>1</v>
      </c>
      <c r="G6" s="21"/>
      <c r="H6" s="21">
        <v>1</v>
      </c>
      <c r="I6" s="21">
        <v>2</v>
      </c>
      <c r="J6" s="21"/>
      <c r="K6" s="23">
        <f t="shared" ref="K6:K14" si="0">SUM(C6:J6)</f>
        <v>9</v>
      </c>
    </row>
    <row r="7" spans="1:11" ht="23.25" customHeight="1" x14ac:dyDescent="0.3">
      <c r="A7" s="22">
        <v>3</v>
      </c>
      <c r="B7" s="21" t="s">
        <v>200</v>
      </c>
      <c r="C7" s="21"/>
      <c r="D7" s="21"/>
      <c r="E7" s="21">
        <v>1</v>
      </c>
      <c r="F7" s="21"/>
      <c r="G7" s="21">
        <v>1</v>
      </c>
      <c r="H7" s="21"/>
      <c r="I7" s="21"/>
      <c r="J7" s="21"/>
      <c r="K7" s="23">
        <f t="shared" si="0"/>
        <v>2</v>
      </c>
    </row>
    <row r="8" spans="1:11" ht="23.25" customHeight="1" x14ac:dyDescent="0.3">
      <c r="A8" s="22">
        <v>4</v>
      </c>
      <c r="B8" s="21" t="s">
        <v>104</v>
      </c>
      <c r="C8" s="21"/>
      <c r="D8" s="21"/>
      <c r="E8" s="21">
        <v>1</v>
      </c>
      <c r="F8" s="21"/>
      <c r="G8" s="21"/>
      <c r="H8" s="21"/>
      <c r="I8" s="21"/>
      <c r="J8" s="21">
        <v>1</v>
      </c>
      <c r="K8" s="23">
        <f t="shared" si="0"/>
        <v>2</v>
      </c>
    </row>
    <row r="9" spans="1:11" ht="23.25" customHeight="1" x14ac:dyDescent="0.3">
      <c r="A9" s="22">
        <v>5</v>
      </c>
      <c r="B9" s="21" t="s">
        <v>202</v>
      </c>
      <c r="C9" s="21"/>
      <c r="D9" s="21"/>
      <c r="E9" s="21"/>
      <c r="F9" s="21">
        <v>2</v>
      </c>
      <c r="G9" s="21"/>
      <c r="H9" s="21">
        <v>8</v>
      </c>
      <c r="I9" s="21">
        <v>8</v>
      </c>
      <c r="J9" s="21"/>
      <c r="K9" s="23">
        <f t="shared" si="0"/>
        <v>18</v>
      </c>
    </row>
    <row r="10" spans="1:11" ht="23.25" customHeight="1" x14ac:dyDescent="0.3">
      <c r="A10" s="22">
        <v>6</v>
      </c>
      <c r="B10" s="21" t="s">
        <v>203</v>
      </c>
      <c r="C10" s="21"/>
      <c r="D10" s="21"/>
      <c r="E10" s="21">
        <v>1</v>
      </c>
      <c r="F10" s="21"/>
      <c r="G10" s="21"/>
      <c r="H10" s="21">
        <v>7</v>
      </c>
      <c r="I10" s="21">
        <v>10</v>
      </c>
      <c r="J10" s="21"/>
      <c r="K10" s="23">
        <f t="shared" si="0"/>
        <v>18</v>
      </c>
    </row>
    <row r="11" spans="1:11" ht="23.25" customHeight="1" x14ac:dyDescent="0.3">
      <c r="A11" s="22">
        <v>7</v>
      </c>
      <c r="B11" s="21" t="s">
        <v>44</v>
      </c>
      <c r="C11" s="21"/>
      <c r="D11" s="21">
        <v>2</v>
      </c>
      <c r="E11" s="21"/>
      <c r="F11" s="21"/>
      <c r="G11" s="21"/>
      <c r="H11" s="21">
        <v>2</v>
      </c>
      <c r="I11" s="21">
        <v>3</v>
      </c>
      <c r="J11" s="21"/>
      <c r="K11" s="23">
        <f t="shared" si="0"/>
        <v>7</v>
      </c>
    </row>
    <row r="12" spans="1:11" ht="23.25" customHeight="1" x14ac:dyDescent="0.3">
      <c r="A12" s="22">
        <v>8</v>
      </c>
      <c r="B12" s="21" t="s">
        <v>204</v>
      </c>
      <c r="C12" s="21"/>
      <c r="D12" s="21"/>
      <c r="E12" s="21">
        <v>1</v>
      </c>
      <c r="F12" s="21"/>
      <c r="G12" s="21"/>
      <c r="H12" s="21"/>
      <c r="I12" s="21">
        <v>6</v>
      </c>
      <c r="J12" s="21"/>
      <c r="K12" s="23">
        <f t="shared" si="0"/>
        <v>7</v>
      </c>
    </row>
    <row r="13" spans="1:11" ht="23.25" customHeight="1" x14ac:dyDescent="0.3">
      <c r="A13" s="22">
        <v>9</v>
      </c>
      <c r="B13" s="21" t="s">
        <v>117</v>
      </c>
      <c r="C13" s="21"/>
      <c r="D13" s="21"/>
      <c r="E13" s="21"/>
      <c r="F13" s="21"/>
      <c r="G13" s="21"/>
      <c r="H13" s="21"/>
      <c r="I13" s="21">
        <v>1</v>
      </c>
      <c r="J13" s="21"/>
      <c r="K13" s="23">
        <f t="shared" si="0"/>
        <v>1</v>
      </c>
    </row>
    <row r="14" spans="1:11" ht="23.25" customHeight="1" x14ac:dyDescent="0.3">
      <c r="A14" s="22">
        <v>10</v>
      </c>
      <c r="B14" s="21" t="s">
        <v>151</v>
      </c>
      <c r="C14" s="21"/>
      <c r="D14" s="21"/>
      <c r="E14" s="21"/>
      <c r="F14" s="21"/>
      <c r="G14" s="21"/>
      <c r="H14" s="21"/>
      <c r="I14" s="21">
        <v>1</v>
      </c>
      <c r="J14" s="21"/>
      <c r="K14" s="23">
        <f t="shared" si="0"/>
        <v>1</v>
      </c>
    </row>
    <row r="15" spans="1:11" ht="31.5" customHeight="1" thickBot="1" x14ac:dyDescent="0.35">
      <c r="A15" s="37" t="s">
        <v>207</v>
      </c>
      <c r="B15" s="38"/>
      <c r="C15" s="24">
        <f>SUM(C5:C14)</f>
        <v>5</v>
      </c>
      <c r="D15" s="24">
        <f t="shared" ref="D15:J15" si="1">SUM(D5:D14)</f>
        <v>2</v>
      </c>
      <c r="E15" s="24">
        <f t="shared" si="1"/>
        <v>5</v>
      </c>
      <c r="F15" s="24">
        <f t="shared" si="1"/>
        <v>4</v>
      </c>
      <c r="G15" s="24">
        <f t="shared" si="1"/>
        <v>1</v>
      </c>
      <c r="H15" s="24">
        <f t="shared" si="1"/>
        <v>19</v>
      </c>
      <c r="I15" s="24">
        <f t="shared" si="1"/>
        <v>35</v>
      </c>
      <c r="J15" s="24">
        <f t="shared" si="1"/>
        <v>1</v>
      </c>
      <c r="K15" s="25">
        <f>SUM(K5:K14)</f>
        <v>72</v>
      </c>
    </row>
  </sheetData>
  <mergeCells count="12">
    <mergeCell ref="A15:B15"/>
    <mergeCell ref="A1:K1"/>
    <mergeCell ref="A3:A4"/>
    <mergeCell ref="B3:B4"/>
    <mergeCell ref="H3:I3"/>
    <mergeCell ref="C3:C4"/>
    <mergeCell ref="D3:D4"/>
    <mergeCell ref="E3:E4"/>
    <mergeCell ref="F3:F4"/>
    <mergeCell ref="G3:G4"/>
    <mergeCell ref="J3:J4"/>
    <mergeCell ref="K3:K4"/>
  </mergeCells>
  <phoneticPr fontId="1" type="noConversion"/>
  <pageMargins left="0.7" right="0.7" top="0.75" bottom="0.75" header="0.3" footer="0.3"/>
  <pageSetup paperSize="9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수리 LIST</vt:lpstr>
      <vt:lpstr>원인별 수량</vt:lpstr>
      <vt:lpstr>'수리 LIST'!Print_Titles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KJH</dc:creator>
  <cp:lastModifiedBy>KJH</cp:lastModifiedBy>
  <cp:lastPrinted>2018-01-11T01:41:19Z</cp:lastPrinted>
  <dcterms:created xsi:type="dcterms:W3CDTF">2018-01-10T22:47:33Z</dcterms:created>
  <dcterms:modified xsi:type="dcterms:W3CDTF">2018-01-11T05:29:49Z</dcterms:modified>
</cp:coreProperties>
</file>