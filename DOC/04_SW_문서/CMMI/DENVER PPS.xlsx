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255" windowWidth="20475" windowHeight="10185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K14" i="1" l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5" i="1"/>
  <c r="K76" i="1"/>
  <c r="K13" i="1"/>
  <c r="L4" i="1" l="1"/>
</calcChain>
</file>

<file path=xl/sharedStrings.xml><?xml version="1.0" encoding="utf-8"?>
<sst xmlns="http://schemas.openxmlformats.org/spreadsheetml/2006/main" count="182" uniqueCount="149">
  <si>
    <t>Appendix 1. RAM table</t>
    <phoneticPr fontId="4" type="noConversion"/>
  </si>
  <si>
    <t>Annual running distance</t>
    <phoneticPr fontId="4" type="noConversion"/>
  </si>
  <si>
    <t>Km</t>
    <phoneticPr fontId="4" type="noConversion"/>
  </si>
  <si>
    <t>System:</t>
    <phoneticPr fontId="4" type="noConversion"/>
  </si>
  <si>
    <t>Air Conditioning and Ventilation System</t>
  </si>
  <si>
    <t>Oprating Hour</t>
    <phoneticPr fontId="4" type="noConversion"/>
  </si>
  <si>
    <t>Hour per day</t>
    <phoneticPr fontId="4" type="noConversion"/>
  </si>
  <si>
    <t>Revision:</t>
    <phoneticPr fontId="4" type="noConversion"/>
  </si>
  <si>
    <t>Average Speed</t>
    <phoneticPr fontId="4" type="noConversion"/>
  </si>
  <si>
    <t>km/h</t>
    <phoneticPr fontId="4" type="noConversion"/>
  </si>
  <si>
    <t xml:space="preserve"> </t>
    <phoneticPr fontId="4" type="noConversion"/>
  </si>
  <si>
    <t>Reliability Analysis</t>
    <phoneticPr fontId="4" type="noConversion"/>
  </si>
  <si>
    <t>Failure Mode, Effect and Criticality Analysis</t>
    <phoneticPr fontId="4" type="noConversion"/>
  </si>
  <si>
    <t>Corrective Maintenance Analysis</t>
    <phoneticPr fontId="4" type="noConversion"/>
  </si>
  <si>
    <r>
      <t xml:space="preserve">아이디
</t>
    </r>
    <r>
      <rPr>
        <b/>
        <sz val="10"/>
        <rFont val="Arial"/>
        <family val="2"/>
      </rPr>
      <t>ID</t>
    </r>
    <phoneticPr fontId="4" type="noConversion"/>
  </si>
  <si>
    <r>
      <t>장치명</t>
    </r>
    <r>
      <rPr>
        <b/>
        <sz val="10"/>
        <rFont val="Arial"/>
        <family val="2"/>
      </rPr>
      <t xml:space="preserve">
Item Description</t>
    </r>
    <phoneticPr fontId="4" type="noConversion"/>
  </si>
  <si>
    <r>
      <t>각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차량별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장치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 xml:space="preserve">수량
</t>
    </r>
    <r>
      <rPr>
        <b/>
        <sz val="10"/>
        <rFont val="Arial"/>
        <family val="2"/>
      </rPr>
      <t>Q'ty in each Car</t>
    </r>
    <phoneticPr fontId="4" type="noConversion"/>
  </si>
  <si>
    <r>
      <t>기능</t>
    </r>
    <r>
      <rPr>
        <b/>
        <sz val="10"/>
        <rFont val="Arial"/>
        <family val="2"/>
      </rPr>
      <t xml:space="preserve">
Function</t>
    </r>
    <phoneticPr fontId="4" type="noConversion"/>
  </si>
  <si>
    <t>LRU
(Y/N)</t>
    <phoneticPr fontId="4" type="noConversion"/>
  </si>
  <si>
    <t>TBO
(Year)</t>
    <phoneticPr fontId="4" type="noConversion"/>
  </si>
  <si>
    <t>Potential Life
(Year)</t>
    <phoneticPr fontId="4" type="noConversion"/>
  </si>
  <si>
    <t>Unit Price
(KRW)</t>
    <phoneticPr fontId="4" type="noConversion"/>
  </si>
  <si>
    <t>Minimum Procurement Quantity</t>
    <phoneticPr fontId="4" type="noConversion"/>
  </si>
  <si>
    <r>
      <t>장치별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고장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데이터</t>
    </r>
    <r>
      <rPr>
        <b/>
        <sz val="10"/>
        <rFont val="Arial"/>
        <family val="2"/>
      </rPr>
      <t xml:space="preserve">
Failure Data(per item)</t>
    </r>
    <phoneticPr fontId="4" type="noConversion"/>
  </si>
  <si>
    <r>
      <t>편성단위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 xml:space="preserve">고장데이터
</t>
    </r>
    <r>
      <rPr>
        <b/>
        <sz val="10"/>
        <rFont val="Arial"/>
        <family val="2"/>
      </rPr>
      <t>Failure Data(per train)</t>
    </r>
    <phoneticPr fontId="4" type="noConversion"/>
  </si>
  <si>
    <r>
      <t>고장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유형</t>
    </r>
    <r>
      <rPr>
        <b/>
        <sz val="10"/>
        <rFont val="Arial"/>
        <family val="2"/>
      </rPr>
      <t xml:space="preserve">
Failure Mode.</t>
    </r>
    <phoneticPr fontId="4" type="noConversion"/>
  </si>
  <si>
    <r>
      <t>고장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원인</t>
    </r>
    <r>
      <rPr>
        <b/>
        <sz val="10"/>
        <rFont val="Arial"/>
        <family val="2"/>
      </rPr>
      <t xml:space="preserve">
Cause(s) of Failure</t>
    </r>
    <phoneticPr fontId="4" type="noConversion"/>
  </si>
  <si>
    <r>
      <t>고장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발견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방법</t>
    </r>
    <r>
      <rPr>
        <b/>
        <sz val="10"/>
        <rFont val="Arial"/>
        <family val="2"/>
      </rPr>
      <t xml:space="preserve">
Failure Detection Method</t>
    </r>
    <phoneticPr fontId="4" type="noConversion"/>
  </si>
  <si>
    <r>
      <t>고장영향</t>
    </r>
    <r>
      <rPr>
        <b/>
        <sz val="10"/>
        <rFont val="Arial"/>
        <family val="2"/>
      </rPr>
      <t xml:space="preserve"> / </t>
    </r>
    <r>
      <rPr>
        <b/>
        <sz val="10"/>
        <rFont val="돋움"/>
        <family val="3"/>
        <charset val="129"/>
      </rPr>
      <t>결과</t>
    </r>
    <r>
      <rPr>
        <b/>
        <sz val="10"/>
        <rFont val="Arial"/>
        <family val="2"/>
      </rPr>
      <t xml:space="preserve">
Failure Effects / Consequences</t>
    </r>
    <phoneticPr fontId="4" type="noConversion"/>
  </si>
  <si>
    <r>
      <t>고장모드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발생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가능성</t>
    </r>
    <r>
      <rPr>
        <b/>
        <sz val="10"/>
        <rFont val="Arial"/>
        <family val="2"/>
      </rPr>
      <t xml:space="preserve">
Likelihood of failure mode</t>
    </r>
    <phoneticPr fontId="4" type="noConversion"/>
  </si>
  <si>
    <r>
      <t>민감도</t>
    </r>
    <r>
      <rPr>
        <b/>
        <sz val="10"/>
        <rFont val="Arial"/>
        <family val="2"/>
      </rPr>
      <t xml:space="preserve">
Criticality</t>
    </r>
    <phoneticPr fontId="4" type="noConversion"/>
  </si>
  <si>
    <r>
      <t>고장결과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비율</t>
    </r>
    <r>
      <rPr>
        <b/>
        <sz val="10"/>
        <rFont val="Arial"/>
        <family val="2"/>
      </rPr>
      <t xml:space="preserve">
Failure Consequence Fractions </t>
    </r>
    <phoneticPr fontId="4" type="noConversion"/>
  </si>
  <si>
    <r>
      <t>고장결과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별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편성단위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 xml:space="preserve">고장률
</t>
    </r>
    <r>
      <rPr>
        <b/>
        <sz val="10"/>
        <rFont val="Arial"/>
        <family val="2"/>
      </rPr>
      <t>Predicted Type failure Rate</t>
    </r>
    <phoneticPr fontId="4" type="noConversion"/>
  </si>
  <si>
    <r>
      <t>설계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예방책</t>
    </r>
    <r>
      <rPr>
        <b/>
        <sz val="10"/>
        <rFont val="Arial"/>
        <family val="2"/>
      </rPr>
      <t xml:space="preserve">
Proposed Tasks /Design Safeguards</t>
    </r>
    <phoneticPr fontId="4" type="noConversion"/>
  </si>
  <si>
    <r>
      <t>비고</t>
    </r>
    <r>
      <rPr>
        <b/>
        <sz val="10"/>
        <rFont val="Arial"/>
        <family val="2"/>
      </rPr>
      <t xml:space="preserve">
Notes</t>
    </r>
    <phoneticPr fontId="4" type="noConversion"/>
  </si>
  <si>
    <r>
      <t>장비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 xml:space="preserve">작업
</t>
    </r>
    <r>
      <rPr>
        <b/>
        <sz val="10"/>
        <rFont val="Arial"/>
        <family val="2"/>
      </rPr>
      <t>Maintenance Task</t>
    </r>
    <phoneticPr fontId="4" type="noConversion"/>
  </si>
  <si>
    <r>
      <t>예비품</t>
    </r>
    <r>
      <rPr>
        <b/>
        <sz val="10"/>
        <rFont val="돋움"/>
        <family val="3"/>
        <charset val="129"/>
      </rPr>
      <t xml:space="preserve">
</t>
    </r>
    <r>
      <rPr>
        <b/>
        <sz val="10"/>
        <rFont val="Arial"/>
        <family val="2"/>
      </rPr>
      <t>Spare Parts</t>
    </r>
    <phoneticPr fontId="4" type="noConversion"/>
  </si>
  <si>
    <r>
      <t>예비품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 xml:space="preserve">비용
</t>
    </r>
    <r>
      <rPr>
        <b/>
        <sz val="10"/>
        <rFont val="Arial"/>
        <family val="2"/>
      </rPr>
      <t>Spare Parts Cost 
[KRW]</t>
    </r>
    <phoneticPr fontId="4" type="noConversion"/>
  </si>
  <si>
    <r>
      <t xml:space="preserve">소모품
</t>
    </r>
    <r>
      <rPr>
        <b/>
        <sz val="10"/>
        <rFont val="Arial"/>
        <family val="2"/>
      </rPr>
      <t>Consumables</t>
    </r>
    <phoneticPr fontId="4" type="noConversion"/>
  </si>
  <si>
    <r>
      <t>특수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 xml:space="preserve">공구
</t>
    </r>
    <r>
      <rPr>
        <b/>
        <sz val="10"/>
        <rFont val="Arial"/>
        <family val="2"/>
      </rPr>
      <t>Special Tool</t>
    </r>
    <phoneticPr fontId="4" type="noConversion"/>
  </si>
  <si>
    <r>
      <t>정비작업자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 xml:space="preserve">수
</t>
    </r>
    <r>
      <rPr>
        <b/>
        <sz val="10"/>
        <rFont val="Arial"/>
        <family val="2"/>
      </rPr>
      <t>Personnel</t>
    </r>
    <phoneticPr fontId="4" type="noConversion"/>
  </si>
  <si>
    <r>
      <t>유지보수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작업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 xml:space="preserve">시간
</t>
    </r>
    <r>
      <rPr>
        <b/>
        <sz val="10"/>
        <rFont val="Arial"/>
        <family val="2"/>
      </rPr>
      <t>Maintenance Time
(hour)</t>
    </r>
    <phoneticPr fontId="4" type="noConversion"/>
  </si>
  <si>
    <r>
      <t>유지보수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 xml:space="preserve">공수
</t>
    </r>
    <r>
      <rPr>
        <b/>
        <sz val="10"/>
        <rFont val="Arial"/>
        <family val="2"/>
      </rPr>
      <t>Man hours</t>
    </r>
    <phoneticPr fontId="4" type="noConversion"/>
  </si>
  <si>
    <t>Car</t>
    <phoneticPr fontId="4" type="noConversion"/>
  </si>
  <si>
    <t>Q'ty in Train</t>
    <phoneticPr fontId="4" type="noConversion"/>
  </si>
  <si>
    <t>고장률
Failure Rate</t>
  </si>
  <si>
    <t>평균고장간시간
MTBF</t>
  </si>
  <si>
    <r>
      <t>고장데이터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 xml:space="preserve">산출근거
</t>
    </r>
    <r>
      <rPr>
        <b/>
        <sz val="10"/>
        <rFont val="Arial"/>
        <family val="2"/>
      </rPr>
      <t>Data Source
(D, P, T)</t>
    </r>
    <phoneticPr fontId="4" type="noConversion"/>
  </si>
  <si>
    <r>
      <t>운전자에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의한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고장발견</t>
    </r>
    <r>
      <rPr>
        <b/>
        <sz val="10"/>
        <rFont val="Arial"/>
        <family val="2"/>
      </rPr>
      <t xml:space="preserve">
Detectable means to Operator</t>
    </r>
    <phoneticPr fontId="4" type="noConversion"/>
  </si>
  <si>
    <r>
      <t>정비작업자에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의한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고장발견</t>
    </r>
    <r>
      <rPr>
        <b/>
        <sz val="10"/>
        <rFont val="Arial"/>
        <family val="2"/>
      </rPr>
      <t xml:space="preserve">
Detectable means to Maintainer</t>
    </r>
    <phoneticPr fontId="4" type="noConversion"/>
  </si>
  <si>
    <r>
      <t>서브시스템</t>
    </r>
    <r>
      <rPr>
        <b/>
        <sz val="10"/>
        <rFont val="Arial"/>
        <family val="2"/>
      </rPr>
      <t>(</t>
    </r>
    <r>
      <rPr>
        <b/>
        <sz val="10"/>
        <rFont val="돋움"/>
        <family val="3"/>
        <charset val="129"/>
      </rPr>
      <t>로컬</t>
    </r>
    <r>
      <rPr>
        <b/>
        <sz val="10"/>
        <rFont val="Arial"/>
        <family val="2"/>
      </rPr>
      <t xml:space="preserve">) </t>
    </r>
    <r>
      <rPr>
        <b/>
        <sz val="10"/>
        <rFont val="돋움"/>
        <family val="3"/>
        <charset val="129"/>
      </rPr>
      <t>영향</t>
    </r>
    <r>
      <rPr>
        <b/>
        <sz val="10"/>
        <rFont val="Arial"/>
        <family val="2"/>
      </rPr>
      <t xml:space="preserve">
Subsystem</t>
    </r>
    <phoneticPr fontId="4" type="noConversion"/>
  </si>
  <si>
    <r>
      <t>시스템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및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차량전체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영향</t>
    </r>
    <r>
      <rPr>
        <b/>
        <sz val="10"/>
        <rFont val="Arial"/>
        <family val="2"/>
      </rPr>
      <t xml:space="preserve">
System or Train</t>
    </r>
    <phoneticPr fontId="4" type="noConversion"/>
  </si>
  <si>
    <r>
      <t>편성단위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고장모드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발생률</t>
    </r>
    <r>
      <rPr>
        <b/>
        <sz val="10"/>
        <rFont val="Arial"/>
        <family val="2"/>
      </rPr>
      <t xml:space="preserve">
Failure Rate of Occurrence of Effect Per Train(case/hr)</t>
    </r>
    <phoneticPr fontId="4" type="noConversion"/>
  </si>
  <si>
    <r>
      <t>빈도</t>
    </r>
    <r>
      <rPr>
        <b/>
        <sz val="10"/>
        <rFont val="Arial"/>
        <family val="2"/>
      </rPr>
      <t xml:space="preserve">
Frequency</t>
    </r>
    <phoneticPr fontId="4" type="noConversion"/>
  </si>
  <si>
    <r>
      <t>연간</t>
    </r>
    <r>
      <rPr>
        <sz val="10"/>
        <color indexed="9"/>
        <rFont val="Arial"/>
        <family val="2"/>
      </rPr>
      <t xml:space="preserve"> </t>
    </r>
    <r>
      <rPr>
        <sz val="10"/>
        <color indexed="9"/>
        <rFont val="돋움"/>
        <family val="3"/>
        <charset val="129"/>
      </rPr>
      <t>고장모드</t>
    </r>
    <r>
      <rPr>
        <sz val="10"/>
        <color indexed="9"/>
        <rFont val="Arial"/>
        <family val="2"/>
      </rPr>
      <t xml:space="preserve"> </t>
    </r>
    <r>
      <rPr>
        <sz val="10"/>
        <color indexed="9"/>
        <rFont val="돋움"/>
        <family val="3"/>
        <charset val="129"/>
      </rPr>
      <t>발생율</t>
    </r>
    <phoneticPr fontId="4" type="noConversion"/>
  </si>
  <si>
    <r>
      <t>심각도</t>
    </r>
    <r>
      <rPr>
        <b/>
        <sz val="10"/>
        <rFont val="Arial"/>
        <family val="2"/>
      </rPr>
      <t xml:space="preserve">
Severity</t>
    </r>
    <phoneticPr fontId="4" type="noConversion"/>
  </si>
  <si>
    <r>
      <t>위험도</t>
    </r>
    <r>
      <rPr>
        <b/>
        <sz val="10"/>
        <rFont val="Arial"/>
        <family val="2"/>
      </rPr>
      <t xml:space="preserve">
Risk</t>
    </r>
    <phoneticPr fontId="4" type="noConversion"/>
  </si>
  <si>
    <t>Type 1</t>
    <phoneticPr fontId="4" type="noConversion"/>
  </si>
  <si>
    <t>Type 2</t>
  </si>
  <si>
    <t>Type 3</t>
  </si>
  <si>
    <t>Type 4</t>
  </si>
  <si>
    <t>MA</t>
    <phoneticPr fontId="4" type="noConversion"/>
  </si>
  <si>
    <t>MB</t>
    <phoneticPr fontId="4" type="noConversion"/>
  </si>
  <si>
    <t>failure/hour</t>
  </si>
  <si>
    <t>hour/failure</t>
  </si>
  <si>
    <t>failures/ hours</t>
    <phoneticPr fontId="4" type="noConversion"/>
  </si>
  <si>
    <t>On - Train</t>
    <phoneticPr fontId="4" type="noConversion"/>
  </si>
  <si>
    <t>Off - Train</t>
    <phoneticPr fontId="4" type="noConversion"/>
  </si>
  <si>
    <t>PA/PIS System</t>
    <phoneticPr fontId="4" type="noConversion"/>
  </si>
  <si>
    <t>PA System</t>
    <phoneticPr fontId="4" type="noConversion"/>
  </si>
  <si>
    <t>PIS System</t>
    <phoneticPr fontId="4" type="noConversion"/>
  </si>
  <si>
    <t>DPO(Driver PA Operation Box)</t>
    <phoneticPr fontId="3" type="noConversion"/>
  </si>
  <si>
    <t>PEI(Passenger Emergency Intercom)</t>
    <phoneticPr fontId="3" type="noConversion"/>
  </si>
  <si>
    <t>DPH(Driver PA Handset)</t>
    <phoneticPr fontId="3" type="noConversion"/>
  </si>
  <si>
    <t>CAR(Communication Rack A)</t>
    <phoneticPr fontId="3" type="noConversion"/>
  </si>
  <si>
    <t>CCP(Communication Control Panel)</t>
    <phoneticPr fontId="3" type="noConversion"/>
  </si>
  <si>
    <t>PII(LED Passenger Information Indicator)</t>
    <phoneticPr fontId="3" type="noConversion"/>
  </si>
  <si>
    <t>PID1(LCD Passenger Information Display)</t>
    <phoneticPr fontId="3" type="noConversion"/>
  </si>
  <si>
    <t>PID2(LCD Passenger Information Display)</t>
    <phoneticPr fontId="3" type="noConversion"/>
  </si>
  <si>
    <t>SDI(LED Side Destination Indicator)</t>
    <phoneticPr fontId="3" type="noConversion"/>
  </si>
  <si>
    <t>F D I(LED Front Destination Indicator)</t>
    <phoneticPr fontId="3" type="noConversion"/>
  </si>
  <si>
    <t>CSP(Cab Speaker)</t>
    <phoneticPr fontId="3" type="noConversion"/>
  </si>
  <si>
    <t>ISP(Interior Speaker)</t>
    <phoneticPr fontId="3" type="noConversion"/>
  </si>
  <si>
    <t>ESP(Exterior Speaker)</t>
    <phoneticPr fontId="3" type="noConversion"/>
  </si>
  <si>
    <t xml:space="preserve"> Power Board</t>
    <phoneticPr fontId="4" type="noConversion"/>
  </si>
  <si>
    <t>Control Board</t>
    <phoneticPr fontId="4" type="noConversion"/>
  </si>
  <si>
    <t>Speaker</t>
    <phoneticPr fontId="3" type="noConversion"/>
  </si>
  <si>
    <t>TRF(Transformer)</t>
    <phoneticPr fontId="3" type="noConversion"/>
  </si>
  <si>
    <t>Transformer</t>
  </si>
  <si>
    <t>LED Module</t>
    <phoneticPr fontId="3" type="noConversion"/>
  </si>
  <si>
    <t>PWR(Power Board)</t>
    <phoneticPr fontId="3" type="noConversion"/>
  </si>
  <si>
    <t>AMP_PWR(Power Board)</t>
    <phoneticPr fontId="3" type="noConversion"/>
  </si>
  <si>
    <t>ANSM(ANS Microphone)</t>
    <phoneticPr fontId="3" type="noConversion"/>
  </si>
  <si>
    <t>HandSet Microphone</t>
    <phoneticPr fontId="3" type="noConversion"/>
  </si>
  <si>
    <t>DMA(Driver Microphone Assembly)</t>
    <phoneticPr fontId="3" type="noConversion"/>
  </si>
  <si>
    <t>Gooseneck Microphone)</t>
    <phoneticPr fontId="3" type="noConversion"/>
  </si>
  <si>
    <t>ANS Microphone</t>
    <phoneticPr fontId="3" type="noConversion"/>
  </si>
  <si>
    <t>Transformer</t>
    <phoneticPr fontId="3" type="noConversion"/>
  </si>
  <si>
    <t>JUMPER</t>
    <phoneticPr fontId="3" type="noConversion"/>
  </si>
  <si>
    <t>JUMPER COUPLER RECEPTACLELE</t>
    <phoneticPr fontId="3" type="noConversion"/>
  </si>
  <si>
    <t>JUMPER COUPLER PLUG</t>
  </si>
  <si>
    <t>CNCS(Content &amp; Control Server Board)</t>
    <phoneticPr fontId="3" type="noConversion"/>
  </si>
  <si>
    <t>HDD Board</t>
    <phoneticPr fontId="3" type="noConversion"/>
  </si>
  <si>
    <t>WLR(Wireless LAN Router Board)</t>
    <phoneticPr fontId="3" type="noConversion"/>
  </si>
  <si>
    <t>LIC(LonWorks Interface Card Board)</t>
    <phoneticPr fontId="3" type="noConversion"/>
  </si>
  <si>
    <t>VOIP Board</t>
    <phoneticPr fontId="3" type="noConversion"/>
  </si>
  <si>
    <t>PAC-RS485 Board</t>
    <phoneticPr fontId="3" type="noConversion"/>
  </si>
  <si>
    <t>SCB Board</t>
    <phoneticPr fontId="3" type="noConversion"/>
  </si>
  <si>
    <t>PAC-MCU Board</t>
    <phoneticPr fontId="3" type="noConversion"/>
  </si>
  <si>
    <t>PAC-INT Board</t>
    <phoneticPr fontId="3" type="noConversion"/>
  </si>
  <si>
    <t>PAC-AAB1 Board</t>
    <phoneticPr fontId="3" type="noConversion"/>
  </si>
  <si>
    <t>PAC-AAB2 Board</t>
    <phoneticPr fontId="3" type="noConversion"/>
  </si>
  <si>
    <t>121A00</t>
    <phoneticPr fontId="3" type="noConversion"/>
  </si>
  <si>
    <t>121B00</t>
    <phoneticPr fontId="3" type="noConversion"/>
  </si>
  <si>
    <t>121C00</t>
    <phoneticPr fontId="3" type="noConversion"/>
  </si>
  <si>
    <t>121D00</t>
    <phoneticPr fontId="3" type="noConversion"/>
  </si>
  <si>
    <t>121E00</t>
    <phoneticPr fontId="3" type="noConversion"/>
  </si>
  <si>
    <t>LCD Module</t>
    <phoneticPr fontId="3" type="noConversion"/>
  </si>
  <si>
    <t>VTX(Video Signal Transmitter Board)</t>
    <phoneticPr fontId="3" type="noConversion"/>
  </si>
  <si>
    <t>2Cars</t>
    <phoneticPr fontId="4" type="noConversion"/>
  </si>
  <si>
    <t>중앙 컨트롤 장치.</t>
    <phoneticPr fontId="3" type="noConversion"/>
  </si>
  <si>
    <t>파워 PCB</t>
    <phoneticPr fontId="3" type="noConversion"/>
  </si>
  <si>
    <t>비디오 출력 PCB</t>
    <phoneticPr fontId="3" type="noConversion"/>
  </si>
  <si>
    <t>메인 컨트롤 PCB(XP)</t>
    <phoneticPr fontId="3" type="noConversion"/>
  </si>
  <si>
    <t>하드 디스크.</t>
    <phoneticPr fontId="3" type="noConversion"/>
  </si>
  <si>
    <t>AP 허브</t>
    <phoneticPr fontId="3" type="noConversion"/>
  </si>
  <si>
    <t>LonWorks Interface PCB</t>
    <phoneticPr fontId="3" type="noConversion"/>
  </si>
  <si>
    <t>VOIP 통화 PCB</t>
    <phoneticPr fontId="3" type="noConversion"/>
  </si>
  <si>
    <t>RS - 485 통신 PCB</t>
    <phoneticPr fontId="3" type="noConversion"/>
  </si>
  <si>
    <t>메인 컨넥터 PCB.</t>
    <phoneticPr fontId="3" type="noConversion"/>
  </si>
  <si>
    <t>방송 메인 컨트롤 PCB</t>
    <phoneticPr fontId="3" type="noConversion"/>
  </si>
  <si>
    <t>Inter-Com 장치 Interface PCB</t>
    <phoneticPr fontId="3" type="noConversion"/>
  </si>
  <si>
    <t>AMP 컨트롤 PCB</t>
    <phoneticPr fontId="3" type="noConversion"/>
  </si>
  <si>
    <t>AMP 파워.</t>
    <phoneticPr fontId="3" type="noConversion"/>
  </si>
  <si>
    <t>장치 디스플레이 장치.</t>
    <phoneticPr fontId="3" type="noConversion"/>
  </si>
  <si>
    <t>정면 LED 표시기.</t>
    <phoneticPr fontId="3" type="noConversion"/>
  </si>
  <si>
    <t>측면 LED 표시기.</t>
    <phoneticPr fontId="3" type="noConversion"/>
  </si>
  <si>
    <t>실내 LED 표시기.</t>
    <phoneticPr fontId="3" type="noConversion"/>
  </si>
  <si>
    <t>LCD 표시기 Type 1.</t>
    <phoneticPr fontId="3" type="noConversion"/>
  </si>
  <si>
    <t>LCD 표시기 Type 2.</t>
    <phoneticPr fontId="3" type="noConversion"/>
  </si>
  <si>
    <t>기관사 방송 장치.</t>
    <phoneticPr fontId="3" type="noConversion"/>
  </si>
  <si>
    <t>기관사 방송 장치 보조 마이크.</t>
    <phoneticPr fontId="3" type="noConversion"/>
  </si>
  <si>
    <t>승객 비상 호출 장치.</t>
    <phoneticPr fontId="3" type="noConversion"/>
  </si>
  <si>
    <t>기관사 방송 전달 스피커.</t>
    <phoneticPr fontId="3" type="noConversion"/>
  </si>
  <si>
    <t>실내 승객 방송 전달 스피커.</t>
    <phoneticPr fontId="3" type="noConversion"/>
  </si>
  <si>
    <t>실외 승객 방송 전달 스피커.</t>
    <phoneticPr fontId="3" type="noConversion"/>
  </si>
  <si>
    <t>실외 스피커 증폭 장치.</t>
    <phoneticPr fontId="3" type="noConversion"/>
  </si>
  <si>
    <t>실내 승객 소음 측정 장치.</t>
    <phoneticPr fontId="3" type="noConversion"/>
  </si>
  <si>
    <t>차량간 스그널 연결 장치.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</si>
</sst>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_-* #,##0.0_-;\-* #,##0.0_-;_-* &quot;-&quot;_-;_-@_-"/>
  </numFmts>
  <fonts count="1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4"/>
      <name val="Arial"/>
      <family val="2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Arial"/>
      <family val="2"/>
    </font>
    <font>
      <sz val="10"/>
      <color indexed="9"/>
      <name val="Arial"/>
      <family val="2"/>
    </font>
    <font>
      <sz val="10"/>
      <color indexed="10"/>
      <name val="Arial"/>
      <family val="2"/>
    </font>
    <font>
      <b/>
      <sz val="10"/>
      <name val="Arial"/>
      <family val="2"/>
    </font>
    <font>
      <b/>
      <sz val="12"/>
      <color indexed="9"/>
      <name val="Arial"/>
      <family val="2"/>
    </font>
    <font>
      <b/>
      <sz val="10"/>
      <name val="돋움"/>
      <family val="3"/>
      <charset val="129"/>
    </font>
    <font>
      <sz val="8"/>
      <name val="Arial"/>
      <family val="2"/>
    </font>
    <font>
      <sz val="10"/>
      <color indexed="9"/>
      <name val="돋움"/>
      <family val="3"/>
      <charset val="129"/>
    </font>
    <font>
      <sz val="10"/>
      <color theme="1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1" fillId="0" borderId="0"/>
  </cellStyleXfs>
  <cellXfs count="72">
    <xf numFmtId="0" fontId="0" fillId="0" borderId="0" xfId="0">
      <alignment vertical="center"/>
    </xf>
    <xf numFmtId="0" fontId="2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vertical="top" wrapText="1"/>
    </xf>
    <xf numFmtId="41" fontId="7" fillId="0" borderId="0" xfId="1" applyFont="1" applyAlignment="1">
      <alignment vertical="top" wrapText="1"/>
    </xf>
    <xf numFmtId="11" fontId="5" fillId="0" borderId="0" xfId="0" applyNumberFormat="1" applyFont="1" applyAlignment="1">
      <alignment vertical="top" wrapText="1"/>
    </xf>
    <xf numFmtId="11" fontId="5" fillId="0" borderId="0" xfId="0" applyNumberFormat="1" applyFont="1" applyAlignment="1">
      <alignment horizontal="left" vertical="top" wrapText="1"/>
    </xf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vertical="top"/>
    </xf>
    <xf numFmtId="176" fontId="7" fillId="0" borderId="0" xfId="1" applyNumberFormat="1" applyFont="1" applyAlignment="1">
      <alignment vertical="top" wrapText="1"/>
    </xf>
    <xf numFmtId="41" fontId="5" fillId="0" borderId="0" xfId="1" applyFont="1" applyAlignment="1">
      <alignment horizontal="left" vertical="top" wrapText="1"/>
    </xf>
    <xf numFmtId="0" fontId="8" fillId="0" borderId="0" xfId="0" applyFont="1" applyAlignment="1">
      <alignment vertical="top"/>
    </xf>
    <xf numFmtId="0" fontId="10" fillId="0" borderId="8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vertical="top" wrapText="1"/>
    </xf>
    <xf numFmtId="0" fontId="5" fillId="0" borderId="4" xfId="0" applyFont="1" applyBorder="1" applyAlignment="1">
      <alignment horizontal="center" vertical="center"/>
    </xf>
    <xf numFmtId="0" fontId="5" fillId="0" borderId="4" xfId="2" applyNumberFormat="1" applyFont="1" applyBorder="1" applyAlignment="1">
      <alignment horizontal="center" vertical="center" wrapText="1"/>
    </xf>
    <xf numFmtId="0" fontId="8" fillId="0" borderId="10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8" fillId="0" borderId="11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vertical="top"/>
    </xf>
    <xf numFmtId="0" fontId="0" fillId="0" borderId="4" xfId="0" applyBorder="1">
      <alignment vertical="center"/>
    </xf>
    <xf numFmtId="0" fontId="5" fillId="0" borderId="5" xfId="0" applyFont="1" applyBorder="1" applyAlignment="1">
      <alignment horizontal="center" vertical="center"/>
    </xf>
    <xf numFmtId="0" fontId="5" fillId="0" borderId="5" xfId="2" applyNumberFormat="1" applyFont="1" applyBorder="1" applyAlignment="1">
      <alignment horizontal="center" vertical="center" wrapText="1"/>
    </xf>
    <xf numFmtId="0" fontId="8" fillId="0" borderId="12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8" fillId="0" borderId="13" xfId="0" applyFont="1" applyFill="1" applyBorder="1" applyAlignment="1">
      <alignment horizontal="center" vertical="center" wrapText="1"/>
    </xf>
    <xf numFmtId="0" fontId="13" fillId="0" borderId="4" xfId="0" applyFont="1" applyFill="1" applyBorder="1">
      <alignment vertical="center"/>
    </xf>
    <xf numFmtId="0" fontId="13" fillId="0" borderId="4" xfId="0" applyFont="1" applyBorder="1">
      <alignment vertical="center"/>
    </xf>
    <xf numFmtId="0" fontId="6" fillId="0" borderId="0" xfId="0" applyFont="1" applyFill="1" applyAlignment="1">
      <alignment vertical="top"/>
    </xf>
    <xf numFmtId="0" fontId="5" fillId="0" borderId="0" xfId="0" applyFont="1" applyFill="1" applyAlignment="1">
      <alignment horizontal="left" vertical="top"/>
    </xf>
    <xf numFmtId="0" fontId="5" fillId="0" borderId="0" xfId="0" applyFont="1" applyFill="1" applyAlignment="1">
      <alignment vertical="top"/>
    </xf>
    <xf numFmtId="0" fontId="8" fillId="0" borderId="0" xfId="0" applyFont="1" applyFill="1" applyAlignment="1">
      <alignment vertical="top"/>
    </xf>
    <xf numFmtId="0" fontId="0" fillId="0" borderId="0" xfId="0" applyFill="1">
      <alignment vertical="center"/>
    </xf>
    <xf numFmtId="0" fontId="5" fillId="4" borderId="4" xfId="0" applyNumberFormat="1" applyFont="1" applyFill="1" applyBorder="1" applyAlignment="1">
      <alignment horizontal="left" vertical="top" wrapText="1"/>
    </xf>
    <xf numFmtId="0" fontId="0" fillId="4" borderId="4" xfId="0" applyFill="1" applyBorder="1">
      <alignment vertical="center"/>
    </xf>
    <xf numFmtId="0" fontId="5" fillId="4" borderId="4" xfId="0" applyFont="1" applyFill="1" applyBorder="1" applyAlignment="1">
      <alignment vertical="top"/>
    </xf>
    <xf numFmtId="0" fontId="0" fillId="5" borderId="4" xfId="0" applyFill="1" applyBorder="1">
      <alignment vertical="center"/>
    </xf>
    <xf numFmtId="0" fontId="5" fillId="5" borderId="4" xfId="0" applyFont="1" applyFill="1" applyBorder="1" applyAlignment="1">
      <alignment vertical="top"/>
    </xf>
    <xf numFmtId="0" fontId="0" fillId="6" borderId="4" xfId="0" applyFill="1" applyBorder="1">
      <alignment vertical="center"/>
    </xf>
    <xf numFmtId="0" fontId="5" fillId="6" borderId="4" xfId="0" applyFont="1" applyFill="1" applyBorder="1" applyAlignment="1">
      <alignment vertical="top"/>
    </xf>
    <xf numFmtId="0" fontId="13" fillId="6" borderId="4" xfId="0" applyFont="1" applyFill="1" applyBorder="1">
      <alignment vertical="center"/>
    </xf>
    <xf numFmtId="0" fontId="13" fillId="4" borderId="4" xfId="0" applyFont="1" applyFill="1" applyBorder="1">
      <alignment vertical="center"/>
    </xf>
    <xf numFmtId="0" fontId="13" fillId="5" borderId="4" xfId="0" applyFont="1" applyFill="1" applyBorder="1">
      <alignment vertical="center"/>
    </xf>
    <xf numFmtId="0" fontId="13" fillId="5" borderId="4" xfId="0" applyFont="1" applyFill="1" applyBorder="1" applyAlignment="1">
      <alignment horizontal="left" vertical="center"/>
    </xf>
    <xf numFmtId="0" fontId="13" fillId="6" borderId="4" xfId="0" applyFont="1" applyFill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3" fillId="4" borderId="4" xfId="0" applyFont="1" applyFill="1" applyBorder="1" applyAlignment="1">
      <alignment horizontal="left" vertical="center"/>
    </xf>
    <xf numFmtId="49" fontId="13" fillId="0" borderId="4" xfId="0" applyNumberFormat="1" applyFont="1" applyBorder="1" applyAlignment="1">
      <alignment horizontal="left" vertical="center"/>
    </xf>
    <xf numFmtId="0" fontId="9" fillId="2" borderId="4" xfId="0" applyFont="1" applyFill="1" applyBorder="1" applyAlignment="1">
      <alignment horizontal="center" vertical="top" wrapText="1"/>
    </xf>
    <xf numFmtId="0" fontId="10" fillId="0" borderId="4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center" vertical="center" wrapText="1"/>
    </xf>
    <xf numFmtId="0" fontId="10" fillId="0" borderId="9" xfId="0" applyFont="1" applyFill="1" applyBorder="1" applyAlignment="1">
      <alignment horizontal="center" vertical="center" wrapText="1"/>
    </xf>
    <xf numFmtId="0" fontId="8" fillId="0" borderId="9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9" fillId="2" borderId="1" xfId="0" applyFont="1" applyFill="1" applyBorder="1" applyAlignment="1">
      <alignment horizontal="center" vertical="top"/>
    </xf>
    <xf numFmtId="0" fontId="9" fillId="2" borderId="2" xfId="0" applyFont="1" applyFill="1" applyBorder="1" applyAlignment="1">
      <alignment horizontal="center" vertical="top"/>
    </xf>
    <xf numFmtId="0" fontId="9" fillId="2" borderId="3" xfId="0" applyFont="1" applyFill="1" applyBorder="1" applyAlignment="1">
      <alignment horizontal="center" vertical="top"/>
    </xf>
    <xf numFmtId="0" fontId="9" fillId="2" borderId="4" xfId="0" applyFont="1" applyFill="1" applyBorder="1" applyAlignment="1">
      <alignment horizontal="center" vertical="top"/>
    </xf>
    <xf numFmtId="0" fontId="10" fillId="0" borderId="6" xfId="0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</cellXfs>
  <cellStyles count="3">
    <cellStyle name="Normal_Materielstruktur och underh?l" xfId="2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77"/>
  <sheetViews>
    <sheetView tabSelected="1" topLeftCell="A10" zoomScale="85" zoomScaleNormal="85" workbookViewId="0">
      <selection activeCell="L75" sqref="L75"/>
    </sheetView>
  </sheetViews>
  <sheetFormatPr defaultRowHeight="16.5" x14ac:dyDescent="0.3"/>
  <cols>
    <col min="2" max="2" width="3.125" bestFit="1" customWidth="1"/>
    <col min="3" max="3" width="9" style="35"/>
    <col min="8" max="8" width="10.375" customWidth="1"/>
    <col min="12" max="12" width="25.125" customWidth="1"/>
    <col min="18" max="18" width="12.125" bestFit="1" customWidth="1"/>
    <col min="19" max="19" width="15.125" bestFit="1" customWidth="1"/>
    <col min="20" max="20" width="12.125" bestFit="1" customWidth="1"/>
    <col min="21" max="21" width="21.25" bestFit="1" customWidth="1"/>
    <col min="22" max="22" width="13.5" bestFit="1" customWidth="1"/>
    <col min="23" max="23" width="18.375" bestFit="1" customWidth="1"/>
    <col min="24" max="24" width="28.125" bestFit="1" customWidth="1"/>
    <col min="25" max="25" width="29.625" bestFit="1" customWidth="1"/>
    <col min="26" max="26" width="21" bestFit="1" customWidth="1"/>
    <col min="27" max="27" width="23" bestFit="1" customWidth="1"/>
    <col min="28" max="28" width="25.5" bestFit="1" customWidth="1"/>
    <col min="29" max="29" width="50.875" bestFit="1" customWidth="1"/>
    <col min="30" max="30" width="10.625" bestFit="1" customWidth="1"/>
    <col min="42" max="42" width="34.25" bestFit="1" customWidth="1"/>
    <col min="43" max="43" width="6.75" bestFit="1" customWidth="1"/>
    <col min="46" max="46" width="11.375" bestFit="1" customWidth="1"/>
    <col min="47" max="47" width="16.375" bestFit="1" customWidth="1"/>
    <col min="48" max="48" width="13.5" customWidth="1"/>
    <col min="49" max="49" width="12.25" bestFit="1" customWidth="1"/>
    <col min="50" max="50" width="13.75" bestFit="1" customWidth="1"/>
    <col min="51" max="51" width="17.125" bestFit="1" customWidth="1"/>
    <col min="52" max="52" width="13.75" bestFit="1" customWidth="1"/>
    <col min="53" max="53" width="6.75" bestFit="1" customWidth="1"/>
  </cols>
  <sheetData>
    <row r="1" spans="1:56" s="2" customFormat="1" ht="39" customHeight="1" x14ac:dyDescent="0.3">
      <c r="A1" s="60" t="s">
        <v>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1"/>
      <c r="AS1" s="1"/>
      <c r="AT1" s="1"/>
      <c r="AU1" s="1"/>
      <c r="AV1" s="1"/>
      <c r="AW1" s="1"/>
      <c r="AX1" s="1"/>
      <c r="AY1" s="1"/>
      <c r="AZ1" s="1"/>
    </row>
    <row r="2" spans="1:56" s="6" customFormat="1" ht="12" customHeight="1" x14ac:dyDescent="0.3">
      <c r="A2" s="3"/>
      <c r="B2" s="3"/>
      <c r="C2" s="31"/>
      <c r="D2" s="4"/>
      <c r="E2" s="4"/>
      <c r="F2" s="4"/>
      <c r="G2" s="4"/>
      <c r="H2" s="4"/>
      <c r="I2" s="4"/>
      <c r="J2" s="5" t="s">
        <v>1</v>
      </c>
      <c r="L2" s="7">
        <v>600000</v>
      </c>
      <c r="M2" s="8" t="s">
        <v>2</v>
      </c>
      <c r="N2" s="4"/>
      <c r="O2" s="4"/>
      <c r="P2" s="4"/>
      <c r="Q2" s="4"/>
      <c r="R2" s="4"/>
      <c r="S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</row>
    <row r="3" spans="1:56" s="6" customFormat="1" ht="12" customHeight="1" x14ac:dyDescent="0.3">
      <c r="A3" s="3" t="s">
        <v>3</v>
      </c>
      <c r="B3" s="3"/>
      <c r="C3" s="32" t="s">
        <v>4</v>
      </c>
      <c r="D3" s="3"/>
      <c r="E3" s="3"/>
      <c r="F3" s="3"/>
      <c r="G3" s="3"/>
      <c r="H3" s="3"/>
      <c r="I3" s="3"/>
      <c r="J3" s="3" t="s">
        <v>5</v>
      </c>
      <c r="L3" s="7">
        <v>16</v>
      </c>
      <c r="M3" s="8" t="s">
        <v>6</v>
      </c>
      <c r="AC3" s="8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10"/>
      <c r="BD3" s="10"/>
    </row>
    <row r="4" spans="1:56" s="6" customFormat="1" ht="12" customHeight="1" x14ac:dyDescent="0.3">
      <c r="A4" s="3" t="s">
        <v>7</v>
      </c>
      <c r="B4" s="3"/>
      <c r="C4" s="33"/>
      <c r="D4" s="11"/>
      <c r="E4" s="11"/>
      <c r="F4" s="11"/>
      <c r="G4" s="11"/>
      <c r="H4" s="11"/>
      <c r="I4" s="11"/>
      <c r="J4" s="3" t="s">
        <v>8</v>
      </c>
      <c r="L4" s="12">
        <f>L2/(365*L3)</f>
        <v>102.73972602739725</v>
      </c>
      <c r="M4" s="8" t="s">
        <v>9</v>
      </c>
      <c r="AC4" s="8"/>
      <c r="AE4" s="11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10"/>
      <c r="BD4" s="10"/>
    </row>
    <row r="5" spans="1:56" s="6" customFormat="1" ht="12" customHeight="1" x14ac:dyDescent="0.3">
      <c r="A5" s="3"/>
      <c r="B5" s="3"/>
      <c r="C5" s="33"/>
      <c r="D5" s="11"/>
      <c r="E5" s="11"/>
      <c r="F5" s="11"/>
      <c r="G5" s="11"/>
      <c r="H5" s="11"/>
      <c r="I5" s="11"/>
      <c r="J5" s="11"/>
      <c r="AC5" s="8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9"/>
      <c r="BC5" s="10"/>
      <c r="BD5" s="10"/>
    </row>
    <row r="6" spans="1:56" s="6" customFormat="1" ht="12.75" x14ac:dyDescent="0.3">
      <c r="A6" s="3"/>
      <c r="B6" s="3"/>
      <c r="C6" s="34"/>
      <c r="D6" s="14"/>
      <c r="E6" s="14"/>
      <c r="F6" s="14"/>
      <c r="G6" s="14"/>
      <c r="H6" s="14"/>
      <c r="I6" s="14"/>
      <c r="J6" s="14"/>
      <c r="K6" s="1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</row>
    <row r="7" spans="1:56" s="6" customFormat="1" ht="19.5" customHeight="1" x14ac:dyDescent="0.3">
      <c r="A7" s="61" t="s">
        <v>10</v>
      </c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3"/>
      <c r="R7" s="64" t="s">
        <v>11</v>
      </c>
      <c r="S7" s="64"/>
      <c r="T7" s="64"/>
      <c r="U7" s="64"/>
      <c r="V7" s="51" t="s">
        <v>12</v>
      </c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 t="s">
        <v>13</v>
      </c>
      <c r="AS7" s="51"/>
      <c r="AT7" s="51"/>
      <c r="AU7" s="51"/>
      <c r="AV7" s="51"/>
      <c r="AW7" s="51"/>
      <c r="AX7" s="51"/>
      <c r="AY7" s="51"/>
      <c r="AZ7" s="51"/>
      <c r="BA7" s="51"/>
    </row>
    <row r="8" spans="1:56" s="16" customFormat="1" ht="26.25" customHeight="1" x14ac:dyDescent="0.3">
      <c r="A8" s="52" t="s">
        <v>14</v>
      </c>
      <c r="B8" s="53"/>
      <c r="C8" s="52" t="s">
        <v>15</v>
      </c>
      <c r="D8" s="53"/>
      <c r="E8" s="53"/>
      <c r="F8" s="53"/>
      <c r="G8" s="53"/>
      <c r="H8" s="53"/>
      <c r="I8" s="55" t="s">
        <v>16</v>
      </c>
      <c r="J8" s="56"/>
      <c r="K8" s="56"/>
      <c r="L8" s="52" t="s">
        <v>17</v>
      </c>
      <c r="M8" s="57" t="s">
        <v>18</v>
      </c>
      <c r="N8" s="57" t="s">
        <v>19</v>
      </c>
      <c r="O8" s="57" t="s">
        <v>20</v>
      </c>
      <c r="P8" s="57" t="s">
        <v>21</v>
      </c>
      <c r="Q8" s="57" t="s">
        <v>22</v>
      </c>
      <c r="R8" s="65" t="s">
        <v>23</v>
      </c>
      <c r="S8" s="66"/>
      <c r="T8" s="66"/>
      <c r="U8" s="15" t="s">
        <v>24</v>
      </c>
      <c r="V8" s="52" t="s">
        <v>25</v>
      </c>
      <c r="W8" s="52" t="s">
        <v>26</v>
      </c>
      <c r="X8" s="52" t="s">
        <v>27</v>
      </c>
      <c r="Y8" s="53"/>
      <c r="Z8" s="52" t="s">
        <v>28</v>
      </c>
      <c r="AA8" s="68"/>
      <c r="AB8" s="52" t="s">
        <v>29</v>
      </c>
      <c r="AC8" s="52" t="s">
        <v>30</v>
      </c>
      <c r="AD8" s="68"/>
      <c r="AE8" s="68"/>
      <c r="AF8" s="68"/>
      <c r="AG8" s="68"/>
      <c r="AH8" s="52" t="s">
        <v>31</v>
      </c>
      <c r="AI8" s="53"/>
      <c r="AJ8" s="53"/>
      <c r="AK8" s="53"/>
      <c r="AL8" s="52" t="s">
        <v>32</v>
      </c>
      <c r="AM8" s="53"/>
      <c r="AN8" s="53"/>
      <c r="AO8" s="53"/>
      <c r="AP8" s="52" t="s">
        <v>33</v>
      </c>
      <c r="AQ8" s="52" t="s">
        <v>34</v>
      </c>
      <c r="AR8" s="52" t="s">
        <v>35</v>
      </c>
      <c r="AS8" s="52"/>
      <c r="AT8" s="52" t="s">
        <v>36</v>
      </c>
      <c r="AU8" s="52" t="s">
        <v>37</v>
      </c>
      <c r="AV8" s="52" t="s">
        <v>38</v>
      </c>
      <c r="AW8" s="52" t="s">
        <v>39</v>
      </c>
      <c r="AX8" s="52" t="s">
        <v>40</v>
      </c>
      <c r="AY8" s="52" t="s">
        <v>41</v>
      </c>
      <c r="AZ8" s="52" t="s">
        <v>42</v>
      </c>
      <c r="BA8" s="52" t="s">
        <v>34</v>
      </c>
    </row>
    <row r="9" spans="1:56" s="16" customFormat="1" ht="35.25" customHeight="1" x14ac:dyDescent="0.3">
      <c r="A9" s="53"/>
      <c r="B9" s="53"/>
      <c r="C9" s="53"/>
      <c r="D9" s="53"/>
      <c r="E9" s="53"/>
      <c r="F9" s="53"/>
      <c r="G9" s="53"/>
      <c r="H9" s="53"/>
      <c r="I9" s="17" t="s">
        <v>43</v>
      </c>
      <c r="J9" s="17" t="s">
        <v>43</v>
      </c>
      <c r="K9" s="18" t="s">
        <v>44</v>
      </c>
      <c r="L9" s="53"/>
      <c r="M9" s="58"/>
      <c r="N9" s="58"/>
      <c r="O9" s="58"/>
      <c r="P9" s="58"/>
      <c r="Q9" s="58"/>
      <c r="R9" s="19" t="s">
        <v>45</v>
      </c>
      <c r="S9" s="20" t="s">
        <v>46</v>
      </c>
      <c r="T9" s="57" t="s">
        <v>47</v>
      </c>
      <c r="U9" s="21" t="s">
        <v>45</v>
      </c>
      <c r="V9" s="53"/>
      <c r="W9" s="53"/>
      <c r="X9" s="52" t="s">
        <v>48</v>
      </c>
      <c r="Y9" s="52" t="s">
        <v>49</v>
      </c>
      <c r="Z9" s="52" t="s">
        <v>50</v>
      </c>
      <c r="AA9" s="52" t="s">
        <v>51</v>
      </c>
      <c r="AB9" s="53"/>
      <c r="AC9" s="57" t="s">
        <v>52</v>
      </c>
      <c r="AD9" s="52" t="s">
        <v>53</v>
      </c>
      <c r="AE9" s="70" t="s">
        <v>54</v>
      </c>
      <c r="AF9" s="52" t="s">
        <v>55</v>
      </c>
      <c r="AG9" s="52" t="s">
        <v>56</v>
      </c>
      <c r="AH9" s="53" t="s">
        <v>57</v>
      </c>
      <c r="AI9" s="53" t="s">
        <v>58</v>
      </c>
      <c r="AJ9" s="53" t="s">
        <v>59</v>
      </c>
      <c r="AK9" s="53" t="s">
        <v>60</v>
      </c>
      <c r="AL9" s="53" t="s">
        <v>57</v>
      </c>
      <c r="AM9" s="53" t="s">
        <v>58</v>
      </c>
      <c r="AN9" s="53" t="s">
        <v>59</v>
      </c>
      <c r="AO9" s="53" t="s">
        <v>60</v>
      </c>
      <c r="AP9" s="53"/>
      <c r="AQ9" s="53"/>
      <c r="AR9" s="52"/>
      <c r="AS9" s="52"/>
      <c r="AT9" s="52"/>
      <c r="AU9" s="53"/>
      <c r="AV9" s="53"/>
      <c r="AW9" s="53"/>
      <c r="AX9" s="52"/>
      <c r="AY9" s="52"/>
      <c r="AZ9" s="52"/>
      <c r="BA9" s="53"/>
    </row>
    <row r="10" spans="1:56" s="16" customFormat="1" ht="31.5" customHeight="1" x14ac:dyDescent="0.3">
      <c r="A10" s="54"/>
      <c r="B10" s="54"/>
      <c r="C10" s="54"/>
      <c r="D10" s="54"/>
      <c r="E10" s="54"/>
      <c r="F10" s="54"/>
      <c r="G10" s="54"/>
      <c r="H10" s="54"/>
      <c r="I10" s="24" t="s">
        <v>61</v>
      </c>
      <c r="J10" s="24" t="s">
        <v>62</v>
      </c>
      <c r="K10" s="25" t="s">
        <v>119</v>
      </c>
      <c r="L10" s="54"/>
      <c r="M10" s="58"/>
      <c r="N10" s="58"/>
      <c r="O10" s="58"/>
      <c r="P10" s="58"/>
      <c r="Q10" s="58"/>
      <c r="R10" s="26" t="s">
        <v>63</v>
      </c>
      <c r="S10" s="27" t="s">
        <v>64</v>
      </c>
      <c r="T10" s="59"/>
      <c r="U10" s="28" t="s">
        <v>63</v>
      </c>
      <c r="V10" s="54"/>
      <c r="W10" s="54"/>
      <c r="X10" s="67"/>
      <c r="Y10" s="67"/>
      <c r="Z10" s="67"/>
      <c r="AA10" s="67"/>
      <c r="AB10" s="54" t="s">
        <v>65</v>
      </c>
      <c r="AC10" s="69"/>
      <c r="AD10" s="67"/>
      <c r="AE10" s="71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54"/>
      <c r="AQ10" s="54"/>
      <c r="AR10" s="27" t="s">
        <v>66</v>
      </c>
      <c r="AS10" s="27" t="s">
        <v>67</v>
      </c>
      <c r="AT10" s="57"/>
      <c r="AU10" s="54"/>
      <c r="AV10" s="54"/>
      <c r="AW10" s="54"/>
      <c r="AX10" s="27" t="s">
        <v>66</v>
      </c>
      <c r="AY10" s="27" t="s">
        <v>66</v>
      </c>
      <c r="AZ10" s="27" t="s">
        <v>66</v>
      </c>
      <c r="BA10" s="54"/>
    </row>
    <row r="11" spans="1:56" x14ac:dyDescent="0.3">
      <c r="A11" s="36">
        <v>100000</v>
      </c>
      <c r="B11" s="37">
        <v>1</v>
      </c>
      <c r="C11" s="38" t="s">
        <v>68</v>
      </c>
      <c r="D11" s="38"/>
      <c r="E11" s="38"/>
      <c r="F11" s="38"/>
      <c r="G11" s="38"/>
      <c r="H11" s="38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</row>
    <row r="12" spans="1:56" x14ac:dyDescent="0.3">
      <c r="A12" s="46">
        <v>110000</v>
      </c>
      <c r="B12" s="39">
        <v>1</v>
      </c>
      <c r="C12" s="40"/>
      <c r="D12" s="40" t="s">
        <v>69</v>
      </c>
      <c r="E12" s="40"/>
      <c r="F12" s="40"/>
      <c r="G12" s="40"/>
      <c r="H12" s="40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</row>
    <row r="13" spans="1:56" x14ac:dyDescent="0.3">
      <c r="A13" s="47">
        <v>111000</v>
      </c>
      <c r="B13" s="41">
        <v>1</v>
      </c>
      <c r="C13" s="42"/>
      <c r="D13" s="42"/>
      <c r="E13" s="42" t="s">
        <v>71</v>
      </c>
      <c r="F13" s="42"/>
      <c r="G13" s="42"/>
      <c r="H13" s="42"/>
      <c r="I13" s="23">
        <v>1</v>
      </c>
      <c r="J13" s="23">
        <v>1</v>
      </c>
      <c r="K13" s="23">
        <f>SUM(I13:J13)</f>
        <v>2</v>
      </c>
      <c r="L13" s="23" t="s">
        <v>140</v>
      </c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</row>
    <row r="14" spans="1:56" x14ac:dyDescent="0.3">
      <c r="A14" s="48">
        <v>111100</v>
      </c>
      <c r="B14" s="23">
        <v>1</v>
      </c>
      <c r="C14" s="22"/>
      <c r="D14" s="22"/>
      <c r="E14" s="22"/>
      <c r="F14" s="22" t="s">
        <v>85</v>
      </c>
      <c r="G14" s="22"/>
      <c r="H14" s="22"/>
      <c r="I14" s="23">
        <v>1</v>
      </c>
      <c r="J14" s="23">
        <v>1</v>
      </c>
      <c r="K14" s="23">
        <f t="shared" ref="K14:K76" si="0">SUM(I14:J14)</f>
        <v>2</v>
      </c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</row>
    <row r="15" spans="1:56" x14ac:dyDescent="0.3">
      <c r="A15" s="48">
        <v>111200</v>
      </c>
      <c r="B15" s="23">
        <v>1</v>
      </c>
      <c r="C15" s="22"/>
      <c r="D15" s="22"/>
      <c r="E15" s="22"/>
      <c r="F15" s="22" t="s">
        <v>84</v>
      </c>
      <c r="G15" s="22"/>
      <c r="H15" s="22"/>
      <c r="I15" s="23">
        <v>1</v>
      </c>
      <c r="J15" s="23">
        <v>1</v>
      </c>
      <c r="K15" s="23">
        <f t="shared" si="0"/>
        <v>2</v>
      </c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</row>
    <row r="16" spans="1:56" x14ac:dyDescent="0.3">
      <c r="A16" s="48">
        <v>111300</v>
      </c>
      <c r="B16" s="23">
        <v>1</v>
      </c>
      <c r="C16" s="22"/>
      <c r="D16" s="22"/>
      <c r="E16" s="22"/>
      <c r="F16" s="22" t="s">
        <v>93</v>
      </c>
      <c r="G16" s="22"/>
      <c r="H16" s="22"/>
      <c r="I16" s="23">
        <v>1</v>
      </c>
      <c r="J16" s="23">
        <v>1</v>
      </c>
      <c r="K16" s="23">
        <f t="shared" si="0"/>
        <v>2</v>
      </c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</row>
    <row r="17" spans="1:53" x14ac:dyDescent="0.3">
      <c r="A17" s="47">
        <v>112000</v>
      </c>
      <c r="B17" s="41">
        <v>1</v>
      </c>
      <c r="C17" s="42"/>
      <c r="D17" s="42"/>
      <c r="E17" s="42" t="s">
        <v>94</v>
      </c>
      <c r="F17" s="42"/>
      <c r="G17" s="42"/>
      <c r="H17" s="42"/>
      <c r="I17" s="23">
        <v>1</v>
      </c>
      <c r="J17" s="23">
        <v>1</v>
      </c>
      <c r="K17" s="23">
        <f t="shared" si="0"/>
        <v>2</v>
      </c>
      <c r="L17" s="23" t="s">
        <v>141</v>
      </c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</row>
    <row r="18" spans="1:53" x14ac:dyDescent="0.3">
      <c r="A18" s="48">
        <v>112100</v>
      </c>
      <c r="B18" s="23">
        <v>1</v>
      </c>
      <c r="C18" s="22"/>
      <c r="D18" s="22"/>
      <c r="E18" s="22"/>
      <c r="F18" s="22" t="s">
        <v>95</v>
      </c>
      <c r="G18" s="22"/>
      <c r="H18" s="22"/>
      <c r="I18" s="23">
        <v>1</v>
      </c>
      <c r="J18" s="23">
        <v>1</v>
      </c>
      <c r="K18" s="23">
        <f t="shared" si="0"/>
        <v>2</v>
      </c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</row>
    <row r="19" spans="1:53" x14ac:dyDescent="0.3">
      <c r="A19" s="47">
        <v>113000</v>
      </c>
      <c r="B19" s="41">
        <v>1</v>
      </c>
      <c r="C19" s="42"/>
      <c r="D19" s="42"/>
      <c r="E19" s="42" t="s">
        <v>72</v>
      </c>
      <c r="F19" s="42"/>
      <c r="G19" s="42"/>
      <c r="H19" s="42"/>
      <c r="I19" s="23">
        <v>2</v>
      </c>
      <c r="J19" s="23">
        <v>2</v>
      </c>
      <c r="K19" s="23">
        <f t="shared" si="0"/>
        <v>4</v>
      </c>
      <c r="L19" s="23" t="s">
        <v>142</v>
      </c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</row>
    <row r="20" spans="1:53" x14ac:dyDescent="0.3">
      <c r="A20" s="48">
        <v>113100</v>
      </c>
      <c r="B20" s="23">
        <v>1</v>
      </c>
      <c r="C20" s="22"/>
      <c r="D20" s="22"/>
      <c r="E20" s="22"/>
      <c r="F20" s="22" t="s">
        <v>85</v>
      </c>
      <c r="G20" s="22"/>
      <c r="H20" s="22"/>
      <c r="I20" s="23">
        <v>1</v>
      </c>
      <c r="J20" s="23">
        <v>1</v>
      </c>
      <c r="K20" s="23">
        <f t="shared" si="0"/>
        <v>2</v>
      </c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</row>
    <row r="21" spans="1:53" x14ac:dyDescent="0.3">
      <c r="A21" s="48">
        <v>113200</v>
      </c>
      <c r="B21" s="23">
        <v>1</v>
      </c>
      <c r="C21" s="22"/>
      <c r="D21" s="22"/>
      <c r="E21" s="22"/>
      <c r="F21" s="22" t="s">
        <v>84</v>
      </c>
      <c r="G21" s="22"/>
      <c r="H21" s="22"/>
      <c r="I21" s="23">
        <v>1</v>
      </c>
      <c r="J21" s="23">
        <v>1</v>
      </c>
      <c r="K21" s="23">
        <f t="shared" si="0"/>
        <v>2</v>
      </c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</row>
    <row r="22" spans="1:53" x14ac:dyDescent="0.3">
      <c r="A22" s="47">
        <v>114000</v>
      </c>
      <c r="B22" s="41">
        <v>1</v>
      </c>
      <c r="C22" s="42"/>
      <c r="D22" s="42"/>
      <c r="E22" s="42" t="s">
        <v>73</v>
      </c>
      <c r="F22" s="42"/>
      <c r="G22" s="42"/>
      <c r="H22" s="42"/>
      <c r="I22" s="23">
        <v>1</v>
      </c>
      <c r="J22" s="23">
        <v>1</v>
      </c>
      <c r="K22" s="23">
        <f t="shared" si="0"/>
        <v>2</v>
      </c>
      <c r="L22" s="23" t="s">
        <v>140</v>
      </c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</row>
    <row r="23" spans="1:53" x14ac:dyDescent="0.3">
      <c r="A23" s="48">
        <v>114100</v>
      </c>
      <c r="B23" s="23">
        <v>1</v>
      </c>
      <c r="C23" s="22"/>
      <c r="D23" s="22"/>
      <c r="E23" s="22"/>
      <c r="F23" s="22" t="s">
        <v>85</v>
      </c>
      <c r="G23" s="22"/>
      <c r="H23" s="22"/>
      <c r="I23" s="23">
        <v>1</v>
      </c>
      <c r="J23" s="23">
        <v>1</v>
      </c>
      <c r="K23" s="23">
        <f t="shared" si="0"/>
        <v>2</v>
      </c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</row>
    <row r="24" spans="1:53" x14ac:dyDescent="0.3">
      <c r="A24" s="47">
        <v>115000</v>
      </c>
      <c r="B24" s="41">
        <v>1</v>
      </c>
      <c r="C24" s="42"/>
      <c r="D24" s="42"/>
      <c r="E24" s="42" t="s">
        <v>81</v>
      </c>
      <c r="F24" s="42"/>
      <c r="G24" s="42"/>
      <c r="H24" s="42"/>
      <c r="I24" s="23">
        <v>1</v>
      </c>
      <c r="J24" s="23">
        <v>1</v>
      </c>
      <c r="K24" s="23">
        <f t="shared" si="0"/>
        <v>2</v>
      </c>
      <c r="L24" s="23" t="s">
        <v>143</v>
      </c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</row>
    <row r="25" spans="1:53" x14ac:dyDescent="0.3">
      <c r="A25" s="48">
        <v>115100</v>
      </c>
      <c r="B25" s="23">
        <v>1</v>
      </c>
      <c r="C25" s="22"/>
      <c r="D25" s="22"/>
      <c r="E25" s="22"/>
      <c r="F25" s="22" t="s">
        <v>86</v>
      </c>
      <c r="G25" s="22"/>
      <c r="H25" s="22"/>
      <c r="I25" s="23">
        <v>1</v>
      </c>
      <c r="J25" s="23">
        <v>1</v>
      </c>
      <c r="K25" s="23">
        <f t="shared" si="0"/>
        <v>2</v>
      </c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</row>
    <row r="26" spans="1:53" x14ac:dyDescent="0.3">
      <c r="A26" s="47">
        <v>116000</v>
      </c>
      <c r="B26" s="41">
        <v>1</v>
      </c>
      <c r="C26" s="42"/>
      <c r="D26" s="42"/>
      <c r="E26" s="42" t="s">
        <v>82</v>
      </c>
      <c r="F26" s="42"/>
      <c r="G26" s="42"/>
      <c r="H26" s="42"/>
      <c r="I26" s="23">
        <v>8</v>
      </c>
      <c r="J26" s="23">
        <v>8</v>
      </c>
      <c r="K26" s="23">
        <f t="shared" si="0"/>
        <v>16</v>
      </c>
      <c r="L26" s="23" t="s">
        <v>144</v>
      </c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</row>
    <row r="27" spans="1:53" x14ac:dyDescent="0.3">
      <c r="A27" s="48">
        <v>116100</v>
      </c>
      <c r="B27" s="23">
        <v>1</v>
      </c>
      <c r="C27" s="22"/>
      <c r="D27" s="22"/>
      <c r="E27" s="22"/>
      <c r="F27" s="22" t="s">
        <v>86</v>
      </c>
      <c r="G27" s="22"/>
      <c r="H27" s="22"/>
      <c r="I27" s="23">
        <v>1</v>
      </c>
      <c r="J27" s="23">
        <v>1</v>
      </c>
      <c r="K27" s="23">
        <f t="shared" si="0"/>
        <v>2</v>
      </c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</row>
    <row r="28" spans="1:53" x14ac:dyDescent="0.3">
      <c r="A28" s="48">
        <v>116200</v>
      </c>
      <c r="B28" s="23">
        <v>1</v>
      </c>
      <c r="C28" s="22"/>
      <c r="D28" s="22"/>
      <c r="E28" s="22"/>
      <c r="F28" s="22" t="s">
        <v>88</v>
      </c>
      <c r="G28" s="22"/>
      <c r="H28" s="22"/>
      <c r="I28" s="23">
        <v>1</v>
      </c>
      <c r="J28" s="23">
        <v>1</v>
      </c>
      <c r="K28" s="23">
        <f t="shared" si="0"/>
        <v>2</v>
      </c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</row>
    <row r="29" spans="1:53" x14ac:dyDescent="0.3">
      <c r="A29" s="47">
        <v>117000</v>
      </c>
      <c r="B29" s="41">
        <v>1</v>
      </c>
      <c r="C29" s="42"/>
      <c r="D29" s="42"/>
      <c r="E29" s="42" t="s">
        <v>83</v>
      </c>
      <c r="F29" s="42"/>
      <c r="G29" s="42"/>
      <c r="H29" s="42"/>
      <c r="I29" s="23">
        <v>4</v>
      </c>
      <c r="J29" s="23">
        <v>4</v>
      </c>
      <c r="K29" s="23">
        <f t="shared" si="0"/>
        <v>8</v>
      </c>
      <c r="L29" s="23" t="s">
        <v>145</v>
      </c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</row>
    <row r="30" spans="1:53" x14ac:dyDescent="0.3">
      <c r="A30" s="48">
        <v>117100</v>
      </c>
      <c r="B30" s="23">
        <v>1</v>
      </c>
      <c r="C30" s="22"/>
      <c r="D30" s="22"/>
      <c r="E30" s="22"/>
      <c r="F30" s="22" t="s">
        <v>86</v>
      </c>
      <c r="G30" s="22"/>
      <c r="H30" s="22"/>
      <c r="I30" s="23">
        <v>1</v>
      </c>
      <c r="J30" s="23">
        <v>1</v>
      </c>
      <c r="K30" s="23">
        <f t="shared" si="0"/>
        <v>2</v>
      </c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</row>
    <row r="31" spans="1:53" x14ac:dyDescent="0.3">
      <c r="A31" s="47">
        <v>118000</v>
      </c>
      <c r="B31" s="41">
        <v>1</v>
      </c>
      <c r="C31" s="42"/>
      <c r="D31" s="42"/>
      <c r="E31" s="42" t="s">
        <v>87</v>
      </c>
      <c r="F31" s="42"/>
      <c r="G31" s="42"/>
      <c r="H31" s="42"/>
      <c r="I31" s="23">
        <v>4</v>
      </c>
      <c r="J31" s="23">
        <v>4</v>
      </c>
      <c r="K31" s="23">
        <f t="shared" si="0"/>
        <v>8</v>
      </c>
      <c r="L31" s="23" t="s">
        <v>146</v>
      </c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</row>
    <row r="32" spans="1:53" x14ac:dyDescent="0.3">
      <c r="A32" s="48">
        <v>118100</v>
      </c>
      <c r="B32" s="23">
        <v>1</v>
      </c>
      <c r="C32" s="22"/>
      <c r="D32" s="22"/>
      <c r="E32" s="22"/>
      <c r="F32" s="22" t="s">
        <v>97</v>
      </c>
      <c r="G32" s="22"/>
      <c r="H32" s="22"/>
      <c r="I32" s="23">
        <v>1</v>
      </c>
      <c r="J32" s="23">
        <v>1</v>
      </c>
      <c r="K32" s="23">
        <f t="shared" si="0"/>
        <v>2</v>
      </c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</row>
    <row r="33" spans="1:53" x14ac:dyDescent="0.3">
      <c r="A33" s="47">
        <v>119000</v>
      </c>
      <c r="B33" s="41">
        <v>1</v>
      </c>
      <c r="C33" s="42"/>
      <c r="D33" s="42"/>
      <c r="E33" s="42" t="s">
        <v>92</v>
      </c>
      <c r="F33" s="42"/>
      <c r="G33" s="42"/>
      <c r="H33" s="42"/>
      <c r="I33" s="23">
        <v>2</v>
      </c>
      <c r="J33" s="23">
        <v>2</v>
      </c>
      <c r="K33" s="23">
        <f t="shared" si="0"/>
        <v>4</v>
      </c>
      <c r="L33" s="23" t="s">
        <v>147</v>
      </c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</row>
    <row r="34" spans="1:53" x14ac:dyDescent="0.3">
      <c r="A34" s="48">
        <v>119100</v>
      </c>
      <c r="B34" s="23">
        <v>1</v>
      </c>
      <c r="C34" s="22"/>
      <c r="D34" s="22"/>
      <c r="E34" s="22"/>
      <c r="F34" s="22" t="s">
        <v>96</v>
      </c>
      <c r="G34" s="22"/>
      <c r="H34" s="22"/>
      <c r="I34" s="23">
        <v>1</v>
      </c>
      <c r="J34" s="23">
        <v>1</v>
      </c>
      <c r="K34" s="23">
        <f t="shared" si="0"/>
        <v>2</v>
      </c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</row>
    <row r="35" spans="1:53" x14ac:dyDescent="0.3">
      <c r="A35" s="46">
        <v>120000</v>
      </c>
      <c r="B35" s="39">
        <v>1</v>
      </c>
      <c r="C35" s="40"/>
      <c r="D35" s="40" t="s">
        <v>70</v>
      </c>
      <c r="E35" s="40"/>
      <c r="F35" s="40"/>
      <c r="G35" s="40"/>
      <c r="H35" s="40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</row>
    <row r="36" spans="1:53" x14ac:dyDescent="0.3">
      <c r="A36" s="47">
        <v>121000</v>
      </c>
      <c r="B36" s="41">
        <v>1</v>
      </c>
      <c r="C36" s="43"/>
      <c r="D36" s="43"/>
      <c r="E36" s="42" t="s">
        <v>74</v>
      </c>
      <c r="F36" s="43"/>
      <c r="G36" s="43"/>
      <c r="H36" s="43"/>
      <c r="I36" s="23">
        <v>1</v>
      </c>
      <c r="J36" s="23">
        <v>1</v>
      </c>
      <c r="K36" s="23">
        <f t="shared" si="0"/>
        <v>2</v>
      </c>
      <c r="L36" s="23" t="s">
        <v>120</v>
      </c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</row>
    <row r="37" spans="1:53" x14ac:dyDescent="0.3">
      <c r="A37" s="48">
        <v>121100</v>
      </c>
      <c r="B37" s="23">
        <v>1</v>
      </c>
      <c r="C37" s="29"/>
      <c r="D37" s="29"/>
      <c r="E37" s="22"/>
      <c r="F37" s="29" t="s">
        <v>90</v>
      </c>
      <c r="G37" s="29"/>
      <c r="H37" s="29"/>
      <c r="I37" s="23">
        <v>1</v>
      </c>
      <c r="J37" s="23">
        <v>1</v>
      </c>
      <c r="K37" s="23">
        <f t="shared" si="0"/>
        <v>2</v>
      </c>
      <c r="L37" s="23" t="s">
        <v>121</v>
      </c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</row>
    <row r="38" spans="1:53" x14ac:dyDescent="0.3">
      <c r="A38" s="48">
        <v>121200</v>
      </c>
      <c r="B38" s="23">
        <v>1</v>
      </c>
      <c r="C38" s="29"/>
      <c r="D38" s="29"/>
      <c r="E38" s="22"/>
      <c r="F38" s="29" t="s">
        <v>118</v>
      </c>
      <c r="G38" s="29"/>
      <c r="H38" s="29"/>
      <c r="I38" s="23">
        <v>1</v>
      </c>
      <c r="J38" s="23">
        <v>1</v>
      </c>
      <c r="K38" s="23">
        <f t="shared" si="0"/>
        <v>2</v>
      </c>
      <c r="L38" s="23" t="s">
        <v>122</v>
      </c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</row>
    <row r="39" spans="1:53" x14ac:dyDescent="0.3">
      <c r="A39" s="48">
        <v>121300</v>
      </c>
      <c r="B39" s="23">
        <v>1</v>
      </c>
      <c r="C39" s="29"/>
      <c r="D39" s="30"/>
      <c r="E39" s="30"/>
      <c r="F39" s="30" t="s">
        <v>101</v>
      </c>
      <c r="G39" s="30"/>
      <c r="H39" s="30"/>
      <c r="I39" s="23">
        <v>1</v>
      </c>
      <c r="J39" s="23">
        <v>1</v>
      </c>
      <c r="K39" s="23">
        <f t="shared" si="0"/>
        <v>2</v>
      </c>
      <c r="L39" s="23" t="s">
        <v>123</v>
      </c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</row>
    <row r="40" spans="1:53" x14ac:dyDescent="0.3">
      <c r="A40" s="48">
        <v>121400</v>
      </c>
      <c r="B40" s="23">
        <v>1</v>
      </c>
      <c r="C40" s="29"/>
      <c r="D40" s="30"/>
      <c r="E40" s="30"/>
      <c r="F40" s="30" t="s">
        <v>102</v>
      </c>
      <c r="G40" s="30"/>
      <c r="H40" s="30"/>
      <c r="I40" s="23">
        <v>1</v>
      </c>
      <c r="J40" s="23">
        <v>1</v>
      </c>
      <c r="K40" s="23">
        <f t="shared" si="0"/>
        <v>2</v>
      </c>
      <c r="L40" s="23" t="s">
        <v>124</v>
      </c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</row>
    <row r="41" spans="1:53" x14ac:dyDescent="0.3">
      <c r="A41" s="48">
        <v>121500</v>
      </c>
      <c r="B41" s="23">
        <v>1</v>
      </c>
      <c r="C41" s="29"/>
      <c r="D41" s="30"/>
      <c r="E41" s="30"/>
      <c r="F41" s="30" t="s">
        <v>103</v>
      </c>
      <c r="G41" s="30"/>
      <c r="H41" s="30"/>
      <c r="I41" s="23">
        <v>1</v>
      </c>
      <c r="J41" s="23">
        <v>1</v>
      </c>
      <c r="K41" s="23">
        <f t="shared" si="0"/>
        <v>2</v>
      </c>
      <c r="L41" s="23" t="s">
        <v>125</v>
      </c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</row>
    <row r="42" spans="1:53" x14ac:dyDescent="0.3">
      <c r="A42" s="48">
        <v>121600</v>
      </c>
      <c r="B42" s="23">
        <v>1</v>
      </c>
      <c r="C42" s="29"/>
      <c r="D42" s="30"/>
      <c r="E42" s="30"/>
      <c r="F42" s="30" t="s">
        <v>104</v>
      </c>
      <c r="G42" s="30"/>
      <c r="H42" s="30"/>
      <c r="I42" s="23">
        <v>1</v>
      </c>
      <c r="J42" s="23">
        <v>1</v>
      </c>
      <c r="K42" s="23">
        <f t="shared" si="0"/>
        <v>2</v>
      </c>
      <c r="L42" s="23" t="s">
        <v>126</v>
      </c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</row>
    <row r="43" spans="1:53" x14ac:dyDescent="0.3">
      <c r="A43" s="48">
        <v>121700</v>
      </c>
      <c r="B43" s="23">
        <v>1</v>
      </c>
      <c r="C43" s="29"/>
      <c r="D43" s="30"/>
      <c r="E43" s="30"/>
      <c r="F43" s="30" t="s">
        <v>105</v>
      </c>
      <c r="G43" s="30"/>
      <c r="H43" s="30"/>
      <c r="I43" s="23">
        <v>1</v>
      </c>
      <c r="J43" s="23">
        <v>1</v>
      </c>
      <c r="K43" s="23">
        <f t="shared" si="0"/>
        <v>2</v>
      </c>
      <c r="L43" s="23" t="s">
        <v>127</v>
      </c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</row>
    <row r="44" spans="1:53" x14ac:dyDescent="0.3">
      <c r="A44" s="48">
        <v>121800</v>
      </c>
      <c r="B44" s="23">
        <v>1</v>
      </c>
      <c r="C44" s="29"/>
      <c r="D44" s="30"/>
      <c r="E44" s="30"/>
      <c r="F44" s="30" t="s">
        <v>106</v>
      </c>
      <c r="G44" s="30"/>
      <c r="H44" s="30"/>
      <c r="I44" s="23">
        <v>1</v>
      </c>
      <c r="J44" s="23">
        <v>1</v>
      </c>
      <c r="K44" s="23">
        <f t="shared" si="0"/>
        <v>2</v>
      </c>
      <c r="L44" s="23" t="s">
        <v>128</v>
      </c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</row>
    <row r="45" spans="1:53" x14ac:dyDescent="0.3">
      <c r="A45" s="48">
        <v>121900</v>
      </c>
      <c r="B45" s="23">
        <v>1</v>
      </c>
      <c r="C45" s="29"/>
      <c r="D45" s="30"/>
      <c r="E45" s="30"/>
      <c r="F45" s="29" t="s">
        <v>107</v>
      </c>
      <c r="G45" s="30"/>
      <c r="H45" s="30"/>
      <c r="I45" s="23">
        <v>1</v>
      </c>
      <c r="J45" s="23">
        <v>1</v>
      </c>
      <c r="K45" s="23">
        <f t="shared" si="0"/>
        <v>2</v>
      </c>
      <c r="L45" s="23" t="s">
        <v>129</v>
      </c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</row>
    <row r="46" spans="1:53" x14ac:dyDescent="0.3">
      <c r="A46" s="48" t="s">
        <v>112</v>
      </c>
      <c r="B46" s="23">
        <v>1</v>
      </c>
      <c r="C46" s="29"/>
      <c r="D46" s="30"/>
      <c r="E46" s="30"/>
      <c r="F46" s="29" t="s">
        <v>108</v>
      </c>
      <c r="G46" s="30"/>
      <c r="H46" s="30"/>
      <c r="I46" s="23">
        <v>1</v>
      </c>
      <c r="J46" s="23">
        <v>1</v>
      </c>
      <c r="K46" s="23">
        <f t="shared" si="0"/>
        <v>2</v>
      </c>
      <c r="L46" s="23" t="s">
        <v>130</v>
      </c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</row>
    <row r="47" spans="1:53" x14ac:dyDescent="0.3">
      <c r="A47" s="48" t="s">
        <v>113</v>
      </c>
      <c r="B47" s="23">
        <v>1</v>
      </c>
      <c r="C47" s="29"/>
      <c r="D47" s="30"/>
      <c r="E47" s="30"/>
      <c r="F47" s="29" t="s">
        <v>109</v>
      </c>
      <c r="G47" s="30"/>
      <c r="H47" s="30"/>
      <c r="I47" s="23">
        <v>1</v>
      </c>
      <c r="J47" s="23">
        <v>1</v>
      </c>
      <c r="K47" s="23">
        <f t="shared" si="0"/>
        <v>2</v>
      </c>
      <c r="L47" s="23" t="s">
        <v>131</v>
      </c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</row>
    <row r="48" spans="1:53" x14ac:dyDescent="0.3">
      <c r="A48" s="48" t="s">
        <v>114</v>
      </c>
      <c r="B48" s="23">
        <v>1</v>
      </c>
      <c r="C48" s="29"/>
      <c r="D48" s="30"/>
      <c r="E48" s="30"/>
      <c r="F48" s="29" t="s">
        <v>110</v>
      </c>
      <c r="G48" s="30"/>
      <c r="H48" s="30"/>
      <c r="I48" s="23">
        <v>1</v>
      </c>
      <c r="J48" s="23">
        <v>1</v>
      </c>
      <c r="K48" s="23">
        <f t="shared" si="0"/>
        <v>2</v>
      </c>
      <c r="L48" s="23" t="s">
        <v>132</v>
      </c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</row>
    <row r="49" spans="1:53" x14ac:dyDescent="0.3">
      <c r="A49" s="48" t="s">
        <v>115</v>
      </c>
      <c r="B49" s="23">
        <v>1</v>
      </c>
      <c r="C49" s="29"/>
      <c r="D49" s="30"/>
      <c r="E49" s="30"/>
      <c r="F49" s="30" t="s">
        <v>111</v>
      </c>
      <c r="G49" s="30"/>
      <c r="H49" s="30"/>
      <c r="I49" s="23">
        <v>1</v>
      </c>
      <c r="J49" s="23">
        <v>1</v>
      </c>
      <c r="K49" s="23">
        <f t="shared" si="0"/>
        <v>2</v>
      </c>
      <c r="L49" s="23" t="s">
        <v>132</v>
      </c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</row>
    <row r="50" spans="1:53" x14ac:dyDescent="0.3">
      <c r="A50" s="50" t="s">
        <v>116</v>
      </c>
      <c r="B50" s="23">
        <v>1</v>
      </c>
      <c r="C50" s="29"/>
      <c r="D50" s="30"/>
      <c r="E50" s="30"/>
      <c r="F50" s="30" t="s">
        <v>91</v>
      </c>
      <c r="G50" s="30"/>
      <c r="H50" s="30"/>
      <c r="I50" s="23">
        <v>1</v>
      </c>
      <c r="J50" s="23">
        <v>1</v>
      </c>
      <c r="K50" s="23">
        <f t="shared" si="0"/>
        <v>2</v>
      </c>
      <c r="L50" s="23" t="s">
        <v>133</v>
      </c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</row>
    <row r="51" spans="1:53" x14ac:dyDescent="0.3">
      <c r="A51" s="47">
        <v>122000</v>
      </c>
      <c r="B51" s="41">
        <v>1</v>
      </c>
      <c r="C51" s="43"/>
      <c r="D51" s="43"/>
      <c r="E51" s="42" t="s">
        <v>75</v>
      </c>
      <c r="F51" s="43"/>
      <c r="G51" s="43"/>
      <c r="H51" s="43"/>
      <c r="I51" s="23">
        <v>1</v>
      </c>
      <c r="J51" s="23">
        <v>1</v>
      </c>
      <c r="K51" s="23">
        <f t="shared" si="0"/>
        <v>2</v>
      </c>
      <c r="L51" s="23" t="s">
        <v>134</v>
      </c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</row>
    <row r="52" spans="1:53" x14ac:dyDescent="0.3">
      <c r="A52" s="48">
        <v>122100</v>
      </c>
      <c r="B52" s="23">
        <v>1</v>
      </c>
      <c r="C52" s="29"/>
      <c r="D52" s="29"/>
      <c r="E52" s="22"/>
      <c r="F52" s="22" t="s">
        <v>85</v>
      </c>
      <c r="G52" s="29"/>
      <c r="H52" s="29"/>
      <c r="I52" s="23">
        <v>1</v>
      </c>
      <c r="J52" s="23">
        <v>1</v>
      </c>
      <c r="K52" s="23">
        <f t="shared" si="0"/>
        <v>2</v>
      </c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</row>
    <row r="53" spans="1:53" x14ac:dyDescent="0.3">
      <c r="A53" s="48">
        <v>122200</v>
      </c>
      <c r="B53" s="23">
        <v>1</v>
      </c>
      <c r="C53" s="29"/>
      <c r="D53" s="29"/>
      <c r="E53" s="22"/>
      <c r="F53" s="22" t="s">
        <v>84</v>
      </c>
      <c r="G53" s="29"/>
      <c r="H53" s="29"/>
      <c r="I53" s="23">
        <v>1</v>
      </c>
      <c r="J53" s="23">
        <v>1</v>
      </c>
      <c r="K53" s="23">
        <f t="shared" si="0"/>
        <v>2</v>
      </c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</row>
    <row r="54" spans="1:53" x14ac:dyDescent="0.3">
      <c r="A54" s="47">
        <v>123000</v>
      </c>
      <c r="B54" s="41">
        <v>1</v>
      </c>
      <c r="C54" s="43"/>
      <c r="D54" s="43"/>
      <c r="E54" s="42" t="s">
        <v>80</v>
      </c>
      <c r="F54" s="43"/>
      <c r="G54" s="43"/>
      <c r="H54" s="43"/>
      <c r="I54" s="23">
        <v>1</v>
      </c>
      <c r="J54" s="23">
        <v>1</v>
      </c>
      <c r="K54" s="23">
        <f t="shared" si="0"/>
        <v>2</v>
      </c>
      <c r="L54" s="23" t="s">
        <v>135</v>
      </c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</row>
    <row r="55" spans="1:53" x14ac:dyDescent="0.3">
      <c r="A55" s="48">
        <v>123100</v>
      </c>
      <c r="B55" s="23">
        <v>1</v>
      </c>
      <c r="C55" s="29"/>
      <c r="D55" s="29"/>
      <c r="E55" s="22"/>
      <c r="F55" s="22" t="s">
        <v>85</v>
      </c>
      <c r="G55" s="29"/>
      <c r="H55" s="29"/>
      <c r="I55" s="23">
        <v>1</v>
      </c>
      <c r="J55" s="23">
        <v>1</v>
      </c>
      <c r="K55" s="23">
        <f t="shared" si="0"/>
        <v>2</v>
      </c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</row>
    <row r="56" spans="1:53" x14ac:dyDescent="0.3">
      <c r="A56" s="48">
        <v>123200</v>
      </c>
      <c r="B56" s="23">
        <v>1</v>
      </c>
      <c r="C56" s="29"/>
      <c r="D56" s="29"/>
      <c r="E56" s="22"/>
      <c r="F56" s="22" t="s">
        <v>84</v>
      </c>
      <c r="G56" s="29"/>
      <c r="H56" s="29"/>
      <c r="I56" s="23">
        <v>1</v>
      </c>
      <c r="J56" s="23">
        <v>1</v>
      </c>
      <c r="K56" s="23">
        <f t="shared" si="0"/>
        <v>2</v>
      </c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</row>
    <row r="57" spans="1:53" x14ac:dyDescent="0.3">
      <c r="A57" s="48">
        <v>123300</v>
      </c>
      <c r="B57" s="23">
        <v>1</v>
      </c>
      <c r="C57" s="29"/>
      <c r="D57" s="29"/>
      <c r="E57" s="22"/>
      <c r="F57" s="29" t="s">
        <v>89</v>
      </c>
      <c r="G57" s="29"/>
      <c r="H57" s="29"/>
      <c r="I57" s="23">
        <v>1</v>
      </c>
      <c r="J57" s="23">
        <v>1</v>
      </c>
      <c r="K57" s="23">
        <f t="shared" si="0"/>
        <v>2</v>
      </c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</row>
    <row r="58" spans="1:53" x14ac:dyDescent="0.3">
      <c r="A58" s="47">
        <v>124000</v>
      </c>
      <c r="B58" s="41">
        <v>1</v>
      </c>
      <c r="C58" s="43"/>
      <c r="D58" s="43"/>
      <c r="E58" s="42" t="s">
        <v>79</v>
      </c>
      <c r="F58" s="43"/>
      <c r="G58" s="43"/>
      <c r="H58" s="43"/>
      <c r="I58" s="23">
        <v>4</v>
      </c>
      <c r="J58" s="23">
        <v>4</v>
      </c>
      <c r="K58" s="23">
        <f t="shared" si="0"/>
        <v>8</v>
      </c>
      <c r="L58" s="23" t="s">
        <v>136</v>
      </c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</row>
    <row r="59" spans="1:53" x14ac:dyDescent="0.3">
      <c r="A59" s="48">
        <v>124100</v>
      </c>
      <c r="B59" s="23">
        <v>1</v>
      </c>
      <c r="C59" s="29"/>
      <c r="D59" s="29"/>
      <c r="E59" s="22"/>
      <c r="F59" s="22" t="s">
        <v>85</v>
      </c>
      <c r="G59" s="29"/>
      <c r="H59" s="29"/>
      <c r="I59" s="23">
        <v>1</v>
      </c>
      <c r="J59" s="23">
        <v>1</v>
      </c>
      <c r="K59" s="23">
        <f t="shared" si="0"/>
        <v>2</v>
      </c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</row>
    <row r="60" spans="1:53" x14ac:dyDescent="0.3">
      <c r="A60" s="48">
        <v>124200</v>
      </c>
      <c r="B60" s="23">
        <v>1</v>
      </c>
      <c r="C60" s="29"/>
      <c r="D60" s="29"/>
      <c r="E60" s="22"/>
      <c r="F60" s="22" t="s">
        <v>84</v>
      </c>
      <c r="G60" s="29"/>
      <c r="H60" s="29"/>
      <c r="I60" s="23">
        <v>1</v>
      </c>
      <c r="J60" s="23">
        <v>1</v>
      </c>
      <c r="K60" s="23">
        <f t="shared" si="0"/>
        <v>2</v>
      </c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</row>
    <row r="61" spans="1:53" x14ac:dyDescent="0.3">
      <c r="A61" s="48">
        <v>124300</v>
      </c>
      <c r="B61" s="23">
        <v>1</v>
      </c>
      <c r="C61" s="29"/>
      <c r="D61" s="29"/>
      <c r="E61" s="22"/>
      <c r="F61" s="29" t="s">
        <v>89</v>
      </c>
      <c r="G61" s="29"/>
      <c r="H61" s="29"/>
      <c r="I61" s="23">
        <v>1</v>
      </c>
      <c r="J61" s="23">
        <v>1</v>
      </c>
      <c r="K61" s="23">
        <f t="shared" si="0"/>
        <v>2</v>
      </c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</row>
    <row r="62" spans="1:53" x14ac:dyDescent="0.3">
      <c r="A62" s="47">
        <v>125000</v>
      </c>
      <c r="B62" s="41">
        <v>1</v>
      </c>
      <c r="C62" s="43"/>
      <c r="D62" s="43"/>
      <c r="E62" s="42" t="s">
        <v>76</v>
      </c>
      <c r="F62" s="43"/>
      <c r="G62" s="43"/>
      <c r="H62" s="43"/>
      <c r="I62" s="23">
        <v>2</v>
      </c>
      <c r="J62" s="23">
        <v>2</v>
      </c>
      <c r="K62" s="23">
        <f t="shared" si="0"/>
        <v>4</v>
      </c>
      <c r="L62" s="23" t="s">
        <v>137</v>
      </c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</row>
    <row r="63" spans="1:53" x14ac:dyDescent="0.3">
      <c r="A63" s="48">
        <v>125100</v>
      </c>
      <c r="B63" s="23">
        <v>1</v>
      </c>
      <c r="C63" s="29"/>
      <c r="D63" s="29"/>
      <c r="E63" s="22"/>
      <c r="F63" s="22" t="s">
        <v>85</v>
      </c>
      <c r="G63" s="29"/>
      <c r="H63" s="29"/>
      <c r="I63" s="23">
        <v>1</v>
      </c>
      <c r="J63" s="23">
        <v>1</v>
      </c>
      <c r="K63" s="23">
        <f t="shared" si="0"/>
        <v>2</v>
      </c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</row>
    <row r="64" spans="1:53" x14ac:dyDescent="0.3">
      <c r="A64" s="48">
        <v>125200</v>
      </c>
      <c r="B64" s="23">
        <v>1</v>
      </c>
      <c r="C64" s="29"/>
      <c r="D64" s="29"/>
      <c r="E64" s="22"/>
      <c r="F64" s="22" t="s">
        <v>84</v>
      </c>
      <c r="G64" s="29"/>
      <c r="H64" s="29"/>
      <c r="I64" s="23">
        <v>1</v>
      </c>
      <c r="J64" s="23">
        <v>1</v>
      </c>
      <c r="K64" s="23">
        <f t="shared" si="0"/>
        <v>2</v>
      </c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</row>
    <row r="65" spans="1:53" x14ac:dyDescent="0.3">
      <c r="A65" s="48">
        <v>125300</v>
      </c>
      <c r="B65" s="23">
        <v>1</v>
      </c>
      <c r="C65" s="29"/>
      <c r="D65" s="29"/>
      <c r="E65" s="22"/>
      <c r="F65" s="29" t="s">
        <v>89</v>
      </c>
      <c r="G65" s="29"/>
      <c r="H65" s="29"/>
      <c r="I65" s="23">
        <v>1</v>
      </c>
      <c r="J65" s="23">
        <v>1</v>
      </c>
      <c r="K65" s="23">
        <f t="shared" si="0"/>
        <v>2</v>
      </c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</row>
    <row r="66" spans="1:53" x14ac:dyDescent="0.3">
      <c r="A66" s="47">
        <v>126000</v>
      </c>
      <c r="B66" s="41">
        <v>1</v>
      </c>
      <c r="C66" s="43"/>
      <c r="D66" s="43"/>
      <c r="E66" s="42" t="s">
        <v>77</v>
      </c>
      <c r="F66" s="43"/>
      <c r="G66" s="43"/>
      <c r="H66" s="43"/>
      <c r="I66" s="23">
        <v>4</v>
      </c>
      <c r="J66" s="23">
        <v>4</v>
      </c>
      <c r="K66" s="23">
        <f t="shared" si="0"/>
        <v>8</v>
      </c>
      <c r="L66" s="23" t="s">
        <v>138</v>
      </c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</row>
    <row r="67" spans="1:53" x14ac:dyDescent="0.3">
      <c r="A67" s="48">
        <v>126100</v>
      </c>
      <c r="B67" s="23">
        <v>1</v>
      </c>
      <c r="C67" s="29"/>
      <c r="D67" s="29"/>
      <c r="E67" s="22"/>
      <c r="F67" s="22" t="s">
        <v>85</v>
      </c>
      <c r="G67" s="29"/>
      <c r="H67" s="29"/>
      <c r="I67" s="23">
        <v>1</v>
      </c>
      <c r="J67" s="23">
        <v>1</v>
      </c>
      <c r="K67" s="23">
        <f t="shared" si="0"/>
        <v>2</v>
      </c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</row>
    <row r="68" spans="1:53" x14ac:dyDescent="0.3">
      <c r="A68" s="48">
        <v>126200</v>
      </c>
      <c r="B68" s="23">
        <v>1</v>
      </c>
      <c r="C68" s="29"/>
      <c r="D68" s="29"/>
      <c r="E68" s="22"/>
      <c r="F68" s="22" t="s">
        <v>84</v>
      </c>
      <c r="G68" s="29"/>
      <c r="H68" s="29"/>
      <c r="I68" s="23">
        <v>1</v>
      </c>
      <c r="J68" s="23">
        <v>1</v>
      </c>
      <c r="K68" s="23">
        <f t="shared" si="0"/>
        <v>2</v>
      </c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</row>
    <row r="69" spans="1:53" x14ac:dyDescent="0.3">
      <c r="A69" s="48">
        <v>126300</v>
      </c>
      <c r="B69" s="23">
        <v>1</v>
      </c>
      <c r="C69" s="29"/>
      <c r="D69" s="29"/>
      <c r="E69" s="22"/>
      <c r="F69" s="29" t="s">
        <v>117</v>
      </c>
      <c r="G69" s="29"/>
      <c r="H69" s="29"/>
      <c r="I69" s="23">
        <v>1</v>
      </c>
      <c r="J69" s="23">
        <v>1</v>
      </c>
      <c r="K69" s="23">
        <f t="shared" si="0"/>
        <v>2</v>
      </c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</row>
    <row r="70" spans="1:53" x14ac:dyDescent="0.3">
      <c r="A70" s="47">
        <v>127000</v>
      </c>
      <c r="B70" s="41">
        <v>1</v>
      </c>
      <c r="C70" s="43"/>
      <c r="D70" s="43"/>
      <c r="E70" s="42" t="s">
        <v>78</v>
      </c>
      <c r="F70" s="43"/>
      <c r="G70" s="43"/>
      <c r="H70" s="43"/>
      <c r="I70" s="23">
        <v>1</v>
      </c>
      <c r="J70" s="23">
        <v>1</v>
      </c>
      <c r="K70" s="23">
        <f t="shared" si="0"/>
        <v>2</v>
      </c>
      <c r="L70" s="23" t="s">
        <v>139</v>
      </c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</row>
    <row r="71" spans="1:53" x14ac:dyDescent="0.3">
      <c r="A71" s="48">
        <v>127100</v>
      </c>
      <c r="B71" s="23">
        <v>1</v>
      </c>
      <c r="C71" s="29"/>
      <c r="D71" s="29"/>
      <c r="E71" s="22"/>
      <c r="F71" s="22" t="s">
        <v>85</v>
      </c>
      <c r="G71" s="29"/>
      <c r="H71" s="29"/>
      <c r="I71" s="23">
        <v>1</v>
      </c>
      <c r="J71" s="23">
        <v>1</v>
      </c>
      <c r="K71" s="23">
        <f t="shared" si="0"/>
        <v>2</v>
      </c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</row>
    <row r="72" spans="1:53" x14ac:dyDescent="0.3">
      <c r="A72" s="48">
        <v>127200</v>
      </c>
      <c r="B72" s="23">
        <v>1</v>
      </c>
      <c r="C72" s="29"/>
      <c r="D72" s="29"/>
      <c r="E72" s="22"/>
      <c r="F72" s="22" t="s">
        <v>84</v>
      </c>
      <c r="G72" s="29"/>
      <c r="H72" s="29"/>
      <c r="I72" s="23">
        <v>1</v>
      </c>
      <c r="J72" s="23">
        <v>1</v>
      </c>
      <c r="K72" s="23">
        <f t="shared" si="0"/>
        <v>2</v>
      </c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</row>
    <row r="73" spans="1:53" x14ac:dyDescent="0.3">
      <c r="A73" s="48">
        <v>127300</v>
      </c>
      <c r="B73" s="23">
        <v>1</v>
      </c>
      <c r="C73" s="29"/>
      <c r="D73" s="29"/>
      <c r="E73" s="22"/>
      <c r="F73" s="29" t="s">
        <v>117</v>
      </c>
      <c r="G73" s="29"/>
      <c r="H73" s="29"/>
      <c r="I73" s="23">
        <v>1</v>
      </c>
      <c r="J73" s="23">
        <v>1</v>
      </c>
      <c r="K73" s="23">
        <f t="shared" si="0"/>
        <v>2</v>
      </c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</row>
    <row r="74" spans="1:53" x14ac:dyDescent="0.3">
      <c r="A74" s="49">
        <v>200000</v>
      </c>
      <c r="B74" s="37">
        <v>1</v>
      </c>
      <c r="C74" s="44" t="s">
        <v>98</v>
      </c>
      <c r="D74" s="44"/>
      <c r="E74" s="44"/>
      <c r="F74" s="44"/>
      <c r="G74" s="44"/>
      <c r="H74" s="44"/>
      <c r="I74" s="23"/>
      <c r="J74" s="23"/>
      <c r="K74" s="23"/>
      <c r="L74" s="23" t="s">
        <v>148</v>
      </c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</row>
    <row r="75" spans="1:53" x14ac:dyDescent="0.3">
      <c r="A75" s="46">
        <v>210000</v>
      </c>
      <c r="B75" s="39">
        <v>1</v>
      </c>
      <c r="C75" s="45"/>
      <c r="D75" s="45" t="s">
        <v>99</v>
      </c>
      <c r="E75" s="45"/>
      <c r="F75" s="45"/>
      <c r="G75" s="45"/>
      <c r="H75" s="45"/>
      <c r="I75" s="23">
        <v>1</v>
      </c>
      <c r="J75" s="23">
        <v>1</v>
      </c>
      <c r="K75" s="23">
        <f t="shared" si="0"/>
        <v>2</v>
      </c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</row>
    <row r="76" spans="1:53" x14ac:dyDescent="0.3">
      <c r="A76" s="46">
        <v>220000</v>
      </c>
      <c r="B76" s="39">
        <v>1</v>
      </c>
      <c r="C76" s="45"/>
      <c r="D76" s="45" t="s">
        <v>100</v>
      </c>
      <c r="E76" s="45"/>
      <c r="F76" s="45"/>
      <c r="G76" s="45"/>
      <c r="H76" s="45"/>
      <c r="I76" s="23">
        <v>1</v>
      </c>
      <c r="J76" s="23">
        <v>1</v>
      </c>
      <c r="K76" s="23">
        <f t="shared" si="0"/>
        <v>2</v>
      </c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</row>
    <row r="77" spans="1:53" x14ac:dyDescent="0.3">
      <c r="A77" s="48"/>
      <c r="B77" s="23"/>
      <c r="C77" s="29"/>
      <c r="D77" s="30"/>
      <c r="E77" s="30"/>
      <c r="F77" s="30"/>
      <c r="G77" s="30"/>
      <c r="H77" s="30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</row>
  </sheetData>
  <mergeCells count="52">
    <mergeCell ref="AX8:AX9"/>
    <mergeCell ref="AY8:AY9"/>
    <mergeCell ref="AZ8:AZ9"/>
    <mergeCell ref="AN9:AN10"/>
    <mergeCell ref="AC9:AC10"/>
    <mergeCell ref="AD9:AD10"/>
    <mergeCell ref="AE9:AE10"/>
    <mergeCell ref="AF9:AF10"/>
    <mergeCell ref="AG9:AG10"/>
    <mergeCell ref="AH9:AH10"/>
    <mergeCell ref="AI9:AI10"/>
    <mergeCell ref="AJ9:AJ10"/>
    <mergeCell ref="AK9:AK10"/>
    <mergeCell ref="AL9:AL10"/>
    <mergeCell ref="AM9:AM10"/>
    <mergeCell ref="AT8:AT10"/>
    <mergeCell ref="AU8:AU10"/>
    <mergeCell ref="AO9:AO10"/>
    <mergeCell ref="AV8:AV10"/>
    <mergeCell ref="AW8:AW10"/>
    <mergeCell ref="A1:AQ1"/>
    <mergeCell ref="A7:Q7"/>
    <mergeCell ref="R7:U7"/>
    <mergeCell ref="V7:AQ7"/>
    <mergeCell ref="N8:N10"/>
    <mergeCell ref="O8:O10"/>
    <mergeCell ref="P8:P10"/>
    <mergeCell ref="Q8:Q10"/>
    <mergeCell ref="R8:T8"/>
    <mergeCell ref="AH8:AK8"/>
    <mergeCell ref="X9:X10"/>
    <mergeCell ref="Y9:Y10"/>
    <mergeCell ref="Z9:Z10"/>
    <mergeCell ref="AA9:AA10"/>
    <mergeCell ref="W8:W10"/>
    <mergeCell ref="X8:Y8"/>
    <mergeCell ref="AR7:BA7"/>
    <mergeCell ref="A8:B10"/>
    <mergeCell ref="C8:H10"/>
    <mergeCell ref="I8:K8"/>
    <mergeCell ref="L8:L10"/>
    <mergeCell ref="M8:M10"/>
    <mergeCell ref="V8:V10"/>
    <mergeCell ref="T9:T10"/>
    <mergeCell ref="Z8:AA8"/>
    <mergeCell ref="AB8:AB10"/>
    <mergeCell ref="AC8:AG8"/>
    <mergeCell ref="BA8:BA10"/>
    <mergeCell ref="AL8:AO8"/>
    <mergeCell ref="AP8:AP10"/>
    <mergeCell ref="AQ8:AQ10"/>
    <mergeCell ref="AR8:AS9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JDS_SSD</dc:creator>
  <cp:lastModifiedBy>JDS_SSD</cp:lastModifiedBy>
  <dcterms:created xsi:type="dcterms:W3CDTF">2012-06-07T02:42:08Z</dcterms:created>
  <dcterms:modified xsi:type="dcterms:W3CDTF">2012-06-12T00:11:38Z</dcterms:modified>
</cp:coreProperties>
</file>