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21000" windowHeight="11820" activeTab="2"/>
  </bookViews>
  <sheets>
    <sheet name="실행-우진" sheetId="1" r:id="rId1"/>
    <sheet name="실행-우진총" sheetId="2" r:id="rId2"/>
    <sheet name="Sheet1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P525" i="3"/>
  <c r="P526"/>
  <c r="P527"/>
  <c r="P528"/>
  <c r="P529"/>
  <c r="P530"/>
  <c r="P531"/>
  <c r="P532"/>
  <c r="P533"/>
  <c r="P534"/>
  <c r="P535"/>
  <c r="P536"/>
  <c r="P537"/>
  <c r="P538"/>
  <c r="P539"/>
  <c r="B539"/>
  <c r="B538"/>
  <c r="B537"/>
  <c r="B536"/>
  <c r="B535"/>
  <c r="B534"/>
  <c r="B533"/>
  <c r="B532"/>
  <c r="B531"/>
  <c r="B530"/>
  <c r="B529"/>
  <c r="B528"/>
  <c r="B527"/>
  <c r="B526"/>
  <c r="L540"/>
  <c r="P540"/>
  <c r="L541"/>
  <c r="P541"/>
  <c r="L542"/>
  <c r="P542"/>
  <c r="P634"/>
  <c r="L634"/>
  <c r="B634"/>
  <c r="P633"/>
  <c r="L633"/>
  <c r="B633"/>
  <c r="P632"/>
  <c r="L632"/>
  <c r="B632"/>
  <c r="P631"/>
  <c r="L631"/>
  <c r="B631"/>
  <c r="P630"/>
  <c r="L630"/>
  <c r="B630"/>
  <c r="L629"/>
  <c r="B629"/>
  <c r="P628"/>
  <c r="L628"/>
  <c r="B628"/>
  <c r="P627"/>
  <c r="L627"/>
  <c r="B627"/>
  <c r="P626"/>
  <c r="L626"/>
  <c r="B626"/>
  <c r="P625"/>
  <c r="L625"/>
  <c r="B625"/>
  <c r="P624"/>
  <c r="L624"/>
  <c r="B624"/>
  <c r="P623"/>
  <c r="L623"/>
  <c r="B623"/>
  <c r="P622"/>
  <c r="L622"/>
  <c r="B622"/>
  <c r="P621"/>
  <c r="L621"/>
  <c r="B621"/>
  <c r="P620"/>
  <c r="L620"/>
  <c r="B620"/>
  <c r="P619"/>
  <c r="L619"/>
  <c r="B619"/>
  <c r="P618"/>
  <c r="L618"/>
  <c r="B618"/>
  <c r="P617"/>
  <c r="L617"/>
  <c r="B617"/>
  <c r="P616"/>
  <c r="L616"/>
  <c r="B616"/>
  <c r="P615"/>
  <c r="L615"/>
  <c r="B615"/>
  <c r="P614"/>
  <c r="L614"/>
  <c r="B614"/>
  <c r="P613"/>
  <c r="L613"/>
  <c r="B613"/>
  <c r="P612"/>
  <c r="L612"/>
  <c r="B612"/>
  <c r="P611"/>
  <c r="L611"/>
  <c r="B611"/>
  <c r="P610"/>
  <c r="L610"/>
  <c r="B610"/>
  <c r="P609"/>
  <c r="L609"/>
  <c r="B609"/>
  <c r="P608"/>
  <c r="L608"/>
  <c r="B608"/>
  <c r="P607"/>
  <c r="L607"/>
  <c r="B607"/>
  <c r="P606"/>
  <c r="L606"/>
  <c r="B606"/>
  <c r="P605"/>
  <c r="L605"/>
  <c r="B605"/>
  <c r="P604"/>
  <c r="L604"/>
  <c r="B604"/>
  <c r="P603"/>
  <c r="L603"/>
  <c r="B603"/>
  <c r="P602"/>
  <c r="L602"/>
  <c r="B602"/>
  <c r="P601"/>
  <c r="L601"/>
  <c r="B601"/>
  <c r="P600"/>
  <c r="L600"/>
  <c r="B600"/>
  <c r="P599"/>
  <c r="L599"/>
  <c r="B599"/>
  <c r="P598"/>
  <c r="L598"/>
  <c r="B598"/>
  <c r="P597"/>
  <c r="L597"/>
  <c r="B597"/>
  <c r="P596"/>
  <c r="L596"/>
  <c r="B596"/>
  <c r="P595"/>
  <c r="L595"/>
  <c r="B595"/>
  <c r="P594"/>
  <c r="L594"/>
  <c r="B594"/>
  <c r="P593"/>
  <c r="L593"/>
  <c r="B593"/>
  <c r="P592"/>
  <c r="L592"/>
  <c r="B592"/>
  <c r="P591"/>
  <c r="L591"/>
  <c r="B591"/>
  <c r="P590"/>
  <c r="L590"/>
  <c r="B590"/>
  <c r="P589"/>
  <c r="L589"/>
  <c r="B589"/>
  <c r="P588"/>
  <c r="L588"/>
  <c r="B588"/>
  <c r="P587"/>
  <c r="L587"/>
  <c r="B587"/>
  <c r="P586"/>
  <c r="L586"/>
  <c r="B586"/>
  <c r="P585"/>
  <c r="L585"/>
  <c r="B585"/>
  <c r="P584"/>
  <c r="L584"/>
  <c r="B584"/>
  <c r="P583"/>
  <c r="L583"/>
  <c r="B583"/>
  <c r="P582"/>
  <c r="L582"/>
  <c r="B582"/>
  <c r="P581"/>
  <c r="L581"/>
  <c r="B581"/>
  <c r="P580"/>
  <c r="L580"/>
  <c r="B580"/>
  <c r="P579"/>
  <c r="L579"/>
  <c r="B579"/>
  <c r="P578"/>
  <c r="L578"/>
  <c r="B578"/>
  <c r="P577"/>
  <c r="L577"/>
  <c r="B577"/>
  <c r="P576"/>
  <c r="L576"/>
  <c r="B576"/>
  <c r="P575"/>
  <c r="L575"/>
  <c r="B575"/>
  <c r="P574"/>
  <c r="L574"/>
  <c r="B574"/>
  <c r="P573"/>
  <c r="L573"/>
  <c r="B573"/>
  <c r="P572"/>
  <c r="L572"/>
  <c r="B572"/>
  <c r="P571"/>
  <c r="L571"/>
  <c r="B571"/>
  <c r="P570"/>
  <c r="L570"/>
  <c r="B570"/>
  <c r="P569"/>
  <c r="L569"/>
  <c r="B569"/>
  <c r="P568"/>
  <c r="L568"/>
  <c r="B568"/>
  <c r="P567"/>
  <c r="L567"/>
  <c r="B567"/>
  <c r="P566"/>
  <c r="L566"/>
  <c r="B566"/>
  <c r="P565"/>
  <c r="L565"/>
  <c r="B565"/>
  <c r="P564"/>
  <c r="L564"/>
  <c r="B564"/>
  <c r="P563"/>
  <c r="L563"/>
  <c r="B563"/>
  <c r="P562"/>
  <c r="L562"/>
  <c r="B562"/>
  <c r="P561"/>
  <c r="L561"/>
  <c r="B561"/>
  <c r="P560"/>
  <c r="L560"/>
  <c r="B560"/>
  <c r="P559"/>
  <c r="L559"/>
  <c r="B559"/>
  <c r="P558"/>
  <c r="L558"/>
  <c r="B558"/>
  <c r="P557"/>
  <c r="L557"/>
  <c r="B557"/>
  <c r="P556"/>
  <c r="L556"/>
  <c r="B556"/>
  <c r="P555"/>
  <c r="L555"/>
  <c r="B555"/>
  <c r="P554"/>
  <c r="L554"/>
  <c r="B554"/>
  <c r="P553"/>
  <c r="L553"/>
  <c r="B553"/>
  <c r="P552"/>
  <c r="L552"/>
  <c r="B552"/>
  <c r="P551"/>
  <c r="L551"/>
  <c r="B551"/>
  <c r="P550"/>
  <c r="L550"/>
  <c r="B550"/>
  <c r="P549"/>
  <c r="L549"/>
  <c r="B549"/>
  <c r="P548"/>
  <c r="L548"/>
  <c r="B548"/>
  <c r="P547"/>
  <c r="L547"/>
  <c r="B547"/>
  <c r="P546"/>
  <c r="L546"/>
  <c r="B546"/>
  <c r="P545"/>
  <c r="L545"/>
  <c r="B545"/>
  <c r="P544"/>
  <c r="L544"/>
  <c r="B544"/>
  <c r="P543"/>
  <c r="L543"/>
  <c r="B543"/>
  <c r="B542"/>
  <c r="B541"/>
  <c r="B540"/>
  <c r="L525"/>
  <c r="B525"/>
  <c r="P524"/>
  <c r="L524"/>
  <c r="B524"/>
  <c r="L523"/>
  <c r="B523"/>
  <c r="P522"/>
  <c r="L522"/>
  <c r="B522"/>
  <c r="P521"/>
  <c r="L521"/>
  <c r="B521"/>
  <c r="P520"/>
  <c r="L520"/>
  <c r="B520"/>
  <c r="P519"/>
  <c r="L519"/>
  <c r="B519"/>
  <c r="P518"/>
  <c r="L518"/>
  <c r="B518"/>
  <c r="P517"/>
  <c r="L517"/>
  <c r="B517"/>
  <c r="P516"/>
  <c r="L516"/>
  <c r="B516"/>
  <c r="P515"/>
  <c r="L515"/>
  <c r="B515"/>
  <c r="P514"/>
  <c r="L514"/>
  <c r="B514"/>
  <c r="P513"/>
  <c r="L513"/>
  <c r="B513"/>
  <c r="P512"/>
  <c r="L512"/>
  <c r="B512"/>
  <c r="P511"/>
  <c r="L511"/>
  <c r="B511"/>
  <c r="P510"/>
  <c r="L510"/>
  <c r="B510"/>
  <c r="P509"/>
  <c r="L509"/>
  <c r="B509"/>
  <c r="P508"/>
  <c r="L508"/>
  <c r="B508"/>
  <c r="P507"/>
  <c r="L507"/>
  <c r="B507"/>
  <c r="P506"/>
  <c r="L506"/>
  <c r="B506"/>
  <c r="P505"/>
  <c r="L505"/>
  <c r="B505"/>
  <c r="P504"/>
  <c r="L504"/>
  <c r="B504"/>
  <c r="P503"/>
  <c r="L503"/>
  <c r="B503"/>
  <c r="P502"/>
  <c r="L502"/>
  <c r="B502"/>
  <c r="P501"/>
  <c r="L501"/>
  <c r="B501"/>
  <c r="P500"/>
  <c r="L500"/>
  <c r="B500"/>
  <c r="P499"/>
  <c r="L499"/>
  <c r="B499"/>
  <c r="P498"/>
  <c r="L498"/>
  <c r="B498"/>
  <c r="P497"/>
  <c r="L497"/>
  <c r="B497"/>
  <c r="P496"/>
  <c r="L496"/>
  <c r="B496"/>
  <c r="P495"/>
  <c r="L495"/>
  <c r="B495"/>
  <c r="P494"/>
  <c r="L494"/>
  <c r="B494"/>
  <c r="P493"/>
  <c r="L493"/>
  <c r="B493"/>
  <c r="P492"/>
  <c r="L492"/>
  <c r="B492"/>
  <c r="P491"/>
  <c r="L491"/>
  <c r="B491"/>
  <c r="P490"/>
  <c r="L490"/>
  <c r="B490"/>
  <c r="P489"/>
  <c r="L489"/>
  <c r="B489"/>
  <c r="P488"/>
  <c r="L488"/>
  <c r="B488"/>
  <c r="P487"/>
  <c r="L487"/>
  <c r="B487"/>
  <c r="P486"/>
  <c r="L486"/>
  <c r="B486"/>
  <c r="P485"/>
  <c r="L485"/>
  <c r="B485"/>
  <c r="P484"/>
  <c r="L484"/>
  <c r="B484"/>
  <c r="P483"/>
  <c r="L483"/>
  <c r="B483"/>
  <c r="P482"/>
  <c r="L482"/>
  <c r="B482"/>
  <c r="P481"/>
  <c r="L481"/>
  <c r="B481"/>
  <c r="P480"/>
  <c r="L480"/>
  <c r="B480"/>
  <c r="P479"/>
  <c r="L479"/>
  <c r="B479"/>
  <c r="P478"/>
  <c r="L478"/>
  <c r="B478"/>
  <c r="P477"/>
  <c r="L477"/>
  <c r="B477"/>
  <c r="P476"/>
  <c r="L476"/>
  <c r="B476"/>
  <c r="P475"/>
  <c r="L475"/>
  <c r="B475"/>
  <c r="P474"/>
  <c r="L474"/>
  <c r="B474"/>
  <c r="P473"/>
  <c r="L473"/>
  <c r="B473"/>
  <c r="P472"/>
  <c r="L472"/>
  <c r="B472"/>
  <c r="P471"/>
  <c r="L471"/>
  <c r="B471"/>
  <c r="P470"/>
  <c r="L470"/>
  <c r="B470"/>
  <c r="P469"/>
  <c r="L469"/>
  <c r="B469"/>
  <c r="P468"/>
  <c r="L468"/>
  <c r="B468"/>
  <c r="P467"/>
  <c r="L467"/>
  <c r="B467"/>
  <c r="P466"/>
  <c r="L466"/>
  <c r="B466"/>
  <c r="P465"/>
  <c r="L465"/>
  <c r="B465"/>
  <c r="P464"/>
  <c r="L464"/>
  <c r="B464"/>
  <c r="P463"/>
  <c r="L463"/>
  <c r="B463"/>
  <c r="P462"/>
  <c r="L462"/>
  <c r="B462"/>
  <c r="P461"/>
  <c r="L461"/>
  <c r="B461"/>
  <c r="P460"/>
  <c r="L460"/>
  <c r="B460"/>
  <c r="P459"/>
  <c r="L459"/>
  <c r="B459"/>
  <c r="P458"/>
  <c r="L458"/>
  <c r="B458"/>
  <c r="P457"/>
  <c r="L457"/>
  <c r="B457"/>
  <c r="P456"/>
  <c r="L456"/>
  <c r="B456"/>
  <c r="P455"/>
  <c r="L455"/>
  <c r="B455"/>
  <c r="P454"/>
  <c r="L454"/>
  <c r="B454"/>
  <c r="P453"/>
  <c r="L453"/>
  <c r="B453"/>
  <c r="P452"/>
  <c r="L452"/>
  <c r="B452"/>
  <c r="P451"/>
  <c r="L451"/>
  <c r="B451"/>
  <c r="P450"/>
  <c r="L450"/>
  <c r="B450"/>
  <c r="P449"/>
  <c r="L449"/>
  <c r="B449"/>
  <c r="P448"/>
  <c r="L448"/>
  <c r="B448"/>
  <c r="P447"/>
  <c r="L447"/>
  <c r="B447"/>
  <c r="P446"/>
  <c r="L446"/>
  <c r="B446"/>
  <c r="P445"/>
  <c r="L445"/>
  <c r="B445"/>
  <c r="P444"/>
  <c r="L444"/>
  <c r="B444"/>
  <c r="P443"/>
  <c r="L443"/>
  <c r="B443"/>
  <c r="P442"/>
  <c r="L442"/>
  <c r="B442"/>
  <c r="P441"/>
  <c r="L441"/>
  <c r="B441"/>
  <c r="P440"/>
  <c r="L440"/>
  <c r="B440"/>
  <c r="P439"/>
  <c r="L439"/>
  <c r="B439"/>
  <c r="P438"/>
  <c r="L438"/>
  <c r="B438"/>
  <c r="P437"/>
  <c r="L437"/>
  <c r="B437"/>
  <c r="P436"/>
  <c r="L436"/>
  <c r="B436"/>
  <c r="P435"/>
  <c r="L435"/>
  <c r="B435"/>
  <c r="P434"/>
  <c r="L434"/>
  <c r="B434"/>
  <c r="P433"/>
  <c r="L433"/>
  <c r="B433"/>
  <c r="P432"/>
  <c r="L432"/>
  <c r="B432"/>
  <c r="P431"/>
  <c r="L431"/>
  <c r="B431"/>
  <c r="P430"/>
  <c r="L430"/>
  <c r="B430"/>
  <c r="P429"/>
  <c r="L429"/>
  <c r="B429"/>
  <c r="P428"/>
  <c r="L428"/>
  <c r="B428"/>
  <c r="P427"/>
  <c r="L427"/>
  <c r="B427"/>
  <c r="P426"/>
  <c r="L426"/>
  <c r="B426"/>
  <c r="P425"/>
  <c r="L425"/>
  <c r="B425"/>
  <c r="P424"/>
  <c r="L424"/>
  <c r="B424"/>
  <c r="P423"/>
  <c r="L423"/>
  <c r="B423"/>
  <c r="P422"/>
  <c r="L422"/>
  <c r="B422"/>
  <c r="P421"/>
  <c r="L421"/>
  <c r="B421"/>
  <c r="P420"/>
  <c r="L420"/>
  <c r="B420"/>
  <c r="P419"/>
  <c r="L419"/>
  <c r="B419"/>
  <c r="P418"/>
  <c r="L418"/>
  <c r="B418"/>
  <c r="P417"/>
  <c r="L417"/>
  <c r="B417"/>
  <c r="P416"/>
  <c r="L416"/>
  <c r="B416"/>
  <c r="P415"/>
  <c r="L415"/>
  <c r="B415"/>
  <c r="P414"/>
  <c r="L414"/>
  <c r="B414"/>
  <c r="P413"/>
  <c r="L413"/>
  <c r="B413"/>
  <c r="P412"/>
  <c r="L412"/>
  <c r="B412"/>
  <c r="P411"/>
  <c r="L411"/>
  <c r="B411"/>
  <c r="P410"/>
  <c r="L410"/>
  <c r="B410"/>
  <c r="P409"/>
  <c r="L409"/>
  <c r="B409"/>
  <c r="P408"/>
  <c r="L408"/>
  <c r="B408"/>
  <c r="P407"/>
  <c r="L407"/>
  <c r="B407"/>
  <c r="P406"/>
  <c r="L406"/>
  <c r="B406"/>
  <c r="P405"/>
  <c r="L405"/>
  <c r="B405"/>
  <c r="P404"/>
  <c r="L404"/>
  <c r="B404"/>
  <c r="P403"/>
  <c r="L403"/>
  <c r="B403"/>
  <c r="P402"/>
  <c r="L402"/>
  <c r="B402"/>
  <c r="P401"/>
  <c r="L401"/>
  <c r="B401"/>
  <c r="P400"/>
  <c r="L400"/>
  <c r="B400"/>
  <c r="P399"/>
  <c r="L399"/>
  <c r="B399"/>
  <c r="P398"/>
  <c r="L398"/>
  <c r="B398"/>
  <c r="P397"/>
  <c r="L397"/>
  <c r="B397"/>
  <c r="P396"/>
  <c r="L396"/>
  <c r="B396"/>
  <c r="P395"/>
  <c r="L395"/>
  <c r="B395"/>
  <c r="P394"/>
  <c r="L394"/>
  <c r="B394"/>
  <c r="P393"/>
  <c r="L393"/>
  <c r="B393"/>
  <c r="P392"/>
  <c r="L392"/>
  <c r="B392"/>
  <c r="P391"/>
  <c r="L391"/>
  <c r="B391"/>
  <c r="P390"/>
  <c r="L390"/>
  <c r="B390"/>
  <c r="P389"/>
  <c r="L389"/>
  <c r="B389"/>
  <c r="P388"/>
  <c r="L388"/>
  <c r="B388"/>
  <c r="P387"/>
  <c r="L387"/>
  <c r="B387"/>
  <c r="P386"/>
  <c r="L386"/>
  <c r="B386"/>
  <c r="P385"/>
  <c r="L385"/>
  <c r="B385"/>
  <c r="P384"/>
  <c r="L384"/>
  <c r="B384"/>
  <c r="P383"/>
  <c r="L383"/>
  <c r="B383"/>
  <c r="P382"/>
  <c r="L382"/>
  <c r="B382"/>
  <c r="P381"/>
  <c r="L381"/>
  <c r="B381"/>
  <c r="P380"/>
  <c r="L380"/>
  <c r="B380"/>
  <c r="P379"/>
  <c r="L379"/>
  <c r="B379"/>
  <c r="P378"/>
  <c r="L378"/>
  <c r="B378"/>
  <c r="P377"/>
  <c r="L377"/>
  <c r="B377"/>
  <c r="P376"/>
  <c r="L376"/>
  <c r="B376"/>
  <c r="P375"/>
  <c r="L375"/>
  <c r="B375"/>
  <c r="P374"/>
  <c r="L374"/>
  <c r="B374"/>
  <c r="P373"/>
  <c r="L373"/>
  <c r="B373"/>
  <c r="P372"/>
  <c r="L372"/>
  <c r="B372"/>
  <c r="P371"/>
  <c r="L371"/>
  <c r="B371"/>
  <c r="P370"/>
  <c r="L370"/>
  <c r="B370"/>
  <c r="P369"/>
  <c r="L369"/>
  <c r="B369"/>
  <c r="P368"/>
  <c r="L368"/>
  <c r="B368"/>
  <c r="P367"/>
  <c r="L367"/>
  <c r="B367"/>
  <c r="P366"/>
  <c r="L366"/>
  <c r="B366"/>
  <c r="P365"/>
  <c r="L365"/>
  <c r="B365"/>
  <c r="P364"/>
  <c r="L364"/>
  <c r="B364"/>
  <c r="P363"/>
  <c r="L363"/>
  <c r="B363"/>
  <c r="P362"/>
  <c r="L362"/>
  <c r="B362"/>
  <c r="P361"/>
  <c r="L361"/>
  <c r="B361"/>
  <c r="P360"/>
  <c r="L360"/>
  <c r="B360"/>
  <c r="P359"/>
  <c r="L359"/>
  <c r="B359"/>
  <c r="P358"/>
  <c r="L358"/>
  <c r="B358"/>
  <c r="P357"/>
  <c r="L357"/>
  <c r="B357"/>
  <c r="P356"/>
  <c r="L356"/>
  <c r="B356"/>
  <c r="P355"/>
  <c r="L355"/>
  <c r="B355"/>
  <c r="P354"/>
  <c r="L354"/>
  <c r="B354"/>
  <c r="P353"/>
  <c r="L353"/>
  <c r="B353"/>
  <c r="P352"/>
  <c r="L352"/>
  <c r="B352"/>
  <c r="P351"/>
  <c r="L351"/>
  <c r="B351"/>
  <c r="P350"/>
  <c r="L350"/>
  <c r="B350"/>
  <c r="P349"/>
  <c r="L349"/>
  <c r="B349"/>
  <c r="P348"/>
  <c r="L348"/>
  <c r="B348"/>
  <c r="P347"/>
  <c r="L347"/>
  <c r="B347"/>
  <c r="P346"/>
  <c r="L346"/>
  <c r="B346"/>
  <c r="P345"/>
  <c r="L345"/>
  <c r="B345"/>
  <c r="P344"/>
  <c r="L344"/>
  <c r="B344"/>
  <c r="P343"/>
  <c r="L343"/>
  <c r="B343"/>
  <c r="P342"/>
  <c r="L342"/>
  <c r="B342"/>
  <c r="P341"/>
  <c r="L341"/>
  <c r="B341"/>
  <c r="P340"/>
  <c r="L340"/>
  <c r="B340"/>
  <c r="P339"/>
  <c r="L339"/>
  <c r="B339"/>
  <c r="P338"/>
  <c r="L338"/>
  <c r="B338"/>
  <c r="P337"/>
  <c r="L337"/>
  <c r="B337"/>
  <c r="P336"/>
  <c r="L336"/>
  <c r="B336"/>
  <c r="P335"/>
  <c r="L335"/>
  <c r="B335"/>
  <c r="P334"/>
  <c r="L334"/>
  <c r="B334"/>
  <c r="P333"/>
  <c r="L333"/>
  <c r="B333"/>
  <c r="P332"/>
  <c r="L332"/>
  <c r="B332"/>
  <c r="P331"/>
  <c r="L331"/>
  <c r="B331"/>
  <c r="P330"/>
  <c r="L330"/>
  <c r="B330"/>
  <c r="P329"/>
  <c r="L329"/>
  <c r="B329"/>
  <c r="P328"/>
  <c r="L328"/>
  <c r="B328"/>
  <c r="P327"/>
  <c r="L327"/>
  <c r="B327"/>
  <c r="P326"/>
  <c r="L326"/>
  <c r="B326"/>
  <c r="P325"/>
  <c r="L325"/>
  <c r="B325"/>
  <c r="P324"/>
  <c r="L324"/>
  <c r="B324"/>
  <c r="P323"/>
  <c r="L323"/>
  <c r="B323"/>
  <c r="P322"/>
  <c r="L322"/>
  <c r="B322"/>
  <c r="P321"/>
  <c r="L321"/>
  <c r="B321"/>
  <c r="P320"/>
  <c r="L320"/>
  <c r="B320"/>
  <c r="P319"/>
  <c r="L319"/>
  <c r="B319"/>
  <c r="P318"/>
  <c r="L318"/>
  <c r="B318"/>
  <c r="P317"/>
  <c r="L317"/>
  <c r="B317"/>
  <c r="P316"/>
  <c r="L316"/>
  <c r="B316"/>
  <c r="P315"/>
  <c r="L315"/>
  <c r="B315"/>
  <c r="P314"/>
  <c r="L314"/>
  <c r="B314"/>
  <c r="P313"/>
  <c r="L313"/>
  <c r="B313"/>
  <c r="P312"/>
  <c r="L312"/>
  <c r="B312"/>
  <c r="P311"/>
  <c r="L311"/>
  <c r="B311"/>
  <c r="P310"/>
  <c r="L310"/>
  <c r="B310"/>
  <c r="P309"/>
  <c r="L309"/>
  <c r="B309"/>
  <c r="P308"/>
  <c r="L308"/>
  <c r="B308"/>
  <c r="P307"/>
  <c r="L307"/>
  <c r="B307"/>
  <c r="P306"/>
  <c r="L306"/>
  <c r="B306"/>
  <c r="P305"/>
  <c r="L305"/>
  <c r="B305"/>
  <c r="P304"/>
  <c r="L304"/>
  <c r="B304"/>
  <c r="P303"/>
  <c r="L303"/>
  <c r="B303"/>
  <c r="P302"/>
  <c r="L302"/>
  <c r="B302"/>
  <c r="P301"/>
  <c r="L301"/>
  <c r="B301"/>
  <c r="P300"/>
  <c r="L300"/>
  <c r="B300"/>
  <c r="P299"/>
  <c r="L299"/>
  <c r="B299"/>
  <c r="P298"/>
  <c r="L298"/>
  <c r="B298"/>
  <c r="P297"/>
  <c r="L297"/>
  <c r="B297"/>
  <c r="P296"/>
  <c r="L296"/>
  <c r="B296"/>
  <c r="P295"/>
  <c r="L295"/>
  <c r="B295"/>
  <c r="P294"/>
  <c r="L294"/>
  <c r="B294"/>
  <c r="P293"/>
  <c r="L293"/>
  <c r="B293"/>
  <c r="P292"/>
  <c r="L292"/>
  <c r="B292"/>
  <c r="P291"/>
  <c r="L291"/>
  <c r="B291"/>
  <c r="P290"/>
  <c r="L290"/>
  <c r="B290"/>
  <c r="P289"/>
  <c r="L289"/>
  <c r="B289"/>
  <c r="P288"/>
  <c r="L288"/>
  <c r="B288"/>
  <c r="P287"/>
  <c r="L287"/>
  <c r="B287"/>
  <c r="P286"/>
  <c r="L286"/>
  <c r="B286"/>
  <c r="P285"/>
  <c r="L285"/>
  <c r="B285"/>
  <c r="P284"/>
  <c r="L284"/>
  <c r="B284"/>
  <c r="P283"/>
  <c r="L283"/>
  <c r="B283"/>
  <c r="P282"/>
  <c r="L282"/>
  <c r="B282"/>
  <c r="P281"/>
  <c r="L281"/>
  <c r="B281"/>
  <c r="P280"/>
  <c r="L280"/>
  <c r="B280"/>
  <c r="P279"/>
  <c r="L279"/>
  <c r="B279"/>
  <c r="P278"/>
  <c r="L278"/>
  <c r="B278"/>
  <c r="P277"/>
  <c r="L277"/>
  <c r="B277"/>
  <c r="P276"/>
  <c r="L276"/>
  <c r="B276"/>
  <c r="P275"/>
  <c r="L275"/>
  <c r="B275"/>
  <c r="P274"/>
  <c r="L274"/>
  <c r="B274"/>
  <c r="P273"/>
  <c r="L273"/>
  <c r="B273"/>
  <c r="P272"/>
  <c r="L272"/>
  <c r="B272"/>
  <c r="P271"/>
  <c r="L271"/>
  <c r="B271"/>
  <c r="P270"/>
  <c r="L270"/>
  <c r="B270"/>
  <c r="P269"/>
  <c r="L269"/>
  <c r="B269"/>
  <c r="P268"/>
  <c r="L268"/>
  <c r="B268"/>
  <c r="P267"/>
  <c r="L267"/>
  <c r="B267"/>
  <c r="P266"/>
  <c r="L266"/>
  <c r="B266"/>
  <c r="P265"/>
  <c r="L265"/>
  <c r="B265"/>
  <c r="P264"/>
  <c r="L264"/>
  <c r="B264"/>
  <c r="P263"/>
  <c r="L263"/>
  <c r="B263"/>
  <c r="P262"/>
  <c r="L262"/>
  <c r="B262"/>
  <c r="P261"/>
  <c r="L261"/>
  <c r="B261"/>
  <c r="P260"/>
  <c r="L260"/>
  <c r="B260"/>
  <c r="P259"/>
  <c r="L259"/>
  <c r="B259"/>
  <c r="P258"/>
  <c r="L258"/>
  <c r="B258"/>
  <c r="P257"/>
  <c r="L257"/>
  <c r="B257"/>
  <c r="P256"/>
  <c r="L256"/>
  <c r="B256"/>
  <c r="P255"/>
  <c r="L255"/>
  <c r="B255"/>
  <c r="P254"/>
  <c r="L254"/>
  <c r="B254"/>
  <c r="P253"/>
  <c r="L253"/>
  <c r="B253"/>
  <c r="P252"/>
  <c r="L252"/>
  <c r="B252"/>
  <c r="P251"/>
  <c r="L251"/>
  <c r="B251"/>
  <c r="P250"/>
  <c r="L250"/>
  <c r="B250"/>
  <c r="P249"/>
  <c r="L249"/>
  <c r="B249"/>
  <c r="P248"/>
  <c r="L248"/>
  <c r="B248"/>
  <c r="P247"/>
  <c r="L247"/>
  <c r="B247"/>
  <c r="P246"/>
  <c r="L246"/>
  <c r="B246"/>
  <c r="P245"/>
  <c r="L245"/>
  <c r="B245"/>
  <c r="P244"/>
  <c r="L244"/>
  <c r="B244"/>
  <c r="P243"/>
  <c r="L243"/>
  <c r="B243"/>
  <c r="P242"/>
  <c r="L242"/>
  <c r="B242"/>
  <c r="P241"/>
  <c r="L241"/>
  <c r="B241"/>
  <c r="P240"/>
  <c r="L240"/>
  <c r="B240"/>
  <c r="P239"/>
  <c r="L239"/>
  <c r="B239"/>
  <c r="P238"/>
  <c r="L238"/>
  <c r="B238"/>
  <c r="P237"/>
  <c r="L237"/>
  <c r="B237"/>
  <c r="P236"/>
  <c r="L236"/>
  <c r="B236"/>
  <c r="P235"/>
  <c r="L235"/>
  <c r="B235"/>
  <c r="P234"/>
  <c r="L234"/>
  <c r="B234"/>
  <c r="P233"/>
  <c r="L233"/>
  <c r="B233"/>
  <c r="P232"/>
  <c r="L232"/>
  <c r="B232"/>
  <c r="P231"/>
  <c r="L231"/>
  <c r="B231"/>
  <c r="P230"/>
  <c r="L230"/>
  <c r="B230"/>
  <c r="P229"/>
  <c r="L229"/>
  <c r="B229"/>
  <c r="P228"/>
  <c r="L228"/>
  <c r="B228"/>
  <c r="P227"/>
  <c r="L227"/>
  <c r="B227"/>
  <c r="P226"/>
  <c r="L226"/>
  <c r="B226"/>
  <c r="P225"/>
  <c r="L225"/>
  <c r="B225"/>
  <c r="P224"/>
  <c r="L224"/>
  <c r="B224"/>
  <c r="P223"/>
  <c r="L223"/>
  <c r="B223"/>
  <c r="P222"/>
  <c r="L222"/>
  <c r="B222"/>
  <c r="P221"/>
  <c r="L221"/>
  <c r="B221"/>
  <c r="P220"/>
  <c r="L220"/>
  <c r="B220"/>
  <c r="P219"/>
  <c r="L219"/>
  <c r="B219"/>
  <c r="P218"/>
  <c r="L218"/>
  <c r="B218"/>
  <c r="P217"/>
  <c r="L217"/>
  <c r="B217"/>
  <c r="P216"/>
  <c r="L216"/>
  <c r="B216"/>
  <c r="P215"/>
  <c r="L215"/>
  <c r="B215"/>
  <c r="P214"/>
  <c r="L214"/>
  <c r="B214"/>
  <c r="P213"/>
  <c r="L213"/>
  <c r="B213"/>
  <c r="P212"/>
  <c r="L212"/>
  <c r="B212"/>
  <c r="P211"/>
  <c r="L211"/>
  <c r="B211"/>
  <c r="P210"/>
  <c r="L210"/>
  <c r="B210"/>
  <c r="P209"/>
  <c r="L209"/>
  <c r="B209"/>
  <c r="L208"/>
  <c r="B208"/>
  <c r="P207"/>
  <c r="L207"/>
  <c r="B207"/>
  <c r="P206"/>
  <c r="L206"/>
  <c r="B206"/>
  <c r="P205"/>
  <c r="L205"/>
  <c r="B205"/>
  <c r="P204"/>
  <c r="L204"/>
  <c r="B204"/>
  <c r="P203"/>
  <c r="L203"/>
  <c r="B203"/>
  <c r="P202"/>
  <c r="L202"/>
  <c r="B202"/>
  <c r="P201"/>
  <c r="L201"/>
  <c r="B201"/>
  <c r="P200"/>
  <c r="L200"/>
  <c r="B200"/>
  <c r="P199"/>
  <c r="L199"/>
  <c r="B199"/>
  <c r="P198"/>
  <c r="L198"/>
  <c r="B198"/>
  <c r="P197"/>
  <c r="L197"/>
  <c r="B197"/>
  <c r="P196"/>
  <c r="L196"/>
  <c r="B196"/>
  <c r="P195"/>
  <c r="L195"/>
  <c r="B195"/>
  <c r="P194"/>
  <c r="L194"/>
  <c r="B194"/>
  <c r="P193"/>
  <c r="L193"/>
  <c r="B193"/>
  <c r="P192"/>
  <c r="L192"/>
  <c r="B192"/>
  <c r="P191"/>
  <c r="L191"/>
  <c r="B191"/>
  <c r="P190"/>
  <c r="L190"/>
  <c r="B190"/>
  <c r="P189"/>
  <c r="L189"/>
  <c r="B189"/>
  <c r="P188"/>
  <c r="L188"/>
  <c r="B188"/>
  <c r="P187"/>
  <c r="L187"/>
  <c r="B187"/>
  <c r="P186"/>
  <c r="L186"/>
  <c r="B186"/>
  <c r="P185"/>
  <c r="L185"/>
  <c r="B185"/>
  <c r="P184"/>
  <c r="L184"/>
  <c r="B184"/>
  <c r="P183"/>
  <c r="L183"/>
  <c r="B183"/>
  <c r="P182"/>
  <c r="L182"/>
  <c r="B182"/>
  <c r="P181"/>
  <c r="L181"/>
  <c r="B181"/>
  <c r="P180"/>
  <c r="L180"/>
  <c r="B180"/>
  <c r="P179"/>
  <c r="L179"/>
  <c r="B179"/>
  <c r="P178"/>
  <c r="L178"/>
  <c r="B178"/>
  <c r="P177"/>
  <c r="L177"/>
  <c r="B177"/>
  <c r="P176"/>
  <c r="L176"/>
  <c r="B176"/>
  <c r="P175"/>
  <c r="L175"/>
  <c r="B175"/>
  <c r="P174"/>
  <c r="L174"/>
  <c r="B174"/>
  <c r="P173"/>
  <c r="L173"/>
  <c r="B173"/>
  <c r="P172"/>
  <c r="L172"/>
  <c r="B172"/>
  <c r="P171"/>
  <c r="L171"/>
  <c r="B171"/>
  <c r="P170"/>
  <c r="L170"/>
  <c r="B170"/>
  <c r="L169"/>
  <c r="B169"/>
  <c r="P168"/>
  <c r="L168"/>
  <c r="B168"/>
  <c r="P167"/>
  <c r="L167"/>
  <c r="B167"/>
  <c r="P166"/>
  <c r="L166"/>
  <c r="B166"/>
  <c r="P165"/>
  <c r="L165"/>
  <c r="B165"/>
  <c r="P164"/>
  <c r="L164"/>
  <c r="B164"/>
  <c r="P163"/>
  <c r="L163"/>
  <c r="B163"/>
  <c r="P162"/>
  <c r="L162"/>
  <c r="B162"/>
  <c r="P161"/>
  <c r="L161"/>
  <c r="B161"/>
  <c r="P160"/>
  <c r="L160"/>
  <c r="B160"/>
  <c r="P159"/>
  <c r="L159"/>
  <c r="B159"/>
  <c r="P158"/>
  <c r="L158"/>
  <c r="B158"/>
  <c r="P157"/>
  <c r="L157"/>
  <c r="B157"/>
  <c r="P156"/>
  <c r="L156"/>
  <c r="B156"/>
  <c r="P155"/>
  <c r="L155"/>
  <c r="B155"/>
  <c r="P154"/>
  <c r="L154"/>
  <c r="B154"/>
  <c r="P153"/>
  <c r="L153"/>
  <c r="B153"/>
  <c r="P152"/>
  <c r="L152"/>
  <c r="B152"/>
  <c r="P151"/>
  <c r="L151"/>
  <c r="B151"/>
  <c r="P150"/>
  <c r="L150"/>
  <c r="B150"/>
  <c r="P149"/>
  <c r="L149"/>
  <c r="B149"/>
  <c r="P148"/>
  <c r="L148"/>
  <c r="B148"/>
  <c r="P147"/>
  <c r="L147"/>
  <c r="B147"/>
  <c r="P146"/>
  <c r="L146"/>
  <c r="B146"/>
  <c r="P145"/>
  <c r="L145"/>
  <c r="B145"/>
  <c r="P144"/>
  <c r="L144"/>
  <c r="B144"/>
  <c r="P143"/>
  <c r="L143"/>
  <c r="B143"/>
  <c r="P142"/>
  <c r="L142"/>
  <c r="B142"/>
  <c r="P141"/>
  <c r="L141"/>
  <c r="B141"/>
  <c r="P140"/>
  <c r="L140"/>
  <c r="B140"/>
  <c r="P139"/>
  <c r="L139"/>
  <c r="B139"/>
  <c r="P138"/>
  <c r="L138"/>
  <c r="B138"/>
  <c r="P137"/>
  <c r="L137"/>
  <c r="B137"/>
  <c r="P136"/>
  <c r="L136"/>
  <c r="B136"/>
  <c r="P135"/>
  <c r="L135"/>
  <c r="B135"/>
  <c r="P134"/>
  <c r="L134"/>
  <c r="B134"/>
  <c r="P133"/>
  <c r="L133"/>
  <c r="B133"/>
  <c r="P132"/>
  <c r="L132"/>
  <c r="B132"/>
  <c r="P131"/>
  <c r="L131"/>
  <c r="B131"/>
  <c r="P130"/>
  <c r="L130"/>
  <c r="B130"/>
  <c r="P129"/>
  <c r="L129"/>
  <c r="B129"/>
  <c r="P128"/>
  <c r="L128"/>
  <c r="B128"/>
  <c r="P127"/>
  <c r="L127"/>
  <c r="B127"/>
  <c r="P126"/>
  <c r="L126"/>
  <c r="B126"/>
  <c r="P125"/>
  <c r="L125"/>
  <c r="B125"/>
  <c r="P124"/>
  <c r="L124"/>
  <c r="B124"/>
  <c r="P123"/>
  <c r="L123"/>
  <c r="B123"/>
  <c r="P122"/>
  <c r="L122"/>
  <c r="B122"/>
  <c r="P121"/>
  <c r="L121"/>
  <c r="B121"/>
  <c r="P120"/>
  <c r="L120"/>
  <c r="B120"/>
  <c r="P119"/>
  <c r="L119"/>
  <c r="B119"/>
  <c r="P118"/>
  <c r="L118"/>
  <c r="B118"/>
  <c r="P117"/>
  <c r="L117"/>
  <c r="B117"/>
  <c r="P116"/>
  <c r="L116"/>
  <c r="B116"/>
  <c r="P115"/>
  <c r="L115"/>
  <c r="B115"/>
  <c r="P114"/>
  <c r="L114"/>
  <c r="B114"/>
  <c r="P113"/>
  <c r="L113"/>
  <c r="B113"/>
  <c r="P112"/>
  <c r="L112"/>
  <c r="B112"/>
  <c r="P111"/>
  <c r="L111"/>
  <c r="B111"/>
  <c r="P110"/>
  <c r="L110"/>
  <c r="B110"/>
  <c r="P109"/>
  <c r="L109"/>
  <c r="B109"/>
  <c r="P108"/>
  <c r="L108"/>
  <c r="B108"/>
  <c r="P107"/>
  <c r="L107"/>
  <c r="B107"/>
  <c r="P106"/>
  <c r="L106"/>
  <c r="B106"/>
  <c r="P105"/>
  <c r="L105"/>
  <c r="B105"/>
  <c r="P104"/>
  <c r="L104"/>
  <c r="B104"/>
  <c r="P103"/>
  <c r="L103"/>
  <c r="B103"/>
  <c r="P102"/>
  <c r="L102"/>
  <c r="B102"/>
  <c r="P101"/>
  <c r="L101"/>
  <c r="B101"/>
  <c r="P100"/>
  <c r="L100"/>
  <c r="B100"/>
  <c r="P99"/>
  <c r="L99"/>
  <c r="B99"/>
  <c r="P98"/>
  <c r="L98"/>
  <c r="B98"/>
  <c r="P97"/>
  <c r="L97"/>
  <c r="B97"/>
  <c r="P96"/>
  <c r="L96"/>
  <c r="B96"/>
  <c r="P95"/>
  <c r="L95"/>
  <c r="B95"/>
  <c r="P94"/>
  <c r="L94"/>
  <c r="B94"/>
  <c r="P93"/>
  <c r="L93"/>
  <c r="B93"/>
  <c r="P92"/>
  <c r="L92"/>
  <c r="B92"/>
  <c r="P91"/>
  <c r="L91"/>
  <c r="B91"/>
  <c r="P90"/>
  <c r="L90"/>
  <c r="B90"/>
  <c r="P89"/>
  <c r="L89"/>
  <c r="B89"/>
  <c r="P88"/>
  <c r="L88"/>
  <c r="B88"/>
  <c r="P87"/>
  <c r="L87"/>
  <c r="B87"/>
  <c r="P86"/>
  <c r="L86"/>
  <c r="B86"/>
  <c r="P85"/>
  <c r="L85"/>
  <c r="B85"/>
  <c r="P84"/>
  <c r="L84"/>
  <c r="B84"/>
  <c r="P83"/>
  <c r="L83"/>
  <c r="B83"/>
  <c r="P82"/>
  <c r="L82"/>
  <c r="B82"/>
  <c r="P81"/>
  <c r="L81"/>
  <c r="B81"/>
  <c r="P80"/>
  <c r="L80"/>
  <c r="B80"/>
  <c r="P79"/>
  <c r="L79"/>
  <c r="B79"/>
  <c r="P78"/>
  <c r="L78"/>
  <c r="B78"/>
  <c r="P77"/>
  <c r="L77"/>
  <c r="B77"/>
  <c r="P76"/>
  <c r="L76"/>
  <c r="B76"/>
  <c r="P75"/>
  <c r="L75"/>
  <c r="B75"/>
  <c r="P74"/>
  <c r="L74"/>
  <c r="B74"/>
  <c r="P73"/>
  <c r="L73"/>
  <c r="B73"/>
  <c r="P72"/>
  <c r="L72"/>
  <c r="B72"/>
  <c r="P71"/>
  <c r="L71"/>
  <c r="B71"/>
  <c r="P70"/>
  <c r="L70"/>
  <c r="B70"/>
  <c r="P69"/>
  <c r="L69"/>
  <c r="B69"/>
  <c r="P68"/>
  <c r="L68"/>
  <c r="B68"/>
  <c r="P67"/>
  <c r="L67"/>
  <c r="B67"/>
  <c r="P66"/>
  <c r="L66"/>
  <c r="B66"/>
  <c r="P65"/>
  <c r="L65"/>
  <c r="B65"/>
  <c r="P64"/>
  <c r="L64"/>
  <c r="B64"/>
  <c r="P63"/>
  <c r="L63"/>
  <c r="B63"/>
  <c r="P62"/>
  <c r="L62"/>
  <c r="B62"/>
  <c r="P61"/>
  <c r="L61"/>
  <c r="B61"/>
  <c r="P60"/>
  <c r="L60"/>
  <c r="B60"/>
  <c r="P59"/>
  <c r="L59"/>
  <c r="B59"/>
  <c r="P58"/>
  <c r="L58"/>
  <c r="B58"/>
  <c r="P57"/>
  <c r="L57"/>
  <c r="B57"/>
  <c r="P56"/>
  <c r="L56"/>
  <c r="B56"/>
  <c r="P55"/>
  <c r="L55"/>
  <c r="B55"/>
  <c r="P54"/>
  <c r="L54"/>
  <c r="B54"/>
  <c r="P53"/>
  <c r="L53"/>
  <c r="B53"/>
  <c r="P52"/>
  <c r="L52"/>
  <c r="B52"/>
  <c r="P51"/>
  <c r="L51"/>
  <c r="B51"/>
  <c r="P50"/>
  <c r="L50"/>
  <c r="B50"/>
  <c r="P49"/>
  <c r="L49"/>
  <c r="B49"/>
  <c r="P48"/>
  <c r="L48"/>
  <c r="B48"/>
  <c r="P47"/>
  <c r="L47"/>
  <c r="B47"/>
  <c r="P46"/>
  <c r="L46"/>
  <c r="B46"/>
  <c r="P45"/>
  <c r="L45"/>
  <c r="B45"/>
  <c r="P44"/>
  <c r="L44"/>
  <c r="B44"/>
  <c r="P43"/>
  <c r="L43"/>
  <c r="B43"/>
  <c r="P42"/>
  <c r="L42"/>
  <c r="B42"/>
  <c r="P41"/>
  <c r="L41"/>
  <c r="B41"/>
  <c r="P40"/>
  <c r="L40"/>
  <c r="B40"/>
  <c r="P39"/>
  <c r="L39"/>
  <c r="B39"/>
  <c r="P38"/>
  <c r="L38"/>
  <c r="B38"/>
  <c r="P37"/>
  <c r="L37"/>
  <c r="B37"/>
  <c r="P36"/>
  <c r="L36"/>
  <c r="B36"/>
  <c r="P35"/>
  <c r="L35"/>
  <c r="B35"/>
  <c r="P34"/>
  <c r="L34"/>
  <c r="B34"/>
  <c r="P33"/>
  <c r="L33"/>
  <c r="B33"/>
  <c r="P32"/>
  <c r="L32"/>
  <c r="B32"/>
  <c r="P31"/>
  <c r="L31"/>
  <c r="B31"/>
  <c r="P30"/>
  <c r="L30"/>
  <c r="B30"/>
  <c r="P29"/>
  <c r="L29"/>
  <c r="B29"/>
  <c r="P28"/>
  <c r="L28"/>
  <c r="B28"/>
  <c r="P27"/>
  <c r="L27"/>
  <c r="B27"/>
  <c r="P26"/>
  <c r="L26"/>
  <c r="B26"/>
  <c r="P25"/>
  <c r="L25"/>
  <c r="B25"/>
  <c r="P24"/>
  <c r="L24"/>
  <c r="B24"/>
  <c r="P23"/>
  <c r="L23"/>
  <c r="B23"/>
  <c r="P22"/>
  <c r="L22"/>
  <c r="B22"/>
  <c r="P21"/>
  <c r="L21"/>
  <c r="B21"/>
  <c r="P20"/>
  <c r="L20"/>
  <c r="B20"/>
  <c r="P19"/>
  <c r="L19"/>
  <c r="B19"/>
  <c r="P18"/>
  <c r="L18"/>
  <c r="B18"/>
  <c r="P17"/>
  <c r="L17"/>
  <c r="B17"/>
  <c r="P16"/>
  <c r="L16"/>
  <c r="B16"/>
  <c r="P15"/>
  <c r="L15"/>
  <c r="B15"/>
  <c r="P14"/>
  <c r="L14"/>
  <c r="B14"/>
  <c r="P13"/>
  <c r="L13"/>
  <c r="B13"/>
  <c r="P12"/>
  <c r="L12"/>
  <c r="B12"/>
  <c r="P11"/>
  <c r="L11"/>
  <c r="B11"/>
  <c r="P10"/>
  <c r="L10"/>
  <c r="B10"/>
  <c r="P9"/>
  <c r="L9"/>
  <c r="B9"/>
  <c r="P8"/>
  <c r="L8"/>
  <c r="B8"/>
  <c r="P7"/>
  <c r="L7"/>
  <c r="B7"/>
  <c r="P6"/>
  <c r="L6"/>
  <c r="B6"/>
  <c r="P5"/>
  <c r="L5"/>
  <c r="B5"/>
  <c r="P4"/>
  <c r="L4"/>
  <c r="B4"/>
  <c r="P3"/>
  <c r="L3"/>
  <c r="B3"/>
  <c r="J28" i="2"/>
  <c r="I28" s="1"/>
  <c r="H28"/>
  <c r="F28"/>
  <c r="D27"/>
  <c r="O27" s="1"/>
  <c r="D26"/>
  <c r="O26" s="1"/>
  <c r="D25"/>
  <c r="O25" s="1"/>
  <c r="D24"/>
  <c r="O24" s="1"/>
  <c r="D23"/>
  <c r="O23" s="1"/>
  <c r="D22"/>
  <c r="O22" s="1"/>
  <c r="D21"/>
  <c r="O21" s="1"/>
  <c r="D20"/>
  <c r="O20" s="1"/>
  <c r="D19"/>
  <c r="O19" s="1"/>
  <c r="D18"/>
  <c r="O18" s="1"/>
  <c r="D17"/>
  <c r="O17" s="1"/>
  <c r="D16"/>
  <c r="O16" s="1"/>
  <c r="D15"/>
  <c r="O15" s="1"/>
  <c r="D14"/>
  <c r="O14" s="1"/>
  <c r="D13"/>
  <c r="O13" s="1"/>
  <c r="D12"/>
  <c r="O12" s="1"/>
  <c r="D11"/>
  <c r="O11" s="1"/>
  <c r="D10"/>
  <c r="O10" s="1"/>
  <c r="D9"/>
  <c r="O9" s="1"/>
  <c r="D8"/>
  <c r="O8" s="1"/>
  <c r="D7"/>
  <c r="O7" s="1"/>
  <c r="D6"/>
  <c r="O6" s="1"/>
  <c r="D5"/>
  <c r="O5" s="1"/>
  <c r="L4"/>
  <c r="J29" i="1"/>
  <c r="I29" s="1"/>
  <c r="G29"/>
  <c r="J28"/>
  <c r="I28" s="1"/>
  <c r="H28"/>
  <c r="K28" s="1"/>
  <c r="F28"/>
  <c r="J27"/>
  <c r="I27" s="1"/>
  <c r="H27"/>
  <c r="K27" s="1"/>
  <c r="F27"/>
  <c r="J26"/>
  <c r="I26" s="1"/>
  <c r="H26"/>
  <c r="K26" s="1"/>
  <c r="F26"/>
  <c r="J25"/>
  <c r="I25" s="1"/>
  <c r="H25"/>
  <c r="K25" s="1"/>
  <c r="F25"/>
  <c r="J24"/>
  <c r="I24" s="1"/>
  <c r="H24"/>
  <c r="K24" s="1"/>
  <c r="F24"/>
  <c r="J23"/>
  <c r="I23" s="1"/>
  <c r="H23"/>
  <c r="K23" s="1"/>
  <c r="F23"/>
  <c r="J22"/>
  <c r="I22" s="1"/>
  <c r="H22"/>
  <c r="K22" s="1"/>
  <c r="F22"/>
  <c r="J21"/>
  <c r="I21" s="1"/>
  <c r="H21"/>
  <c r="K21" s="1"/>
  <c r="F21"/>
  <c r="J20"/>
  <c r="I20" s="1"/>
  <c r="H20"/>
  <c r="K20" s="1"/>
  <c r="F20"/>
  <c r="J19"/>
  <c r="I19" s="1"/>
  <c r="H19"/>
  <c r="K19" s="1"/>
  <c r="F19"/>
  <c r="J18"/>
  <c r="I18" s="1"/>
  <c r="H18"/>
  <c r="K18" s="1"/>
  <c r="F18"/>
  <c r="J17"/>
  <c r="I17" s="1"/>
  <c r="H17"/>
  <c r="K17" s="1"/>
  <c r="F17"/>
  <c r="J16"/>
  <c r="I16" s="1"/>
  <c r="H16"/>
  <c r="K16" s="1"/>
  <c r="F16"/>
  <c r="J15"/>
  <c r="I15" s="1"/>
  <c r="H15"/>
  <c r="K15" s="1"/>
  <c r="F15"/>
  <c r="J14"/>
  <c r="I14" s="1"/>
  <c r="H14"/>
  <c r="K14" s="1"/>
  <c r="F14"/>
  <c r="J13"/>
  <c r="I13" s="1"/>
  <c r="H13"/>
  <c r="K13" s="1"/>
  <c r="F13"/>
  <c r="J12"/>
  <c r="I12" s="1"/>
  <c r="H12"/>
  <c r="K12" s="1"/>
  <c r="F12"/>
  <c r="J11"/>
  <c r="I11" s="1"/>
  <c r="H11"/>
  <c r="K11" s="1"/>
  <c r="F11"/>
  <c r="J10"/>
  <c r="I10" s="1"/>
  <c r="H10"/>
  <c r="H29" s="1"/>
  <c r="E10"/>
  <c r="E29" s="1"/>
  <c r="F29" s="1"/>
  <c r="K9"/>
  <c r="L9" s="1"/>
  <c r="M9" s="1"/>
  <c r="N9" s="1"/>
  <c r="J9"/>
  <c r="I9"/>
  <c r="H9"/>
  <c r="F9"/>
  <c r="K8"/>
  <c r="L8" s="1"/>
  <c r="M8" s="1"/>
  <c r="N8" s="1"/>
  <c r="J8"/>
  <c r="I8"/>
  <c r="H8"/>
  <c r="F8"/>
  <c r="K7"/>
  <c r="L7" s="1"/>
  <c r="M7" s="1"/>
  <c r="N7" s="1"/>
  <c r="J7"/>
  <c r="I7"/>
  <c r="H7"/>
  <c r="F7"/>
  <c r="K6"/>
  <c r="L6" s="1"/>
  <c r="M6" s="1"/>
  <c r="N6" s="1"/>
  <c r="J6"/>
  <c r="I6"/>
  <c r="H6"/>
  <c r="F6"/>
  <c r="K5"/>
  <c r="J5"/>
  <c r="I5"/>
  <c r="H5"/>
  <c r="F5"/>
  <c r="L4"/>
  <c r="K28" i="2" l="1"/>
  <c r="L13" i="1"/>
  <c r="M13" s="1"/>
  <c r="N13" s="1"/>
  <c r="L17"/>
  <c r="M17" s="1"/>
  <c r="N17" s="1"/>
  <c r="L21"/>
  <c r="M21" s="1"/>
  <c r="N21" s="1"/>
  <c r="M25"/>
  <c r="N25" s="1"/>
  <c r="L25"/>
  <c r="M14"/>
  <c r="N14" s="1"/>
  <c r="L14"/>
  <c r="L18"/>
  <c r="M18" s="1"/>
  <c r="N18" s="1"/>
  <c r="M22"/>
  <c r="N22" s="1"/>
  <c r="L22"/>
  <c r="L26"/>
  <c r="M26" s="1"/>
  <c r="N26" s="1"/>
  <c r="L11"/>
  <c r="M11" s="1"/>
  <c r="N11" s="1"/>
  <c r="M15"/>
  <c r="N15" s="1"/>
  <c r="L15"/>
  <c r="L19"/>
  <c r="M19" s="1"/>
  <c r="N19" s="1"/>
  <c r="M23"/>
  <c r="N23" s="1"/>
  <c r="L23"/>
  <c r="L27"/>
  <c r="M27" s="1"/>
  <c r="N27" s="1"/>
  <c r="O29" i="2"/>
  <c r="L28"/>
  <c r="M28" s="1"/>
  <c r="N28" s="1"/>
  <c r="M12" i="1"/>
  <c r="N12" s="1"/>
  <c r="L12"/>
  <c r="L16"/>
  <c r="M16" s="1"/>
  <c r="N16" s="1"/>
  <c r="M20"/>
  <c r="N20" s="1"/>
  <c r="L20"/>
  <c r="L24"/>
  <c r="M24" s="1"/>
  <c r="N24" s="1"/>
  <c r="M28"/>
  <c r="N28" s="1"/>
  <c r="L28"/>
  <c r="L5"/>
  <c r="F10"/>
  <c r="K10"/>
  <c r="E5" i="2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J24" l="1"/>
  <c r="I24" s="1"/>
  <c r="H24"/>
  <c r="J20"/>
  <c r="I20" s="1"/>
  <c r="H20"/>
  <c r="J16"/>
  <c r="I16" s="1"/>
  <c r="H16"/>
  <c r="J12"/>
  <c r="I12" s="1"/>
  <c r="H12"/>
  <c r="H8"/>
  <c r="J8"/>
  <c r="I8" s="1"/>
  <c r="F27"/>
  <c r="F23"/>
  <c r="F19"/>
  <c r="F15"/>
  <c r="F11"/>
  <c r="F7"/>
  <c r="H25"/>
  <c r="J25"/>
  <c r="I25" s="1"/>
  <c r="H21"/>
  <c r="J21"/>
  <c r="I21" s="1"/>
  <c r="H17"/>
  <c r="J17"/>
  <c r="I17" s="1"/>
  <c r="H13"/>
  <c r="J13"/>
  <c r="I13" s="1"/>
  <c r="J9"/>
  <c r="I9" s="1"/>
  <c r="H9"/>
  <c r="H5"/>
  <c r="G29"/>
  <c r="J5"/>
  <c r="K24"/>
  <c r="F24"/>
  <c r="K20"/>
  <c r="F20"/>
  <c r="K16"/>
  <c r="F16"/>
  <c r="K12"/>
  <c r="F12"/>
  <c r="K8"/>
  <c r="F8"/>
  <c r="M10" i="1"/>
  <c r="N10" s="1"/>
  <c r="L10"/>
  <c r="K29"/>
  <c r="J26" i="2"/>
  <c r="I26" s="1"/>
  <c r="H26"/>
  <c r="J22"/>
  <c r="I22" s="1"/>
  <c r="H22"/>
  <c r="J18"/>
  <c r="I18" s="1"/>
  <c r="H18"/>
  <c r="J14"/>
  <c r="I14" s="1"/>
  <c r="H14"/>
  <c r="H10"/>
  <c r="J10"/>
  <c r="I10" s="1"/>
  <c r="J6"/>
  <c r="I6" s="1"/>
  <c r="H6"/>
  <c r="K25"/>
  <c r="F25"/>
  <c r="K21"/>
  <c r="F21"/>
  <c r="K17"/>
  <c r="F17"/>
  <c r="K13"/>
  <c r="F13"/>
  <c r="K9"/>
  <c r="F9"/>
  <c r="K5"/>
  <c r="E29"/>
  <c r="F29" s="1"/>
  <c r="F5"/>
  <c r="J27"/>
  <c r="I27" s="1"/>
  <c r="H27"/>
  <c r="H23"/>
  <c r="K23" s="1"/>
  <c r="J23"/>
  <c r="I23" s="1"/>
  <c r="H19"/>
  <c r="K19" s="1"/>
  <c r="J19"/>
  <c r="I19" s="1"/>
  <c r="H15"/>
  <c r="K15" s="1"/>
  <c r="J15"/>
  <c r="I15" s="1"/>
  <c r="J11"/>
  <c r="I11" s="1"/>
  <c r="H11"/>
  <c r="H7"/>
  <c r="K7" s="1"/>
  <c r="J7"/>
  <c r="I7" s="1"/>
  <c r="K26"/>
  <c r="F26"/>
  <c r="K22"/>
  <c r="F22"/>
  <c r="K18"/>
  <c r="F18"/>
  <c r="K14"/>
  <c r="F14"/>
  <c r="K10"/>
  <c r="F10"/>
  <c r="K6"/>
  <c r="F6"/>
  <c r="L29" i="1"/>
  <c r="M5"/>
  <c r="K11" i="2" l="1"/>
  <c r="L11" s="1"/>
  <c r="M11" s="1"/>
  <c r="N11" s="1"/>
  <c r="K27"/>
  <c r="L27" s="1"/>
  <c r="M27" s="1"/>
  <c r="N27" s="1"/>
  <c r="L7"/>
  <c r="M7"/>
  <c r="N7" s="1"/>
  <c r="L15"/>
  <c r="M15" s="1"/>
  <c r="N15" s="1"/>
  <c r="L23"/>
  <c r="M23" s="1"/>
  <c r="N23" s="1"/>
  <c r="L19"/>
  <c r="M19" s="1"/>
  <c r="N19" s="1"/>
  <c r="L9"/>
  <c r="M9" s="1"/>
  <c r="N9" s="1"/>
  <c r="L17"/>
  <c r="M17" s="1"/>
  <c r="N17" s="1"/>
  <c r="L25"/>
  <c r="M25"/>
  <c r="N25" s="1"/>
  <c r="H29"/>
  <c r="L10"/>
  <c r="M10" s="1"/>
  <c r="N10" s="1"/>
  <c r="L18"/>
  <c r="M18" s="1"/>
  <c r="N18" s="1"/>
  <c r="L26"/>
  <c r="M26" s="1"/>
  <c r="N26" s="1"/>
  <c r="L12"/>
  <c r="M12" s="1"/>
  <c r="N12" s="1"/>
  <c r="L20"/>
  <c r="M20"/>
  <c r="N20" s="1"/>
  <c r="N5" i="1"/>
  <c r="N29" s="1"/>
  <c r="M29"/>
  <c r="K29" i="2"/>
  <c r="L5"/>
  <c r="M5" s="1"/>
  <c r="L13"/>
  <c r="M13" s="1"/>
  <c r="N13" s="1"/>
  <c r="L21"/>
  <c r="M21" s="1"/>
  <c r="N21" s="1"/>
  <c r="J29"/>
  <c r="I29" s="1"/>
  <c r="I5"/>
  <c r="L6"/>
  <c r="M6" s="1"/>
  <c r="N6" s="1"/>
  <c r="L14"/>
  <c r="M14" s="1"/>
  <c r="N14" s="1"/>
  <c r="L22"/>
  <c r="M22"/>
  <c r="N22" s="1"/>
  <c r="L8"/>
  <c r="M8" s="1"/>
  <c r="N8" s="1"/>
  <c r="L16"/>
  <c r="M16"/>
  <c r="N16" s="1"/>
  <c r="L24"/>
  <c r="M24" s="1"/>
  <c r="N24" s="1"/>
  <c r="L29" l="1"/>
  <c r="M29"/>
  <c r="N5"/>
  <c r="N29" s="1"/>
</calcChain>
</file>

<file path=xl/sharedStrings.xml><?xml version="1.0" encoding="utf-8"?>
<sst xmlns="http://schemas.openxmlformats.org/spreadsheetml/2006/main" count="4060" uniqueCount="740">
  <si>
    <t>관리번호</t>
    <phoneticPr fontId="6" type="noConversion"/>
  </si>
  <si>
    <t>순수 우진산전 제작시</t>
    <phoneticPr fontId="3" type="noConversion"/>
  </si>
  <si>
    <t>수량</t>
    <phoneticPr fontId="6" type="noConversion"/>
  </si>
  <si>
    <t>PROJECT</t>
    <phoneticPr fontId="6" type="noConversion"/>
  </si>
  <si>
    <t>미국 SEPTA-PROJECT 실행원가</t>
    <phoneticPr fontId="3" type="noConversion"/>
  </si>
  <si>
    <t>수주처</t>
    <phoneticPr fontId="6" type="noConversion"/>
  </si>
  <si>
    <t>㈜현대로템</t>
    <phoneticPr fontId="3" type="noConversion"/>
  </si>
  <si>
    <t>작성일자</t>
    <phoneticPr fontId="6" type="noConversion"/>
  </si>
  <si>
    <t>2010.08.19 강재준</t>
    <phoneticPr fontId="3" type="noConversion"/>
  </si>
  <si>
    <t>NO</t>
    <phoneticPr fontId="6" type="noConversion"/>
  </si>
  <si>
    <t>제 품 명</t>
    <phoneticPr fontId="6" type="noConversion"/>
  </si>
  <si>
    <t>재료비①</t>
    <phoneticPr fontId="6" type="noConversion"/>
  </si>
  <si>
    <t>노무비②</t>
    <phoneticPr fontId="6" type="noConversion"/>
  </si>
  <si>
    <t>제조경비③</t>
    <phoneticPr fontId="6" type="noConversion"/>
  </si>
  <si>
    <t>제조원가④
(①+②+③)</t>
    <phoneticPr fontId="6" type="noConversion"/>
  </si>
  <si>
    <t>판매관리비⑤</t>
    <phoneticPr fontId="6" type="noConversion"/>
  </si>
  <si>
    <t>총원가⑥</t>
    <phoneticPr fontId="6" type="noConversion"/>
  </si>
  <si>
    <t>이익⑦</t>
    <phoneticPr fontId="6" type="noConversion"/>
  </si>
  <si>
    <t>수주가⑧</t>
    <phoneticPr fontId="6" type="noConversion"/>
  </si>
  <si>
    <t>비    고</t>
    <phoneticPr fontId="6" type="noConversion"/>
  </si>
  <si>
    <t>제품코드</t>
    <phoneticPr fontId="6" type="noConversion"/>
  </si>
  <si>
    <t>재료비</t>
    <phoneticPr fontId="6" type="noConversion"/>
  </si>
  <si>
    <t>비율</t>
    <phoneticPr fontId="6" type="noConversion"/>
  </si>
  <si>
    <t>공수Hr</t>
    <phoneticPr fontId="6" type="noConversion"/>
  </si>
  <si>
    <t>노무비</t>
    <phoneticPr fontId="6" type="noConversion"/>
  </si>
  <si>
    <t>제조경비</t>
    <phoneticPr fontId="6" type="noConversion"/>
  </si>
  <si>
    <t>(④+⑤)</t>
    <phoneticPr fontId="6" type="noConversion"/>
  </si>
  <si>
    <t>(⑧-⑥)</t>
    <phoneticPr fontId="6" type="noConversion"/>
  </si>
  <si>
    <t>(BZP)BUTTON BUZZER</t>
  </si>
  <si>
    <t>(DBZ)DOOR BUZZER ASS'Y</t>
  </si>
  <si>
    <t>(CSP)CAB SPEAKER ASS'Y</t>
  </si>
  <si>
    <t>(ISP)INTERIOR SPEAKER</t>
  </si>
  <si>
    <t>(ANSM)ANS MICROPHONE ASS'Y</t>
  </si>
  <si>
    <t>(CRA)COMMUNICATION RACK A (1/2)</t>
  </si>
  <si>
    <t>(CRB)COMMUNICATION RACK B (1/2)</t>
  </si>
  <si>
    <t>(ESP)EXTERIOR SPEAKER</t>
  </si>
  <si>
    <t>(PID1)LCD PASSENGER INFORMATION ASS'Y</t>
  </si>
  <si>
    <t>(PID2)LCD PASSENGER INFORMATION DISPLAY</t>
  </si>
  <si>
    <t>(PII)LED PASSENGER INFORMATION INDICATOR</t>
  </si>
  <si>
    <t>(FDI)LED FRONT DESTINATION SIGN</t>
  </si>
  <si>
    <t>(SDI)LED SIDE DESTINATION INDICATOR</t>
  </si>
  <si>
    <t>(TRA)ANTENNA CAB RADIO</t>
  </si>
  <si>
    <t>(WGA)ANTENNA GPS</t>
  </si>
  <si>
    <t>(TMP)CAB TEXT MASSAGE PRINTER</t>
  </si>
  <si>
    <t>(CCP)TERMINAL ATAS/AVL</t>
  </si>
  <si>
    <t>(CBZ)BUZZER COMMUNICATION</t>
  </si>
  <si>
    <t>(TRF)TRANSFORMER</t>
  </si>
  <si>
    <t>(BZPB)BUZZER PUSH BUTTON BOX ASS'Y</t>
  </si>
  <si>
    <t>(TRB)TRAIN RADIO BRACKET</t>
  </si>
  <si>
    <t>(DMJ)DRIVER MICROPHONE JACK</t>
  </si>
  <si>
    <t>(JCR)JUMPER COUPLER</t>
  </si>
  <si>
    <t>터키 프로젝트 수주가 이관액</t>
    <phoneticPr fontId="3" type="noConversion"/>
  </si>
  <si>
    <t xml:space="preserve"> TOTAL</t>
    <phoneticPr fontId="6" type="noConversion"/>
  </si>
  <si>
    <t>◆특이사항◆</t>
    <phoneticPr fontId="6" type="noConversion"/>
  </si>
  <si>
    <t>적용 기준가</t>
    <phoneticPr fontId="6" type="noConversion"/>
  </si>
  <si>
    <t>첨  부</t>
    <phoneticPr fontId="6" type="noConversion"/>
  </si>
  <si>
    <t>1.견적원가 산출 LIST</t>
    <phoneticPr fontId="6" type="noConversion"/>
  </si>
  <si>
    <t>순수 우진제작시는 BA관련하여  PID1,2를 미국에서 조립하지 않고, 우진에서 조립했을경우를 말함</t>
    <phoneticPr fontId="3" type="noConversion"/>
  </si>
  <si>
    <t>1.임률(\/Hr)</t>
    <phoneticPr fontId="6" type="noConversion"/>
  </si>
  <si>
    <t>2.적용판관비</t>
    <phoneticPr fontId="6" type="noConversion"/>
  </si>
  <si>
    <t>배포처</t>
    <phoneticPr fontId="6" type="noConversion"/>
  </si>
  <si>
    <t>P.R.B팀 확인</t>
    <phoneticPr fontId="6" type="noConversion"/>
  </si>
  <si>
    <t>3.적용 이익</t>
    <phoneticPr fontId="6" type="noConversion"/>
  </si>
  <si>
    <t>4.제조임률</t>
    <phoneticPr fontId="6" type="noConversion"/>
  </si>
  <si>
    <t>P.R.F팀</t>
    <phoneticPr fontId="6" type="noConversion"/>
  </si>
  <si>
    <t>㈜우진산전</t>
    <phoneticPr fontId="6" type="noConversion"/>
  </si>
  <si>
    <t>REV.00,A4</t>
    <phoneticPr fontId="6" type="noConversion"/>
  </si>
  <si>
    <t>SEPTA 프로젝트 원가분석 (순수우진제작 VS BA충족시)</t>
    <phoneticPr fontId="3" type="noConversion"/>
  </si>
  <si>
    <t>우진산전 제작시의 단가 금액</t>
    <phoneticPr fontId="3" type="noConversion"/>
  </si>
  <si>
    <t>제품코드</t>
    <phoneticPr fontId="3" type="noConversion"/>
  </si>
  <si>
    <t>제품명</t>
    <phoneticPr fontId="3" type="noConversion"/>
  </si>
  <si>
    <t>NO</t>
    <phoneticPr fontId="3" type="noConversion"/>
  </si>
  <si>
    <t>LEVEL</t>
  </si>
  <si>
    <t>품목코드</t>
  </si>
  <si>
    <t>도면번호</t>
  </si>
  <si>
    <t>군</t>
  </si>
  <si>
    <t>품명</t>
  </si>
  <si>
    <t>규격/재질</t>
  </si>
  <si>
    <t>수량</t>
  </si>
  <si>
    <t>SET</t>
    <phoneticPr fontId="3" type="noConversion"/>
  </si>
  <si>
    <t>총량</t>
    <phoneticPr fontId="3" type="noConversion"/>
  </si>
  <si>
    <t>조달</t>
    <phoneticPr fontId="3" type="noConversion"/>
  </si>
  <si>
    <t>화폐</t>
  </si>
  <si>
    <t>단가</t>
  </si>
  <si>
    <t>금액</t>
  </si>
  <si>
    <t>구매처</t>
  </si>
  <si>
    <t>01.__.__.__.__.__.__</t>
  </si>
  <si>
    <t>R1D1361-21500( b)(1)</t>
  </si>
  <si>
    <t>BRACKET</t>
  </si>
  <si>
    <t>ASS'Y/</t>
  </si>
  <si>
    <t>외작</t>
  </si>
  <si>
    <t>￦</t>
  </si>
  <si>
    <t>보성엔지니어링</t>
  </si>
  <si>
    <t>02.__.__.__.__.__.__</t>
  </si>
  <si>
    <t>R1D1361-21500( b)(2)</t>
  </si>
  <si>
    <t>MIC CAP</t>
  </si>
  <si>
    <t>03.__.__.__.__.__.__</t>
  </si>
  <si>
    <t>GRAND</t>
  </si>
  <si>
    <t>PG7/ASS'Y</t>
  </si>
  <si>
    <t>내자</t>
  </si>
  <si>
    <t>은강반도체</t>
  </si>
  <si>
    <t>04.__.__.__.__.__.__</t>
  </si>
  <si>
    <t>MICRO PHONE</t>
  </si>
  <si>
    <t>AOM-4544P-2R/</t>
  </si>
  <si>
    <t>05.__.__.__.__.__.__</t>
  </si>
  <si>
    <t>CONNECTOR(7PIN PLUG)</t>
  </si>
  <si>
    <t>FRITS4106F14S-07SB0F6/</t>
  </si>
  <si>
    <t>외자</t>
  </si>
  <si>
    <t>햄머</t>
  </si>
  <si>
    <t>06.__.__.__.__.__.__</t>
  </si>
  <si>
    <t>SOCKET(16s SIZE)</t>
  </si>
  <si>
    <t>10-40552G117/</t>
  </si>
  <si>
    <t>07.__.__.__.__.__.__</t>
  </si>
  <si>
    <t>CONNECTOR(7 PIN RECEP)</t>
  </si>
  <si>
    <t>FRITS4100F14S-07PB0G1F6/</t>
  </si>
  <si>
    <t>08.__.__.__.__.__.__</t>
  </si>
  <si>
    <t>PIN(16s SIZE)</t>
  </si>
  <si>
    <t>10-40553G117/</t>
  </si>
  <si>
    <t>09.__.__.__.__.__.__</t>
  </si>
  <si>
    <t>SEALING PLUG</t>
  </si>
  <si>
    <t>10-305045-16/</t>
  </si>
  <si>
    <t>10.__.__.__.__.__.__</t>
  </si>
  <si>
    <t>R1D1359-21672( c)(12)</t>
  </si>
  <si>
    <t>NAME PLATE</t>
  </si>
  <si>
    <t>ANSM/</t>
  </si>
  <si>
    <t>구영에스피(주)</t>
  </si>
  <si>
    <t>11.__.__.__.__.__.__</t>
  </si>
  <si>
    <t>CABLE</t>
  </si>
  <si>
    <t>100G1121-0.75-2/6/ASS'Y</t>
  </si>
  <si>
    <t>R1D1357-21417( b)(1)</t>
  </si>
  <si>
    <t>R1D1357-21417( b)(2)</t>
  </si>
  <si>
    <t>RUBBER GASKET</t>
  </si>
  <si>
    <t>EDPM t1.0/</t>
  </si>
  <si>
    <t>명진전기</t>
  </si>
  <si>
    <t>SWITCH</t>
  </si>
  <si>
    <t>AV22LP404/</t>
  </si>
  <si>
    <t>이지파워</t>
  </si>
  <si>
    <t>CONNECTOR</t>
  </si>
  <si>
    <t>770-203(RECEP)/ASS'Y</t>
  </si>
  <si>
    <t>만희기전(주)</t>
  </si>
  <si>
    <t>770-213(RECEP)/ASS'Y</t>
  </si>
  <si>
    <t>R1D1359-21672( c)(6)</t>
  </si>
  <si>
    <t>BZP/</t>
  </si>
  <si>
    <t>WIRE</t>
  </si>
  <si>
    <t>100G0111-1.50-0/</t>
  </si>
  <si>
    <t>PUSH BUTTON SWITCH</t>
  </si>
  <si>
    <t>IFS3Z1A20/</t>
  </si>
  <si>
    <t>R1D1357-21414( a)</t>
  </si>
  <si>
    <t>FRAME ASS'Y</t>
  </si>
  <si>
    <t>__.01.__.__.__.__.__</t>
  </si>
  <si>
    <t>R1D1357-21412( a)</t>
  </si>
  <si>
    <t>FRAME</t>
  </si>
  <si>
    <t>__.02.__.__.__.__.__</t>
  </si>
  <si>
    <t>R1D1357-21413( a)</t>
  </si>
  <si>
    <t>R1D1357-21415</t>
  </si>
  <si>
    <t>R1D1359-21672( c)(5)</t>
  </si>
  <si>
    <t>BZPB/</t>
  </si>
  <si>
    <t>외작</t>
    <phoneticPr fontId="3" type="noConversion"/>
  </si>
  <si>
    <t>R1D1362-21508( b)</t>
  </si>
  <si>
    <t>세일ENGINEERING</t>
  </si>
  <si>
    <t>R1D1362-21509( a)</t>
  </si>
  <si>
    <t>PLATE</t>
  </si>
  <si>
    <t>R1D1362-21510( b)</t>
  </si>
  <si>
    <t>R1D1362-21512</t>
  </si>
  <si>
    <t>TOUCH SCREEN UNIT</t>
  </si>
  <si>
    <t>MN070000ACD 7Inch WIDE/</t>
  </si>
  <si>
    <t>동도테크(주)</t>
  </si>
  <si>
    <t>TFT-LCD UNIT</t>
  </si>
  <si>
    <t>LMS700KF05/</t>
  </si>
  <si>
    <t>R1D1362-21511( c)</t>
  </si>
  <si>
    <t>COVER</t>
  </si>
  <si>
    <t>CONNECTOR(19PIN RECEP)</t>
  </si>
  <si>
    <t>FRITS4102R22-14PB0G1F6/</t>
  </si>
  <si>
    <t>CONNECTOR(19PIN 90PLUG)</t>
  </si>
  <si>
    <t>FRITS4108F22-14SB0F6/</t>
  </si>
  <si>
    <t>R1D1359-21673(7)</t>
  </si>
  <si>
    <t>CCP/</t>
  </si>
  <si>
    <t>SOCKET(16 SIZE)</t>
  </si>
  <si>
    <t>10-40556G117/</t>
  </si>
  <si>
    <t>PIN(16 SIZE)</t>
  </si>
  <si>
    <t>10-40557G117/</t>
  </si>
  <si>
    <t>12.__.__.__.__.__.__</t>
  </si>
  <si>
    <t>PIN(16 SIZE SMALL)</t>
  </si>
  <si>
    <t>10-40557-13G117/</t>
  </si>
  <si>
    <t>13.__.__.__.__.__.__</t>
  </si>
  <si>
    <t>CCP CONTROL BOARD</t>
  </si>
  <si>
    <t>IC</t>
  </si>
  <si>
    <t>MAX1480ECEPI/</t>
  </si>
  <si>
    <t>위니프로(주)</t>
  </si>
  <si>
    <t>IC SOCKET</t>
  </si>
  <si>
    <t>28P-WIDE/금도금사양</t>
  </si>
  <si>
    <t>14.__.__.__.__.__.__</t>
  </si>
  <si>
    <t>MICRO SPEAKER</t>
  </si>
  <si>
    <t>R1508RiW15(0.5W, 8Ω)/</t>
  </si>
  <si>
    <t>15.__.__.__.__.__.__</t>
  </si>
  <si>
    <t>CCP POWER BOARD</t>
  </si>
  <si>
    <t>WMS150B-12 Rev.A0//</t>
  </si>
  <si>
    <t>\</t>
    <phoneticPr fontId="3" type="noConversion"/>
  </si>
  <si>
    <t>이지파워</t>
    <phoneticPr fontId="3" type="noConversion"/>
  </si>
  <si>
    <t>USD</t>
  </si>
  <si>
    <t>CH TRADING CORPORATION</t>
  </si>
  <si>
    <t>16.__.__.__.__.__.__</t>
  </si>
  <si>
    <t>R1D1355-22141</t>
  </si>
  <si>
    <t>WIRING DIAGRAM</t>
  </si>
  <si>
    <t>CCP WIRING DIAGRAM/</t>
  </si>
  <si>
    <t>내작</t>
  </si>
  <si>
    <t>100G0111-0.75-0/</t>
  </si>
  <si>
    <t>100G0111-0.5-0/</t>
  </si>
  <si>
    <t>__.03.__.__.__.__.__</t>
  </si>
  <si>
    <t>100G1121-0.5-2/6/</t>
  </si>
  <si>
    <t>__.04.__.__.__.__.__</t>
  </si>
  <si>
    <t>PLUG</t>
  </si>
  <si>
    <t>5557-06R/</t>
  </si>
  <si>
    <t>__.05.__.__.__.__.__</t>
  </si>
  <si>
    <t>5557-04R/</t>
  </si>
  <si>
    <t>__.06.__.__.__.__.__</t>
  </si>
  <si>
    <t>TERMINAL</t>
  </si>
  <si>
    <t>5556, AWG18-24/</t>
  </si>
  <si>
    <t>__.07.__.__.__.__.__</t>
  </si>
  <si>
    <t>HOUSING</t>
  </si>
  <si>
    <t>SMH250-16V/</t>
  </si>
  <si>
    <t>__.08.__.__.__.__.__</t>
  </si>
  <si>
    <t>CRIMP TERMINAL</t>
  </si>
  <si>
    <t>YST025/</t>
  </si>
  <si>
    <t>17.__.__.__.__.__.__</t>
  </si>
  <si>
    <t>R1D1359-23620</t>
  </si>
  <si>
    <t>/PVC, BLACK</t>
  </si>
  <si>
    <t>R1D1358-21429</t>
  </si>
  <si>
    <t>R1D1358-21430( b)</t>
  </si>
  <si>
    <t>SPEAKER</t>
  </si>
  <si>
    <t>CW-100B25/</t>
  </si>
  <si>
    <t>KNOB</t>
  </si>
  <si>
    <t>F9/내경 6.4파이/</t>
  </si>
  <si>
    <t>R1D1358-22128</t>
  </si>
  <si>
    <t>VOLUME CONTROL</t>
  </si>
  <si>
    <t>VW50/</t>
  </si>
  <si>
    <t>DuraCap International Inc.</t>
  </si>
  <si>
    <t>VM50 키홈 가공</t>
  </si>
  <si>
    <t>/</t>
  </si>
  <si>
    <t>광진테크(주)</t>
  </si>
  <si>
    <t>R1D1358-21432( a)</t>
  </si>
  <si>
    <t>R1D1359-21672( c)(3)</t>
  </si>
  <si>
    <t>CSP/</t>
  </si>
  <si>
    <t>R1D1358-21431( a)</t>
  </si>
  <si>
    <t>231-603/019-000/</t>
  </si>
  <si>
    <t>231-103/037-000/</t>
  </si>
  <si>
    <t>R1D1357-21420</t>
  </si>
  <si>
    <t>BUZZER</t>
  </si>
  <si>
    <t>SC648R/</t>
  </si>
  <si>
    <t>R1D1359-21672( c)(8)</t>
  </si>
  <si>
    <t>DBZ/</t>
  </si>
  <si>
    <t>PHONE JACK</t>
  </si>
  <si>
    <t>H40580130N/</t>
  </si>
  <si>
    <t>100G1141-0.75-0/5/6/9-0/</t>
  </si>
  <si>
    <t>CONNECTOR(7PIN 90PLUG)</t>
  </si>
  <si>
    <t>FRITS4108F14S-07SB0F6/</t>
  </si>
  <si>
    <t>R1D1361-21502(1)</t>
  </si>
  <si>
    <t>FLANGE</t>
  </si>
  <si>
    <t>R1D1361-21502(2)</t>
  </si>
  <si>
    <t>CABLE GRAND</t>
  </si>
  <si>
    <t>PG9/</t>
  </si>
  <si>
    <t>RECEPTACLE</t>
  </si>
  <si>
    <t>165565-2/</t>
  </si>
  <si>
    <t>R1D1359-21672( c)(13)</t>
  </si>
  <si>
    <t>DMJ/</t>
  </si>
  <si>
    <t>R1D1358-21437( a)</t>
  </si>
  <si>
    <t>R1D1358-21439( b)</t>
  </si>
  <si>
    <t>R1D1358-21435( a)</t>
  </si>
  <si>
    <t>GASCKET</t>
  </si>
  <si>
    <t>R1D1358-21436( a)</t>
  </si>
  <si>
    <t>RUBBER BUSH</t>
  </si>
  <si>
    <t>Φ10*1.2t/ASS'Y</t>
  </si>
  <si>
    <t>FERRULES SLEEVE</t>
  </si>
  <si>
    <t>0.75SQ, 6mm/</t>
  </si>
  <si>
    <t>R1D1355-21795( b)</t>
  </si>
  <si>
    <t>R1D1355-21796</t>
  </si>
  <si>
    <t>R1D1355-21793( b)</t>
  </si>
  <si>
    <t>R1D1355-21794( a)</t>
  </si>
  <si>
    <t>HINGE</t>
  </si>
  <si>
    <t>HS-2638-F/SUS 304</t>
  </si>
  <si>
    <t>크린퓨어(주)</t>
  </si>
  <si>
    <t>LED MODULE UNIT</t>
  </si>
  <si>
    <t>ODTLM-096CY-16A1/</t>
  </si>
  <si>
    <t>오디텍(주)</t>
  </si>
  <si>
    <t>ODTLM-096CF-16B1/</t>
  </si>
  <si>
    <t>CABLE ASS'Y</t>
  </si>
  <si>
    <t>LED 전원,테이타 케이블 1식/</t>
  </si>
  <si>
    <t>FDI POWER BOARD</t>
  </si>
  <si>
    <t>WMS200B-5 Rev.A0//</t>
  </si>
  <si>
    <t>CONTROL BOARD</t>
  </si>
  <si>
    <t>SP-LEDC-A0//</t>
  </si>
  <si>
    <t>앤츠(주)</t>
  </si>
  <si>
    <t>LED SENSOR BOARD</t>
  </si>
  <si>
    <t>CONNECTOR(17PIN RECEP)</t>
  </si>
  <si>
    <t>FRITS4100F20-29PB0G1F6/</t>
  </si>
  <si>
    <t>CONNECTOR(17PIN PLUG)</t>
  </si>
  <si>
    <t>FRITS4106F20-29SB0F6/</t>
  </si>
  <si>
    <t>PHILLIPS RECESS</t>
  </si>
  <si>
    <t>D3-316-713-190/</t>
  </si>
  <si>
    <t>한국사우스코(유)</t>
  </si>
  <si>
    <t>18.__.__.__.__.__.__</t>
  </si>
  <si>
    <t>RECEPTACLE SLIP ON</t>
  </si>
  <si>
    <t>D3-336-330-190/</t>
  </si>
  <si>
    <t>19.__.__.__.__.__.__</t>
  </si>
  <si>
    <t>RECEPTACLE SLIP N</t>
  </si>
  <si>
    <t>D3-326-101-200/</t>
  </si>
  <si>
    <t>20.__.__.__.__.__.__</t>
  </si>
  <si>
    <t>6MM CPU HEAD EMBELISHR</t>
  </si>
  <si>
    <t>D3-376-001-049/</t>
  </si>
  <si>
    <t>21.__.__.__.__.__.__</t>
  </si>
  <si>
    <t>EJECTOR SPRING STAINLESS</t>
  </si>
  <si>
    <t>D4-EHF5-3-950-QA/</t>
  </si>
  <si>
    <t>22.__.__.__.__.__.__</t>
  </si>
  <si>
    <t>R1D1359-21673(4)</t>
  </si>
  <si>
    <t>FDI/</t>
  </si>
  <si>
    <t>23.__.__.__.__.__.__</t>
  </si>
  <si>
    <t>R1D1355-22138</t>
  </si>
  <si>
    <t>FDI WIRING DIAGRAM/</t>
  </si>
  <si>
    <t>5557-18/</t>
  </si>
  <si>
    <t>CONNECTOR HOUSING</t>
  </si>
  <si>
    <t>5557-08R/</t>
  </si>
  <si>
    <t>5557-10R/</t>
  </si>
  <si>
    <t>R1D1358-21441( b)</t>
  </si>
  <si>
    <t>R1D1358-21440( b)</t>
  </si>
  <si>
    <t>R1D1358-21506</t>
  </si>
  <si>
    <t>ST-ISPB-A1//</t>
  </si>
  <si>
    <t>R1D1358-21799</t>
  </si>
  <si>
    <t>TRANSFORMER</t>
  </si>
  <si>
    <t>삼익전자산업(주)</t>
  </si>
  <si>
    <t>231-608/019-000/</t>
  </si>
  <si>
    <t>231-108/037-000/</t>
  </si>
  <si>
    <t>Φ15*t1.6/ASS'Y</t>
  </si>
  <si>
    <t>R1D1359-21672( c)(2)</t>
  </si>
  <si>
    <t>ISP/</t>
  </si>
  <si>
    <t>R1D1358-21604( b)</t>
  </si>
  <si>
    <t>ISP WIRING</t>
  </si>
  <si>
    <t>(주)우진</t>
  </si>
  <si>
    <t>5557-2R/</t>
  </si>
  <si>
    <t>JUMPER PLUG ASS'Y</t>
  </si>
  <si>
    <t>SEPTA용/</t>
  </si>
  <si>
    <t>JUMPER RECEPTACLE ASS'Y</t>
  </si>
  <si>
    <t>통신 CABLE ASS'Y</t>
  </si>
  <si>
    <t>COAXIAL CABLE ASS'Y</t>
  </si>
  <si>
    <t>HAMSPS-01-001/</t>
  </si>
  <si>
    <t>HAMSPS-01-002/</t>
  </si>
  <si>
    <t>HAMSPS-01-003/</t>
  </si>
  <si>
    <t>HAMSPS-01-004/</t>
  </si>
  <si>
    <t>HAMSPS-01-005/</t>
  </si>
  <si>
    <t>HAMSPS-01-006/</t>
  </si>
  <si>
    <t>HAMSPS-01-007/</t>
  </si>
  <si>
    <t>HAMSPS-01-008/</t>
  </si>
  <si>
    <t>__.09.__.__.__.__.__</t>
  </si>
  <si>
    <t>HAMSPS-01-009/</t>
  </si>
  <si>
    <t>__.10.__.__.__.__.__</t>
  </si>
  <si>
    <t>HAMSPS-01-010/</t>
  </si>
  <si>
    <t>__.11.__.__.__.__.__</t>
  </si>
  <si>
    <t>HAMSPS-01-011/</t>
  </si>
  <si>
    <t>__.12.__.__.__.__.__</t>
  </si>
  <si>
    <t>HAMSPS-01-012/</t>
  </si>
  <si>
    <t>__.13.__.__.__.__.__</t>
  </si>
  <si>
    <t>HAMSPS-01-013/</t>
  </si>
  <si>
    <t>__.14.__.__.__.__.__</t>
  </si>
  <si>
    <t>HAMSPS-01-014/</t>
  </si>
  <si>
    <t>__.15.__.__.__.__.__</t>
  </si>
  <si>
    <t>HAMSPS-01-015/</t>
  </si>
  <si>
    <t>__.16.__.__.__.__.__</t>
  </si>
  <si>
    <t>HAMSPS-01-016/</t>
  </si>
  <si>
    <t>__.17.__.__.__.__.__</t>
  </si>
  <si>
    <t>HAMSPS-01-017/</t>
  </si>
  <si>
    <t>__.18.__.__.__.__.__</t>
  </si>
  <si>
    <t>HAMSPS-01-018/</t>
  </si>
  <si>
    <t>__.19.__.__.__.__.__</t>
  </si>
  <si>
    <t>HAMSPS-01-019/</t>
  </si>
  <si>
    <t>__.20.__.__.__.__.__</t>
  </si>
  <si>
    <t>HAMSPS-01-020/</t>
  </si>
  <si>
    <t>__.21.__.__.__.__.__</t>
  </si>
  <si>
    <t>HAMSPS-01-021/</t>
  </si>
  <si>
    <t>__.22.__.__.__.__.__</t>
  </si>
  <si>
    <t>HAMSPS-01-022/</t>
  </si>
  <si>
    <t>조립제작</t>
    <phoneticPr fontId="3" type="noConversion"/>
  </si>
  <si>
    <t>CH TRADING CORPORATION</t>
    <phoneticPr fontId="3" type="noConversion"/>
  </si>
  <si>
    <t>R1D1355-21398(Aa)</t>
  </si>
  <si>
    <t>MAIN FRAME</t>
  </si>
  <si>
    <t>R1D1355-21399(A )</t>
  </si>
  <si>
    <t>R1D1355-21400( a)</t>
  </si>
  <si>
    <t>ASS'Y/P.C</t>
  </si>
  <si>
    <t>TFT-LCD</t>
  </si>
  <si>
    <t>LTM190BT03/</t>
  </si>
  <si>
    <t>아이텍코리아(주)</t>
  </si>
  <si>
    <t>INVERTER BOARD &amp; CABLE</t>
  </si>
  <si>
    <t>GH317A+CABLE/</t>
  </si>
  <si>
    <t>R1D1355-21401( a)</t>
  </si>
  <si>
    <t>BURNDY CONNECTOR</t>
  </si>
  <si>
    <t>UTP01412P/</t>
  </si>
  <si>
    <t>엠비콘넥터(주)</t>
  </si>
  <si>
    <t>UTP61412S/</t>
  </si>
  <si>
    <t>CABLE CLAMP</t>
  </si>
  <si>
    <t>UTG14AC/</t>
  </si>
  <si>
    <t>SOCKET</t>
  </si>
  <si>
    <t>RC16M23K/</t>
  </si>
  <si>
    <t>RM16M23K/</t>
  </si>
  <si>
    <t>CONNECTOR(7PIN RECEP)</t>
  </si>
  <si>
    <t>FRITS4102R14S-07PB0G1F6/</t>
  </si>
  <si>
    <t>FRITS4102R16S-1PB0G1F6/</t>
  </si>
  <si>
    <t>FRITS4106F16S-1SB0F6/</t>
  </si>
  <si>
    <t>R1D1359-21672( c)(1)</t>
  </si>
  <si>
    <t>PID1/</t>
  </si>
  <si>
    <t>PID POWER BOARD</t>
  </si>
  <si>
    <t>WMS150B-12(EGPOWER)//</t>
  </si>
  <si>
    <t>\</t>
    <phoneticPr fontId="3" type="noConversion"/>
  </si>
  <si>
    <t>이지파워</t>
    <phoneticPr fontId="3" type="noConversion"/>
  </si>
  <si>
    <t>COXIAL RX BOARD</t>
  </si>
  <si>
    <t>ST-VRXB-A1(ANTS)//</t>
  </si>
  <si>
    <t>Φ19*t1.6/ASS'Y</t>
  </si>
  <si>
    <t>24.__.__.__.__.__.__</t>
  </si>
  <si>
    <t>25.__.__.__.__.__.__</t>
  </si>
  <si>
    <t>26.__.__.__.__.__.__</t>
  </si>
  <si>
    <t>6MM RIVET PLATE RECEPT</t>
  </si>
  <si>
    <t>D3-336-400-190/</t>
  </si>
  <si>
    <t>27.__.__.__.__.__.__</t>
  </si>
  <si>
    <t>TAMPER-RESISTANT</t>
  </si>
  <si>
    <t>D3-316-620-190/</t>
  </si>
  <si>
    <t>28.__.__.__.__.__.__</t>
  </si>
  <si>
    <t>COVER STOPPER</t>
  </si>
  <si>
    <t>29.__.__.__.__.__.__</t>
  </si>
  <si>
    <t>R1D1355-22135</t>
  </si>
  <si>
    <t>PID1 WIRING DIAGRAM/</t>
  </si>
  <si>
    <t>CON-HOUSING</t>
  </si>
  <si>
    <t>5557-14R/</t>
  </si>
  <si>
    <t>R1D1356-21405( b)</t>
  </si>
  <si>
    <t>R1D1356-21408( a)</t>
  </si>
  <si>
    <t>PC COVER</t>
  </si>
  <si>
    <t>R1D1356-21406(A )</t>
  </si>
  <si>
    <t>R1D1356-21664( a)</t>
  </si>
  <si>
    <t>R1D1356-21407( b)</t>
  </si>
  <si>
    <t>R1D1356-21505</t>
  </si>
  <si>
    <t>R1D1359-21673(1)</t>
  </si>
  <si>
    <t>PID2/</t>
  </si>
  <si>
    <t>FRITS4102R20-29PB0G1F6/</t>
  </si>
  <si>
    <t>R1D1355-22136</t>
  </si>
  <si>
    <t>PID2 WIRING DIAGRAM/</t>
  </si>
  <si>
    <t>CLAMP MOUNT</t>
  </si>
  <si>
    <t>M4/</t>
  </si>
  <si>
    <t>R1C1355-05554( b)</t>
  </si>
  <si>
    <t>R1C1355-05555( a)</t>
  </si>
  <si>
    <t>R1D1355-21788( a)</t>
  </si>
  <si>
    <t>R1D1355-21695</t>
  </si>
  <si>
    <t>LED COVER</t>
  </si>
  <si>
    <t>ASS'Y/PC COVER</t>
  </si>
  <si>
    <t>R1D1355-21683( a)</t>
  </si>
  <si>
    <t>R1D1355-21789( a)</t>
  </si>
  <si>
    <t>LED MODULE</t>
  </si>
  <si>
    <t>ODTLM-064CY-16B1/</t>
  </si>
  <si>
    <t>PII POWER BOARD</t>
  </si>
  <si>
    <t>R1D1359-21673(2)</t>
  </si>
  <si>
    <t>PII/</t>
  </si>
  <si>
    <t>R1D1355-22137</t>
  </si>
  <si>
    <t>PII WIRING DIAGRAM/</t>
  </si>
  <si>
    <t>5557-16/</t>
  </si>
  <si>
    <t>R1C1355-05541( a)</t>
  </si>
  <si>
    <t>R1C1355-05542</t>
  </si>
  <si>
    <t>R1D1355-21680( a)</t>
  </si>
  <si>
    <t>R1C1355-05543( a)</t>
  </si>
  <si>
    <t>R1D1355-21682( a)</t>
  </si>
  <si>
    <t>SDI POWER BOARD</t>
  </si>
  <si>
    <t>R1D1359-21673(3)</t>
  </si>
  <si>
    <t>SDI/</t>
  </si>
  <si>
    <t>FRITS4100F22-14PB0G1F6/</t>
  </si>
  <si>
    <t>CONNECTOR(19PIN PLUG)</t>
  </si>
  <si>
    <t>FRITS4106F22-14SB0F6/</t>
  </si>
  <si>
    <t>R1D1355-22139</t>
  </si>
  <si>
    <t>SDI WIRING DIAGRAM/</t>
  </si>
  <si>
    <t>R1D1359-21498( a)</t>
  </si>
  <si>
    <t>R1D1359-21497( b)</t>
  </si>
  <si>
    <t>R1D1359-21495( b)</t>
  </si>
  <si>
    <t>PRINTER</t>
  </si>
  <si>
    <t>MTP112/</t>
  </si>
  <si>
    <t>CONNECTOR(37PIN RCEP)</t>
  </si>
  <si>
    <t>FRITS4102R28-21PB0G1F6/</t>
  </si>
  <si>
    <t>CONNECTOR(37PIN 90PLUG)</t>
  </si>
  <si>
    <t>FRITS4108F28-21SB0F6/</t>
  </si>
  <si>
    <t>R1D1359-21672( c)(11)</t>
  </si>
  <si>
    <t>TMP/</t>
  </si>
  <si>
    <t>CONNECTOR(10PIN RECEP)</t>
  </si>
  <si>
    <t>FRITS4102R18-1PB0G1F6/</t>
  </si>
  <si>
    <t>CONNECTOR(10PIN 90PLUG)</t>
  </si>
  <si>
    <t>FRITS4108F18-1SB0F6/</t>
  </si>
  <si>
    <t>TMP POWER BOARD</t>
  </si>
  <si>
    <t>WMS120D-12 Rev.A0//</t>
  </si>
  <si>
    <t>TMP RADIO INTERFACE CARD</t>
  </si>
  <si>
    <t>SP-TRIC-A0//</t>
  </si>
  <si>
    <t>R1D1355-22140</t>
  </si>
  <si>
    <t>TMP WIRING DIAGRAM/</t>
  </si>
  <si>
    <t>5557-20/</t>
  </si>
  <si>
    <t>709ME-ND/</t>
  </si>
  <si>
    <t>82PECT-ND/</t>
  </si>
  <si>
    <t>윈클시스템</t>
  </si>
  <si>
    <t>35155-0500/</t>
  </si>
  <si>
    <t>CRIME TERMINAL</t>
  </si>
  <si>
    <t>0087000589/</t>
  </si>
  <si>
    <t>SUPPORT</t>
  </si>
  <si>
    <t>M-5 Inch bolt/bolt length 5mm</t>
  </si>
  <si>
    <t>R1D1359-23549</t>
  </si>
  <si>
    <t>STICKER</t>
  </si>
  <si>
    <t>PVC, BLACK/</t>
  </si>
  <si>
    <t>R1D1359-21427</t>
  </si>
  <si>
    <t>R1D1361-21494( a)</t>
  </si>
  <si>
    <t>231-606/019-000/</t>
  </si>
  <si>
    <t>231-106/037-000/</t>
  </si>
  <si>
    <t>ANTENNA</t>
  </si>
  <si>
    <t>SWA0859/360/4/0/DFRX30/</t>
  </si>
  <si>
    <t>RG400/</t>
  </si>
  <si>
    <t>N-TYPE CONNECTOR</t>
  </si>
  <si>
    <t>NP-C-58/</t>
  </si>
  <si>
    <t>BNC CONNECTOR</t>
  </si>
  <si>
    <t>BNCP-C-400/</t>
  </si>
  <si>
    <t>R1D1355-21519</t>
  </si>
  <si>
    <t>COMMUNICATION RACK A (2/2)</t>
  </si>
  <si>
    <t>R1D1355-21627</t>
  </si>
  <si>
    <t>BACK BOARD</t>
  </si>
  <si>
    <t>SP-BPB-A2/</t>
  </si>
  <si>
    <t>CORDING TAP</t>
  </si>
  <si>
    <t>033014/</t>
  </si>
  <si>
    <t>R1D1355-21800</t>
  </si>
  <si>
    <t>PSA BOARD ASS'Y</t>
  </si>
  <si>
    <t>WMQ300D-M Rev.A0//</t>
  </si>
  <si>
    <t>R1D1355-21801</t>
  </si>
  <si>
    <t>PSA FRONT PLATE</t>
  </si>
  <si>
    <t>t2.5/AL</t>
  </si>
  <si>
    <t>__.__.01.__.__.__.__</t>
  </si>
  <si>
    <t>HANDLE</t>
  </si>
  <si>
    <t>3685.589/</t>
  </si>
  <si>
    <t>__.__.02.__.__.__.__</t>
  </si>
  <si>
    <t>PCB HOLDER</t>
  </si>
  <si>
    <t>3685.198/</t>
  </si>
  <si>
    <t>PSA PCB BOARD</t>
  </si>
  <si>
    <t>R1D1355-21802</t>
  </si>
  <si>
    <t>PSA CIRCUIT DIAGRAM</t>
  </si>
  <si>
    <t>R1D1355-21803</t>
  </si>
  <si>
    <t>SCB BOARD ASS'Y</t>
  </si>
  <si>
    <t>R1D1355-21804</t>
  </si>
  <si>
    <t>SCB FRONT PLATE</t>
  </si>
  <si>
    <t>SCB PCB BOARD</t>
  </si>
  <si>
    <t>알에프컴(주)</t>
  </si>
  <si>
    <t>R1D1355-21805</t>
  </si>
  <si>
    <t>SCB CIRCUIT DIAGRAM</t>
  </si>
  <si>
    <t>PIN(16s SIZE SMALL)</t>
  </si>
  <si>
    <t>10-40553-13G117/</t>
  </si>
  <si>
    <t>R1D1355-22129</t>
  </si>
  <si>
    <t>SCB WIRING DIAGRAM/</t>
  </si>
  <si>
    <t>__.__.03.__.__.__.__</t>
  </si>
  <si>
    <t>35155-1000/</t>
  </si>
  <si>
    <t>__.__.04.__.__.__.__</t>
  </si>
  <si>
    <t>35155-0900/</t>
  </si>
  <si>
    <t>__.__.05.__.__.__.__</t>
  </si>
  <si>
    <t>__.__.06.__.__.__.__</t>
  </si>
  <si>
    <t>__.__.07.__.__.__.__</t>
  </si>
  <si>
    <t>R1D1355-21806</t>
  </si>
  <si>
    <t>LIC BOARD ASS'Y</t>
  </si>
  <si>
    <t>R1D1355-21807</t>
  </si>
  <si>
    <t>LIC FRONT PLATE</t>
  </si>
  <si>
    <t>LIC PCB BOARD</t>
  </si>
  <si>
    <t>FIBER PIPE</t>
  </si>
  <si>
    <t>7511A62/</t>
  </si>
  <si>
    <t>R1D1355-22130</t>
  </si>
  <si>
    <t>LIC WIRING DIAGRAM/</t>
  </si>
  <si>
    <t>R1D1355-21808</t>
  </si>
  <si>
    <t>WLR BOARD ASS'Y</t>
  </si>
  <si>
    <t>R1D1355-21809</t>
  </si>
  <si>
    <t>WLR FRONT PLATE</t>
  </si>
  <si>
    <t>WLR PCB BOARD</t>
  </si>
  <si>
    <t>ACCESS POINT</t>
  </si>
  <si>
    <t>3CRWE776075A/</t>
  </si>
  <si>
    <t>BCJ-JR/</t>
  </si>
  <si>
    <t>BNC CABLE ASS'Y</t>
  </si>
  <si>
    <t>BNC-C/316/</t>
  </si>
  <si>
    <t>STRAIGHT PLUG</t>
  </si>
  <si>
    <t>SMAP-C-316(REVERCE)/</t>
  </si>
  <si>
    <t>Cable</t>
  </si>
  <si>
    <t>RG-316 CABLE/</t>
  </si>
  <si>
    <t>무한테크</t>
  </si>
  <si>
    <t>XS2P-D422-2/</t>
  </si>
  <si>
    <t>WLR WIRING DIAGRAM</t>
  </si>
  <si>
    <t>35155-0400/</t>
  </si>
  <si>
    <t>BNCP-SMAP/SJ-405-039</t>
  </si>
  <si>
    <t>ø1.35-SMA-BJ/150mm</t>
  </si>
  <si>
    <t>R1D1355-21810</t>
  </si>
  <si>
    <t>GIA BOARD ASS'Y</t>
  </si>
  <si>
    <t>R1D1355-21811</t>
  </si>
  <si>
    <t>GIA FRONT PLATE</t>
  </si>
  <si>
    <t>GIA PCB BOARD</t>
  </si>
  <si>
    <t>임베디드솔루션(주)</t>
  </si>
  <si>
    <t>MAX1480EAEPI/</t>
  </si>
  <si>
    <t>123-211/</t>
  </si>
  <si>
    <t>R1D1355-21812</t>
  </si>
  <si>
    <t>VTX BOARD ASS'Y</t>
  </si>
  <si>
    <t>R1D1355-21813</t>
  </si>
  <si>
    <t>VTX FRONT PLATE</t>
  </si>
  <si>
    <t>VTX PCB BOARD</t>
  </si>
  <si>
    <t>R1D1355-21814</t>
  </si>
  <si>
    <t>HDD BOARD ASS'Y</t>
  </si>
  <si>
    <t>R1D1355-21815</t>
  </si>
  <si>
    <t>HDD FRONT PLATE</t>
  </si>
  <si>
    <t>HDD PCB BOARD</t>
  </si>
  <si>
    <t>R1D1355-21816</t>
  </si>
  <si>
    <t>CNCS BOARD ASS'Y</t>
  </si>
  <si>
    <t>R1D1355-21817</t>
  </si>
  <si>
    <t>CNCS FRONT PLATE</t>
  </si>
  <si>
    <t>CNCS PCB BOARD</t>
  </si>
  <si>
    <t>CONGA</t>
  </si>
  <si>
    <t>CONGA-X945/L2400/</t>
  </si>
  <si>
    <t>__.__.__.01.__.__.__</t>
  </si>
  <si>
    <t>CONGA HEAT SINK</t>
  </si>
  <si>
    <t>AL/</t>
  </si>
  <si>
    <t>CONNECTOR(10PIN PLUG)</t>
  </si>
  <si>
    <t>FRITS4106F18-1SB0F6/</t>
  </si>
  <si>
    <t>R1D1359-22246</t>
  </si>
  <si>
    <t>CNCS WIRING DIAGRAM</t>
  </si>
  <si>
    <t>35155-0600/</t>
  </si>
  <si>
    <t>R1D1355-22279</t>
  </si>
  <si>
    <t>ACETAL/</t>
  </si>
  <si>
    <t>정상E.N.G.</t>
  </si>
  <si>
    <t>R1D1355-21818</t>
  </si>
  <si>
    <t>PAC(INT) BOARD ASS'Y</t>
  </si>
  <si>
    <t>R1D1355-21819</t>
  </si>
  <si>
    <t>PAC(INT) FRONT PLATE</t>
  </si>
  <si>
    <t>PAC(INT) PCB BOARD</t>
  </si>
  <si>
    <t>R1D1355-21820</t>
  </si>
  <si>
    <t>PAC(INT) CIRCUIT DIAGRAM</t>
  </si>
  <si>
    <t>R1D1355-21837</t>
  </si>
  <si>
    <t>PAC(INT) WIRING DAIGRAM</t>
  </si>
  <si>
    <t>R1D1355-21821</t>
  </si>
  <si>
    <t>PAC(MCU) BOARD ASS'Y</t>
  </si>
  <si>
    <t>R1D1355-21822</t>
  </si>
  <si>
    <t>PAC(MCU) FRONT PLATE</t>
  </si>
  <si>
    <t>PAC(MCU) PCB BOARD</t>
  </si>
  <si>
    <t>R1D1355-21823</t>
  </si>
  <si>
    <t>PAC(MCU) CIRCUIT DIAGRAM-01</t>
  </si>
  <si>
    <t>R1D1355-21824</t>
  </si>
  <si>
    <t>PAC(MCU) CIRCUIT DIAGRAM-02</t>
  </si>
  <si>
    <t>R1D1355-21838</t>
  </si>
  <si>
    <t>PAC(MCU) WIRING DAIGRAM</t>
  </si>
  <si>
    <t>R1D1355-21825</t>
  </si>
  <si>
    <t>AUDIO AMPLIFIER BOARD ASS'Y</t>
  </si>
  <si>
    <t>R1D1355-21628</t>
  </si>
  <si>
    <t>AUDIO AMPLIFIER FRONT PLATE</t>
  </si>
  <si>
    <t>R1D1355-22131</t>
  </si>
  <si>
    <t>VOL PCB BOARD</t>
  </si>
  <si>
    <t>PCB EJECTORS</t>
  </si>
  <si>
    <t>CP-06WE/</t>
  </si>
  <si>
    <t>R1D1355-21827</t>
  </si>
  <si>
    <t>VOL CIRCUIT DIAGRAM-01</t>
  </si>
  <si>
    <t>R1D1355-21828</t>
  </si>
  <si>
    <t>VOL CIRCUIT DIAGRAM-02</t>
  </si>
  <si>
    <t>R1D1355-21839</t>
  </si>
  <si>
    <t>PAC(VOL) WIRING DAIGRAM</t>
  </si>
  <si>
    <t>RS485 PCB BOARD</t>
  </si>
  <si>
    <t>R1D1355-21829</t>
  </si>
  <si>
    <t>RS485 CIRCUIT DIAGRAM-01</t>
  </si>
  <si>
    <t>R1D1355-21840</t>
  </si>
  <si>
    <t>PAC(RS485) WIRING DAIGRAM</t>
  </si>
  <si>
    <t>1-796409-1/</t>
  </si>
  <si>
    <t>206305-1/</t>
  </si>
  <si>
    <t>CONNECTOR PIN</t>
  </si>
  <si>
    <t>1-66359-4/</t>
  </si>
  <si>
    <t>796382-2/</t>
  </si>
  <si>
    <t>R1D1355-21830</t>
  </si>
  <si>
    <t>AAB ASS'Y</t>
  </si>
  <si>
    <t>R1D1355-21629</t>
  </si>
  <si>
    <t>AAB FRONT PLATE</t>
  </si>
  <si>
    <t>AAB PCB BOARD-01</t>
  </si>
  <si>
    <t>AAB PCB BOARD-02</t>
  </si>
  <si>
    <t>R1D1355-21831</t>
  </si>
  <si>
    <t>POWER SUPPLY</t>
  </si>
  <si>
    <t>WMS300-36 Rev.A0(EGPOWER)//</t>
  </si>
  <si>
    <t>R1D1355-21832</t>
  </si>
  <si>
    <t>AAB POWER SUPPLY CIRCUIT DIAGRAM</t>
  </si>
  <si>
    <t>R1D1355-21833</t>
  </si>
  <si>
    <t>AAB CIRCUIT DIAGRAM</t>
  </si>
  <si>
    <t>R1D1355-21834</t>
  </si>
  <si>
    <t>AAB WIRING DIAGRAM</t>
  </si>
  <si>
    <t>F-25/</t>
  </si>
  <si>
    <t>PCB SUPPORT</t>
  </si>
  <si>
    <t>F-10/</t>
  </si>
  <si>
    <t>SUF-10(F-type), M3X10mm/</t>
  </si>
  <si>
    <t>SUF-25(F-type), M3X25mm/</t>
  </si>
  <si>
    <t>RACK ASS'Y</t>
  </si>
  <si>
    <t>SEPTA CRA, CRB용/AL</t>
  </si>
  <si>
    <t>RACK 소재</t>
  </si>
  <si>
    <t>SEPTA CRA용/AL</t>
  </si>
  <si>
    <t>RACK 소재가공</t>
  </si>
  <si>
    <t>EMBEDDED XP</t>
  </si>
  <si>
    <t>EMBEDDED XP/</t>
  </si>
  <si>
    <t>R1D1355-21521</t>
  </si>
  <si>
    <t>COMMUNICATION RACK B (2/2)</t>
  </si>
  <si>
    <t>R1D1355-21835</t>
  </si>
  <si>
    <t>RCB BOARD ASS'Y</t>
  </si>
  <si>
    <t>R1D1355-21836</t>
  </si>
  <si>
    <t>RCB FRONT PLATE</t>
  </si>
  <si>
    <t>RCB PCB BOARD</t>
  </si>
  <si>
    <t>SEPTA CRB용/AL</t>
  </si>
  <si>
    <t>R1D1355-21826(P001)</t>
  </si>
  <si>
    <t>BLANK PLATE</t>
  </si>
  <si>
    <t>t2.5 (4HP3U)/AL</t>
  </si>
  <si>
    <t>R1D1355-21826(P002)</t>
  </si>
  <si>
    <t>t2.5 (5HP3U)/AL</t>
  </si>
  <si>
    <t>R1D1355-21826(P003)</t>
  </si>
  <si>
    <t>t2.5 (12HP3U)/AL</t>
  </si>
  <si>
    <t>533 402 or 364 915/</t>
  </si>
  <si>
    <t>R1D1355-23907</t>
  </si>
  <si>
    <t>WLAN-AP ASS'Y</t>
  </si>
  <si>
    <t>WIRELESS ACCESS POINT</t>
  </si>
  <si>
    <t>AIR-AP1242AG-A-K9/ASSY</t>
  </si>
  <si>
    <t>R1D1355-24785</t>
  </si>
  <si>
    <t>t=2/EGI</t>
  </si>
  <si>
    <t>R1D1355-24786</t>
  </si>
  <si>
    <t>BAND</t>
  </si>
  <si>
    <t>t=1/SPCC</t>
  </si>
  <si>
    <t>R1D1355-24787</t>
  </si>
  <si>
    <t>RUBBER</t>
  </si>
  <si>
    <t>t=1/EPDM FORM</t>
  </si>
  <si>
    <t>NUT</t>
  </si>
  <si>
    <t>M4/STS304</t>
  </si>
  <si>
    <t>SPRING WASHER</t>
  </si>
  <si>
    <t>M4/STSC304</t>
  </si>
  <si>
    <t>P.WASHER</t>
  </si>
  <si>
    <t>R1D1355-24788</t>
  </si>
  <si>
    <t>PANEL</t>
  </si>
  <si>
    <t>R1D1359-21672( h)(17)</t>
  </si>
  <si>
    <t>WAP/</t>
  </si>
  <si>
    <t>R1D1355-24280(2)</t>
  </si>
  <si>
    <t>GIA COAXIAL CABLE</t>
  </si>
  <si>
    <t>RG400,5M,BNCP&amp;NP CONNECTOR/ASS'Y</t>
  </si>
  <si>
    <t>R1D1355-24280(3)</t>
  </si>
  <si>
    <t>WIRELESS AP COAXIAL CABLE</t>
  </si>
  <si>
    <t>RG400,5M,TNC&amp;NP CONNECTOR/ASS'Y</t>
  </si>
  <si>
    <t>R1D1359-21672( h)(18)</t>
  </si>
  <si>
    <t>CRA/</t>
  </si>
  <si>
    <t>R1D1355-24804</t>
  </si>
  <si>
    <t>WLR AP CABLE</t>
  </si>
</sst>
</file>

<file path=xl/styles.xml><?xml version="1.0" encoding="utf-8"?>
<styleSheet xmlns="http://schemas.openxmlformats.org/spreadsheetml/2006/main">
  <numFmts count="12">
    <numFmt numFmtId="41" formatCode="_-* #,##0_-;\-* #,##0_-;_-* &quot;-&quot;_-;_-@_-"/>
    <numFmt numFmtId="176" formatCode="&quot;(④*&quot;#,###%&quot;)&quot;"/>
    <numFmt numFmtId="177" formatCode="&quot;(⑥*&quot;#,###%&quot;)&quot;"/>
    <numFmt numFmtId="178" formatCode="0.0%"/>
    <numFmt numFmtId="179" formatCode="#,##0.0"/>
    <numFmt numFmtId="180" formatCode="#,##0_ "/>
    <numFmt numFmtId="181" formatCode="_-* #,##0.00_-;\-* #,##0.00_-;_-* &quot;-&quot;_-;_-@_-"/>
    <numFmt numFmtId="182" formatCode="_ * #,##0_ ;_ * \-#,##0_ ;_ * &quot;-&quot;_ ;_ @_ "/>
    <numFmt numFmtId="183" formatCode="_ * #,##0.00_ ;_ * \-#,##0.00_ ;_ * &quot;-&quot;??_ ;_ @_ "/>
    <numFmt numFmtId="184" formatCode="@\ \ \ \ \ \ \ \ \ \ \ \ \ \ \ "/>
    <numFmt numFmtId="185" formatCode="0.0_ "/>
    <numFmt numFmtId="186" formatCode="0%\ \ "/>
  </numFmts>
  <fonts count="23">
    <font>
      <sz val="10"/>
      <color theme="1"/>
      <name val="굴림체"/>
      <family val="2"/>
      <charset val="129"/>
    </font>
    <font>
      <sz val="10"/>
      <color indexed="8"/>
      <name val="MS Sans Serif"/>
      <family val="2"/>
    </font>
    <font>
      <b/>
      <u val="double"/>
      <sz val="18"/>
      <name val="굴림체"/>
      <family val="3"/>
      <charset val="129"/>
    </font>
    <font>
      <sz val="8"/>
      <name val="굴림체"/>
      <family val="2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8"/>
      <name val="돋움"/>
      <family val="3"/>
      <charset val="129"/>
    </font>
    <font>
      <b/>
      <sz val="15.95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0"/>
      <name val="굴림체"/>
      <family val="3"/>
      <charset val="129"/>
    </font>
    <font>
      <sz val="9"/>
      <name val="굴림체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theme="1"/>
      <name val="굴림체"/>
      <family val="2"/>
      <charset val="129"/>
    </font>
    <font>
      <sz val="10"/>
      <color indexed="8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8">
    <xf numFmtId="0" fontId="0" fillId="0" borderId="0">
      <alignment vertical="center"/>
    </xf>
    <xf numFmtId="0" fontId="1" fillId="0" borderId="0"/>
    <xf numFmtId="0" fontId="7" fillId="0" borderId="0" applyNumberFormat="0" applyFill="0" applyBorder="0" applyProtection="0">
      <alignment horizontal="center"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11" fillId="0" borderId="0"/>
    <xf numFmtId="41" fontId="4" fillId="0" borderId="0" applyFont="0" applyFill="0" applyBorder="0" applyAlignment="0" applyProtection="0"/>
    <xf numFmtId="182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0" fontId="13" fillId="0" borderId="0">
      <alignment vertical="center"/>
    </xf>
    <xf numFmtId="0" fontId="8" fillId="0" borderId="0">
      <alignment vertical="center"/>
    </xf>
    <xf numFmtId="0" fontId="14" fillId="0" borderId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/>
    <xf numFmtId="38" fontId="16" fillId="2" borderId="0" applyNumberFormat="0" applyBorder="0" applyAlignment="0" applyProtection="0"/>
    <xf numFmtId="0" fontId="17" fillId="0" borderId="0">
      <alignment horizontal="left"/>
    </xf>
    <xf numFmtId="10" fontId="16" fillId="2" borderId="13" applyNumberFormat="0" applyBorder="0" applyAlignment="0" applyProtection="0"/>
    <xf numFmtId="0" fontId="18" fillId="0" borderId="1"/>
    <xf numFmtId="186" fontId="19" fillId="0" borderId="0"/>
    <xf numFmtId="0" fontId="15" fillId="0" borderId="0"/>
    <xf numFmtId="10" fontId="15" fillId="0" borderId="0" applyFont="0" applyFill="0" applyBorder="0" applyAlignment="0" applyProtection="0"/>
    <xf numFmtId="0" fontId="20" fillId="0" borderId="0"/>
    <xf numFmtId="0" fontId="18" fillId="0" borderId="0"/>
    <xf numFmtId="41" fontId="21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2" fillId="2" borderId="1" xfId="1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4" fillId="0" borderId="0" xfId="1" applyFont="1" applyFill="1" applyAlignment="1">
      <alignment vertical="center"/>
    </xf>
    <xf numFmtId="0" fontId="5" fillId="0" borderId="14" xfId="1" applyNumberFormat="1" applyFont="1" applyFill="1" applyBorder="1" applyAlignment="1">
      <alignment horizontal="center" vertical="center" wrapText="1"/>
    </xf>
    <xf numFmtId="0" fontId="5" fillId="0" borderId="14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 wrapText="1"/>
    </xf>
    <xf numFmtId="176" fontId="5" fillId="0" borderId="18" xfId="1" applyNumberFormat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/>
    </xf>
    <xf numFmtId="177" fontId="5" fillId="0" borderId="18" xfId="1" applyNumberFormat="1" applyFont="1" applyFill="1" applyBorder="1" applyAlignment="1">
      <alignment horizontal="center" vertical="center" wrapText="1"/>
    </xf>
    <xf numFmtId="0" fontId="5" fillId="0" borderId="20" xfId="1" applyFont="1" applyFill="1" applyBorder="1" applyAlignment="1">
      <alignment horizontal="center" vertical="center"/>
    </xf>
    <xf numFmtId="0" fontId="5" fillId="0" borderId="21" xfId="1" applyFont="1" applyFill="1" applyBorder="1" applyAlignment="1">
      <alignment horizontal="center" vertical="center"/>
    </xf>
    <xf numFmtId="0" fontId="5" fillId="0" borderId="22" xfId="1" applyFont="1" applyFill="1" applyBorder="1" applyAlignment="1">
      <alignment horizontal="left" vertical="center"/>
    </xf>
    <xf numFmtId="0" fontId="5" fillId="0" borderId="22" xfId="1" applyFont="1" applyFill="1" applyBorder="1" applyAlignment="1">
      <alignment horizontal="center" vertical="center"/>
    </xf>
    <xf numFmtId="3" fontId="5" fillId="0" borderId="22" xfId="2" applyNumberFormat="1" applyFont="1" applyFill="1" applyBorder="1" applyAlignment="1">
      <alignment horizontal="right" vertical="center"/>
    </xf>
    <xf numFmtId="178" fontId="5" fillId="0" borderId="22" xfId="3" applyNumberFormat="1" applyFont="1" applyFill="1" applyBorder="1" applyAlignment="1">
      <alignment horizontal="right" vertical="center"/>
    </xf>
    <xf numFmtId="179" fontId="5" fillId="0" borderId="22" xfId="2" applyNumberFormat="1" applyFont="1" applyFill="1" applyBorder="1" applyAlignment="1">
      <alignment horizontal="right" vertical="center"/>
    </xf>
    <xf numFmtId="3" fontId="5" fillId="0" borderId="22" xfId="4" applyNumberFormat="1" applyFont="1" applyFill="1" applyBorder="1" applyAlignment="1">
      <alignment horizontal="right" vertical="center"/>
    </xf>
    <xf numFmtId="3" fontId="5" fillId="0" borderId="22" xfId="1" applyNumberFormat="1" applyFont="1" applyFill="1" applyBorder="1" applyAlignment="1">
      <alignment horizontal="right" vertical="center"/>
    </xf>
    <xf numFmtId="180" fontId="5" fillId="0" borderId="23" xfId="1" applyNumberFormat="1" applyFont="1" applyFill="1" applyBorder="1" applyAlignment="1">
      <alignment horizontal="left" vertical="center" wrapText="1"/>
    </xf>
    <xf numFmtId="0" fontId="5" fillId="0" borderId="9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left" vertical="center"/>
    </xf>
    <xf numFmtId="0" fontId="5" fillId="0" borderId="13" xfId="1" applyFont="1" applyFill="1" applyBorder="1" applyAlignment="1">
      <alignment horizontal="center" vertical="center"/>
    </xf>
    <xf numFmtId="3" fontId="5" fillId="0" borderId="13" xfId="2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179" fontId="5" fillId="0" borderId="13" xfId="2" applyNumberFormat="1" applyFont="1" applyFill="1" applyBorder="1" applyAlignment="1">
      <alignment horizontal="right" vertical="center"/>
    </xf>
    <xf numFmtId="3" fontId="5" fillId="0" borderId="13" xfId="4" applyNumberFormat="1" applyFont="1" applyFill="1" applyBorder="1" applyAlignment="1">
      <alignment horizontal="right" vertical="center"/>
    </xf>
    <xf numFmtId="3" fontId="5" fillId="0" borderId="13" xfId="1" applyNumberFormat="1" applyFont="1" applyFill="1" applyBorder="1" applyAlignment="1">
      <alignment horizontal="right" vertical="center"/>
    </xf>
    <xf numFmtId="180" fontId="5" fillId="0" borderId="24" xfId="1" applyNumberFormat="1" applyFont="1" applyFill="1" applyBorder="1" applyAlignment="1">
      <alignment horizontal="left" vertical="center" wrapText="1"/>
    </xf>
    <xf numFmtId="0" fontId="5" fillId="0" borderId="14" xfId="1" applyFont="1" applyFill="1" applyBorder="1" applyAlignment="1">
      <alignment horizontal="center" vertical="center"/>
    </xf>
    <xf numFmtId="3" fontId="5" fillId="0" borderId="14" xfId="2" applyNumberFormat="1" applyFont="1" applyFill="1" applyBorder="1" applyAlignment="1">
      <alignment horizontal="right" vertical="center"/>
    </xf>
    <xf numFmtId="178" fontId="5" fillId="0" borderId="14" xfId="3" applyNumberFormat="1" applyFont="1" applyFill="1" applyBorder="1" applyAlignment="1">
      <alignment horizontal="right" vertical="center"/>
    </xf>
    <xf numFmtId="179" fontId="5" fillId="0" borderId="14" xfId="2" applyNumberFormat="1" applyFont="1" applyFill="1" applyBorder="1" applyAlignment="1">
      <alignment horizontal="right" vertical="center"/>
    </xf>
    <xf numFmtId="3" fontId="5" fillId="0" borderId="28" xfId="1" applyNumberFormat="1" applyFont="1" applyFill="1" applyBorder="1" applyAlignment="1">
      <alignment horizontal="center" vertical="center"/>
    </xf>
    <xf numFmtId="0" fontId="5" fillId="0" borderId="29" xfId="1" applyFont="1" applyFill="1" applyBorder="1" applyAlignment="1">
      <alignment vertical="center"/>
    </xf>
    <xf numFmtId="0" fontId="5" fillId="0" borderId="30" xfId="1" applyFont="1" applyFill="1" applyBorder="1" applyAlignment="1">
      <alignment vertical="center"/>
    </xf>
    <xf numFmtId="0" fontId="5" fillId="0" borderId="32" xfId="1" applyFont="1" applyFill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181" fontId="5" fillId="0" borderId="33" xfId="4" applyNumberFormat="1" applyFont="1" applyFill="1" applyBorder="1" applyAlignment="1">
      <alignment vertical="center"/>
    </xf>
    <xf numFmtId="0" fontId="5" fillId="0" borderId="13" xfId="1" applyFont="1" applyFill="1" applyBorder="1" applyAlignment="1">
      <alignment vertical="center"/>
    </xf>
    <xf numFmtId="41" fontId="5" fillId="0" borderId="13" xfId="4" applyNumberFormat="1" applyFont="1" applyFill="1" applyBorder="1" applyAlignment="1">
      <alignment vertical="center"/>
    </xf>
    <xf numFmtId="9" fontId="5" fillId="0" borderId="13" xfId="3" applyFont="1" applyFill="1" applyBorder="1" applyAlignment="1">
      <alignment horizontal="center" vertical="center"/>
    </xf>
    <xf numFmtId="0" fontId="5" fillId="0" borderId="26" xfId="2" applyFont="1" applyFill="1" applyBorder="1" applyAlignment="1">
      <alignment horizontal="left" vertical="center"/>
    </xf>
    <xf numFmtId="0" fontId="5" fillId="0" borderId="28" xfId="2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vertical="center"/>
    </xf>
    <xf numFmtId="0" fontId="5" fillId="0" borderId="1" xfId="1" applyFont="1" applyFill="1" applyBorder="1" applyAlignment="1">
      <alignment vertical="center"/>
    </xf>
    <xf numFmtId="181" fontId="5" fillId="0" borderId="35" xfId="4" applyNumberFormat="1" applyFont="1" applyFill="1" applyBorder="1" applyAlignment="1">
      <alignment vertical="center"/>
    </xf>
    <xf numFmtId="0" fontId="5" fillId="0" borderId="17" xfId="1" applyFont="1" applyFill="1" applyBorder="1" applyAlignment="1">
      <alignment vertical="center"/>
    </xf>
    <xf numFmtId="41" fontId="5" fillId="0" borderId="17" xfId="4" applyNumberFormat="1" applyFont="1" applyFill="1" applyBorder="1" applyAlignment="1">
      <alignment vertical="center"/>
    </xf>
    <xf numFmtId="0" fontId="5" fillId="0" borderId="36" xfId="2" applyFont="1" applyFill="1" applyBorder="1" applyAlignment="1">
      <alignment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right" vertical="center"/>
    </xf>
    <xf numFmtId="0" fontId="5" fillId="0" borderId="0" xfId="1" applyFont="1" applyFill="1" applyAlignment="1">
      <alignment vertical="center"/>
    </xf>
    <xf numFmtId="3" fontId="4" fillId="0" borderId="0" xfId="1" applyNumberFormat="1" applyFont="1" applyFill="1" applyAlignment="1">
      <alignment vertical="center"/>
    </xf>
    <xf numFmtId="0" fontId="5" fillId="0" borderId="14" xfId="2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8" xfId="2" applyFont="1" applyFill="1" applyBorder="1" applyAlignment="1">
      <alignment horizontal="center" vertical="center"/>
    </xf>
    <xf numFmtId="0" fontId="5" fillId="0" borderId="28" xfId="2" applyFont="1" applyFill="1" applyBorder="1" applyAlignment="1">
      <alignment horizontal="left" vertical="center"/>
    </xf>
    <xf numFmtId="0" fontId="5" fillId="0" borderId="37" xfId="2" applyFont="1" applyFill="1" applyBorder="1" applyAlignment="1">
      <alignment horizontal="left" vertical="center"/>
    </xf>
    <xf numFmtId="0" fontId="5" fillId="0" borderId="14" xfId="1" applyFont="1" applyFill="1" applyBorder="1" applyAlignment="1">
      <alignment horizontal="center" vertical="center" wrapText="1"/>
    </xf>
    <xf numFmtId="0" fontId="5" fillId="0" borderId="18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5" fillId="0" borderId="19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9" fillId="0" borderId="26" xfId="1" applyFont="1" applyFill="1" applyBorder="1" applyAlignment="1">
      <alignment horizontal="center" vertical="center"/>
    </xf>
    <xf numFmtId="0" fontId="9" fillId="0" borderId="27" xfId="1" applyFont="1" applyFill="1" applyBorder="1" applyAlignment="1">
      <alignment horizontal="center" vertical="center"/>
    </xf>
    <xf numFmtId="0" fontId="10" fillId="0" borderId="3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vertical="center"/>
    </xf>
    <xf numFmtId="0" fontId="5" fillId="0" borderId="8" xfId="2" applyFont="1" applyFill="1" applyBorder="1" applyAlignment="1">
      <alignment horizontal="left" vertical="center"/>
    </xf>
    <xf numFmtId="0" fontId="5" fillId="0" borderId="10" xfId="2" applyFont="1" applyFill="1" applyBorder="1" applyAlignment="1">
      <alignment horizontal="left" vertical="center"/>
    </xf>
    <xf numFmtId="0" fontId="5" fillId="0" borderId="15" xfId="2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 wrapText="1"/>
    </xf>
    <xf numFmtId="0" fontId="5" fillId="0" borderId="7" xfId="1" applyFont="1" applyFill="1" applyBorder="1" applyAlignment="1">
      <alignment vertical="center" wrapText="1"/>
    </xf>
    <xf numFmtId="0" fontId="5" fillId="0" borderId="3" xfId="1" applyFont="1" applyFill="1" applyBorder="1" applyAlignment="1">
      <alignment vertical="center" wrapText="1"/>
    </xf>
    <xf numFmtId="31" fontId="5" fillId="0" borderId="7" xfId="1" applyNumberFormat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16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5" fillId="0" borderId="11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1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0" fillId="0" borderId="0" xfId="27" applyFont="1" applyAlignment="1">
      <alignment vertical="center"/>
    </xf>
    <xf numFmtId="0" fontId="0" fillId="0" borderId="13" xfId="0" applyBorder="1" applyAlignment="1">
      <alignment horizontal="center" vertical="center"/>
    </xf>
    <xf numFmtId="41" fontId="0" fillId="0" borderId="13" xfId="27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>
      <alignment vertical="center"/>
    </xf>
    <xf numFmtId="41" fontId="0" fillId="0" borderId="13" xfId="27" applyFont="1" applyBorder="1">
      <alignment vertical="center"/>
    </xf>
    <xf numFmtId="181" fontId="0" fillId="0" borderId="13" xfId="27" applyNumberFormat="1" applyFont="1" applyBorder="1">
      <alignment vertical="center"/>
    </xf>
    <xf numFmtId="0" fontId="22" fillId="0" borderId="13" xfId="0" applyNumberFormat="1" applyFont="1" applyFill="1" applyBorder="1" applyAlignment="1">
      <alignment horizontal="center" vertical="center" wrapText="1"/>
    </xf>
    <xf numFmtId="0" fontId="22" fillId="3" borderId="13" xfId="0" applyNumberFormat="1" applyFont="1" applyFill="1" applyBorder="1" applyAlignment="1">
      <alignment horizontal="center" vertical="center" wrapText="1"/>
    </xf>
    <xf numFmtId="0" fontId="22" fillId="4" borderId="13" xfId="0" applyNumberFormat="1" applyFont="1" applyFill="1" applyBorder="1" applyAlignment="1">
      <alignment horizontal="center" vertical="center" wrapText="1"/>
    </xf>
    <xf numFmtId="0" fontId="0" fillId="3" borderId="13" xfId="0" applyFill="1" applyBorder="1">
      <alignment vertical="center"/>
    </xf>
    <xf numFmtId="41" fontId="0" fillId="0" borderId="0" xfId="27" applyFont="1">
      <alignment vertical="center"/>
    </xf>
  </cellXfs>
  <cellStyles count="28">
    <cellStyle name="백분율 2" xfId="5"/>
    <cellStyle name="백분율 3" xfId="3"/>
    <cellStyle name="뷭?_BOOKSHIP" xfId="6"/>
    <cellStyle name="쉼표 [0]" xfId="27" builtinId="6"/>
    <cellStyle name="쉼표 [0] 2" xfId="7"/>
    <cellStyle name="쉼표 [0] 3" xfId="4"/>
    <cellStyle name="쉼표 [0]_동력접촉기" xfId="2"/>
    <cellStyle name="콤마 [0]_0N-HANDLING" xfId="8"/>
    <cellStyle name="콤마_0N-HANDLING" xfId="9"/>
    <cellStyle name="표준" xfId="0" builtinId="0"/>
    <cellStyle name="표준 2" xfId="10"/>
    <cellStyle name="표준 3" xfId="11"/>
    <cellStyle name="표준_동력접촉기" xfId="1"/>
    <cellStyle name="category" xfId="12"/>
    <cellStyle name="Comma [0]_ SG&amp;A Bridge " xfId="13"/>
    <cellStyle name="Comma_ SG&amp;A Bridge " xfId="14"/>
    <cellStyle name="Currency [0]_ SG&amp;A Bridge " xfId="15"/>
    <cellStyle name="Currency_ SG&amp;A Bridge " xfId="16"/>
    <cellStyle name="Currency1" xfId="17"/>
    <cellStyle name="Grey" xfId="18"/>
    <cellStyle name="HEADER" xfId="19"/>
    <cellStyle name="Input [yellow]" xfId="20"/>
    <cellStyle name="Model" xfId="21"/>
    <cellStyle name="Normal - Style1" xfId="22"/>
    <cellStyle name="Normal_ SG&amp;A Bridge " xfId="23"/>
    <cellStyle name="Percent [2]" xfId="24"/>
    <cellStyle name="Standard_Tabelle2" xfId="25"/>
    <cellStyle name="subhead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190500</xdr:colOff>
      <xdr:row>0</xdr:row>
      <xdr:rowOff>57150</xdr:rowOff>
    </xdr:from>
    <xdr:to>
      <xdr:col>10</xdr:col>
      <xdr:colOff>409575</xdr:colOff>
      <xdr:row>0</xdr:row>
      <xdr:rowOff>485775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3971925" y="57150"/>
          <a:ext cx="4505325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 행 원 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428625</xdr:colOff>
      <xdr:row>0</xdr:row>
      <xdr:rowOff>57150</xdr:rowOff>
    </xdr:from>
    <xdr:to>
      <xdr:col>10</xdr:col>
      <xdr:colOff>619125</xdr:colOff>
      <xdr:row>0</xdr:row>
      <xdr:rowOff>485775</xdr:rowOff>
    </xdr:to>
    <xdr:sp macro="" textlink="">
      <xdr:nvSpPr>
        <xdr:cNvPr id="2" name="AutoShape 9"/>
        <xdr:cNvSpPr>
          <a:spLocks noChangeArrowheads="1"/>
        </xdr:cNvSpPr>
      </xdr:nvSpPr>
      <xdr:spPr bwMode="auto">
        <a:xfrm>
          <a:off x="3971925" y="57150"/>
          <a:ext cx="4591050" cy="42862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00FFFF"/>
            </a:gs>
            <a:gs pos="100000">
              <a:srgbClr val="00FFFF">
                <a:gamma/>
                <a:shade val="46275"/>
                <a:invGamma/>
              </a:srgbClr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0" anchor="t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실 행 원 가 산 출 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돋움"/>
              <a:ea typeface="돋움"/>
            </a:rPr>
            <a:t>LIST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PTA&#50896;&#44032;&#48516;&#49437;%20100913(&#44608;&#48124;&#49437;&#44284;&#51109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총괄"/>
      <sheetName val="실행-우진"/>
      <sheetName val="실행-우진총"/>
      <sheetName val="실행-BA"/>
      <sheetName val="실행-BA총"/>
      <sheetName val="분석방법"/>
      <sheetName val="단품수량"/>
      <sheetName val="BOM"/>
      <sheetName val="원가보고"/>
      <sheetName val="총발주"/>
      <sheetName val="피벗"/>
      <sheetName val="Sheet4"/>
      <sheetName val="BOM-원본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10005980</v>
          </cell>
          <cell r="C5" t="str">
            <v>(BZP)BUTTON BUZZER</v>
          </cell>
          <cell r="D5" t="str">
            <v>R1D1357-21416</v>
          </cell>
          <cell r="E5" t="str">
            <v>BZP</v>
          </cell>
          <cell r="F5">
            <v>6</v>
          </cell>
          <cell r="G5">
            <v>6</v>
          </cell>
          <cell r="H5">
            <v>6</v>
          </cell>
          <cell r="I5">
            <v>18</v>
          </cell>
          <cell r="J5">
            <v>54</v>
          </cell>
          <cell r="K5">
            <v>228</v>
          </cell>
          <cell r="L5">
            <v>492</v>
          </cell>
          <cell r="M5">
            <v>720</v>
          </cell>
          <cell r="N5">
            <v>720</v>
          </cell>
          <cell r="O5">
            <v>12</v>
          </cell>
          <cell r="P5">
            <v>732</v>
          </cell>
        </row>
        <row r="6">
          <cell r="B6">
            <v>10005981</v>
          </cell>
          <cell r="C6" t="str">
            <v>(DBZ)DOOR BUZZER ASS'Y</v>
          </cell>
          <cell r="D6" t="str">
            <v>R1D1357-21419</v>
          </cell>
          <cell r="E6" t="str">
            <v>DBZ</v>
          </cell>
          <cell r="F6">
            <v>4</v>
          </cell>
          <cell r="G6">
            <v>4</v>
          </cell>
          <cell r="H6">
            <v>4</v>
          </cell>
          <cell r="I6">
            <v>12</v>
          </cell>
          <cell r="J6">
            <v>36</v>
          </cell>
          <cell r="K6">
            <v>152</v>
          </cell>
          <cell r="L6">
            <v>328</v>
          </cell>
          <cell r="M6">
            <v>480</v>
          </cell>
          <cell r="N6">
            <v>480</v>
          </cell>
          <cell r="O6">
            <v>8</v>
          </cell>
          <cell r="P6">
            <v>488</v>
          </cell>
        </row>
        <row r="7">
          <cell r="B7">
            <v>10005982</v>
          </cell>
          <cell r="C7" t="str">
            <v>(CSP)CAB SPEAKER ASS'Y</v>
          </cell>
          <cell r="D7" t="str">
            <v>R1D1358-21410</v>
          </cell>
          <cell r="E7" t="str">
            <v>CSP</v>
          </cell>
          <cell r="F7">
            <v>2</v>
          </cell>
          <cell r="G7">
            <v>1</v>
          </cell>
          <cell r="H7">
            <v>1</v>
          </cell>
          <cell r="I7">
            <v>4</v>
          </cell>
          <cell r="J7">
            <v>12</v>
          </cell>
          <cell r="K7">
            <v>76</v>
          </cell>
          <cell r="L7">
            <v>82</v>
          </cell>
          <cell r="M7">
            <v>158</v>
          </cell>
          <cell r="N7">
            <v>158</v>
          </cell>
          <cell r="O7">
            <v>5</v>
          </cell>
          <cell r="P7">
            <v>163</v>
          </cell>
        </row>
        <row r="8">
          <cell r="B8">
            <v>10005983</v>
          </cell>
          <cell r="C8" t="str">
            <v>(ISP)INTERIOR SPEAKER</v>
          </cell>
          <cell r="D8" t="str">
            <v>R1D1358-21438</v>
          </cell>
          <cell r="E8" t="str">
            <v>ISP</v>
          </cell>
          <cell r="F8">
            <v>8</v>
          </cell>
          <cell r="G8">
            <v>8</v>
          </cell>
          <cell r="H8">
            <v>8</v>
          </cell>
          <cell r="I8">
            <v>24</v>
          </cell>
          <cell r="J8">
            <v>72</v>
          </cell>
          <cell r="K8">
            <v>304</v>
          </cell>
          <cell r="L8">
            <v>656</v>
          </cell>
          <cell r="M8">
            <v>960</v>
          </cell>
          <cell r="N8">
            <v>960</v>
          </cell>
          <cell r="O8">
            <v>24</v>
          </cell>
          <cell r="P8">
            <v>984</v>
          </cell>
        </row>
        <row r="9">
          <cell r="B9">
            <v>10005984</v>
          </cell>
          <cell r="C9" t="str">
            <v>(ANSM)ANS MICROPHONE ASS'Y</v>
          </cell>
          <cell r="D9" t="str">
            <v>R1D1361-21499</v>
          </cell>
          <cell r="E9" t="str">
            <v>ANSM</v>
          </cell>
          <cell r="F9">
            <v>1</v>
          </cell>
          <cell r="G9">
            <v>1</v>
          </cell>
          <cell r="H9">
            <v>1</v>
          </cell>
          <cell r="I9">
            <v>3</v>
          </cell>
          <cell r="J9">
            <v>9</v>
          </cell>
          <cell r="K9">
            <v>38</v>
          </cell>
          <cell r="L9">
            <v>82</v>
          </cell>
          <cell r="M9">
            <v>120</v>
          </cell>
          <cell r="N9">
            <v>120</v>
          </cell>
          <cell r="O9">
            <v>8</v>
          </cell>
          <cell r="P9">
            <v>128</v>
          </cell>
        </row>
        <row r="10">
          <cell r="B10">
            <v>10005986</v>
          </cell>
          <cell r="C10" t="str">
            <v>(CRA)COMMUNICATION RACK A (1/2)</v>
          </cell>
          <cell r="D10" t="str">
            <v>R1D1355-21518</v>
          </cell>
          <cell r="E10" t="str">
            <v>CRA</v>
          </cell>
          <cell r="F10">
            <v>1</v>
          </cell>
          <cell r="G10">
            <v>1</v>
          </cell>
          <cell r="I10">
            <v>2</v>
          </cell>
          <cell r="J10">
            <v>6</v>
          </cell>
          <cell r="K10">
            <v>38</v>
          </cell>
          <cell r="L10">
            <v>41</v>
          </cell>
          <cell r="M10">
            <v>79</v>
          </cell>
          <cell r="N10">
            <v>41</v>
          </cell>
          <cell r="P10">
            <v>79</v>
          </cell>
        </row>
        <row r="11">
          <cell r="B11">
            <v>10005987</v>
          </cell>
          <cell r="C11" t="str">
            <v>(CRB)COMMUNICATION RACK B (1/2)</v>
          </cell>
          <cell r="D11" t="str">
            <v>R1D1355-21520</v>
          </cell>
          <cell r="E11" t="str">
            <v>CRB</v>
          </cell>
          <cell r="F11">
            <v>1</v>
          </cell>
          <cell r="H11">
            <v>1</v>
          </cell>
          <cell r="I11">
            <v>2</v>
          </cell>
          <cell r="J11">
            <v>6</v>
          </cell>
          <cell r="K11">
            <v>38</v>
          </cell>
          <cell r="L11">
            <v>41</v>
          </cell>
          <cell r="M11">
            <v>79</v>
          </cell>
          <cell r="N11">
            <v>79</v>
          </cell>
          <cell r="O11">
            <v>5</v>
          </cell>
          <cell r="P11">
            <v>84</v>
          </cell>
        </row>
        <row r="12">
          <cell r="B12">
            <v>10005988</v>
          </cell>
          <cell r="C12" t="str">
            <v>(ESP)EXTERIOR SPEAKER</v>
          </cell>
          <cell r="D12" t="str">
            <v>R1D1358-21433</v>
          </cell>
          <cell r="E12" t="str">
            <v>ESP</v>
          </cell>
          <cell r="F12">
            <v>4</v>
          </cell>
          <cell r="G12">
            <v>4</v>
          </cell>
          <cell r="H12">
            <v>4</v>
          </cell>
          <cell r="I12">
            <v>12</v>
          </cell>
          <cell r="J12">
            <v>36</v>
          </cell>
          <cell r="K12">
            <v>152</v>
          </cell>
          <cell r="L12">
            <v>328</v>
          </cell>
          <cell r="M12">
            <v>480</v>
          </cell>
          <cell r="N12">
            <v>480</v>
          </cell>
          <cell r="O12">
            <v>12</v>
          </cell>
          <cell r="P12">
            <v>492</v>
          </cell>
        </row>
        <row r="13">
          <cell r="B13">
            <v>10005989</v>
          </cell>
          <cell r="C13" t="str">
            <v>(PID1)LCD PASSENGER INFORMATION ASS'Y</v>
          </cell>
          <cell r="D13" t="str">
            <v>R1C1355-05496</v>
          </cell>
          <cell r="E13" t="str">
            <v>PID1</v>
          </cell>
          <cell r="F13">
            <v>4</v>
          </cell>
          <cell r="G13">
            <v>4</v>
          </cell>
          <cell r="H13">
            <v>4</v>
          </cell>
          <cell r="I13">
            <v>12</v>
          </cell>
          <cell r="J13">
            <v>36</v>
          </cell>
          <cell r="K13">
            <v>152</v>
          </cell>
          <cell r="L13">
            <v>328</v>
          </cell>
          <cell r="M13">
            <v>480</v>
          </cell>
          <cell r="N13">
            <v>480</v>
          </cell>
          <cell r="O13">
            <v>12</v>
          </cell>
          <cell r="P13">
            <v>492</v>
          </cell>
        </row>
        <row r="14">
          <cell r="B14">
            <v>10005990</v>
          </cell>
          <cell r="C14" t="str">
            <v>(PID2)LCD PASSENGER INFORMATION DISPLAY</v>
          </cell>
          <cell r="D14" t="str">
            <v>R1C1356-05497</v>
          </cell>
          <cell r="E14" t="str">
            <v>PID2</v>
          </cell>
          <cell r="F14">
            <v>2</v>
          </cell>
          <cell r="G14">
            <v>2</v>
          </cell>
          <cell r="H14">
            <v>2</v>
          </cell>
          <cell r="I14">
            <v>6</v>
          </cell>
          <cell r="J14">
            <v>18</v>
          </cell>
          <cell r="K14">
            <v>76</v>
          </cell>
          <cell r="L14">
            <v>164</v>
          </cell>
          <cell r="M14">
            <v>240</v>
          </cell>
          <cell r="N14">
            <v>240</v>
          </cell>
          <cell r="O14">
            <v>6</v>
          </cell>
          <cell r="P14">
            <v>246</v>
          </cell>
        </row>
        <row r="15">
          <cell r="B15">
            <v>10005991</v>
          </cell>
          <cell r="C15" t="str">
            <v>(PII)LED PASSENGER INFORMATION INDICATOR</v>
          </cell>
          <cell r="D15" t="str">
            <v>R1C1355-05556</v>
          </cell>
          <cell r="E15" t="str">
            <v>PII</v>
          </cell>
          <cell r="F15">
            <v>2</v>
          </cell>
          <cell r="G15">
            <v>2</v>
          </cell>
          <cell r="H15">
            <v>2</v>
          </cell>
          <cell r="I15">
            <v>6</v>
          </cell>
          <cell r="J15">
            <v>18</v>
          </cell>
          <cell r="K15">
            <v>76</v>
          </cell>
          <cell r="L15">
            <v>164</v>
          </cell>
          <cell r="M15">
            <v>240</v>
          </cell>
          <cell r="N15">
            <v>240</v>
          </cell>
          <cell r="O15">
            <v>6</v>
          </cell>
          <cell r="P15">
            <v>246</v>
          </cell>
        </row>
        <row r="16">
          <cell r="B16">
            <v>10005992</v>
          </cell>
          <cell r="C16" t="str">
            <v>(FDI)LED FRONT DESTINATION SIGN</v>
          </cell>
          <cell r="D16" t="str">
            <v>R1C1355-05560</v>
          </cell>
          <cell r="E16" t="str">
            <v>FDI</v>
          </cell>
          <cell r="F16">
            <v>2</v>
          </cell>
          <cell r="G16">
            <v>1</v>
          </cell>
          <cell r="H16">
            <v>1</v>
          </cell>
          <cell r="I16">
            <v>4</v>
          </cell>
          <cell r="J16">
            <v>12</v>
          </cell>
          <cell r="K16">
            <v>76</v>
          </cell>
          <cell r="L16">
            <v>82</v>
          </cell>
          <cell r="M16">
            <v>158</v>
          </cell>
          <cell r="N16">
            <v>158</v>
          </cell>
          <cell r="O16">
            <v>6</v>
          </cell>
          <cell r="P16">
            <v>164</v>
          </cell>
        </row>
        <row r="17">
          <cell r="B17">
            <v>10005993</v>
          </cell>
          <cell r="C17" t="str">
            <v>(SDI)LED SIDE DESTINATION INDICATOR</v>
          </cell>
          <cell r="D17" t="str">
            <v>R1C1355-05559</v>
          </cell>
          <cell r="E17" t="str">
            <v>SDI</v>
          </cell>
          <cell r="F17">
            <v>4</v>
          </cell>
          <cell r="G17">
            <v>4</v>
          </cell>
          <cell r="H17">
            <v>4</v>
          </cell>
          <cell r="I17">
            <v>12</v>
          </cell>
          <cell r="J17">
            <v>36</v>
          </cell>
          <cell r="K17">
            <v>152</v>
          </cell>
          <cell r="L17">
            <v>328</v>
          </cell>
          <cell r="M17">
            <v>480</v>
          </cell>
          <cell r="N17">
            <v>240</v>
          </cell>
          <cell r="O17">
            <v>12</v>
          </cell>
          <cell r="P17">
            <v>492</v>
          </cell>
        </row>
        <row r="18">
          <cell r="B18">
            <v>10005994</v>
          </cell>
          <cell r="C18" t="str">
            <v>(TRA)ANTENNA CAB RADIO</v>
          </cell>
          <cell r="E18" t="str">
            <v>TRA</v>
          </cell>
          <cell r="F18">
            <v>2</v>
          </cell>
          <cell r="G18">
            <v>1</v>
          </cell>
          <cell r="H18">
            <v>1</v>
          </cell>
          <cell r="I18">
            <v>4</v>
          </cell>
          <cell r="J18">
            <v>12</v>
          </cell>
          <cell r="K18">
            <v>76</v>
          </cell>
          <cell r="L18">
            <v>82</v>
          </cell>
          <cell r="M18">
            <v>158</v>
          </cell>
          <cell r="N18">
            <v>158</v>
          </cell>
          <cell r="P18">
            <v>158</v>
          </cell>
        </row>
        <row r="19">
          <cell r="B19">
            <v>10005995</v>
          </cell>
          <cell r="C19" t="str">
            <v>(WGA)ANTENNA GPS</v>
          </cell>
          <cell r="E19" t="str">
            <v>WGA</v>
          </cell>
          <cell r="F19">
            <v>1</v>
          </cell>
          <cell r="G19">
            <v>1</v>
          </cell>
          <cell r="I19">
            <v>2</v>
          </cell>
          <cell r="J19">
            <v>6</v>
          </cell>
          <cell r="K19">
            <v>38</v>
          </cell>
          <cell r="L19">
            <v>41</v>
          </cell>
          <cell r="M19">
            <v>79</v>
          </cell>
          <cell r="N19">
            <v>79</v>
          </cell>
          <cell r="P19">
            <v>79</v>
          </cell>
        </row>
        <row r="20">
          <cell r="B20">
            <v>10005996</v>
          </cell>
          <cell r="C20" t="str">
            <v>(TMP)CAB TEXT MASSAGE PRINTER</v>
          </cell>
          <cell r="D20" t="str">
            <v>R1C1359-05502</v>
          </cell>
          <cell r="E20" t="str">
            <v>TMP</v>
          </cell>
          <cell r="F20">
            <v>2</v>
          </cell>
          <cell r="G20">
            <v>1</v>
          </cell>
          <cell r="H20">
            <v>1</v>
          </cell>
          <cell r="I20">
            <v>4</v>
          </cell>
          <cell r="J20">
            <v>12</v>
          </cell>
          <cell r="K20">
            <v>76</v>
          </cell>
          <cell r="L20">
            <v>82</v>
          </cell>
          <cell r="M20">
            <v>158</v>
          </cell>
          <cell r="N20">
            <v>158</v>
          </cell>
          <cell r="O20">
            <v>5</v>
          </cell>
          <cell r="P20">
            <v>163</v>
          </cell>
        </row>
        <row r="21">
          <cell r="B21">
            <v>10005997</v>
          </cell>
          <cell r="C21" t="str">
            <v>(CCP)TERMINAL ATAS/AVL</v>
          </cell>
          <cell r="D21" t="str">
            <v>R1D1362-21507</v>
          </cell>
          <cell r="E21" t="str">
            <v>CCP</v>
          </cell>
          <cell r="F21">
            <v>2</v>
          </cell>
          <cell r="G21">
            <v>1</v>
          </cell>
          <cell r="H21">
            <v>1</v>
          </cell>
          <cell r="I21">
            <v>4</v>
          </cell>
          <cell r="J21">
            <v>12</v>
          </cell>
          <cell r="K21">
            <v>76</v>
          </cell>
          <cell r="L21">
            <v>82</v>
          </cell>
          <cell r="M21">
            <v>158</v>
          </cell>
          <cell r="N21">
            <v>158</v>
          </cell>
          <cell r="O21">
            <v>6</v>
          </cell>
          <cell r="P21">
            <v>164</v>
          </cell>
        </row>
        <row r="22">
          <cell r="B22">
            <v>10005998</v>
          </cell>
          <cell r="C22" t="str">
            <v>(CBZ)BUZZER COMMUNICATION</v>
          </cell>
          <cell r="E22" t="str">
            <v>CBZ</v>
          </cell>
          <cell r="F22">
            <v>4</v>
          </cell>
          <cell r="G22">
            <v>3</v>
          </cell>
          <cell r="H22">
            <v>3</v>
          </cell>
          <cell r="I22">
            <v>10</v>
          </cell>
          <cell r="J22">
            <v>30</v>
          </cell>
          <cell r="K22">
            <v>152</v>
          </cell>
          <cell r="L22">
            <v>246</v>
          </cell>
          <cell r="M22">
            <v>398</v>
          </cell>
          <cell r="N22">
            <v>357</v>
          </cell>
          <cell r="O22">
            <v>8</v>
          </cell>
          <cell r="P22">
            <v>406</v>
          </cell>
        </row>
        <row r="23">
          <cell r="B23">
            <v>10005999</v>
          </cell>
          <cell r="C23" t="str">
            <v>(TRF)TRANSFORMER</v>
          </cell>
          <cell r="D23" t="str">
            <v>R1D1361-21493</v>
          </cell>
          <cell r="E23" t="str">
            <v>TRF</v>
          </cell>
          <cell r="F23">
            <v>4</v>
          </cell>
          <cell r="G23">
            <v>4</v>
          </cell>
          <cell r="H23">
            <v>4</v>
          </cell>
          <cell r="I23">
            <v>12</v>
          </cell>
          <cell r="J23">
            <v>36</v>
          </cell>
          <cell r="K23">
            <v>152</v>
          </cell>
          <cell r="L23">
            <v>328</v>
          </cell>
          <cell r="M23">
            <v>480</v>
          </cell>
          <cell r="N23">
            <v>480</v>
          </cell>
          <cell r="O23">
            <v>20</v>
          </cell>
          <cell r="P23">
            <v>500</v>
          </cell>
        </row>
        <row r="24">
          <cell r="B24">
            <v>10006095</v>
          </cell>
          <cell r="C24" t="str">
            <v>(BZPB)BUZZER PUSH BUTTON BOX ASS'Y</v>
          </cell>
          <cell r="D24" t="str">
            <v>R1D1357-21409</v>
          </cell>
          <cell r="E24" t="str">
            <v>BZPB</v>
          </cell>
          <cell r="F24">
            <v>4</v>
          </cell>
          <cell r="G24">
            <v>2</v>
          </cell>
          <cell r="H24">
            <v>2</v>
          </cell>
          <cell r="I24">
            <v>8</v>
          </cell>
          <cell r="J24">
            <v>24</v>
          </cell>
          <cell r="K24">
            <v>152</v>
          </cell>
          <cell r="L24">
            <v>164</v>
          </cell>
          <cell r="M24">
            <v>316</v>
          </cell>
          <cell r="N24">
            <v>316</v>
          </cell>
          <cell r="O24">
            <v>12</v>
          </cell>
          <cell r="P24">
            <v>328</v>
          </cell>
        </row>
        <row r="25">
          <cell r="B25">
            <v>10006099</v>
          </cell>
          <cell r="C25" t="str">
            <v>(TRB)TRAIN RADIO BRACKET</v>
          </cell>
          <cell r="D25" t="str">
            <v>R1D1359-21427</v>
          </cell>
          <cell r="E25" t="str">
            <v>TRB</v>
          </cell>
          <cell r="F25">
            <v>2</v>
          </cell>
          <cell r="G25">
            <v>1</v>
          </cell>
          <cell r="H25">
            <v>1</v>
          </cell>
          <cell r="I25">
            <v>4</v>
          </cell>
          <cell r="J25">
            <v>12</v>
          </cell>
          <cell r="K25">
            <v>76</v>
          </cell>
          <cell r="L25">
            <v>82</v>
          </cell>
          <cell r="M25">
            <v>158</v>
          </cell>
          <cell r="P25">
            <v>158</v>
          </cell>
        </row>
        <row r="26">
          <cell r="B26">
            <v>10006241</v>
          </cell>
          <cell r="C26" t="str">
            <v>(DMJ)DRIVER MICROPHONE JACK</v>
          </cell>
          <cell r="D26" t="str">
            <v>R1D1361-21501</v>
          </cell>
          <cell r="E26" t="str">
            <v>DMJ</v>
          </cell>
          <cell r="F26">
            <v>2</v>
          </cell>
          <cell r="G26">
            <v>1</v>
          </cell>
          <cell r="H26">
            <v>1</v>
          </cell>
          <cell r="I26">
            <v>4</v>
          </cell>
          <cell r="J26">
            <v>12</v>
          </cell>
          <cell r="K26">
            <v>76</v>
          </cell>
          <cell r="L26">
            <v>82</v>
          </cell>
          <cell r="M26">
            <v>158</v>
          </cell>
          <cell r="N26">
            <v>158</v>
          </cell>
          <cell r="P26">
            <v>158</v>
          </cell>
        </row>
        <row r="27">
          <cell r="B27">
            <v>10006243</v>
          </cell>
          <cell r="C27" t="str">
            <v>(JCR)JUMPER COUPLER</v>
          </cell>
          <cell r="E27" t="str">
            <v>JCR</v>
          </cell>
          <cell r="G27">
            <v>1</v>
          </cell>
          <cell r="I27">
            <v>1</v>
          </cell>
          <cell r="J27">
            <v>3</v>
          </cell>
          <cell r="K27">
            <v>0</v>
          </cell>
          <cell r="L27">
            <v>41</v>
          </cell>
          <cell r="M27">
            <v>41</v>
          </cell>
          <cell r="P27">
            <v>41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35"/>
  <sheetViews>
    <sheetView workbookViewId="0">
      <selection activeCell="C25" sqref="C25"/>
    </sheetView>
  </sheetViews>
  <sheetFormatPr defaultColWidth="9.140625" defaultRowHeight="13.5"/>
  <cols>
    <col min="1" max="1" width="5.85546875" style="2" customWidth="1"/>
    <col min="2" max="2" width="8.85546875" style="2" customWidth="1"/>
    <col min="3" max="3" width="37" style="2" customWidth="1"/>
    <col min="4" max="4" width="5" style="2" customWidth="1"/>
    <col min="5" max="5" width="16" style="2" customWidth="1"/>
    <col min="6" max="6" width="7.140625" style="2" customWidth="1"/>
    <col min="7" max="7" width="7.42578125" style="2" customWidth="1"/>
    <col min="8" max="8" width="13" style="2" customWidth="1"/>
    <col min="9" max="9" width="7" style="2" customWidth="1"/>
    <col min="10" max="10" width="13.7109375" style="2" customWidth="1"/>
    <col min="11" max="11" width="16.42578125" style="2" customWidth="1"/>
    <col min="12" max="12" width="13.28515625" style="2" customWidth="1"/>
    <col min="13" max="13" width="16.7109375" style="2" customWidth="1"/>
    <col min="14" max="14" width="15.7109375" style="2" customWidth="1"/>
    <col min="15" max="15" width="16.28515625" style="2" customWidth="1"/>
    <col min="16" max="16" width="14.5703125" style="2" customWidth="1"/>
    <col min="17" max="254" width="9.140625" style="2"/>
    <col min="255" max="255" width="5.85546875" style="2" customWidth="1"/>
    <col min="256" max="256" width="8.85546875" style="2" customWidth="1"/>
    <col min="257" max="257" width="15.85546875" style="2" customWidth="1"/>
    <col min="258" max="258" width="5" style="2" customWidth="1"/>
    <col min="259" max="259" width="14.85546875" style="2" bestFit="1" customWidth="1"/>
    <col min="260" max="260" width="7.140625" style="2" customWidth="1"/>
    <col min="261" max="261" width="7.42578125" style="2" customWidth="1"/>
    <col min="262" max="262" width="11.7109375" style="2" bestFit="1" customWidth="1"/>
    <col min="263" max="263" width="5.7109375" style="2" bestFit="1" customWidth="1"/>
    <col min="264" max="264" width="11.85546875" style="2" customWidth="1"/>
    <col min="265" max="265" width="14.85546875" style="2" bestFit="1" customWidth="1"/>
    <col min="266" max="266" width="13.28515625" style="2" customWidth="1"/>
    <col min="267" max="267" width="14.85546875" style="2" bestFit="1" customWidth="1"/>
    <col min="268" max="268" width="13.85546875" style="2" customWidth="1"/>
    <col min="269" max="269" width="14.42578125" style="2" customWidth="1"/>
    <col min="270" max="270" width="14.5703125" style="2" customWidth="1"/>
    <col min="271" max="510" width="9.140625" style="2"/>
    <col min="511" max="511" width="5.85546875" style="2" customWidth="1"/>
    <col min="512" max="512" width="8.85546875" style="2" customWidth="1"/>
    <col min="513" max="513" width="15.85546875" style="2" customWidth="1"/>
    <col min="514" max="514" width="5" style="2" customWidth="1"/>
    <col min="515" max="515" width="14.85546875" style="2" bestFit="1" customWidth="1"/>
    <col min="516" max="516" width="7.140625" style="2" customWidth="1"/>
    <col min="517" max="517" width="7.42578125" style="2" customWidth="1"/>
    <col min="518" max="518" width="11.7109375" style="2" bestFit="1" customWidth="1"/>
    <col min="519" max="519" width="5.7109375" style="2" bestFit="1" customWidth="1"/>
    <col min="520" max="520" width="11.85546875" style="2" customWidth="1"/>
    <col min="521" max="521" width="14.85546875" style="2" bestFit="1" customWidth="1"/>
    <col min="522" max="522" width="13.28515625" style="2" customWidth="1"/>
    <col min="523" max="523" width="14.85546875" style="2" bestFit="1" customWidth="1"/>
    <col min="524" max="524" width="13.85546875" style="2" customWidth="1"/>
    <col min="525" max="525" width="14.42578125" style="2" customWidth="1"/>
    <col min="526" max="526" width="14.5703125" style="2" customWidth="1"/>
    <col min="527" max="766" width="9.140625" style="2"/>
    <col min="767" max="767" width="5.85546875" style="2" customWidth="1"/>
    <col min="768" max="768" width="8.85546875" style="2" customWidth="1"/>
    <col min="769" max="769" width="15.85546875" style="2" customWidth="1"/>
    <col min="770" max="770" width="5" style="2" customWidth="1"/>
    <col min="771" max="771" width="14.85546875" style="2" bestFit="1" customWidth="1"/>
    <col min="772" max="772" width="7.140625" style="2" customWidth="1"/>
    <col min="773" max="773" width="7.42578125" style="2" customWidth="1"/>
    <col min="774" max="774" width="11.7109375" style="2" bestFit="1" customWidth="1"/>
    <col min="775" max="775" width="5.7109375" style="2" bestFit="1" customWidth="1"/>
    <col min="776" max="776" width="11.85546875" style="2" customWidth="1"/>
    <col min="777" max="777" width="14.85546875" style="2" bestFit="1" customWidth="1"/>
    <col min="778" max="778" width="13.28515625" style="2" customWidth="1"/>
    <col min="779" max="779" width="14.85546875" style="2" bestFit="1" customWidth="1"/>
    <col min="780" max="780" width="13.85546875" style="2" customWidth="1"/>
    <col min="781" max="781" width="14.42578125" style="2" customWidth="1"/>
    <col min="782" max="782" width="14.5703125" style="2" customWidth="1"/>
    <col min="783" max="1022" width="9.140625" style="2"/>
    <col min="1023" max="1023" width="5.85546875" style="2" customWidth="1"/>
    <col min="1024" max="1024" width="8.85546875" style="2" customWidth="1"/>
    <col min="1025" max="1025" width="15.85546875" style="2" customWidth="1"/>
    <col min="1026" max="1026" width="5" style="2" customWidth="1"/>
    <col min="1027" max="1027" width="14.85546875" style="2" bestFit="1" customWidth="1"/>
    <col min="1028" max="1028" width="7.140625" style="2" customWidth="1"/>
    <col min="1029" max="1029" width="7.42578125" style="2" customWidth="1"/>
    <col min="1030" max="1030" width="11.7109375" style="2" bestFit="1" customWidth="1"/>
    <col min="1031" max="1031" width="5.7109375" style="2" bestFit="1" customWidth="1"/>
    <col min="1032" max="1032" width="11.85546875" style="2" customWidth="1"/>
    <col min="1033" max="1033" width="14.85546875" style="2" bestFit="1" customWidth="1"/>
    <col min="1034" max="1034" width="13.28515625" style="2" customWidth="1"/>
    <col min="1035" max="1035" width="14.85546875" style="2" bestFit="1" customWidth="1"/>
    <col min="1036" max="1036" width="13.85546875" style="2" customWidth="1"/>
    <col min="1037" max="1037" width="14.42578125" style="2" customWidth="1"/>
    <col min="1038" max="1038" width="14.5703125" style="2" customWidth="1"/>
    <col min="1039" max="1278" width="9.140625" style="2"/>
    <col min="1279" max="1279" width="5.85546875" style="2" customWidth="1"/>
    <col min="1280" max="1280" width="8.85546875" style="2" customWidth="1"/>
    <col min="1281" max="1281" width="15.85546875" style="2" customWidth="1"/>
    <col min="1282" max="1282" width="5" style="2" customWidth="1"/>
    <col min="1283" max="1283" width="14.85546875" style="2" bestFit="1" customWidth="1"/>
    <col min="1284" max="1284" width="7.140625" style="2" customWidth="1"/>
    <col min="1285" max="1285" width="7.42578125" style="2" customWidth="1"/>
    <col min="1286" max="1286" width="11.7109375" style="2" bestFit="1" customWidth="1"/>
    <col min="1287" max="1287" width="5.7109375" style="2" bestFit="1" customWidth="1"/>
    <col min="1288" max="1288" width="11.85546875" style="2" customWidth="1"/>
    <col min="1289" max="1289" width="14.85546875" style="2" bestFit="1" customWidth="1"/>
    <col min="1290" max="1290" width="13.28515625" style="2" customWidth="1"/>
    <col min="1291" max="1291" width="14.85546875" style="2" bestFit="1" customWidth="1"/>
    <col min="1292" max="1292" width="13.85546875" style="2" customWidth="1"/>
    <col min="1293" max="1293" width="14.42578125" style="2" customWidth="1"/>
    <col min="1294" max="1294" width="14.5703125" style="2" customWidth="1"/>
    <col min="1295" max="1534" width="9.140625" style="2"/>
    <col min="1535" max="1535" width="5.85546875" style="2" customWidth="1"/>
    <col min="1536" max="1536" width="8.85546875" style="2" customWidth="1"/>
    <col min="1537" max="1537" width="15.85546875" style="2" customWidth="1"/>
    <col min="1538" max="1538" width="5" style="2" customWidth="1"/>
    <col min="1539" max="1539" width="14.85546875" style="2" bestFit="1" customWidth="1"/>
    <col min="1540" max="1540" width="7.140625" style="2" customWidth="1"/>
    <col min="1541" max="1541" width="7.42578125" style="2" customWidth="1"/>
    <col min="1542" max="1542" width="11.7109375" style="2" bestFit="1" customWidth="1"/>
    <col min="1543" max="1543" width="5.7109375" style="2" bestFit="1" customWidth="1"/>
    <col min="1544" max="1544" width="11.85546875" style="2" customWidth="1"/>
    <col min="1545" max="1545" width="14.85546875" style="2" bestFit="1" customWidth="1"/>
    <col min="1546" max="1546" width="13.28515625" style="2" customWidth="1"/>
    <col min="1547" max="1547" width="14.85546875" style="2" bestFit="1" customWidth="1"/>
    <col min="1548" max="1548" width="13.85546875" style="2" customWidth="1"/>
    <col min="1549" max="1549" width="14.42578125" style="2" customWidth="1"/>
    <col min="1550" max="1550" width="14.5703125" style="2" customWidth="1"/>
    <col min="1551" max="1790" width="9.140625" style="2"/>
    <col min="1791" max="1791" width="5.85546875" style="2" customWidth="1"/>
    <col min="1792" max="1792" width="8.85546875" style="2" customWidth="1"/>
    <col min="1793" max="1793" width="15.85546875" style="2" customWidth="1"/>
    <col min="1794" max="1794" width="5" style="2" customWidth="1"/>
    <col min="1795" max="1795" width="14.85546875" style="2" bestFit="1" customWidth="1"/>
    <col min="1796" max="1796" width="7.140625" style="2" customWidth="1"/>
    <col min="1797" max="1797" width="7.42578125" style="2" customWidth="1"/>
    <col min="1798" max="1798" width="11.7109375" style="2" bestFit="1" customWidth="1"/>
    <col min="1799" max="1799" width="5.7109375" style="2" bestFit="1" customWidth="1"/>
    <col min="1800" max="1800" width="11.85546875" style="2" customWidth="1"/>
    <col min="1801" max="1801" width="14.85546875" style="2" bestFit="1" customWidth="1"/>
    <col min="1802" max="1802" width="13.28515625" style="2" customWidth="1"/>
    <col min="1803" max="1803" width="14.85546875" style="2" bestFit="1" customWidth="1"/>
    <col min="1804" max="1804" width="13.85546875" style="2" customWidth="1"/>
    <col min="1805" max="1805" width="14.42578125" style="2" customWidth="1"/>
    <col min="1806" max="1806" width="14.5703125" style="2" customWidth="1"/>
    <col min="1807" max="2046" width="9.140625" style="2"/>
    <col min="2047" max="2047" width="5.85546875" style="2" customWidth="1"/>
    <col min="2048" max="2048" width="8.85546875" style="2" customWidth="1"/>
    <col min="2049" max="2049" width="15.85546875" style="2" customWidth="1"/>
    <col min="2050" max="2050" width="5" style="2" customWidth="1"/>
    <col min="2051" max="2051" width="14.85546875" style="2" bestFit="1" customWidth="1"/>
    <col min="2052" max="2052" width="7.140625" style="2" customWidth="1"/>
    <col min="2053" max="2053" width="7.42578125" style="2" customWidth="1"/>
    <col min="2054" max="2054" width="11.7109375" style="2" bestFit="1" customWidth="1"/>
    <col min="2055" max="2055" width="5.7109375" style="2" bestFit="1" customWidth="1"/>
    <col min="2056" max="2056" width="11.85546875" style="2" customWidth="1"/>
    <col min="2057" max="2057" width="14.85546875" style="2" bestFit="1" customWidth="1"/>
    <col min="2058" max="2058" width="13.28515625" style="2" customWidth="1"/>
    <col min="2059" max="2059" width="14.85546875" style="2" bestFit="1" customWidth="1"/>
    <col min="2060" max="2060" width="13.85546875" style="2" customWidth="1"/>
    <col min="2061" max="2061" width="14.42578125" style="2" customWidth="1"/>
    <col min="2062" max="2062" width="14.5703125" style="2" customWidth="1"/>
    <col min="2063" max="2302" width="9.140625" style="2"/>
    <col min="2303" max="2303" width="5.85546875" style="2" customWidth="1"/>
    <col min="2304" max="2304" width="8.85546875" style="2" customWidth="1"/>
    <col min="2305" max="2305" width="15.85546875" style="2" customWidth="1"/>
    <col min="2306" max="2306" width="5" style="2" customWidth="1"/>
    <col min="2307" max="2307" width="14.85546875" style="2" bestFit="1" customWidth="1"/>
    <col min="2308" max="2308" width="7.140625" style="2" customWidth="1"/>
    <col min="2309" max="2309" width="7.42578125" style="2" customWidth="1"/>
    <col min="2310" max="2310" width="11.7109375" style="2" bestFit="1" customWidth="1"/>
    <col min="2311" max="2311" width="5.7109375" style="2" bestFit="1" customWidth="1"/>
    <col min="2312" max="2312" width="11.85546875" style="2" customWidth="1"/>
    <col min="2313" max="2313" width="14.85546875" style="2" bestFit="1" customWidth="1"/>
    <col min="2314" max="2314" width="13.28515625" style="2" customWidth="1"/>
    <col min="2315" max="2315" width="14.85546875" style="2" bestFit="1" customWidth="1"/>
    <col min="2316" max="2316" width="13.85546875" style="2" customWidth="1"/>
    <col min="2317" max="2317" width="14.42578125" style="2" customWidth="1"/>
    <col min="2318" max="2318" width="14.5703125" style="2" customWidth="1"/>
    <col min="2319" max="2558" width="9.140625" style="2"/>
    <col min="2559" max="2559" width="5.85546875" style="2" customWidth="1"/>
    <col min="2560" max="2560" width="8.85546875" style="2" customWidth="1"/>
    <col min="2561" max="2561" width="15.85546875" style="2" customWidth="1"/>
    <col min="2562" max="2562" width="5" style="2" customWidth="1"/>
    <col min="2563" max="2563" width="14.85546875" style="2" bestFit="1" customWidth="1"/>
    <col min="2564" max="2564" width="7.140625" style="2" customWidth="1"/>
    <col min="2565" max="2565" width="7.42578125" style="2" customWidth="1"/>
    <col min="2566" max="2566" width="11.7109375" style="2" bestFit="1" customWidth="1"/>
    <col min="2567" max="2567" width="5.7109375" style="2" bestFit="1" customWidth="1"/>
    <col min="2568" max="2568" width="11.85546875" style="2" customWidth="1"/>
    <col min="2569" max="2569" width="14.85546875" style="2" bestFit="1" customWidth="1"/>
    <col min="2570" max="2570" width="13.28515625" style="2" customWidth="1"/>
    <col min="2571" max="2571" width="14.85546875" style="2" bestFit="1" customWidth="1"/>
    <col min="2572" max="2572" width="13.85546875" style="2" customWidth="1"/>
    <col min="2573" max="2573" width="14.42578125" style="2" customWidth="1"/>
    <col min="2574" max="2574" width="14.5703125" style="2" customWidth="1"/>
    <col min="2575" max="2814" width="9.140625" style="2"/>
    <col min="2815" max="2815" width="5.85546875" style="2" customWidth="1"/>
    <col min="2816" max="2816" width="8.85546875" style="2" customWidth="1"/>
    <col min="2817" max="2817" width="15.85546875" style="2" customWidth="1"/>
    <col min="2818" max="2818" width="5" style="2" customWidth="1"/>
    <col min="2819" max="2819" width="14.85546875" style="2" bestFit="1" customWidth="1"/>
    <col min="2820" max="2820" width="7.140625" style="2" customWidth="1"/>
    <col min="2821" max="2821" width="7.42578125" style="2" customWidth="1"/>
    <col min="2822" max="2822" width="11.7109375" style="2" bestFit="1" customWidth="1"/>
    <col min="2823" max="2823" width="5.7109375" style="2" bestFit="1" customWidth="1"/>
    <col min="2824" max="2824" width="11.85546875" style="2" customWidth="1"/>
    <col min="2825" max="2825" width="14.85546875" style="2" bestFit="1" customWidth="1"/>
    <col min="2826" max="2826" width="13.28515625" style="2" customWidth="1"/>
    <col min="2827" max="2827" width="14.85546875" style="2" bestFit="1" customWidth="1"/>
    <col min="2828" max="2828" width="13.85546875" style="2" customWidth="1"/>
    <col min="2829" max="2829" width="14.42578125" style="2" customWidth="1"/>
    <col min="2830" max="2830" width="14.5703125" style="2" customWidth="1"/>
    <col min="2831" max="3070" width="9.140625" style="2"/>
    <col min="3071" max="3071" width="5.85546875" style="2" customWidth="1"/>
    <col min="3072" max="3072" width="8.85546875" style="2" customWidth="1"/>
    <col min="3073" max="3073" width="15.85546875" style="2" customWidth="1"/>
    <col min="3074" max="3074" width="5" style="2" customWidth="1"/>
    <col min="3075" max="3075" width="14.85546875" style="2" bestFit="1" customWidth="1"/>
    <col min="3076" max="3076" width="7.140625" style="2" customWidth="1"/>
    <col min="3077" max="3077" width="7.42578125" style="2" customWidth="1"/>
    <col min="3078" max="3078" width="11.7109375" style="2" bestFit="1" customWidth="1"/>
    <col min="3079" max="3079" width="5.7109375" style="2" bestFit="1" customWidth="1"/>
    <col min="3080" max="3080" width="11.85546875" style="2" customWidth="1"/>
    <col min="3081" max="3081" width="14.85546875" style="2" bestFit="1" customWidth="1"/>
    <col min="3082" max="3082" width="13.28515625" style="2" customWidth="1"/>
    <col min="3083" max="3083" width="14.85546875" style="2" bestFit="1" customWidth="1"/>
    <col min="3084" max="3084" width="13.85546875" style="2" customWidth="1"/>
    <col min="3085" max="3085" width="14.42578125" style="2" customWidth="1"/>
    <col min="3086" max="3086" width="14.5703125" style="2" customWidth="1"/>
    <col min="3087" max="3326" width="9.140625" style="2"/>
    <col min="3327" max="3327" width="5.85546875" style="2" customWidth="1"/>
    <col min="3328" max="3328" width="8.85546875" style="2" customWidth="1"/>
    <col min="3329" max="3329" width="15.85546875" style="2" customWidth="1"/>
    <col min="3330" max="3330" width="5" style="2" customWidth="1"/>
    <col min="3331" max="3331" width="14.85546875" style="2" bestFit="1" customWidth="1"/>
    <col min="3332" max="3332" width="7.140625" style="2" customWidth="1"/>
    <col min="3333" max="3333" width="7.42578125" style="2" customWidth="1"/>
    <col min="3334" max="3334" width="11.7109375" style="2" bestFit="1" customWidth="1"/>
    <col min="3335" max="3335" width="5.7109375" style="2" bestFit="1" customWidth="1"/>
    <col min="3336" max="3336" width="11.85546875" style="2" customWidth="1"/>
    <col min="3337" max="3337" width="14.85546875" style="2" bestFit="1" customWidth="1"/>
    <col min="3338" max="3338" width="13.28515625" style="2" customWidth="1"/>
    <col min="3339" max="3339" width="14.85546875" style="2" bestFit="1" customWidth="1"/>
    <col min="3340" max="3340" width="13.85546875" style="2" customWidth="1"/>
    <col min="3341" max="3341" width="14.42578125" style="2" customWidth="1"/>
    <col min="3342" max="3342" width="14.5703125" style="2" customWidth="1"/>
    <col min="3343" max="3582" width="9.140625" style="2"/>
    <col min="3583" max="3583" width="5.85546875" style="2" customWidth="1"/>
    <col min="3584" max="3584" width="8.85546875" style="2" customWidth="1"/>
    <col min="3585" max="3585" width="15.85546875" style="2" customWidth="1"/>
    <col min="3586" max="3586" width="5" style="2" customWidth="1"/>
    <col min="3587" max="3587" width="14.85546875" style="2" bestFit="1" customWidth="1"/>
    <col min="3588" max="3588" width="7.140625" style="2" customWidth="1"/>
    <col min="3589" max="3589" width="7.42578125" style="2" customWidth="1"/>
    <col min="3590" max="3590" width="11.7109375" style="2" bestFit="1" customWidth="1"/>
    <col min="3591" max="3591" width="5.7109375" style="2" bestFit="1" customWidth="1"/>
    <col min="3592" max="3592" width="11.85546875" style="2" customWidth="1"/>
    <col min="3593" max="3593" width="14.85546875" style="2" bestFit="1" customWidth="1"/>
    <col min="3594" max="3594" width="13.28515625" style="2" customWidth="1"/>
    <col min="3595" max="3595" width="14.85546875" style="2" bestFit="1" customWidth="1"/>
    <col min="3596" max="3596" width="13.85546875" style="2" customWidth="1"/>
    <col min="3597" max="3597" width="14.42578125" style="2" customWidth="1"/>
    <col min="3598" max="3598" width="14.5703125" style="2" customWidth="1"/>
    <col min="3599" max="3838" width="9.140625" style="2"/>
    <col min="3839" max="3839" width="5.85546875" style="2" customWidth="1"/>
    <col min="3840" max="3840" width="8.85546875" style="2" customWidth="1"/>
    <col min="3841" max="3841" width="15.85546875" style="2" customWidth="1"/>
    <col min="3842" max="3842" width="5" style="2" customWidth="1"/>
    <col min="3843" max="3843" width="14.85546875" style="2" bestFit="1" customWidth="1"/>
    <col min="3844" max="3844" width="7.140625" style="2" customWidth="1"/>
    <col min="3845" max="3845" width="7.42578125" style="2" customWidth="1"/>
    <col min="3846" max="3846" width="11.7109375" style="2" bestFit="1" customWidth="1"/>
    <col min="3847" max="3847" width="5.7109375" style="2" bestFit="1" customWidth="1"/>
    <col min="3848" max="3848" width="11.85546875" style="2" customWidth="1"/>
    <col min="3849" max="3849" width="14.85546875" style="2" bestFit="1" customWidth="1"/>
    <col min="3850" max="3850" width="13.28515625" style="2" customWidth="1"/>
    <col min="3851" max="3851" width="14.85546875" style="2" bestFit="1" customWidth="1"/>
    <col min="3852" max="3852" width="13.85546875" style="2" customWidth="1"/>
    <col min="3853" max="3853" width="14.42578125" style="2" customWidth="1"/>
    <col min="3854" max="3854" width="14.5703125" style="2" customWidth="1"/>
    <col min="3855" max="4094" width="9.140625" style="2"/>
    <col min="4095" max="4095" width="5.85546875" style="2" customWidth="1"/>
    <col min="4096" max="4096" width="8.85546875" style="2" customWidth="1"/>
    <col min="4097" max="4097" width="15.85546875" style="2" customWidth="1"/>
    <col min="4098" max="4098" width="5" style="2" customWidth="1"/>
    <col min="4099" max="4099" width="14.85546875" style="2" bestFit="1" customWidth="1"/>
    <col min="4100" max="4100" width="7.140625" style="2" customWidth="1"/>
    <col min="4101" max="4101" width="7.42578125" style="2" customWidth="1"/>
    <col min="4102" max="4102" width="11.7109375" style="2" bestFit="1" customWidth="1"/>
    <col min="4103" max="4103" width="5.7109375" style="2" bestFit="1" customWidth="1"/>
    <col min="4104" max="4104" width="11.85546875" style="2" customWidth="1"/>
    <col min="4105" max="4105" width="14.85546875" style="2" bestFit="1" customWidth="1"/>
    <col min="4106" max="4106" width="13.28515625" style="2" customWidth="1"/>
    <col min="4107" max="4107" width="14.85546875" style="2" bestFit="1" customWidth="1"/>
    <col min="4108" max="4108" width="13.85546875" style="2" customWidth="1"/>
    <col min="4109" max="4109" width="14.42578125" style="2" customWidth="1"/>
    <col min="4110" max="4110" width="14.5703125" style="2" customWidth="1"/>
    <col min="4111" max="4350" width="9.140625" style="2"/>
    <col min="4351" max="4351" width="5.85546875" style="2" customWidth="1"/>
    <col min="4352" max="4352" width="8.85546875" style="2" customWidth="1"/>
    <col min="4353" max="4353" width="15.85546875" style="2" customWidth="1"/>
    <col min="4354" max="4354" width="5" style="2" customWidth="1"/>
    <col min="4355" max="4355" width="14.85546875" style="2" bestFit="1" customWidth="1"/>
    <col min="4356" max="4356" width="7.140625" style="2" customWidth="1"/>
    <col min="4357" max="4357" width="7.42578125" style="2" customWidth="1"/>
    <col min="4358" max="4358" width="11.7109375" style="2" bestFit="1" customWidth="1"/>
    <col min="4359" max="4359" width="5.7109375" style="2" bestFit="1" customWidth="1"/>
    <col min="4360" max="4360" width="11.85546875" style="2" customWidth="1"/>
    <col min="4361" max="4361" width="14.85546875" style="2" bestFit="1" customWidth="1"/>
    <col min="4362" max="4362" width="13.28515625" style="2" customWidth="1"/>
    <col min="4363" max="4363" width="14.85546875" style="2" bestFit="1" customWidth="1"/>
    <col min="4364" max="4364" width="13.85546875" style="2" customWidth="1"/>
    <col min="4365" max="4365" width="14.42578125" style="2" customWidth="1"/>
    <col min="4366" max="4366" width="14.5703125" style="2" customWidth="1"/>
    <col min="4367" max="4606" width="9.140625" style="2"/>
    <col min="4607" max="4607" width="5.85546875" style="2" customWidth="1"/>
    <col min="4608" max="4608" width="8.85546875" style="2" customWidth="1"/>
    <col min="4609" max="4609" width="15.85546875" style="2" customWidth="1"/>
    <col min="4610" max="4610" width="5" style="2" customWidth="1"/>
    <col min="4611" max="4611" width="14.85546875" style="2" bestFit="1" customWidth="1"/>
    <col min="4612" max="4612" width="7.140625" style="2" customWidth="1"/>
    <col min="4613" max="4613" width="7.42578125" style="2" customWidth="1"/>
    <col min="4614" max="4614" width="11.7109375" style="2" bestFit="1" customWidth="1"/>
    <col min="4615" max="4615" width="5.7109375" style="2" bestFit="1" customWidth="1"/>
    <col min="4616" max="4616" width="11.85546875" style="2" customWidth="1"/>
    <col min="4617" max="4617" width="14.85546875" style="2" bestFit="1" customWidth="1"/>
    <col min="4618" max="4618" width="13.28515625" style="2" customWidth="1"/>
    <col min="4619" max="4619" width="14.85546875" style="2" bestFit="1" customWidth="1"/>
    <col min="4620" max="4620" width="13.85546875" style="2" customWidth="1"/>
    <col min="4621" max="4621" width="14.42578125" style="2" customWidth="1"/>
    <col min="4622" max="4622" width="14.5703125" style="2" customWidth="1"/>
    <col min="4623" max="4862" width="9.140625" style="2"/>
    <col min="4863" max="4863" width="5.85546875" style="2" customWidth="1"/>
    <col min="4864" max="4864" width="8.85546875" style="2" customWidth="1"/>
    <col min="4865" max="4865" width="15.85546875" style="2" customWidth="1"/>
    <col min="4866" max="4866" width="5" style="2" customWidth="1"/>
    <col min="4867" max="4867" width="14.85546875" style="2" bestFit="1" customWidth="1"/>
    <col min="4868" max="4868" width="7.140625" style="2" customWidth="1"/>
    <col min="4869" max="4869" width="7.42578125" style="2" customWidth="1"/>
    <col min="4870" max="4870" width="11.7109375" style="2" bestFit="1" customWidth="1"/>
    <col min="4871" max="4871" width="5.7109375" style="2" bestFit="1" customWidth="1"/>
    <col min="4872" max="4872" width="11.85546875" style="2" customWidth="1"/>
    <col min="4873" max="4873" width="14.85546875" style="2" bestFit="1" customWidth="1"/>
    <col min="4874" max="4874" width="13.28515625" style="2" customWidth="1"/>
    <col min="4875" max="4875" width="14.85546875" style="2" bestFit="1" customWidth="1"/>
    <col min="4876" max="4876" width="13.85546875" style="2" customWidth="1"/>
    <col min="4877" max="4877" width="14.42578125" style="2" customWidth="1"/>
    <col min="4878" max="4878" width="14.5703125" style="2" customWidth="1"/>
    <col min="4879" max="5118" width="9.140625" style="2"/>
    <col min="5119" max="5119" width="5.85546875" style="2" customWidth="1"/>
    <col min="5120" max="5120" width="8.85546875" style="2" customWidth="1"/>
    <col min="5121" max="5121" width="15.85546875" style="2" customWidth="1"/>
    <col min="5122" max="5122" width="5" style="2" customWidth="1"/>
    <col min="5123" max="5123" width="14.85546875" style="2" bestFit="1" customWidth="1"/>
    <col min="5124" max="5124" width="7.140625" style="2" customWidth="1"/>
    <col min="5125" max="5125" width="7.42578125" style="2" customWidth="1"/>
    <col min="5126" max="5126" width="11.7109375" style="2" bestFit="1" customWidth="1"/>
    <col min="5127" max="5127" width="5.7109375" style="2" bestFit="1" customWidth="1"/>
    <col min="5128" max="5128" width="11.85546875" style="2" customWidth="1"/>
    <col min="5129" max="5129" width="14.85546875" style="2" bestFit="1" customWidth="1"/>
    <col min="5130" max="5130" width="13.28515625" style="2" customWidth="1"/>
    <col min="5131" max="5131" width="14.85546875" style="2" bestFit="1" customWidth="1"/>
    <col min="5132" max="5132" width="13.85546875" style="2" customWidth="1"/>
    <col min="5133" max="5133" width="14.42578125" style="2" customWidth="1"/>
    <col min="5134" max="5134" width="14.5703125" style="2" customWidth="1"/>
    <col min="5135" max="5374" width="9.140625" style="2"/>
    <col min="5375" max="5375" width="5.85546875" style="2" customWidth="1"/>
    <col min="5376" max="5376" width="8.85546875" style="2" customWidth="1"/>
    <col min="5377" max="5377" width="15.85546875" style="2" customWidth="1"/>
    <col min="5378" max="5378" width="5" style="2" customWidth="1"/>
    <col min="5379" max="5379" width="14.85546875" style="2" bestFit="1" customWidth="1"/>
    <col min="5380" max="5380" width="7.140625" style="2" customWidth="1"/>
    <col min="5381" max="5381" width="7.42578125" style="2" customWidth="1"/>
    <col min="5382" max="5382" width="11.7109375" style="2" bestFit="1" customWidth="1"/>
    <col min="5383" max="5383" width="5.7109375" style="2" bestFit="1" customWidth="1"/>
    <col min="5384" max="5384" width="11.85546875" style="2" customWidth="1"/>
    <col min="5385" max="5385" width="14.85546875" style="2" bestFit="1" customWidth="1"/>
    <col min="5386" max="5386" width="13.28515625" style="2" customWidth="1"/>
    <col min="5387" max="5387" width="14.85546875" style="2" bestFit="1" customWidth="1"/>
    <col min="5388" max="5388" width="13.85546875" style="2" customWidth="1"/>
    <col min="5389" max="5389" width="14.42578125" style="2" customWidth="1"/>
    <col min="5390" max="5390" width="14.5703125" style="2" customWidth="1"/>
    <col min="5391" max="5630" width="9.140625" style="2"/>
    <col min="5631" max="5631" width="5.85546875" style="2" customWidth="1"/>
    <col min="5632" max="5632" width="8.85546875" style="2" customWidth="1"/>
    <col min="5633" max="5633" width="15.85546875" style="2" customWidth="1"/>
    <col min="5634" max="5634" width="5" style="2" customWidth="1"/>
    <col min="5635" max="5635" width="14.85546875" style="2" bestFit="1" customWidth="1"/>
    <col min="5636" max="5636" width="7.140625" style="2" customWidth="1"/>
    <col min="5637" max="5637" width="7.42578125" style="2" customWidth="1"/>
    <col min="5638" max="5638" width="11.7109375" style="2" bestFit="1" customWidth="1"/>
    <col min="5639" max="5639" width="5.7109375" style="2" bestFit="1" customWidth="1"/>
    <col min="5640" max="5640" width="11.85546875" style="2" customWidth="1"/>
    <col min="5641" max="5641" width="14.85546875" style="2" bestFit="1" customWidth="1"/>
    <col min="5642" max="5642" width="13.28515625" style="2" customWidth="1"/>
    <col min="5643" max="5643" width="14.85546875" style="2" bestFit="1" customWidth="1"/>
    <col min="5644" max="5644" width="13.85546875" style="2" customWidth="1"/>
    <col min="5645" max="5645" width="14.42578125" style="2" customWidth="1"/>
    <col min="5646" max="5646" width="14.5703125" style="2" customWidth="1"/>
    <col min="5647" max="5886" width="9.140625" style="2"/>
    <col min="5887" max="5887" width="5.85546875" style="2" customWidth="1"/>
    <col min="5888" max="5888" width="8.85546875" style="2" customWidth="1"/>
    <col min="5889" max="5889" width="15.85546875" style="2" customWidth="1"/>
    <col min="5890" max="5890" width="5" style="2" customWidth="1"/>
    <col min="5891" max="5891" width="14.85546875" style="2" bestFit="1" customWidth="1"/>
    <col min="5892" max="5892" width="7.140625" style="2" customWidth="1"/>
    <col min="5893" max="5893" width="7.42578125" style="2" customWidth="1"/>
    <col min="5894" max="5894" width="11.7109375" style="2" bestFit="1" customWidth="1"/>
    <col min="5895" max="5895" width="5.7109375" style="2" bestFit="1" customWidth="1"/>
    <col min="5896" max="5896" width="11.85546875" style="2" customWidth="1"/>
    <col min="5897" max="5897" width="14.85546875" style="2" bestFit="1" customWidth="1"/>
    <col min="5898" max="5898" width="13.28515625" style="2" customWidth="1"/>
    <col min="5899" max="5899" width="14.85546875" style="2" bestFit="1" customWidth="1"/>
    <col min="5900" max="5900" width="13.85546875" style="2" customWidth="1"/>
    <col min="5901" max="5901" width="14.42578125" style="2" customWidth="1"/>
    <col min="5902" max="5902" width="14.5703125" style="2" customWidth="1"/>
    <col min="5903" max="6142" width="9.140625" style="2"/>
    <col min="6143" max="6143" width="5.85546875" style="2" customWidth="1"/>
    <col min="6144" max="6144" width="8.85546875" style="2" customWidth="1"/>
    <col min="6145" max="6145" width="15.85546875" style="2" customWidth="1"/>
    <col min="6146" max="6146" width="5" style="2" customWidth="1"/>
    <col min="6147" max="6147" width="14.85546875" style="2" bestFit="1" customWidth="1"/>
    <col min="6148" max="6148" width="7.140625" style="2" customWidth="1"/>
    <col min="6149" max="6149" width="7.42578125" style="2" customWidth="1"/>
    <col min="6150" max="6150" width="11.7109375" style="2" bestFit="1" customWidth="1"/>
    <col min="6151" max="6151" width="5.7109375" style="2" bestFit="1" customWidth="1"/>
    <col min="6152" max="6152" width="11.85546875" style="2" customWidth="1"/>
    <col min="6153" max="6153" width="14.85546875" style="2" bestFit="1" customWidth="1"/>
    <col min="6154" max="6154" width="13.28515625" style="2" customWidth="1"/>
    <col min="6155" max="6155" width="14.85546875" style="2" bestFit="1" customWidth="1"/>
    <col min="6156" max="6156" width="13.85546875" style="2" customWidth="1"/>
    <col min="6157" max="6157" width="14.42578125" style="2" customWidth="1"/>
    <col min="6158" max="6158" width="14.5703125" style="2" customWidth="1"/>
    <col min="6159" max="6398" width="9.140625" style="2"/>
    <col min="6399" max="6399" width="5.85546875" style="2" customWidth="1"/>
    <col min="6400" max="6400" width="8.85546875" style="2" customWidth="1"/>
    <col min="6401" max="6401" width="15.85546875" style="2" customWidth="1"/>
    <col min="6402" max="6402" width="5" style="2" customWidth="1"/>
    <col min="6403" max="6403" width="14.85546875" style="2" bestFit="1" customWidth="1"/>
    <col min="6404" max="6404" width="7.140625" style="2" customWidth="1"/>
    <col min="6405" max="6405" width="7.42578125" style="2" customWidth="1"/>
    <col min="6406" max="6406" width="11.7109375" style="2" bestFit="1" customWidth="1"/>
    <col min="6407" max="6407" width="5.7109375" style="2" bestFit="1" customWidth="1"/>
    <col min="6408" max="6408" width="11.85546875" style="2" customWidth="1"/>
    <col min="6409" max="6409" width="14.85546875" style="2" bestFit="1" customWidth="1"/>
    <col min="6410" max="6410" width="13.28515625" style="2" customWidth="1"/>
    <col min="6411" max="6411" width="14.85546875" style="2" bestFit="1" customWidth="1"/>
    <col min="6412" max="6412" width="13.85546875" style="2" customWidth="1"/>
    <col min="6413" max="6413" width="14.42578125" style="2" customWidth="1"/>
    <col min="6414" max="6414" width="14.5703125" style="2" customWidth="1"/>
    <col min="6415" max="6654" width="9.140625" style="2"/>
    <col min="6655" max="6655" width="5.85546875" style="2" customWidth="1"/>
    <col min="6656" max="6656" width="8.85546875" style="2" customWidth="1"/>
    <col min="6657" max="6657" width="15.85546875" style="2" customWidth="1"/>
    <col min="6658" max="6658" width="5" style="2" customWidth="1"/>
    <col min="6659" max="6659" width="14.85546875" style="2" bestFit="1" customWidth="1"/>
    <col min="6660" max="6660" width="7.140625" style="2" customWidth="1"/>
    <col min="6661" max="6661" width="7.42578125" style="2" customWidth="1"/>
    <col min="6662" max="6662" width="11.7109375" style="2" bestFit="1" customWidth="1"/>
    <col min="6663" max="6663" width="5.7109375" style="2" bestFit="1" customWidth="1"/>
    <col min="6664" max="6664" width="11.85546875" style="2" customWidth="1"/>
    <col min="6665" max="6665" width="14.85546875" style="2" bestFit="1" customWidth="1"/>
    <col min="6666" max="6666" width="13.28515625" style="2" customWidth="1"/>
    <col min="6667" max="6667" width="14.85546875" style="2" bestFit="1" customWidth="1"/>
    <col min="6668" max="6668" width="13.85546875" style="2" customWidth="1"/>
    <col min="6669" max="6669" width="14.42578125" style="2" customWidth="1"/>
    <col min="6670" max="6670" width="14.5703125" style="2" customWidth="1"/>
    <col min="6671" max="6910" width="9.140625" style="2"/>
    <col min="6911" max="6911" width="5.85546875" style="2" customWidth="1"/>
    <col min="6912" max="6912" width="8.85546875" style="2" customWidth="1"/>
    <col min="6913" max="6913" width="15.85546875" style="2" customWidth="1"/>
    <col min="6914" max="6914" width="5" style="2" customWidth="1"/>
    <col min="6915" max="6915" width="14.85546875" style="2" bestFit="1" customWidth="1"/>
    <col min="6916" max="6916" width="7.140625" style="2" customWidth="1"/>
    <col min="6917" max="6917" width="7.42578125" style="2" customWidth="1"/>
    <col min="6918" max="6918" width="11.7109375" style="2" bestFit="1" customWidth="1"/>
    <col min="6919" max="6919" width="5.7109375" style="2" bestFit="1" customWidth="1"/>
    <col min="6920" max="6920" width="11.85546875" style="2" customWidth="1"/>
    <col min="6921" max="6921" width="14.85546875" style="2" bestFit="1" customWidth="1"/>
    <col min="6922" max="6922" width="13.28515625" style="2" customWidth="1"/>
    <col min="6923" max="6923" width="14.85546875" style="2" bestFit="1" customWidth="1"/>
    <col min="6924" max="6924" width="13.85546875" style="2" customWidth="1"/>
    <col min="6925" max="6925" width="14.42578125" style="2" customWidth="1"/>
    <col min="6926" max="6926" width="14.5703125" style="2" customWidth="1"/>
    <col min="6927" max="7166" width="9.140625" style="2"/>
    <col min="7167" max="7167" width="5.85546875" style="2" customWidth="1"/>
    <col min="7168" max="7168" width="8.85546875" style="2" customWidth="1"/>
    <col min="7169" max="7169" width="15.85546875" style="2" customWidth="1"/>
    <col min="7170" max="7170" width="5" style="2" customWidth="1"/>
    <col min="7171" max="7171" width="14.85546875" style="2" bestFit="1" customWidth="1"/>
    <col min="7172" max="7172" width="7.140625" style="2" customWidth="1"/>
    <col min="7173" max="7173" width="7.42578125" style="2" customWidth="1"/>
    <col min="7174" max="7174" width="11.7109375" style="2" bestFit="1" customWidth="1"/>
    <col min="7175" max="7175" width="5.7109375" style="2" bestFit="1" customWidth="1"/>
    <col min="7176" max="7176" width="11.85546875" style="2" customWidth="1"/>
    <col min="7177" max="7177" width="14.85546875" style="2" bestFit="1" customWidth="1"/>
    <col min="7178" max="7178" width="13.28515625" style="2" customWidth="1"/>
    <col min="7179" max="7179" width="14.85546875" style="2" bestFit="1" customWidth="1"/>
    <col min="7180" max="7180" width="13.85546875" style="2" customWidth="1"/>
    <col min="7181" max="7181" width="14.42578125" style="2" customWidth="1"/>
    <col min="7182" max="7182" width="14.5703125" style="2" customWidth="1"/>
    <col min="7183" max="7422" width="9.140625" style="2"/>
    <col min="7423" max="7423" width="5.85546875" style="2" customWidth="1"/>
    <col min="7424" max="7424" width="8.85546875" style="2" customWidth="1"/>
    <col min="7425" max="7425" width="15.85546875" style="2" customWidth="1"/>
    <col min="7426" max="7426" width="5" style="2" customWidth="1"/>
    <col min="7427" max="7427" width="14.85546875" style="2" bestFit="1" customWidth="1"/>
    <col min="7428" max="7428" width="7.140625" style="2" customWidth="1"/>
    <col min="7429" max="7429" width="7.42578125" style="2" customWidth="1"/>
    <col min="7430" max="7430" width="11.7109375" style="2" bestFit="1" customWidth="1"/>
    <col min="7431" max="7431" width="5.7109375" style="2" bestFit="1" customWidth="1"/>
    <col min="7432" max="7432" width="11.85546875" style="2" customWidth="1"/>
    <col min="7433" max="7433" width="14.85546875" style="2" bestFit="1" customWidth="1"/>
    <col min="7434" max="7434" width="13.28515625" style="2" customWidth="1"/>
    <col min="7435" max="7435" width="14.85546875" style="2" bestFit="1" customWidth="1"/>
    <col min="7436" max="7436" width="13.85546875" style="2" customWidth="1"/>
    <col min="7437" max="7437" width="14.42578125" style="2" customWidth="1"/>
    <col min="7438" max="7438" width="14.5703125" style="2" customWidth="1"/>
    <col min="7439" max="7678" width="9.140625" style="2"/>
    <col min="7679" max="7679" width="5.85546875" style="2" customWidth="1"/>
    <col min="7680" max="7680" width="8.85546875" style="2" customWidth="1"/>
    <col min="7681" max="7681" width="15.85546875" style="2" customWidth="1"/>
    <col min="7682" max="7682" width="5" style="2" customWidth="1"/>
    <col min="7683" max="7683" width="14.85546875" style="2" bestFit="1" customWidth="1"/>
    <col min="7684" max="7684" width="7.140625" style="2" customWidth="1"/>
    <col min="7685" max="7685" width="7.42578125" style="2" customWidth="1"/>
    <col min="7686" max="7686" width="11.7109375" style="2" bestFit="1" customWidth="1"/>
    <col min="7687" max="7687" width="5.7109375" style="2" bestFit="1" customWidth="1"/>
    <col min="7688" max="7688" width="11.85546875" style="2" customWidth="1"/>
    <col min="7689" max="7689" width="14.85546875" style="2" bestFit="1" customWidth="1"/>
    <col min="7690" max="7690" width="13.28515625" style="2" customWidth="1"/>
    <col min="7691" max="7691" width="14.85546875" style="2" bestFit="1" customWidth="1"/>
    <col min="7692" max="7692" width="13.85546875" style="2" customWidth="1"/>
    <col min="7693" max="7693" width="14.42578125" style="2" customWidth="1"/>
    <col min="7694" max="7694" width="14.5703125" style="2" customWidth="1"/>
    <col min="7695" max="7934" width="9.140625" style="2"/>
    <col min="7935" max="7935" width="5.85546875" style="2" customWidth="1"/>
    <col min="7936" max="7936" width="8.85546875" style="2" customWidth="1"/>
    <col min="7937" max="7937" width="15.85546875" style="2" customWidth="1"/>
    <col min="7938" max="7938" width="5" style="2" customWidth="1"/>
    <col min="7939" max="7939" width="14.85546875" style="2" bestFit="1" customWidth="1"/>
    <col min="7940" max="7940" width="7.140625" style="2" customWidth="1"/>
    <col min="7941" max="7941" width="7.42578125" style="2" customWidth="1"/>
    <col min="7942" max="7942" width="11.7109375" style="2" bestFit="1" customWidth="1"/>
    <col min="7943" max="7943" width="5.7109375" style="2" bestFit="1" customWidth="1"/>
    <col min="7944" max="7944" width="11.85546875" style="2" customWidth="1"/>
    <col min="7945" max="7945" width="14.85546875" style="2" bestFit="1" customWidth="1"/>
    <col min="7946" max="7946" width="13.28515625" style="2" customWidth="1"/>
    <col min="7947" max="7947" width="14.85546875" style="2" bestFit="1" customWidth="1"/>
    <col min="7948" max="7948" width="13.85546875" style="2" customWidth="1"/>
    <col min="7949" max="7949" width="14.42578125" style="2" customWidth="1"/>
    <col min="7950" max="7950" width="14.5703125" style="2" customWidth="1"/>
    <col min="7951" max="8190" width="9.140625" style="2"/>
    <col min="8191" max="8191" width="5.85546875" style="2" customWidth="1"/>
    <col min="8192" max="8192" width="8.85546875" style="2" customWidth="1"/>
    <col min="8193" max="8193" width="15.85546875" style="2" customWidth="1"/>
    <col min="8194" max="8194" width="5" style="2" customWidth="1"/>
    <col min="8195" max="8195" width="14.85546875" style="2" bestFit="1" customWidth="1"/>
    <col min="8196" max="8196" width="7.140625" style="2" customWidth="1"/>
    <col min="8197" max="8197" width="7.42578125" style="2" customWidth="1"/>
    <col min="8198" max="8198" width="11.7109375" style="2" bestFit="1" customWidth="1"/>
    <col min="8199" max="8199" width="5.7109375" style="2" bestFit="1" customWidth="1"/>
    <col min="8200" max="8200" width="11.85546875" style="2" customWidth="1"/>
    <col min="8201" max="8201" width="14.85546875" style="2" bestFit="1" customWidth="1"/>
    <col min="8202" max="8202" width="13.28515625" style="2" customWidth="1"/>
    <col min="8203" max="8203" width="14.85546875" style="2" bestFit="1" customWidth="1"/>
    <col min="8204" max="8204" width="13.85546875" style="2" customWidth="1"/>
    <col min="8205" max="8205" width="14.42578125" style="2" customWidth="1"/>
    <col min="8206" max="8206" width="14.5703125" style="2" customWidth="1"/>
    <col min="8207" max="8446" width="9.140625" style="2"/>
    <col min="8447" max="8447" width="5.85546875" style="2" customWidth="1"/>
    <col min="8448" max="8448" width="8.85546875" style="2" customWidth="1"/>
    <col min="8449" max="8449" width="15.85546875" style="2" customWidth="1"/>
    <col min="8450" max="8450" width="5" style="2" customWidth="1"/>
    <col min="8451" max="8451" width="14.85546875" style="2" bestFit="1" customWidth="1"/>
    <col min="8452" max="8452" width="7.140625" style="2" customWidth="1"/>
    <col min="8453" max="8453" width="7.42578125" style="2" customWidth="1"/>
    <col min="8454" max="8454" width="11.7109375" style="2" bestFit="1" customWidth="1"/>
    <col min="8455" max="8455" width="5.7109375" style="2" bestFit="1" customWidth="1"/>
    <col min="8456" max="8456" width="11.85546875" style="2" customWidth="1"/>
    <col min="8457" max="8457" width="14.85546875" style="2" bestFit="1" customWidth="1"/>
    <col min="8458" max="8458" width="13.28515625" style="2" customWidth="1"/>
    <col min="8459" max="8459" width="14.85546875" style="2" bestFit="1" customWidth="1"/>
    <col min="8460" max="8460" width="13.85546875" style="2" customWidth="1"/>
    <col min="8461" max="8461" width="14.42578125" style="2" customWidth="1"/>
    <col min="8462" max="8462" width="14.5703125" style="2" customWidth="1"/>
    <col min="8463" max="8702" width="9.140625" style="2"/>
    <col min="8703" max="8703" width="5.85546875" style="2" customWidth="1"/>
    <col min="8704" max="8704" width="8.85546875" style="2" customWidth="1"/>
    <col min="8705" max="8705" width="15.85546875" style="2" customWidth="1"/>
    <col min="8706" max="8706" width="5" style="2" customWidth="1"/>
    <col min="8707" max="8707" width="14.85546875" style="2" bestFit="1" customWidth="1"/>
    <col min="8708" max="8708" width="7.140625" style="2" customWidth="1"/>
    <col min="8709" max="8709" width="7.42578125" style="2" customWidth="1"/>
    <col min="8710" max="8710" width="11.7109375" style="2" bestFit="1" customWidth="1"/>
    <col min="8711" max="8711" width="5.7109375" style="2" bestFit="1" customWidth="1"/>
    <col min="8712" max="8712" width="11.85546875" style="2" customWidth="1"/>
    <col min="8713" max="8713" width="14.85546875" style="2" bestFit="1" customWidth="1"/>
    <col min="8714" max="8714" width="13.28515625" style="2" customWidth="1"/>
    <col min="8715" max="8715" width="14.85546875" style="2" bestFit="1" customWidth="1"/>
    <col min="8716" max="8716" width="13.85546875" style="2" customWidth="1"/>
    <col min="8717" max="8717" width="14.42578125" style="2" customWidth="1"/>
    <col min="8718" max="8718" width="14.5703125" style="2" customWidth="1"/>
    <col min="8719" max="8958" width="9.140625" style="2"/>
    <col min="8959" max="8959" width="5.85546875" style="2" customWidth="1"/>
    <col min="8960" max="8960" width="8.85546875" style="2" customWidth="1"/>
    <col min="8961" max="8961" width="15.85546875" style="2" customWidth="1"/>
    <col min="8962" max="8962" width="5" style="2" customWidth="1"/>
    <col min="8963" max="8963" width="14.85546875" style="2" bestFit="1" customWidth="1"/>
    <col min="8964" max="8964" width="7.140625" style="2" customWidth="1"/>
    <col min="8965" max="8965" width="7.42578125" style="2" customWidth="1"/>
    <col min="8966" max="8966" width="11.7109375" style="2" bestFit="1" customWidth="1"/>
    <col min="8967" max="8967" width="5.7109375" style="2" bestFit="1" customWidth="1"/>
    <col min="8968" max="8968" width="11.85546875" style="2" customWidth="1"/>
    <col min="8969" max="8969" width="14.85546875" style="2" bestFit="1" customWidth="1"/>
    <col min="8970" max="8970" width="13.28515625" style="2" customWidth="1"/>
    <col min="8971" max="8971" width="14.85546875" style="2" bestFit="1" customWidth="1"/>
    <col min="8972" max="8972" width="13.85546875" style="2" customWidth="1"/>
    <col min="8973" max="8973" width="14.42578125" style="2" customWidth="1"/>
    <col min="8974" max="8974" width="14.5703125" style="2" customWidth="1"/>
    <col min="8975" max="9214" width="9.140625" style="2"/>
    <col min="9215" max="9215" width="5.85546875" style="2" customWidth="1"/>
    <col min="9216" max="9216" width="8.85546875" style="2" customWidth="1"/>
    <col min="9217" max="9217" width="15.85546875" style="2" customWidth="1"/>
    <col min="9218" max="9218" width="5" style="2" customWidth="1"/>
    <col min="9219" max="9219" width="14.85546875" style="2" bestFit="1" customWidth="1"/>
    <col min="9220" max="9220" width="7.140625" style="2" customWidth="1"/>
    <col min="9221" max="9221" width="7.42578125" style="2" customWidth="1"/>
    <col min="9222" max="9222" width="11.7109375" style="2" bestFit="1" customWidth="1"/>
    <col min="9223" max="9223" width="5.7109375" style="2" bestFit="1" customWidth="1"/>
    <col min="9224" max="9224" width="11.85546875" style="2" customWidth="1"/>
    <col min="9225" max="9225" width="14.85546875" style="2" bestFit="1" customWidth="1"/>
    <col min="9226" max="9226" width="13.28515625" style="2" customWidth="1"/>
    <col min="9227" max="9227" width="14.85546875" style="2" bestFit="1" customWidth="1"/>
    <col min="9228" max="9228" width="13.85546875" style="2" customWidth="1"/>
    <col min="9229" max="9229" width="14.42578125" style="2" customWidth="1"/>
    <col min="9230" max="9230" width="14.5703125" style="2" customWidth="1"/>
    <col min="9231" max="9470" width="9.140625" style="2"/>
    <col min="9471" max="9471" width="5.85546875" style="2" customWidth="1"/>
    <col min="9472" max="9472" width="8.85546875" style="2" customWidth="1"/>
    <col min="9473" max="9473" width="15.85546875" style="2" customWidth="1"/>
    <col min="9474" max="9474" width="5" style="2" customWidth="1"/>
    <col min="9475" max="9475" width="14.85546875" style="2" bestFit="1" customWidth="1"/>
    <col min="9476" max="9476" width="7.140625" style="2" customWidth="1"/>
    <col min="9477" max="9477" width="7.42578125" style="2" customWidth="1"/>
    <col min="9478" max="9478" width="11.7109375" style="2" bestFit="1" customWidth="1"/>
    <col min="9479" max="9479" width="5.7109375" style="2" bestFit="1" customWidth="1"/>
    <col min="9480" max="9480" width="11.85546875" style="2" customWidth="1"/>
    <col min="9481" max="9481" width="14.85546875" style="2" bestFit="1" customWidth="1"/>
    <col min="9482" max="9482" width="13.28515625" style="2" customWidth="1"/>
    <col min="9483" max="9483" width="14.85546875" style="2" bestFit="1" customWidth="1"/>
    <col min="9484" max="9484" width="13.85546875" style="2" customWidth="1"/>
    <col min="9485" max="9485" width="14.42578125" style="2" customWidth="1"/>
    <col min="9486" max="9486" width="14.5703125" style="2" customWidth="1"/>
    <col min="9487" max="9726" width="9.140625" style="2"/>
    <col min="9727" max="9727" width="5.85546875" style="2" customWidth="1"/>
    <col min="9728" max="9728" width="8.85546875" style="2" customWidth="1"/>
    <col min="9729" max="9729" width="15.85546875" style="2" customWidth="1"/>
    <col min="9730" max="9730" width="5" style="2" customWidth="1"/>
    <col min="9731" max="9731" width="14.85546875" style="2" bestFit="1" customWidth="1"/>
    <col min="9732" max="9732" width="7.140625" style="2" customWidth="1"/>
    <col min="9733" max="9733" width="7.42578125" style="2" customWidth="1"/>
    <col min="9734" max="9734" width="11.7109375" style="2" bestFit="1" customWidth="1"/>
    <col min="9735" max="9735" width="5.7109375" style="2" bestFit="1" customWidth="1"/>
    <col min="9736" max="9736" width="11.85546875" style="2" customWidth="1"/>
    <col min="9737" max="9737" width="14.85546875" style="2" bestFit="1" customWidth="1"/>
    <col min="9738" max="9738" width="13.28515625" style="2" customWidth="1"/>
    <col min="9739" max="9739" width="14.85546875" style="2" bestFit="1" customWidth="1"/>
    <col min="9740" max="9740" width="13.85546875" style="2" customWidth="1"/>
    <col min="9741" max="9741" width="14.42578125" style="2" customWidth="1"/>
    <col min="9742" max="9742" width="14.5703125" style="2" customWidth="1"/>
    <col min="9743" max="9982" width="9.140625" style="2"/>
    <col min="9983" max="9983" width="5.85546875" style="2" customWidth="1"/>
    <col min="9984" max="9984" width="8.85546875" style="2" customWidth="1"/>
    <col min="9985" max="9985" width="15.85546875" style="2" customWidth="1"/>
    <col min="9986" max="9986" width="5" style="2" customWidth="1"/>
    <col min="9987" max="9987" width="14.85546875" style="2" bestFit="1" customWidth="1"/>
    <col min="9988" max="9988" width="7.140625" style="2" customWidth="1"/>
    <col min="9989" max="9989" width="7.42578125" style="2" customWidth="1"/>
    <col min="9990" max="9990" width="11.7109375" style="2" bestFit="1" customWidth="1"/>
    <col min="9991" max="9991" width="5.7109375" style="2" bestFit="1" customWidth="1"/>
    <col min="9992" max="9992" width="11.85546875" style="2" customWidth="1"/>
    <col min="9993" max="9993" width="14.85546875" style="2" bestFit="1" customWidth="1"/>
    <col min="9994" max="9994" width="13.28515625" style="2" customWidth="1"/>
    <col min="9995" max="9995" width="14.85546875" style="2" bestFit="1" customWidth="1"/>
    <col min="9996" max="9996" width="13.85546875" style="2" customWidth="1"/>
    <col min="9997" max="9997" width="14.42578125" style="2" customWidth="1"/>
    <col min="9998" max="9998" width="14.5703125" style="2" customWidth="1"/>
    <col min="9999" max="10238" width="9.140625" style="2"/>
    <col min="10239" max="10239" width="5.85546875" style="2" customWidth="1"/>
    <col min="10240" max="10240" width="8.85546875" style="2" customWidth="1"/>
    <col min="10241" max="10241" width="15.85546875" style="2" customWidth="1"/>
    <col min="10242" max="10242" width="5" style="2" customWidth="1"/>
    <col min="10243" max="10243" width="14.85546875" style="2" bestFit="1" customWidth="1"/>
    <col min="10244" max="10244" width="7.140625" style="2" customWidth="1"/>
    <col min="10245" max="10245" width="7.42578125" style="2" customWidth="1"/>
    <col min="10246" max="10246" width="11.7109375" style="2" bestFit="1" customWidth="1"/>
    <col min="10247" max="10247" width="5.7109375" style="2" bestFit="1" customWidth="1"/>
    <col min="10248" max="10248" width="11.85546875" style="2" customWidth="1"/>
    <col min="10249" max="10249" width="14.85546875" style="2" bestFit="1" customWidth="1"/>
    <col min="10250" max="10250" width="13.28515625" style="2" customWidth="1"/>
    <col min="10251" max="10251" width="14.85546875" style="2" bestFit="1" customWidth="1"/>
    <col min="10252" max="10252" width="13.85546875" style="2" customWidth="1"/>
    <col min="10253" max="10253" width="14.42578125" style="2" customWidth="1"/>
    <col min="10254" max="10254" width="14.5703125" style="2" customWidth="1"/>
    <col min="10255" max="10494" width="9.140625" style="2"/>
    <col min="10495" max="10495" width="5.85546875" style="2" customWidth="1"/>
    <col min="10496" max="10496" width="8.85546875" style="2" customWidth="1"/>
    <col min="10497" max="10497" width="15.85546875" style="2" customWidth="1"/>
    <col min="10498" max="10498" width="5" style="2" customWidth="1"/>
    <col min="10499" max="10499" width="14.85546875" style="2" bestFit="1" customWidth="1"/>
    <col min="10500" max="10500" width="7.140625" style="2" customWidth="1"/>
    <col min="10501" max="10501" width="7.42578125" style="2" customWidth="1"/>
    <col min="10502" max="10502" width="11.7109375" style="2" bestFit="1" customWidth="1"/>
    <col min="10503" max="10503" width="5.7109375" style="2" bestFit="1" customWidth="1"/>
    <col min="10504" max="10504" width="11.85546875" style="2" customWidth="1"/>
    <col min="10505" max="10505" width="14.85546875" style="2" bestFit="1" customWidth="1"/>
    <col min="10506" max="10506" width="13.28515625" style="2" customWidth="1"/>
    <col min="10507" max="10507" width="14.85546875" style="2" bestFit="1" customWidth="1"/>
    <col min="10508" max="10508" width="13.85546875" style="2" customWidth="1"/>
    <col min="10509" max="10509" width="14.42578125" style="2" customWidth="1"/>
    <col min="10510" max="10510" width="14.5703125" style="2" customWidth="1"/>
    <col min="10511" max="10750" width="9.140625" style="2"/>
    <col min="10751" max="10751" width="5.85546875" style="2" customWidth="1"/>
    <col min="10752" max="10752" width="8.85546875" style="2" customWidth="1"/>
    <col min="10753" max="10753" width="15.85546875" style="2" customWidth="1"/>
    <col min="10754" max="10754" width="5" style="2" customWidth="1"/>
    <col min="10755" max="10755" width="14.85546875" style="2" bestFit="1" customWidth="1"/>
    <col min="10756" max="10756" width="7.140625" style="2" customWidth="1"/>
    <col min="10757" max="10757" width="7.42578125" style="2" customWidth="1"/>
    <col min="10758" max="10758" width="11.7109375" style="2" bestFit="1" customWidth="1"/>
    <col min="10759" max="10759" width="5.7109375" style="2" bestFit="1" customWidth="1"/>
    <col min="10760" max="10760" width="11.85546875" style="2" customWidth="1"/>
    <col min="10761" max="10761" width="14.85546875" style="2" bestFit="1" customWidth="1"/>
    <col min="10762" max="10762" width="13.28515625" style="2" customWidth="1"/>
    <col min="10763" max="10763" width="14.85546875" style="2" bestFit="1" customWidth="1"/>
    <col min="10764" max="10764" width="13.85546875" style="2" customWidth="1"/>
    <col min="10765" max="10765" width="14.42578125" style="2" customWidth="1"/>
    <col min="10766" max="10766" width="14.5703125" style="2" customWidth="1"/>
    <col min="10767" max="11006" width="9.140625" style="2"/>
    <col min="11007" max="11007" width="5.85546875" style="2" customWidth="1"/>
    <col min="11008" max="11008" width="8.85546875" style="2" customWidth="1"/>
    <col min="11009" max="11009" width="15.85546875" style="2" customWidth="1"/>
    <col min="11010" max="11010" width="5" style="2" customWidth="1"/>
    <col min="11011" max="11011" width="14.85546875" style="2" bestFit="1" customWidth="1"/>
    <col min="11012" max="11012" width="7.140625" style="2" customWidth="1"/>
    <col min="11013" max="11013" width="7.42578125" style="2" customWidth="1"/>
    <col min="11014" max="11014" width="11.7109375" style="2" bestFit="1" customWidth="1"/>
    <col min="11015" max="11015" width="5.7109375" style="2" bestFit="1" customWidth="1"/>
    <col min="11016" max="11016" width="11.85546875" style="2" customWidth="1"/>
    <col min="11017" max="11017" width="14.85546875" style="2" bestFit="1" customWidth="1"/>
    <col min="11018" max="11018" width="13.28515625" style="2" customWidth="1"/>
    <col min="11019" max="11019" width="14.85546875" style="2" bestFit="1" customWidth="1"/>
    <col min="11020" max="11020" width="13.85546875" style="2" customWidth="1"/>
    <col min="11021" max="11021" width="14.42578125" style="2" customWidth="1"/>
    <col min="11022" max="11022" width="14.5703125" style="2" customWidth="1"/>
    <col min="11023" max="11262" width="9.140625" style="2"/>
    <col min="11263" max="11263" width="5.85546875" style="2" customWidth="1"/>
    <col min="11264" max="11264" width="8.85546875" style="2" customWidth="1"/>
    <col min="11265" max="11265" width="15.85546875" style="2" customWidth="1"/>
    <col min="11266" max="11266" width="5" style="2" customWidth="1"/>
    <col min="11267" max="11267" width="14.85546875" style="2" bestFit="1" customWidth="1"/>
    <col min="11268" max="11268" width="7.140625" style="2" customWidth="1"/>
    <col min="11269" max="11269" width="7.42578125" style="2" customWidth="1"/>
    <col min="11270" max="11270" width="11.7109375" style="2" bestFit="1" customWidth="1"/>
    <col min="11271" max="11271" width="5.7109375" style="2" bestFit="1" customWidth="1"/>
    <col min="11272" max="11272" width="11.85546875" style="2" customWidth="1"/>
    <col min="11273" max="11273" width="14.85546875" style="2" bestFit="1" customWidth="1"/>
    <col min="11274" max="11274" width="13.28515625" style="2" customWidth="1"/>
    <col min="11275" max="11275" width="14.85546875" style="2" bestFit="1" customWidth="1"/>
    <col min="11276" max="11276" width="13.85546875" style="2" customWidth="1"/>
    <col min="11277" max="11277" width="14.42578125" style="2" customWidth="1"/>
    <col min="11278" max="11278" width="14.5703125" style="2" customWidth="1"/>
    <col min="11279" max="11518" width="9.140625" style="2"/>
    <col min="11519" max="11519" width="5.85546875" style="2" customWidth="1"/>
    <col min="11520" max="11520" width="8.85546875" style="2" customWidth="1"/>
    <col min="11521" max="11521" width="15.85546875" style="2" customWidth="1"/>
    <col min="11522" max="11522" width="5" style="2" customWidth="1"/>
    <col min="11523" max="11523" width="14.85546875" style="2" bestFit="1" customWidth="1"/>
    <col min="11524" max="11524" width="7.140625" style="2" customWidth="1"/>
    <col min="11525" max="11525" width="7.42578125" style="2" customWidth="1"/>
    <col min="11526" max="11526" width="11.7109375" style="2" bestFit="1" customWidth="1"/>
    <col min="11527" max="11527" width="5.7109375" style="2" bestFit="1" customWidth="1"/>
    <col min="11528" max="11528" width="11.85546875" style="2" customWidth="1"/>
    <col min="11529" max="11529" width="14.85546875" style="2" bestFit="1" customWidth="1"/>
    <col min="11530" max="11530" width="13.28515625" style="2" customWidth="1"/>
    <col min="11531" max="11531" width="14.85546875" style="2" bestFit="1" customWidth="1"/>
    <col min="11532" max="11532" width="13.85546875" style="2" customWidth="1"/>
    <col min="11533" max="11533" width="14.42578125" style="2" customWidth="1"/>
    <col min="11534" max="11534" width="14.5703125" style="2" customWidth="1"/>
    <col min="11535" max="11774" width="9.140625" style="2"/>
    <col min="11775" max="11775" width="5.85546875" style="2" customWidth="1"/>
    <col min="11776" max="11776" width="8.85546875" style="2" customWidth="1"/>
    <col min="11777" max="11777" width="15.85546875" style="2" customWidth="1"/>
    <col min="11778" max="11778" width="5" style="2" customWidth="1"/>
    <col min="11779" max="11779" width="14.85546875" style="2" bestFit="1" customWidth="1"/>
    <col min="11780" max="11780" width="7.140625" style="2" customWidth="1"/>
    <col min="11781" max="11781" width="7.42578125" style="2" customWidth="1"/>
    <col min="11782" max="11782" width="11.7109375" style="2" bestFit="1" customWidth="1"/>
    <col min="11783" max="11783" width="5.7109375" style="2" bestFit="1" customWidth="1"/>
    <col min="11784" max="11784" width="11.85546875" style="2" customWidth="1"/>
    <col min="11785" max="11785" width="14.85546875" style="2" bestFit="1" customWidth="1"/>
    <col min="11786" max="11786" width="13.28515625" style="2" customWidth="1"/>
    <col min="11787" max="11787" width="14.85546875" style="2" bestFit="1" customWidth="1"/>
    <col min="11788" max="11788" width="13.85546875" style="2" customWidth="1"/>
    <col min="11789" max="11789" width="14.42578125" style="2" customWidth="1"/>
    <col min="11790" max="11790" width="14.5703125" style="2" customWidth="1"/>
    <col min="11791" max="12030" width="9.140625" style="2"/>
    <col min="12031" max="12031" width="5.85546875" style="2" customWidth="1"/>
    <col min="12032" max="12032" width="8.85546875" style="2" customWidth="1"/>
    <col min="12033" max="12033" width="15.85546875" style="2" customWidth="1"/>
    <col min="12034" max="12034" width="5" style="2" customWidth="1"/>
    <col min="12035" max="12035" width="14.85546875" style="2" bestFit="1" customWidth="1"/>
    <col min="12036" max="12036" width="7.140625" style="2" customWidth="1"/>
    <col min="12037" max="12037" width="7.42578125" style="2" customWidth="1"/>
    <col min="12038" max="12038" width="11.7109375" style="2" bestFit="1" customWidth="1"/>
    <col min="12039" max="12039" width="5.7109375" style="2" bestFit="1" customWidth="1"/>
    <col min="12040" max="12040" width="11.85546875" style="2" customWidth="1"/>
    <col min="12041" max="12041" width="14.85546875" style="2" bestFit="1" customWidth="1"/>
    <col min="12042" max="12042" width="13.28515625" style="2" customWidth="1"/>
    <col min="12043" max="12043" width="14.85546875" style="2" bestFit="1" customWidth="1"/>
    <col min="12044" max="12044" width="13.85546875" style="2" customWidth="1"/>
    <col min="12045" max="12045" width="14.42578125" style="2" customWidth="1"/>
    <col min="12046" max="12046" width="14.5703125" style="2" customWidth="1"/>
    <col min="12047" max="12286" width="9.140625" style="2"/>
    <col min="12287" max="12287" width="5.85546875" style="2" customWidth="1"/>
    <col min="12288" max="12288" width="8.85546875" style="2" customWidth="1"/>
    <col min="12289" max="12289" width="15.85546875" style="2" customWidth="1"/>
    <col min="12290" max="12290" width="5" style="2" customWidth="1"/>
    <col min="12291" max="12291" width="14.85546875" style="2" bestFit="1" customWidth="1"/>
    <col min="12292" max="12292" width="7.140625" style="2" customWidth="1"/>
    <col min="12293" max="12293" width="7.42578125" style="2" customWidth="1"/>
    <col min="12294" max="12294" width="11.7109375" style="2" bestFit="1" customWidth="1"/>
    <col min="12295" max="12295" width="5.7109375" style="2" bestFit="1" customWidth="1"/>
    <col min="12296" max="12296" width="11.85546875" style="2" customWidth="1"/>
    <col min="12297" max="12297" width="14.85546875" style="2" bestFit="1" customWidth="1"/>
    <col min="12298" max="12298" width="13.28515625" style="2" customWidth="1"/>
    <col min="12299" max="12299" width="14.85546875" style="2" bestFit="1" customWidth="1"/>
    <col min="12300" max="12300" width="13.85546875" style="2" customWidth="1"/>
    <col min="12301" max="12301" width="14.42578125" style="2" customWidth="1"/>
    <col min="12302" max="12302" width="14.5703125" style="2" customWidth="1"/>
    <col min="12303" max="12542" width="9.140625" style="2"/>
    <col min="12543" max="12543" width="5.85546875" style="2" customWidth="1"/>
    <col min="12544" max="12544" width="8.85546875" style="2" customWidth="1"/>
    <col min="12545" max="12545" width="15.85546875" style="2" customWidth="1"/>
    <col min="12546" max="12546" width="5" style="2" customWidth="1"/>
    <col min="12547" max="12547" width="14.85546875" style="2" bestFit="1" customWidth="1"/>
    <col min="12548" max="12548" width="7.140625" style="2" customWidth="1"/>
    <col min="12549" max="12549" width="7.42578125" style="2" customWidth="1"/>
    <col min="12550" max="12550" width="11.7109375" style="2" bestFit="1" customWidth="1"/>
    <col min="12551" max="12551" width="5.7109375" style="2" bestFit="1" customWidth="1"/>
    <col min="12552" max="12552" width="11.85546875" style="2" customWidth="1"/>
    <col min="12553" max="12553" width="14.85546875" style="2" bestFit="1" customWidth="1"/>
    <col min="12554" max="12554" width="13.28515625" style="2" customWidth="1"/>
    <col min="12555" max="12555" width="14.85546875" style="2" bestFit="1" customWidth="1"/>
    <col min="12556" max="12556" width="13.85546875" style="2" customWidth="1"/>
    <col min="12557" max="12557" width="14.42578125" style="2" customWidth="1"/>
    <col min="12558" max="12558" width="14.5703125" style="2" customWidth="1"/>
    <col min="12559" max="12798" width="9.140625" style="2"/>
    <col min="12799" max="12799" width="5.85546875" style="2" customWidth="1"/>
    <col min="12800" max="12800" width="8.85546875" style="2" customWidth="1"/>
    <col min="12801" max="12801" width="15.85546875" style="2" customWidth="1"/>
    <col min="12802" max="12802" width="5" style="2" customWidth="1"/>
    <col min="12803" max="12803" width="14.85546875" style="2" bestFit="1" customWidth="1"/>
    <col min="12804" max="12804" width="7.140625" style="2" customWidth="1"/>
    <col min="12805" max="12805" width="7.42578125" style="2" customWidth="1"/>
    <col min="12806" max="12806" width="11.7109375" style="2" bestFit="1" customWidth="1"/>
    <col min="12807" max="12807" width="5.7109375" style="2" bestFit="1" customWidth="1"/>
    <col min="12808" max="12808" width="11.85546875" style="2" customWidth="1"/>
    <col min="12809" max="12809" width="14.85546875" style="2" bestFit="1" customWidth="1"/>
    <col min="12810" max="12810" width="13.28515625" style="2" customWidth="1"/>
    <col min="12811" max="12811" width="14.85546875" style="2" bestFit="1" customWidth="1"/>
    <col min="12812" max="12812" width="13.85546875" style="2" customWidth="1"/>
    <col min="12813" max="12813" width="14.42578125" style="2" customWidth="1"/>
    <col min="12814" max="12814" width="14.5703125" style="2" customWidth="1"/>
    <col min="12815" max="13054" width="9.140625" style="2"/>
    <col min="13055" max="13055" width="5.85546875" style="2" customWidth="1"/>
    <col min="13056" max="13056" width="8.85546875" style="2" customWidth="1"/>
    <col min="13057" max="13057" width="15.85546875" style="2" customWidth="1"/>
    <col min="13058" max="13058" width="5" style="2" customWidth="1"/>
    <col min="13059" max="13059" width="14.85546875" style="2" bestFit="1" customWidth="1"/>
    <col min="13060" max="13060" width="7.140625" style="2" customWidth="1"/>
    <col min="13061" max="13061" width="7.42578125" style="2" customWidth="1"/>
    <col min="13062" max="13062" width="11.7109375" style="2" bestFit="1" customWidth="1"/>
    <col min="13063" max="13063" width="5.7109375" style="2" bestFit="1" customWidth="1"/>
    <col min="13064" max="13064" width="11.85546875" style="2" customWidth="1"/>
    <col min="13065" max="13065" width="14.85546875" style="2" bestFit="1" customWidth="1"/>
    <col min="13066" max="13066" width="13.28515625" style="2" customWidth="1"/>
    <col min="13067" max="13067" width="14.85546875" style="2" bestFit="1" customWidth="1"/>
    <col min="13068" max="13068" width="13.85546875" style="2" customWidth="1"/>
    <col min="13069" max="13069" width="14.42578125" style="2" customWidth="1"/>
    <col min="13070" max="13070" width="14.5703125" style="2" customWidth="1"/>
    <col min="13071" max="13310" width="9.140625" style="2"/>
    <col min="13311" max="13311" width="5.85546875" style="2" customWidth="1"/>
    <col min="13312" max="13312" width="8.85546875" style="2" customWidth="1"/>
    <col min="13313" max="13313" width="15.85546875" style="2" customWidth="1"/>
    <col min="13314" max="13314" width="5" style="2" customWidth="1"/>
    <col min="13315" max="13315" width="14.85546875" style="2" bestFit="1" customWidth="1"/>
    <col min="13316" max="13316" width="7.140625" style="2" customWidth="1"/>
    <col min="13317" max="13317" width="7.42578125" style="2" customWidth="1"/>
    <col min="13318" max="13318" width="11.7109375" style="2" bestFit="1" customWidth="1"/>
    <col min="13319" max="13319" width="5.7109375" style="2" bestFit="1" customWidth="1"/>
    <col min="13320" max="13320" width="11.85546875" style="2" customWidth="1"/>
    <col min="13321" max="13321" width="14.85546875" style="2" bestFit="1" customWidth="1"/>
    <col min="13322" max="13322" width="13.28515625" style="2" customWidth="1"/>
    <col min="13323" max="13323" width="14.85546875" style="2" bestFit="1" customWidth="1"/>
    <col min="13324" max="13324" width="13.85546875" style="2" customWidth="1"/>
    <col min="13325" max="13325" width="14.42578125" style="2" customWidth="1"/>
    <col min="13326" max="13326" width="14.5703125" style="2" customWidth="1"/>
    <col min="13327" max="13566" width="9.140625" style="2"/>
    <col min="13567" max="13567" width="5.85546875" style="2" customWidth="1"/>
    <col min="13568" max="13568" width="8.85546875" style="2" customWidth="1"/>
    <col min="13569" max="13569" width="15.85546875" style="2" customWidth="1"/>
    <col min="13570" max="13570" width="5" style="2" customWidth="1"/>
    <col min="13571" max="13571" width="14.85546875" style="2" bestFit="1" customWidth="1"/>
    <col min="13572" max="13572" width="7.140625" style="2" customWidth="1"/>
    <col min="13573" max="13573" width="7.42578125" style="2" customWidth="1"/>
    <col min="13574" max="13574" width="11.7109375" style="2" bestFit="1" customWidth="1"/>
    <col min="13575" max="13575" width="5.7109375" style="2" bestFit="1" customWidth="1"/>
    <col min="13576" max="13576" width="11.85546875" style="2" customWidth="1"/>
    <col min="13577" max="13577" width="14.85546875" style="2" bestFit="1" customWidth="1"/>
    <col min="13578" max="13578" width="13.28515625" style="2" customWidth="1"/>
    <col min="13579" max="13579" width="14.85546875" style="2" bestFit="1" customWidth="1"/>
    <col min="13580" max="13580" width="13.85546875" style="2" customWidth="1"/>
    <col min="13581" max="13581" width="14.42578125" style="2" customWidth="1"/>
    <col min="13582" max="13582" width="14.5703125" style="2" customWidth="1"/>
    <col min="13583" max="13822" width="9.140625" style="2"/>
    <col min="13823" max="13823" width="5.85546875" style="2" customWidth="1"/>
    <col min="13824" max="13824" width="8.85546875" style="2" customWidth="1"/>
    <col min="13825" max="13825" width="15.85546875" style="2" customWidth="1"/>
    <col min="13826" max="13826" width="5" style="2" customWidth="1"/>
    <col min="13827" max="13827" width="14.85546875" style="2" bestFit="1" customWidth="1"/>
    <col min="13828" max="13828" width="7.140625" style="2" customWidth="1"/>
    <col min="13829" max="13829" width="7.42578125" style="2" customWidth="1"/>
    <col min="13830" max="13830" width="11.7109375" style="2" bestFit="1" customWidth="1"/>
    <col min="13831" max="13831" width="5.7109375" style="2" bestFit="1" customWidth="1"/>
    <col min="13832" max="13832" width="11.85546875" style="2" customWidth="1"/>
    <col min="13833" max="13833" width="14.85546875" style="2" bestFit="1" customWidth="1"/>
    <col min="13834" max="13834" width="13.28515625" style="2" customWidth="1"/>
    <col min="13835" max="13835" width="14.85546875" style="2" bestFit="1" customWidth="1"/>
    <col min="13836" max="13836" width="13.85546875" style="2" customWidth="1"/>
    <col min="13837" max="13837" width="14.42578125" style="2" customWidth="1"/>
    <col min="13838" max="13838" width="14.5703125" style="2" customWidth="1"/>
    <col min="13839" max="14078" width="9.140625" style="2"/>
    <col min="14079" max="14079" width="5.85546875" style="2" customWidth="1"/>
    <col min="14080" max="14080" width="8.85546875" style="2" customWidth="1"/>
    <col min="14081" max="14081" width="15.85546875" style="2" customWidth="1"/>
    <col min="14082" max="14082" width="5" style="2" customWidth="1"/>
    <col min="14083" max="14083" width="14.85546875" style="2" bestFit="1" customWidth="1"/>
    <col min="14084" max="14084" width="7.140625" style="2" customWidth="1"/>
    <col min="14085" max="14085" width="7.42578125" style="2" customWidth="1"/>
    <col min="14086" max="14086" width="11.7109375" style="2" bestFit="1" customWidth="1"/>
    <col min="14087" max="14087" width="5.7109375" style="2" bestFit="1" customWidth="1"/>
    <col min="14088" max="14088" width="11.85546875" style="2" customWidth="1"/>
    <col min="14089" max="14089" width="14.85546875" style="2" bestFit="1" customWidth="1"/>
    <col min="14090" max="14090" width="13.28515625" style="2" customWidth="1"/>
    <col min="14091" max="14091" width="14.85546875" style="2" bestFit="1" customWidth="1"/>
    <col min="14092" max="14092" width="13.85546875" style="2" customWidth="1"/>
    <col min="14093" max="14093" width="14.42578125" style="2" customWidth="1"/>
    <col min="14094" max="14094" width="14.5703125" style="2" customWidth="1"/>
    <col min="14095" max="14334" width="9.140625" style="2"/>
    <col min="14335" max="14335" width="5.85546875" style="2" customWidth="1"/>
    <col min="14336" max="14336" width="8.85546875" style="2" customWidth="1"/>
    <col min="14337" max="14337" width="15.85546875" style="2" customWidth="1"/>
    <col min="14338" max="14338" width="5" style="2" customWidth="1"/>
    <col min="14339" max="14339" width="14.85546875" style="2" bestFit="1" customWidth="1"/>
    <col min="14340" max="14340" width="7.140625" style="2" customWidth="1"/>
    <col min="14341" max="14341" width="7.42578125" style="2" customWidth="1"/>
    <col min="14342" max="14342" width="11.7109375" style="2" bestFit="1" customWidth="1"/>
    <col min="14343" max="14343" width="5.7109375" style="2" bestFit="1" customWidth="1"/>
    <col min="14344" max="14344" width="11.85546875" style="2" customWidth="1"/>
    <col min="14345" max="14345" width="14.85546875" style="2" bestFit="1" customWidth="1"/>
    <col min="14346" max="14346" width="13.28515625" style="2" customWidth="1"/>
    <col min="14347" max="14347" width="14.85546875" style="2" bestFit="1" customWidth="1"/>
    <col min="14348" max="14348" width="13.85546875" style="2" customWidth="1"/>
    <col min="14349" max="14349" width="14.42578125" style="2" customWidth="1"/>
    <col min="14350" max="14350" width="14.5703125" style="2" customWidth="1"/>
    <col min="14351" max="14590" width="9.140625" style="2"/>
    <col min="14591" max="14591" width="5.85546875" style="2" customWidth="1"/>
    <col min="14592" max="14592" width="8.85546875" style="2" customWidth="1"/>
    <col min="14593" max="14593" width="15.85546875" style="2" customWidth="1"/>
    <col min="14594" max="14594" width="5" style="2" customWidth="1"/>
    <col min="14595" max="14595" width="14.85546875" style="2" bestFit="1" customWidth="1"/>
    <col min="14596" max="14596" width="7.140625" style="2" customWidth="1"/>
    <col min="14597" max="14597" width="7.42578125" style="2" customWidth="1"/>
    <col min="14598" max="14598" width="11.7109375" style="2" bestFit="1" customWidth="1"/>
    <col min="14599" max="14599" width="5.7109375" style="2" bestFit="1" customWidth="1"/>
    <col min="14600" max="14600" width="11.85546875" style="2" customWidth="1"/>
    <col min="14601" max="14601" width="14.85546875" style="2" bestFit="1" customWidth="1"/>
    <col min="14602" max="14602" width="13.28515625" style="2" customWidth="1"/>
    <col min="14603" max="14603" width="14.85546875" style="2" bestFit="1" customWidth="1"/>
    <col min="14604" max="14604" width="13.85546875" style="2" customWidth="1"/>
    <col min="14605" max="14605" width="14.42578125" style="2" customWidth="1"/>
    <col min="14606" max="14606" width="14.5703125" style="2" customWidth="1"/>
    <col min="14607" max="14846" width="9.140625" style="2"/>
    <col min="14847" max="14847" width="5.85546875" style="2" customWidth="1"/>
    <col min="14848" max="14848" width="8.85546875" style="2" customWidth="1"/>
    <col min="14849" max="14849" width="15.85546875" style="2" customWidth="1"/>
    <col min="14850" max="14850" width="5" style="2" customWidth="1"/>
    <col min="14851" max="14851" width="14.85546875" style="2" bestFit="1" customWidth="1"/>
    <col min="14852" max="14852" width="7.140625" style="2" customWidth="1"/>
    <col min="14853" max="14853" width="7.42578125" style="2" customWidth="1"/>
    <col min="14854" max="14854" width="11.7109375" style="2" bestFit="1" customWidth="1"/>
    <col min="14855" max="14855" width="5.7109375" style="2" bestFit="1" customWidth="1"/>
    <col min="14856" max="14856" width="11.85546875" style="2" customWidth="1"/>
    <col min="14857" max="14857" width="14.85546875" style="2" bestFit="1" customWidth="1"/>
    <col min="14858" max="14858" width="13.28515625" style="2" customWidth="1"/>
    <col min="14859" max="14859" width="14.85546875" style="2" bestFit="1" customWidth="1"/>
    <col min="14860" max="14860" width="13.85546875" style="2" customWidth="1"/>
    <col min="14861" max="14861" width="14.42578125" style="2" customWidth="1"/>
    <col min="14862" max="14862" width="14.5703125" style="2" customWidth="1"/>
    <col min="14863" max="15102" width="9.140625" style="2"/>
    <col min="15103" max="15103" width="5.85546875" style="2" customWidth="1"/>
    <col min="15104" max="15104" width="8.85546875" style="2" customWidth="1"/>
    <col min="15105" max="15105" width="15.85546875" style="2" customWidth="1"/>
    <col min="15106" max="15106" width="5" style="2" customWidth="1"/>
    <col min="15107" max="15107" width="14.85546875" style="2" bestFit="1" customWidth="1"/>
    <col min="15108" max="15108" width="7.140625" style="2" customWidth="1"/>
    <col min="15109" max="15109" width="7.42578125" style="2" customWidth="1"/>
    <col min="15110" max="15110" width="11.7109375" style="2" bestFit="1" customWidth="1"/>
    <col min="15111" max="15111" width="5.7109375" style="2" bestFit="1" customWidth="1"/>
    <col min="15112" max="15112" width="11.85546875" style="2" customWidth="1"/>
    <col min="15113" max="15113" width="14.85546875" style="2" bestFit="1" customWidth="1"/>
    <col min="15114" max="15114" width="13.28515625" style="2" customWidth="1"/>
    <col min="15115" max="15115" width="14.85546875" style="2" bestFit="1" customWidth="1"/>
    <col min="15116" max="15116" width="13.85546875" style="2" customWidth="1"/>
    <col min="15117" max="15117" width="14.42578125" style="2" customWidth="1"/>
    <col min="15118" max="15118" width="14.5703125" style="2" customWidth="1"/>
    <col min="15119" max="15358" width="9.140625" style="2"/>
    <col min="15359" max="15359" width="5.85546875" style="2" customWidth="1"/>
    <col min="15360" max="15360" width="8.85546875" style="2" customWidth="1"/>
    <col min="15361" max="15361" width="15.85546875" style="2" customWidth="1"/>
    <col min="15362" max="15362" width="5" style="2" customWidth="1"/>
    <col min="15363" max="15363" width="14.85546875" style="2" bestFit="1" customWidth="1"/>
    <col min="15364" max="15364" width="7.140625" style="2" customWidth="1"/>
    <col min="15365" max="15365" width="7.42578125" style="2" customWidth="1"/>
    <col min="15366" max="15366" width="11.7109375" style="2" bestFit="1" customWidth="1"/>
    <col min="15367" max="15367" width="5.7109375" style="2" bestFit="1" customWidth="1"/>
    <col min="15368" max="15368" width="11.85546875" style="2" customWidth="1"/>
    <col min="15369" max="15369" width="14.85546875" style="2" bestFit="1" customWidth="1"/>
    <col min="15370" max="15370" width="13.28515625" style="2" customWidth="1"/>
    <col min="15371" max="15371" width="14.85546875" style="2" bestFit="1" customWidth="1"/>
    <col min="15372" max="15372" width="13.85546875" style="2" customWidth="1"/>
    <col min="15373" max="15373" width="14.42578125" style="2" customWidth="1"/>
    <col min="15374" max="15374" width="14.5703125" style="2" customWidth="1"/>
    <col min="15375" max="15614" width="9.140625" style="2"/>
    <col min="15615" max="15615" width="5.85546875" style="2" customWidth="1"/>
    <col min="15616" max="15616" width="8.85546875" style="2" customWidth="1"/>
    <col min="15617" max="15617" width="15.85546875" style="2" customWidth="1"/>
    <col min="15618" max="15618" width="5" style="2" customWidth="1"/>
    <col min="15619" max="15619" width="14.85546875" style="2" bestFit="1" customWidth="1"/>
    <col min="15620" max="15620" width="7.140625" style="2" customWidth="1"/>
    <col min="15621" max="15621" width="7.42578125" style="2" customWidth="1"/>
    <col min="15622" max="15622" width="11.7109375" style="2" bestFit="1" customWidth="1"/>
    <col min="15623" max="15623" width="5.7109375" style="2" bestFit="1" customWidth="1"/>
    <col min="15624" max="15624" width="11.85546875" style="2" customWidth="1"/>
    <col min="15625" max="15625" width="14.85546875" style="2" bestFit="1" customWidth="1"/>
    <col min="15626" max="15626" width="13.28515625" style="2" customWidth="1"/>
    <col min="15627" max="15627" width="14.85546875" style="2" bestFit="1" customWidth="1"/>
    <col min="15628" max="15628" width="13.85546875" style="2" customWidth="1"/>
    <col min="15629" max="15629" width="14.42578125" style="2" customWidth="1"/>
    <col min="15630" max="15630" width="14.5703125" style="2" customWidth="1"/>
    <col min="15631" max="15870" width="9.140625" style="2"/>
    <col min="15871" max="15871" width="5.85546875" style="2" customWidth="1"/>
    <col min="15872" max="15872" width="8.85546875" style="2" customWidth="1"/>
    <col min="15873" max="15873" width="15.85546875" style="2" customWidth="1"/>
    <col min="15874" max="15874" width="5" style="2" customWidth="1"/>
    <col min="15875" max="15875" width="14.85546875" style="2" bestFit="1" customWidth="1"/>
    <col min="15876" max="15876" width="7.140625" style="2" customWidth="1"/>
    <col min="15877" max="15877" width="7.42578125" style="2" customWidth="1"/>
    <col min="15878" max="15878" width="11.7109375" style="2" bestFit="1" customWidth="1"/>
    <col min="15879" max="15879" width="5.7109375" style="2" bestFit="1" customWidth="1"/>
    <col min="15880" max="15880" width="11.85546875" style="2" customWidth="1"/>
    <col min="15881" max="15881" width="14.85546875" style="2" bestFit="1" customWidth="1"/>
    <col min="15882" max="15882" width="13.28515625" style="2" customWidth="1"/>
    <col min="15883" max="15883" width="14.85546875" style="2" bestFit="1" customWidth="1"/>
    <col min="15884" max="15884" width="13.85546875" style="2" customWidth="1"/>
    <col min="15885" max="15885" width="14.42578125" style="2" customWidth="1"/>
    <col min="15886" max="15886" width="14.5703125" style="2" customWidth="1"/>
    <col min="15887" max="16126" width="9.140625" style="2"/>
    <col min="16127" max="16127" width="5.85546875" style="2" customWidth="1"/>
    <col min="16128" max="16128" width="8.85546875" style="2" customWidth="1"/>
    <col min="16129" max="16129" width="15.85546875" style="2" customWidth="1"/>
    <col min="16130" max="16130" width="5" style="2" customWidth="1"/>
    <col min="16131" max="16131" width="14.85546875" style="2" bestFit="1" customWidth="1"/>
    <col min="16132" max="16132" width="7.140625" style="2" customWidth="1"/>
    <col min="16133" max="16133" width="7.42578125" style="2" customWidth="1"/>
    <col min="16134" max="16134" width="11.7109375" style="2" bestFit="1" customWidth="1"/>
    <col min="16135" max="16135" width="5.7109375" style="2" bestFit="1" customWidth="1"/>
    <col min="16136" max="16136" width="11.85546875" style="2" customWidth="1"/>
    <col min="16137" max="16137" width="14.85546875" style="2" bestFit="1" customWidth="1"/>
    <col min="16138" max="16138" width="13.28515625" style="2" customWidth="1"/>
    <col min="16139" max="16139" width="14.85546875" style="2" bestFit="1" customWidth="1"/>
    <col min="16140" max="16140" width="13.85546875" style="2" customWidth="1"/>
    <col min="16141" max="16141" width="14.42578125" style="2" customWidth="1"/>
    <col min="16142" max="16142" width="14.5703125" style="2" customWidth="1"/>
    <col min="16143" max="16384" width="9.140625" style="2"/>
  </cols>
  <sheetData>
    <row r="1" spans="1:16" ht="45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6" customFormat="1" ht="20.100000000000001" customHeight="1">
      <c r="A2" s="81" t="s">
        <v>0</v>
      </c>
      <c r="B2" s="82"/>
      <c r="C2" s="3" t="s">
        <v>1</v>
      </c>
      <c r="D2" s="83" t="s">
        <v>2</v>
      </c>
      <c r="E2" s="4" t="s">
        <v>3</v>
      </c>
      <c r="F2" s="86" t="s">
        <v>4</v>
      </c>
      <c r="G2" s="87"/>
      <c r="H2" s="87"/>
      <c r="I2" s="87"/>
      <c r="J2" s="87"/>
      <c r="K2" s="88"/>
      <c r="L2" s="4" t="s">
        <v>5</v>
      </c>
      <c r="M2" s="5" t="s">
        <v>6</v>
      </c>
      <c r="N2" s="4" t="s">
        <v>7</v>
      </c>
      <c r="O2" s="89" t="s">
        <v>8</v>
      </c>
      <c r="P2" s="90"/>
    </row>
    <row r="3" spans="1:16" s="6" customFormat="1" ht="20.100000000000001" customHeight="1">
      <c r="A3" s="91" t="s">
        <v>9</v>
      </c>
      <c r="B3" s="93" t="s">
        <v>10</v>
      </c>
      <c r="C3" s="94"/>
      <c r="D3" s="84"/>
      <c r="E3" s="95" t="s">
        <v>11</v>
      </c>
      <c r="F3" s="96"/>
      <c r="G3" s="93" t="s">
        <v>12</v>
      </c>
      <c r="H3" s="94"/>
      <c r="I3" s="93" t="s">
        <v>13</v>
      </c>
      <c r="J3" s="94"/>
      <c r="K3" s="97" t="s">
        <v>14</v>
      </c>
      <c r="L3" s="7" t="s">
        <v>15</v>
      </c>
      <c r="M3" s="8" t="s">
        <v>16</v>
      </c>
      <c r="N3" s="8" t="s">
        <v>17</v>
      </c>
      <c r="O3" s="64" t="s">
        <v>18</v>
      </c>
      <c r="P3" s="66" t="s">
        <v>19</v>
      </c>
    </row>
    <row r="4" spans="1:16" s="6" customFormat="1" ht="20.100000000000001" customHeight="1" thickBot="1">
      <c r="A4" s="92"/>
      <c r="B4" s="9" t="s">
        <v>20</v>
      </c>
      <c r="C4" s="9" t="s">
        <v>10</v>
      </c>
      <c r="D4" s="85"/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22</v>
      </c>
      <c r="J4" s="9" t="s">
        <v>25</v>
      </c>
      <c r="K4" s="98"/>
      <c r="L4" s="11">
        <f>$M$32</f>
        <v>0.12</v>
      </c>
      <c r="M4" s="12" t="s">
        <v>26</v>
      </c>
      <c r="N4" s="13" t="s">
        <v>27</v>
      </c>
      <c r="O4" s="65"/>
      <c r="P4" s="67"/>
    </row>
    <row r="5" spans="1:16" s="6" customFormat="1" ht="20.100000000000001" customHeight="1">
      <c r="A5" s="14">
        <v>1</v>
      </c>
      <c r="B5" s="15">
        <v>10005980</v>
      </c>
      <c r="C5" s="16" t="s">
        <v>28</v>
      </c>
      <c r="D5" s="17">
        <v>1</v>
      </c>
      <c r="E5" s="18">
        <v>57980</v>
      </c>
      <c r="F5" s="19">
        <f t="shared" ref="F5:F29" si="0">IF(ISERROR(E5/O5),"0",(E5/O5))</f>
        <v>0.64422222222222225</v>
      </c>
      <c r="G5" s="20">
        <v>0.5</v>
      </c>
      <c r="H5" s="18">
        <f t="shared" ref="H5:H28" si="1">G5*$M$31</f>
        <v>20479</v>
      </c>
      <c r="I5" s="19">
        <f t="shared" ref="I5:I29" si="2">IF(ISERROR(J5/O5),"0",(J5/O5))</f>
        <v>7.9422222222222227E-2</v>
      </c>
      <c r="J5" s="18">
        <f t="shared" ref="J5:J28" si="3">G5*$M$34</f>
        <v>7148</v>
      </c>
      <c r="K5" s="18">
        <f t="shared" ref="K5:K28" si="4">E5+H5+J5</f>
        <v>85607</v>
      </c>
      <c r="L5" s="18">
        <f t="shared" ref="L5:L28" si="5">K5*$M$32</f>
        <v>10272.84</v>
      </c>
      <c r="M5" s="18">
        <f t="shared" ref="M5:M28" si="6">K5+L5</f>
        <v>95879.84</v>
      </c>
      <c r="N5" s="21">
        <f t="shared" ref="N5:N28" si="7">O5-M5</f>
        <v>-5879.8399999999965</v>
      </c>
      <c r="O5" s="22">
        <v>90000</v>
      </c>
      <c r="P5" s="23"/>
    </row>
    <row r="6" spans="1:16" s="6" customFormat="1" ht="20.100000000000001" customHeight="1">
      <c r="A6" s="24">
        <v>2</v>
      </c>
      <c r="B6" s="25">
        <v>10005981</v>
      </c>
      <c r="C6" s="26" t="s">
        <v>29</v>
      </c>
      <c r="D6" s="27">
        <v>1</v>
      </c>
      <c r="E6" s="28">
        <v>37600</v>
      </c>
      <c r="F6" s="29">
        <f t="shared" si="0"/>
        <v>0.78333333333333333</v>
      </c>
      <c r="G6" s="30">
        <v>0.2</v>
      </c>
      <c r="H6" s="28">
        <f t="shared" si="1"/>
        <v>8191.6</v>
      </c>
      <c r="I6" s="19">
        <f t="shared" si="2"/>
        <v>5.9566666666666671E-2</v>
      </c>
      <c r="J6" s="18">
        <f t="shared" si="3"/>
        <v>2859.2000000000003</v>
      </c>
      <c r="K6" s="28">
        <f t="shared" si="4"/>
        <v>48650.799999999996</v>
      </c>
      <c r="L6" s="28">
        <f t="shared" si="5"/>
        <v>5838.0959999999995</v>
      </c>
      <c r="M6" s="28">
        <f t="shared" si="6"/>
        <v>54488.895999999993</v>
      </c>
      <c r="N6" s="31">
        <f t="shared" si="7"/>
        <v>-6488.8959999999934</v>
      </c>
      <c r="O6" s="32">
        <v>48000</v>
      </c>
      <c r="P6" s="33"/>
    </row>
    <row r="7" spans="1:16" s="6" customFormat="1" ht="20.100000000000001" customHeight="1">
      <c r="A7" s="24">
        <v>3</v>
      </c>
      <c r="B7" s="25">
        <v>10005982</v>
      </c>
      <c r="C7" s="26" t="s">
        <v>30</v>
      </c>
      <c r="D7" s="27">
        <v>1</v>
      </c>
      <c r="E7" s="28">
        <v>101239</v>
      </c>
      <c r="F7" s="29">
        <f t="shared" si="0"/>
        <v>0.88033913043478262</v>
      </c>
      <c r="G7" s="30">
        <v>0.5</v>
      </c>
      <c r="H7" s="28">
        <f t="shared" si="1"/>
        <v>20479</v>
      </c>
      <c r="I7" s="19">
        <f t="shared" si="2"/>
        <v>6.2156521739130437E-2</v>
      </c>
      <c r="J7" s="18">
        <f t="shared" si="3"/>
        <v>7148</v>
      </c>
      <c r="K7" s="28">
        <f t="shared" si="4"/>
        <v>128866</v>
      </c>
      <c r="L7" s="28">
        <f t="shared" si="5"/>
        <v>15463.92</v>
      </c>
      <c r="M7" s="28">
        <f t="shared" si="6"/>
        <v>144329.92000000001</v>
      </c>
      <c r="N7" s="31">
        <f t="shared" si="7"/>
        <v>-29329.920000000013</v>
      </c>
      <c r="O7" s="32">
        <v>115000</v>
      </c>
      <c r="P7" s="33"/>
    </row>
    <row r="8" spans="1:16" s="6" customFormat="1" ht="20.100000000000001" customHeight="1">
      <c r="A8" s="24">
        <v>4</v>
      </c>
      <c r="B8" s="25">
        <v>10005983</v>
      </c>
      <c r="C8" s="26" t="s">
        <v>31</v>
      </c>
      <c r="D8" s="27">
        <v>1</v>
      </c>
      <c r="E8" s="28">
        <v>119982</v>
      </c>
      <c r="F8" s="29">
        <f t="shared" si="0"/>
        <v>0.61529230769230769</v>
      </c>
      <c r="G8" s="30">
        <v>1</v>
      </c>
      <c r="H8" s="28">
        <f t="shared" si="1"/>
        <v>40958</v>
      </c>
      <c r="I8" s="19">
        <f t="shared" si="2"/>
        <v>7.3312820512820509E-2</v>
      </c>
      <c r="J8" s="18">
        <f t="shared" si="3"/>
        <v>14296</v>
      </c>
      <c r="K8" s="28">
        <f t="shared" si="4"/>
        <v>175236</v>
      </c>
      <c r="L8" s="28">
        <f t="shared" si="5"/>
        <v>21028.32</v>
      </c>
      <c r="M8" s="28">
        <f t="shared" si="6"/>
        <v>196264.32000000001</v>
      </c>
      <c r="N8" s="31">
        <f t="shared" si="7"/>
        <v>-1264.320000000007</v>
      </c>
      <c r="O8" s="32">
        <v>195000</v>
      </c>
      <c r="P8" s="33"/>
    </row>
    <row r="9" spans="1:16" s="6" customFormat="1" ht="20.100000000000001" customHeight="1">
      <c r="A9" s="24">
        <v>5</v>
      </c>
      <c r="B9" s="25">
        <v>10005984</v>
      </c>
      <c r="C9" s="26" t="s">
        <v>32</v>
      </c>
      <c r="D9" s="27">
        <v>1</v>
      </c>
      <c r="E9" s="28">
        <v>103170</v>
      </c>
      <c r="F9" s="29">
        <f t="shared" si="0"/>
        <v>0.42987500000000001</v>
      </c>
      <c r="G9" s="30">
        <v>1</v>
      </c>
      <c r="H9" s="28">
        <f t="shared" si="1"/>
        <v>40958</v>
      </c>
      <c r="I9" s="19">
        <f t="shared" si="2"/>
        <v>5.9566666666666664E-2</v>
      </c>
      <c r="J9" s="18">
        <f t="shared" si="3"/>
        <v>14296</v>
      </c>
      <c r="K9" s="28">
        <f t="shared" si="4"/>
        <v>158424</v>
      </c>
      <c r="L9" s="28">
        <f t="shared" si="5"/>
        <v>19010.88</v>
      </c>
      <c r="M9" s="28">
        <f t="shared" si="6"/>
        <v>177434.88</v>
      </c>
      <c r="N9" s="31">
        <f t="shared" si="7"/>
        <v>62565.119999999995</v>
      </c>
      <c r="O9" s="32">
        <v>240000</v>
      </c>
      <c r="P9" s="33"/>
    </row>
    <row r="10" spans="1:16" s="6" customFormat="1" ht="20.100000000000001" customHeight="1">
      <c r="A10" s="24">
        <v>6</v>
      </c>
      <c r="B10" s="25">
        <v>10005986</v>
      </c>
      <c r="C10" s="26" t="s">
        <v>33</v>
      </c>
      <c r="D10" s="27">
        <v>1</v>
      </c>
      <c r="E10" s="28">
        <f>13938122+470000+800000</f>
        <v>15208122</v>
      </c>
      <c r="F10" s="29">
        <f t="shared" si="0"/>
        <v>1.2364326829268293</v>
      </c>
      <c r="G10" s="30">
        <v>9</v>
      </c>
      <c r="H10" s="28">
        <f t="shared" si="1"/>
        <v>368622</v>
      </c>
      <c r="I10" s="19">
        <f t="shared" si="2"/>
        <v>1.0460487804878049E-2</v>
      </c>
      <c r="J10" s="18">
        <f t="shared" si="3"/>
        <v>128664</v>
      </c>
      <c r="K10" s="28">
        <f t="shared" si="4"/>
        <v>15705408</v>
      </c>
      <c r="L10" s="28">
        <f t="shared" si="5"/>
        <v>1884648.96</v>
      </c>
      <c r="M10" s="28">
        <f t="shared" si="6"/>
        <v>17590056.960000001</v>
      </c>
      <c r="N10" s="31">
        <f t="shared" si="7"/>
        <v>-5290056.9600000009</v>
      </c>
      <c r="O10" s="32">
        <v>12300000</v>
      </c>
      <c r="P10" s="33"/>
    </row>
    <row r="11" spans="1:16" s="6" customFormat="1" ht="20.100000000000001" customHeight="1">
      <c r="A11" s="24">
        <v>7</v>
      </c>
      <c r="B11" s="25">
        <v>10005987</v>
      </c>
      <c r="C11" s="26" t="s">
        <v>34</v>
      </c>
      <c r="D11" s="27">
        <v>1</v>
      </c>
      <c r="E11" s="28">
        <v>7435470</v>
      </c>
      <c r="F11" s="29">
        <f t="shared" si="0"/>
        <v>1.047249295774648</v>
      </c>
      <c r="G11" s="30">
        <v>9</v>
      </c>
      <c r="H11" s="28">
        <f t="shared" si="1"/>
        <v>368622</v>
      </c>
      <c r="I11" s="19">
        <f t="shared" si="2"/>
        <v>1.8121690140845071E-2</v>
      </c>
      <c r="J11" s="18">
        <f t="shared" si="3"/>
        <v>128664</v>
      </c>
      <c r="K11" s="28">
        <f t="shared" si="4"/>
        <v>7932756</v>
      </c>
      <c r="L11" s="28">
        <f t="shared" si="5"/>
        <v>951930.72</v>
      </c>
      <c r="M11" s="28">
        <f t="shared" si="6"/>
        <v>8884686.7200000007</v>
      </c>
      <c r="N11" s="31">
        <f t="shared" si="7"/>
        <v>-1784686.7200000007</v>
      </c>
      <c r="O11" s="32">
        <v>7100000</v>
      </c>
      <c r="P11" s="33"/>
    </row>
    <row r="12" spans="1:16" s="6" customFormat="1" ht="20.100000000000001" customHeight="1">
      <c r="A12" s="24">
        <v>8</v>
      </c>
      <c r="B12" s="25">
        <v>10005988</v>
      </c>
      <c r="C12" s="26" t="s">
        <v>35</v>
      </c>
      <c r="D12" s="27">
        <v>1</v>
      </c>
      <c r="E12" s="28">
        <v>56770</v>
      </c>
      <c r="F12" s="29">
        <f t="shared" si="0"/>
        <v>0.42051851851851851</v>
      </c>
      <c r="G12" s="30">
        <v>0.5</v>
      </c>
      <c r="H12" s="28">
        <f t="shared" si="1"/>
        <v>20479</v>
      </c>
      <c r="I12" s="19">
        <f t="shared" si="2"/>
        <v>5.2948148148148147E-2</v>
      </c>
      <c r="J12" s="18">
        <f t="shared" si="3"/>
        <v>7148</v>
      </c>
      <c r="K12" s="28">
        <f t="shared" si="4"/>
        <v>84397</v>
      </c>
      <c r="L12" s="28">
        <f t="shared" si="5"/>
        <v>10127.64</v>
      </c>
      <c r="M12" s="28">
        <f t="shared" si="6"/>
        <v>94524.64</v>
      </c>
      <c r="N12" s="31">
        <f t="shared" si="7"/>
        <v>40475.360000000001</v>
      </c>
      <c r="O12" s="32">
        <v>135000</v>
      </c>
      <c r="P12" s="33"/>
    </row>
    <row r="13" spans="1:16" s="6" customFormat="1" ht="20.100000000000001" customHeight="1">
      <c r="A13" s="24">
        <v>9</v>
      </c>
      <c r="B13" s="25">
        <v>10005989</v>
      </c>
      <c r="C13" s="26" t="s">
        <v>36</v>
      </c>
      <c r="D13" s="27">
        <v>1</v>
      </c>
      <c r="E13" s="28">
        <v>1497015</v>
      </c>
      <c r="F13" s="29">
        <f t="shared" si="0"/>
        <v>0.83167500000000005</v>
      </c>
      <c r="G13" s="30">
        <v>4.5</v>
      </c>
      <c r="H13" s="28">
        <f t="shared" si="1"/>
        <v>184311</v>
      </c>
      <c r="I13" s="19">
        <f t="shared" si="2"/>
        <v>3.5740000000000001E-2</v>
      </c>
      <c r="J13" s="18">
        <f t="shared" si="3"/>
        <v>64332</v>
      </c>
      <c r="K13" s="28">
        <f t="shared" si="4"/>
        <v>1745658</v>
      </c>
      <c r="L13" s="28">
        <f t="shared" si="5"/>
        <v>209478.96</v>
      </c>
      <c r="M13" s="28">
        <f t="shared" si="6"/>
        <v>1955136.96</v>
      </c>
      <c r="N13" s="31">
        <f t="shared" si="7"/>
        <v>-155136.95999999996</v>
      </c>
      <c r="O13" s="32">
        <v>1800000</v>
      </c>
      <c r="P13" s="33"/>
    </row>
    <row r="14" spans="1:16" s="6" customFormat="1" ht="20.100000000000001" customHeight="1">
      <c r="A14" s="24">
        <v>10</v>
      </c>
      <c r="B14" s="25">
        <v>10005990</v>
      </c>
      <c r="C14" s="26" t="s">
        <v>37</v>
      </c>
      <c r="D14" s="27">
        <v>1</v>
      </c>
      <c r="E14" s="28">
        <v>1417387</v>
      </c>
      <c r="F14" s="29">
        <f t="shared" si="0"/>
        <v>0.78743722222222223</v>
      </c>
      <c r="G14" s="30">
        <v>4.5</v>
      </c>
      <c r="H14" s="28">
        <f t="shared" si="1"/>
        <v>184311</v>
      </c>
      <c r="I14" s="19">
        <f t="shared" si="2"/>
        <v>3.5740000000000001E-2</v>
      </c>
      <c r="J14" s="18">
        <f t="shared" si="3"/>
        <v>64332</v>
      </c>
      <c r="K14" s="28">
        <f t="shared" si="4"/>
        <v>1666030</v>
      </c>
      <c r="L14" s="28">
        <f t="shared" si="5"/>
        <v>199923.6</v>
      </c>
      <c r="M14" s="28">
        <f t="shared" si="6"/>
        <v>1865953.6</v>
      </c>
      <c r="N14" s="31">
        <f t="shared" si="7"/>
        <v>-65953.600000000093</v>
      </c>
      <c r="O14" s="32">
        <v>1800000</v>
      </c>
      <c r="P14" s="33"/>
    </row>
    <row r="15" spans="1:16" s="6" customFormat="1" ht="20.100000000000001" customHeight="1">
      <c r="A15" s="24">
        <v>11</v>
      </c>
      <c r="B15" s="25">
        <v>10005991</v>
      </c>
      <c r="C15" s="26" t="s">
        <v>38</v>
      </c>
      <c r="D15" s="27">
        <v>1</v>
      </c>
      <c r="E15" s="28">
        <v>1340301</v>
      </c>
      <c r="F15" s="29">
        <f t="shared" si="0"/>
        <v>0.84829177215189877</v>
      </c>
      <c r="G15" s="30">
        <v>8</v>
      </c>
      <c r="H15" s="28">
        <f t="shared" si="1"/>
        <v>327664</v>
      </c>
      <c r="I15" s="19">
        <f t="shared" si="2"/>
        <v>7.238481012658228E-2</v>
      </c>
      <c r="J15" s="18">
        <f t="shared" si="3"/>
        <v>114368</v>
      </c>
      <c r="K15" s="28">
        <f t="shared" si="4"/>
        <v>1782333</v>
      </c>
      <c r="L15" s="28">
        <f t="shared" si="5"/>
        <v>213879.96</v>
      </c>
      <c r="M15" s="28">
        <f t="shared" si="6"/>
        <v>1996212.96</v>
      </c>
      <c r="N15" s="31">
        <f t="shared" si="7"/>
        <v>-416212.95999999996</v>
      </c>
      <c r="O15" s="32">
        <v>1580000</v>
      </c>
      <c r="P15" s="33"/>
    </row>
    <row r="16" spans="1:16" s="6" customFormat="1" ht="20.100000000000001" customHeight="1">
      <c r="A16" s="24">
        <v>12</v>
      </c>
      <c r="B16" s="25">
        <v>10005992</v>
      </c>
      <c r="C16" s="26" t="s">
        <v>39</v>
      </c>
      <c r="D16" s="27">
        <v>1</v>
      </c>
      <c r="E16" s="28">
        <v>1875077</v>
      </c>
      <c r="F16" s="29">
        <f t="shared" si="0"/>
        <v>0.89289380952380948</v>
      </c>
      <c r="G16" s="30">
        <v>6.5</v>
      </c>
      <c r="H16" s="28">
        <f t="shared" si="1"/>
        <v>266227</v>
      </c>
      <c r="I16" s="19">
        <f t="shared" si="2"/>
        <v>4.4249523809523808E-2</v>
      </c>
      <c r="J16" s="18">
        <f t="shared" si="3"/>
        <v>92924</v>
      </c>
      <c r="K16" s="28">
        <f t="shared" si="4"/>
        <v>2234228</v>
      </c>
      <c r="L16" s="28">
        <f t="shared" si="5"/>
        <v>268107.36</v>
      </c>
      <c r="M16" s="28">
        <f t="shared" si="6"/>
        <v>2502335.36</v>
      </c>
      <c r="N16" s="31">
        <f t="shared" si="7"/>
        <v>-402335.35999999987</v>
      </c>
      <c r="O16" s="32">
        <v>2100000</v>
      </c>
      <c r="P16" s="33"/>
    </row>
    <row r="17" spans="1:16" s="6" customFormat="1" ht="20.100000000000001" customHeight="1">
      <c r="A17" s="24">
        <v>13</v>
      </c>
      <c r="B17" s="25">
        <v>10005993</v>
      </c>
      <c r="C17" s="26" t="s">
        <v>40</v>
      </c>
      <c r="D17" s="27">
        <v>1</v>
      </c>
      <c r="E17" s="28">
        <v>1634217</v>
      </c>
      <c r="F17" s="29">
        <f t="shared" si="0"/>
        <v>0.94066482472802626</v>
      </c>
      <c r="G17" s="30">
        <v>6.5</v>
      </c>
      <c r="H17" s="28">
        <f t="shared" si="1"/>
        <v>266227</v>
      </c>
      <c r="I17" s="19">
        <f t="shared" si="2"/>
        <v>5.3487595694468426E-2</v>
      </c>
      <c r="J17" s="18">
        <f t="shared" si="3"/>
        <v>92924</v>
      </c>
      <c r="K17" s="28">
        <f t="shared" si="4"/>
        <v>1993368</v>
      </c>
      <c r="L17" s="28">
        <f t="shared" si="5"/>
        <v>239204.16</v>
      </c>
      <c r="M17" s="28">
        <f t="shared" si="6"/>
        <v>2232572.16</v>
      </c>
      <c r="N17" s="31">
        <f t="shared" si="7"/>
        <v>-495272.16000000015</v>
      </c>
      <c r="O17" s="32">
        <v>1737300</v>
      </c>
      <c r="P17" s="33"/>
    </row>
    <row r="18" spans="1:16" s="6" customFormat="1" ht="20.100000000000001" customHeight="1">
      <c r="A18" s="24">
        <v>14</v>
      </c>
      <c r="B18" s="25">
        <v>10005994</v>
      </c>
      <c r="C18" s="26" t="s">
        <v>41</v>
      </c>
      <c r="D18" s="27">
        <v>1</v>
      </c>
      <c r="E18" s="28">
        <v>668000</v>
      </c>
      <c r="F18" s="29">
        <f t="shared" si="0"/>
        <v>0.23857142857142857</v>
      </c>
      <c r="G18" s="30"/>
      <c r="H18" s="28">
        <f t="shared" si="1"/>
        <v>0</v>
      </c>
      <c r="I18" s="19">
        <f t="shared" si="2"/>
        <v>0</v>
      </c>
      <c r="J18" s="18">
        <f t="shared" si="3"/>
        <v>0</v>
      </c>
      <c r="K18" s="28">
        <f t="shared" si="4"/>
        <v>668000</v>
      </c>
      <c r="L18" s="28">
        <f t="shared" si="5"/>
        <v>80160</v>
      </c>
      <c r="M18" s="28">
        <f t="shared" si="6"/>
        <v>748160</v>
      </c>
      <c r="N18" s="31">
        <f t="shared" si="7"/>
        <v>2051840</v>
      </c>
      <c r="O18" s="32">
        <v>2800000</v>
      </c>
      <c r="P18" s="33"/>
    </row>
    <row r="19" spans="1:16" s="6" customFormat="1" ht="20.100000000000001" customHeight="1">
      <c r="A19" s="24">
        <v>15</v>
      </c>
      <c r="B19" s="25">
        <v>10005995</v>
      </c>
      <c r="C19" s="26" t="s">
        <v>42</v>
      </c>
      <c r="D19" s="27">
        <v>1</v>
      </c>
      <c r="E19" s="28">
        <v>1377040</v>
      </c>
      <c r="F19" s="29">
        <f t="shared" si="0"/>
        <v>0.99543141337034469</v>
      </c>
      <c r="G19" s="30"/>
      <c r="H19" s="28">
        <f t="shared" si="1"/>
        <v>0</v>
      </c>
      <c r="I19" s="19">
        <f t="shared" si="2"/>
        <v>0</v>
      </c>
      <c r="J19" s="18">
        <f t="shared" si="3"/>
        <v>0</v>
      </c>
      <c r="K19" s="28">
        <f t="shared" si="4"/>
        <v>1377040</v>
      </c>
      <c r="L19" s="28">
        <f t="shared" si="5"/>
        <v>165244.79999999999</v>
      </c>
      <c r="M19" s="28">
        <f t="shared" si="6"/>
        <v>1542284.8</v>
      </c>
      <c r="N19" s="31">
        <f t="shared" si="7"/>
        <v>-158924.80000000005</v>
      </c>
      <c r="O19" s="32">
        <v>1383360</v>
      </c>
      <c r="P19" s="33"/>
    </row>
    <row r="20" spans="1:16" s="6" customFormat="1" ht="20.100000000000001" customHeight="1">
      <c r="A20" s="24">
        <v>16</v>
      </c>
      <c r="B20" s="25">
        <v>10005996</v>
      </c>
      <c r="C20" s="26" t="s">
        <v>43</v>
      </c>
      <c r="D20" s="27">
        <v>1</v>
      </c>
      <c r="E20" s="28">
        <v>2226302</v>
      </c>
      <c r="F20" s="29">
        <f t="shared" si="0"/>
        <v>0.8905208</v>
      </c>
      <c r="G20" s="30">
        <v>3</v>
      </c>
      <c r="H20" s="28">
        <f t="shared" si="1"/>
        <v>122874</v>
      </c>
      <c r="I20" s="19">
        <f t="shared" si="2"/>
        <v>1.7155199999999999E-2</v>
      </c>
      <c r="J20" s="18">
        <f t="shared" si="3"/>
        <v>42888</v>
      </c>
      <c r="K20" s="28">
        <f t="shared" si="4"/>
        <v>2392064</v>
      </c>
      <c r="L20" s="28">
        <f t="shared" si="5"/>
        <v>287047.67999999999</v>
      </c>
      <c r="M20" s="28">
        <f t="shared" si="6"/>
        <v>2679111.6800000002</v>
      </c>
      <c r="N20" s="31">
        <f t="shared" si="7"/>
        <v>-179111.68000000017</v>
      </c>
      <c r="O20" s="32">
        <v>2500000</v>
      </c>
      <c r="P20" s="33"/>
    </row>
    <row r="21" spans="1:16" s="6" customFormat="1" ht="20.100000000000001" customHeight="1">
      <c r="A21" s="24">
        <v>17</v>
      </c>
      <c r="B21" s="25">
        <v>10005997</v>
      </c>
      <c r="C21" s="26" t="s">
        <v>44</v>
      </c>
      <c r="D21" s="27">
        <v>1</v>
      </c>
      <c r="E21" s="28">
        <v>1938576</v>
      </c>
      <c r="F21" s="29">
        <f t="shared" si="0"/>
        <v>0.9231314285714286</v>
      </c>
      <c r="G21" s="30">
        <v>2</v>
      </c>
      <c r="H21" s="28">
        <f t="shared" si="1"/>
        <v>81916</v>
      </c>
      <c r="I21" s="19">
        <f t="shared" si="2"/>
        <v>1.3615238095238095E-2</v>
      </c>
      <c r="J21" s="18">
        <f t="shared" si="3"/>
        <v>28592</v>
      </c>
      <c r="K21" s="28">
        <f t="shared" si="4"/>
        <v>2049084</v>
      </c>
      <c r="L21" s="28">
        <f t="shared" si="5"/>
        <v>245890.08</v>
      </c>
      <c r="M21" s="28">
        <f t="shared" si="6"/>
        <v>2294974.08</v>
      </c>
      <c r="N21" s="31">
        <f t="shared" si="7"/>
        <v>-194974.08000000007</v>
      </c>
      <c r="O21" s="32">
        <v>2100000</v>
      </c>
      <c r="P21" s="33"/>
    </row>
    <row r="22" spans="1:16" s="6" customFormat="1" ht="20.100000000000001" customHeight="1">
      <c r="A22" s="24">
        <v>18</v>
      </c>
      <c r="B22" s="25">
        <v>10005998</v>
      </c>
      <c r="C22" s="26" t="s">
        <v>45</v>
      </c>
      <c r="D22" s="27">
        <v>1</v>
      </c>
      <c r="E22" s="28">
        <v>224000</v>
      </c>
      <c r="F22" s="29">
        <f t="shared" si="0"/>
        <v>0.90909090909090906</v>
      </c>
      <c r="G22" s="30"/>
      <c r="H22" s="28">
        <f t="shared" si="1"/>
        <v>0</v>
      </c>
      <c r="I22" s="19">
        <f t="shared" si="2"/>
        <v>0</v>
      </c>
      <c r="J22" s="18">
        <f t="shared" si="3"/>
        <v>0</v>
      </c>
      <c r="K22" s="28">
        <f t="shared" si="4"/>
        <v>224000</v>
      </c>
      <c r="L22" s="28">
        <f t="shared" si="5"/>
        <v>26880</v>
      </c>
      <c r="M22" s="28">
        <f t="shared" si="6"/>
        <v>250880</v>
      </c>
      <c r="N22" s="31">
        <f t="shared" si="7"/>
        <v>-4480</v>
      </c>
      <c r="O22" s="32">
        <v>246400</v>
      </c>
      <c r="P22" s="33"/>
    </row>
    <row r="23" spans="1:16" s="6" customFormat="1" ht="20.100000000000001" customHeight="1">
      <c r="A23" s="24">
        <v>19</v>
      </c>
      <c r="B23" s="25">
        <v>10005999</v>
      </c>
      <c r="C23" s="26" t="s">
        <v>46</v>
      </c>
      <c r="D23" s="27">
        <v>1</v>
      </c>
      <c r="E23" s="28">
        <v>82994</v>
      </c>
      <c r="F23" s="29">
        <f t="shared" si="0"/>
        <v>0.88361990950226244</v>
      </c>
      <c r="G23" s="30">
        <v>1</v>
      </c>
      <c r="H23" s="28">
        <f t="shared" si="1"/>
        <v>40958</v>
      </c>
      <c r="I23" s="19">
        <f t="shared" si="2"/>
        <v>0.15220654777748202</v>
      </c>
      <c r="J23" s="18">
        <f t="shared" si="3"/>
        <v>14296</v>
      </c>
      <c r="K23" s="28">
        <f t="shared" si="4"/>
        <v>138248</v>
      </c>
      <c r="L23" s="28">
        <f t="shared" si="5"/>
        <v>16589.759999999998</v>
      </c>
      <c r="M23" s="28">
        <f t="shared" si="6"/>
        <v>154837.76000000001</v>
      </c>
      <c r="N23" s="31">
        <f t="shared" si="7"/>
        <v>-60912.760000000009</v>
      </c>
      <c r="O23" s="32">
        <v>93925</v>
      </c>
      <c r="P23" s="33"/>
    </row>
    <row r="24" spans="1:16" s="6" customFormat="1" ht="20.100000000000001" customHeight="1">
      <c r="A24" s="24">
        <v>20</v>
      </c>
      <c r="B24" s="25">
        <v>10006095</v>
      </c>
      <c r="C24" s="26" t="s">
        <v>47</v>
      </c>
      <c r="D24" s="27">
        <v>1</v>
      </c>
      <c r="E24" s="28">
        <v>64980</v>
      </c>
      <c r="F24" s="29">
        <f t="shared" si="0"/>
        <v>0.72199999999999998</v>
      </c>
      <c r="G24" s="30">
        <v>1</v>
      </c>
      <c r="H24" s="28">
        <f t="shared" si="1"/>
        <v>40958</v>
      </c>
      <c r="I24" s="19">
        <f t="shared" si="2"/>
        <v>0.15884444444444445</v>
      </c>
      <c r="J24" s="18">
        <f t="shared" si="3"/>
        <v>14296</v>
      </c>
      <c r="K24" s="28">
        <f t="shared" si="4"/>
        <v>120234</v>
      </c>
      <c r="L24" s="28">
        <f t="shared" si="5"/>
        <v>14428.08</v>
      </c>
      <c r="M24" s="28">
        <f t="shared" si="6"/>
        <v>134662.07999999999</v>
      </c>
      <c r="N24" s="31">
        <f t="shared" si="7"/>
        <v>-44662.079999999987</v>
      </c>
      <c r="O24" s="32">
        <v>90000</v>
      </c>
      <c r="P24" s="33"/>
    </row>
    <row r="25" spans="1:16" s="6" customFormat="1" ht="20.100000000000001" customHeight="1">
      <c r="A25" s="24">
        <v>21</v>
      </c>
      <c r="B25" s="25">
        <v>10006099</v>
      </c>
      <c r="C25" s="26" t="s">
        <v>48</v>
      </c>
      <c r="D25" s="27">
        <v>1</v>
      </c>
      <c r="E25" s="28">
        <v>18500</v>
      </c>
      <c r="F25" s="29" t="str">
        <f t="shared" si="0"/>
        <v>0</v>
      </c>
      <c r="G25" s="30"/>
      <c r="H25" s="28">
        <f t="shared" si="1"/>
        <v>0</v>
      </c>
      <c r="I25" s="19" t="str">
        <f t="shared" si="2"/>
        <v>0</v>
      </c>
      <c r="J25" s="18">
        <f t="shared" si="3"/>
        <v>0</v>
      </c>
      <c r="K25" s="28">
        <f t="shared" si="4"/>
        <v>18500</v>
      </c>
      <c r="L25" s="28">
        <f t="shared" si="5"/>
        <v>2220</v>
      </c>
      <c r="M25" s="28">
        <f t="shared" si="6"/>
        <v>20720</v>
      </c>
      <c r="N25" s="31">
        <f t="shared" si="7"/>
        <v>-20720</v>
      </c>
      <c r="O25" s="32">
        <v>0</v>
      </c>
      <c r="P25" s="33"/>
    </row>
    <row r="26" spans="1:16" s="6" customFormat="1" ht="20.100000000000001" customHeight="1">
      <c r="A26" s="24">
        <v>22</v>
      </c>
      <c r="B26" s="25">
        <v>10006241</v>
      </c>
      <c r="C26" s="26" t="s">
        <v>49</v>
      </c>
      <c r="D26" s="27">
        <v>1</v>
      </c>
      <c r="E26" s="28">
        <v>122580</v>
      </c>
      <c r="F26" s="29">
        <f t="shared" si="0"/>
        <v>0.68100000000000005</v>
      </c>
      <c r="G26" s="30">
        <v>1</v>
      </c>
      <c r="H26" s="28">
        <f t="shared" si="1"/>
        <v>40958</v>
      </c>
      <c r="I26" s="19">
        <f t="shared" si="2"/>
        <v>7.9422222222222227E-2</v>
      </c>
      <c r="J26" s="18">
        <f t="shared" si="3"/>
        <v>14296</v>
      </c>
      <c r="K26" s="28">
        <f t="shared" si="4"/>
        <v>177834</v>
      </c>
      <c r="L26" s="28">
        <f t="shared" si="5"/>
        <v>21340.079999999998</v>
      </c>
      <c r="M26" s="28">
        <f t="shared" si="6"/>
        <v>199174.08</v>
      </c>
      <c r="N26" s="31">
        <f t="shared" si="7"/>
        <v>-19174.079999999987</v>
      </c>
      <c r="O26" s="32">
        <v>180000</v>
      </c>
      <c r="P26" s="33"/>
    </row>
    <row r="27" spans="1:16" s="6" customFormat="1" ht="20.100000000000001" customHeight="1">
      <c r="A27" s="24">
        <v>23</v>
      </c>
      <c r="B27" s="25">
        <v>10006243</v>
      </c>
      <c r="C27" s="26" t="s">
        <v>50</v>
      </c>
      <c r="D27" s="27">
        <v>1</v>
      </c>
      <c r="E27" s="28">
        <v>4639800</v>
      </c>
      <c r="F27" s="29" t="str">
        <f t="shared" si="0"/>
        <v>0</v>
      </c>
      <c r="G27" s="30"/>
      <c r="H27" s="28">
        <f t="shared" si="1"/>
        <v>0</v>
      </c>
      <c r="I27" s="19" t="str">
        <f t="shared" si="2"/>
        <v>0</v>
      </c>
      <c r="J27" s="18">
        <f t="shared" si="3"/>
        <v>0</v>
      </c>
      <c r="K27" s="28">
        <f t="shared" si="4"/>
        <v>4639800</v>
      </c>
      <c r="L27" s="28">
        <f t="shared" si="5"/>
        <v>556776</v>
      </c>
      <c r="M27" s="28">
        <f t="shared" si="6"/>
        <v>5196576</v>
      </c>
      <c r="N27" s="31">
        <f t="shared" si="7"/>
        <v>-5196576</v>
      </c>
      <c r="O27" s="32">
        <v>0</v>
      </c>
      <c r="P27" s="33"/>
    </row>
    <row r="28" spans="1:16" s="6" customFormat="1" ht="20.100000000000001" customHeight="1">
      <c r="A28" s="24">
        <v>24</v>
      </c>
      <c r="B28" s="25"/>
      <c r="C28" s="26" t="s">
        <v>51</v>
      </c>
      <c r="D28" s="27"/>
      <c r="E28" s="28"/>
      <c r="F28" s="29" t="str">
        <f t="shared" si="0"/>
        <v>0</v>
      </c>
      <c r="G28" s="30"/>
      <c r="H28" s="28">
        <f t="shared" si="1"/>
        <v>0</v>
      </c>
      <c r="I28" s="19" t="str">
        <f t="shared" si="2"/>
        <v>0</v>
      </c>
      <c r="J28" s="18">
        <f t="shared" si="3"/>
        <v>0</v>
      </c>
      <c r="K28" s="28">
        <f t="shared" si="4"/>
        <v>0</v>
      </c>
      <c r="L28" s="28">
        <f t="shared" si="5"/>
        <v>0</v>
      </c>
      <c r="M28" s="28">
        <f t="shared" si="6"/>
        <v>0</v>
      </c>
      <c r="N28" s="31">
        <f t="shared" si="7"/>
        <v>0</v>
      </c>
      <c r="O28" s="32"/>
      <c r="P28" s="33"/>
    </row>
    <row r="29" spans="1:16" s="6" customFormat="1" ht="20.100000000000001" customHeight="1" thickBot="1">
      <c r="A29" s="68" t="s">
        <v>52</v>
      </c>
      <c r="B29" s="69"/>
      <c r="C29" s="70"/>
      <c r="D29" s="34"/>
      <c r="E29" s="35">
        <f>SUM(E5:E28)</f>
        <v>42247102</v>
      </c>
      <c r="F29" s="36" t="str">
        <f t="shared" si="0"/>
        <v>0</v>
      </c>
      <c r="G29" s="37">
        <f>SUM(G5:G28)</f>
        <v>59.7</v>
      </c>
      <c r="H29" s="35">
        <f>SUM(H5:H28)</f>
        <v>2445192.6</v>
      </c>
      <c r="I29" s="36" t="str">
        <f t="shared" si="2"/>
        <v>0</v>
      </c>
      <c r="J29" s="35">
        <f>SUM(J5:J28)</f>
        <v>853471.2</v>
      </c>
      <c r="K29" s="35">
        <f>SUM(K5:K28)</f>
        <v>45545765.799999997</v>
      </c>
      <c r="L29" s="35">
        <f>SUM(L5:L28)</f>
        <v>5465491.8959999997</v>
      </c>
      <c r="M29" s="35">
        <f>SUM(M5:M28)</f>
        <v>51011257.695999995</v>
      </c>
      <c r="N29" s="35">
        <f>SUM(N5:N28)</f>
        <v>-12377272.696000002</v>
      </c>
      <c r="O29" s="35"/>
      <c r="P29" s="38"/>
    </row>
    <row r="30" spans="1:16" s="6" customFormat="1" ht="20.100000000000001" customHeight="1">
      <c r="A30" s="39" t="s">
        <v>53</v>
      </c>
      <c r="B30" s="40"/>
      <c r="C30" s="40"/>
      <c r="D30" s="40"/>
      <c r="E30" s="40"/>
      <c r="F30" s="40"/>
      <c r="G30" s="40"/>
      <c r="H30" s="40"/>
      <c r="I30" s="40"/>
      <c r="J30" s="71"/>
      <c r="K30" s="72"/>
      <c r="L30" s="73" t="s">
        <v>54</v>
      </c>
      <c r="M30" s="74"/>
      <c r="N30" s="75" t="s">
        <v>55</v>
      </c>
      <c r="O30" s="77" t="s">
        <v>56</v>
      </c>
      <c r="P30" s="78"/>
    </row>
    <row r="31" spans="1:16" s="6" customFormat="1" ht="20.100000000000001" customHeight="1">
      <c r="A31" s="41" t="s">
        <v>57</v>
      </c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4" t="s">
        <v>58</v>
      </c>
      <c r="M31" s="45">
        <v>40958</v>
      </c>
      <c r="N31" s="76"/>
      <c r="O31" s="79"/>
      <c r="P31" s="80"/>
    </row>
    <row r="32" spans="1:16" s="6" customFormat="1" ht="20.100000000000001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4" t="s">
        <v>59</v>
      </c>
      <c r="M32" s="46">
        <v>0.12</v>
      </c>
      <c r="N32" s="59" t="s">
        <v>60</v>
      </c>
      <c r="O32" s="47"/>
      <c r="P32" s="48" t="s">
        <v>61</v>
      </c>
    </row>
    <row r="33" spans="1:16" s="6" customFormat="1" ht="20.100000000000001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4" t="s">
        <v>62</v>
      </c>
      <c r="M33" s="46"/>
      <c r="N33" s="60"/>
      <c r="O33" s="47"/>
      <c r="P33" s="62"/>
    </row>
    <row r="34" spans="1:16" s="6" customFormat="1" ht="20.100000000000001" customHeight="1" thickBo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2" t="s">
        <v>63</v>
      </c>
      <c r="M34" s="53">
        <v>14296</v>
      </c>
      <c r="N34" s="61"/>
      <c r="O34" s="54"/>
      <c r="P34" s="63"/>
    </row>
    <row r="35" spans="1:16" s="57" customFormat="1" ht="15" customHeight="1">
      <c r="A35" s="55" t="s">
        <v>64</v>
      </c>
      <c r="B35" s="55"/>
      <c r="C35" s="42"/>
      <c r="D35" s="42"/>
      <c r="E35" s="42"/>
      <c r="F35" s="42"/>
      <c r="G35" s="42"/>
      <c r="H35" s="42"/>
      <c r="I35" s="42"/>
      <c r="J35" s="42" t="s">
        <v>65</v>
      </c>
      <c r="K35" s="42"/>
      <c r="L35" s="40"/>
      <c r="M35" s="42"/>
      <c r="N35" s="42"/>
      <c r="O35" s="42"/>
      <c r="P35" s="56" t="s">
        <v>66</v>
      </c>
    </row>
  </sheetData>
  <mergeCells count="20">
    <mergeCell ref="A2:B2"/>
    <mergeCell ref="D2:D4"/>
    <mergeCell ref="F2:K2"/>
    <mergeCell ref="O2:P2"/>
    <mergeCell ref="A3:A4"/>
    <mergeCell ref="B3:C3"/>
    <mergeCell ref="E3:F3"/>
    <mergeCell ref="G3:H3"/>
    <mergeCell ref="I3:J3"/>
    <mergeCell ref="K3:K4"/>
    <mergeCell ref="N32:N34"/>
    <mergeCell ref="P33:P34"/>
    <mergeCell ref="O3:O4"/>
    <mergeCell ref="P3:P4"/>
    <mergeCell ref="A29:C29"/>
    <mergeCell ref="J30:K30"/>
    <mergeCell ref="L30:M30"/>
    <mergeCell ref="N30:N31"/>
    <mergeCell ref="O30:P30"/>
    <mergeCell ref="O31:P31"/>
  </mergeCells>
  <phoneticPr fontId="3" type="noConversion"/>
  <printOptions horizontalCentered="1"/>
  <pageMargins left="0.63" right="0.35433070866141736" top="0.74" bottom="0.18" header="0.51181102362204722" footer="0.34"/>
  <pageSetup paperSize="9" scale="71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R35"/>
  <sheetViews>
    <sheetView topLeftCell="A2" workbookViewId="0">
      <selection activeCell="E10" sqref="E10"/>
    </sheetView>
  </sheetViews>
  <sheetFormatPr defaultColWidth="9.140625" defaultRowHeight="13.5"/>
  <cols>
    <col min="1" max="1" width="5.85546875" style="2" customWidth="1"/>
    <col min="2" max="2" width="9.42578125" style="2" customWidth="1"/>
    <col min="3" max="3" width="32.85546875" style="2" customWidth="1"/>
    <col min="4" max="4" width="5" style="2" customWidth="1"/>
    <col min="5" max="5" width="16" style="2" customWidth="1"/>
    <col min="6" max="6" width="7.140625" style="2" customWidth="1"/>
    <col min="7" max="7" width="9.140625" style="2" customWidth="1"/>
    <col min="8" max="8" width="13" style="2" customWidth="1"/>
    <col min="9" max="9" width="7" style="2" customWidth="1"/>
    <col min="10" max="10" width="13.7109375" style="2" customWidth="1"/>
    <col min="11" max="11" width="16.42578125" style="2" customWidth="1"/>
    <col min="12" max="12" width="13.28515625" style="2" customWidth="1"/>
    <col min="13" max="13" width="16.7109375" style="2" customWidth="1"/>
    <col min="14" max="14" width="15.7109375" style="2" customWidth="1"/>
    <col min="15" max="15" width="16.28515625" style="2" customWidth="1"/>
    <col min="16" max="16" width="14.5703125" style="2" customWidth="1"/>
    <col min="17" max="17" width="9.140625" style="2"/>
    <col min="18" max="18" width="14.85546875" style="2" bestFit="1" customWidth="1"/>
    <col min="19" max="254" width="9.140625" style="2"/>
    <col min="255" max="255" width="5.85546875" style="2" customWidth="1"/>
    <col min="256" max="256" width="8.85546875" style="2" customWidth="1"/>
    <col min="257" max="257" width="15.85546875" style="2" customWidth="1"/>
    <col min="258" max="258" width="5" style="2" customWidth="1"/>
    <col min="259" max="259" width="14.85546875" style="2" bestFit="1" customWidth="1"/>
    <col min="260" max="260" width="7.140625" style="2" customWidth="1"/>
    <col min="261" max="261" width="7.42578125" style="2" customWidth="1"/>
    <col min="262" max="262" width="11.7109375" style="2" bestFit="1" customWidth="1"/>
    <col min="263" max="263" width="5.7109375" style="2" bestFit="1" customWidth="1"/>
    <col min="264" max="264" width="11.85546875" style="2" customWidth="1"/>
    <col min="265" max="265" width="14.85546875" style="2" bestFit="1" customWidth="1"/>
    <col min="266" max="266" width="13.28515625" style="2" customWidth="1"/>
    <col min="267" max="267" width="14.85546875" style="2" bestFit="1" customWidth="1"/>
    <col min="268" max="268" width="13.85546875" style="2" customWidth="1"/>
    <col min="269" max="269" width="14.42578125" style="2" customWidth="1"/>
    <col min="270" max="270" width="14.5703125" style="2" customWidth="1"/>
    <col min="271" max="510" width="9.140625" style="2"/>
    <col min="511" max="511" width="5.85546875" style="2" customWidth="1"/>
    <col min="512" max="512" width="8.85546875" style="2" customWidth="1"/>
    <col min="513" max="513" width="15.85546875" style="2" customWidth="1"/>
    <col min="514" max="514" width="5" style="2" customWidth="1"/>
    <col min="515" max="515" width="14.85546875" style="2" bestFit="1" customWidth="1"/>
    <col min="516" max="516" width="7.140625" style="2" customWidth="1"/>
    <col min="517" max="517" width="7.42578125" style="2" customWidth="1"/>
    <col min="518" max="518" width="11.7109375" style="2" bestFit="1" customWidth="1"/>
    <col min="519" max="519" width="5.7109375" style="2" bestFit="1" customWidth="1"/>
    <col min="520" max="520" width="11.85546875" style="2" customWidth="1"/>
    <col min="521" max="521" width="14.85546875" style="2" bestFit="1" customWidth="1"/>
    <col min="522" max="522" width="13.28515625" style="2" customWidth="1"/>
    <col min="523" max="523" width="14.85546875" style="2" bestFit="1" customWidth="1"/>
    <col min="524" max="524" width="13.85546875" style="2" customWidth="1"/>
    <col min="525" max="525" width="14.42578125" style="2" customWidth="1"/>
    <col min="526" max="526" width="14.5703125" style="2" customWidth="1"/>
    <col min="527" max="766" width="9.140625" style="2"/>
    <col min="767" max="767" width="5.85546875" style="2" customWidth="1"/>
    <col min="768" max="768" width="8.85546875" style="2" customWidth="1"/>
    <col min="769" max="769" width="15.85546875" style="2" customWidth="1"/>
    <col min="770" max="770" width="5" style="2" customWidth="1"/>
    <col min="771" max="771" width="14.85546875" style="2" bestFit="1" customWidth="1"/>
    <col min="772" max="772" width="7.140625" style="2" customWidth="1"/>
    <col min="773" max="773" width="7.42578125" style="2" customWidth="1"/>
    <col min="774" max="774" width="11.7109375" style="2" bestFit="1" customWidth="1"/>
    <col min="775" max="775" width="5.7109375" style="2" bestFit="1" customWidth="1"/>
    <col min="776" max="776" width="11.85546875" style="2" customWidth="1"/>
    <col min="777" max="777" width="14.85546875" style="2" bestFit="1" customWidth="1"/>
    <col min="778" max="778" width="13.28515625" style="2" customWidth="1"/>
    <col min="779" max="779" width="14.85546875" style="2" bestFit="1" customWidth="1"/>
    <col min="780" max="780" width="13.85546875" style="2" customWidth="1"/>
    <col min="781" max="781" width="14.42578125" style="2" customWidth="1"/>
    <col min="782" max="782" width="14.5703125" style="2" customWidth="1"/>
    <col min="783" max="1022" width="9.140625" style="2"/>
    <col min="1023" max="1023" width="5.85546875" style="2" customWidth="1"/>
    <col min="1024" max="1024" width="8.85546875" style="2" customWidth="1"/>
    <col min="1025" max="1025" width="15.85546875" style="2" customWidth="1"/>
    <col min="1026" max="1026" width="5" style="2" customWidth="1"/>
    <col min="1027" max="1027" width="14.85546875" style="2" bestFit="1" customWidth="1"/>
    <col min="1028" max="1028" width="7.140625" style="2" customWidth="1"/>
    <col min="1029" max="1029" width="7.42578125" style="2" customWidth="1"/>
    <col min="1030" max="1030" width="11.7109375" style="2" bestFit="1" customWidth="1"/>
    <col min="1031" max="1031" width="5.7109375" style="2" bestFit="1" customWidth="1"/>
    <col min="1032" max="1032" width="11.85546875" style="2" customWidth="1"/>
    <col min="1033" max="1033" width="14.85546875" style="2" bestFit="1" customWidth="1"/>
    <col min="1034" max="1034" width="13.28515625" style="2" customWidth="1"/>
    <col min="1035" max="1035" width="14.85546875" style="2" bestFit="1" customWidth="1"/>
    <col min="1036" max="1036" width="13.85546875" style="2" customWidth="1"/>
    <col min="1037" max="1037" width="14.42578125" style="2" customWidth="1"/>
    <col min="1038" max="1038" width="14.5703125" style="2" customWidth="1"/>
    <col min="1039" max="1278" width="9.140625" style="2"/>
    <col min="1279" max="1279" width="5.85546875" style="2" customWidth="1"/>
    <col min="1280" max="1280" width="8.85546875" style="2" customWidth="1"/>
    <col min="1281" max="1281" width="15.85546875" style="2" customWidth="1"/>
    <col min="1282" max="1282" width="5" style="2" customWidth="1"/>
    <col min="1283" max="1283" width="14.85546875" style="2" bestFit="1" customWidth="1"/>
    <col min="1284" max="1284" width="7.140625" style="2" customWidth="1"/>
    <col min="1285" max="1285" width="7.42578125" style="2" customWidth="1"/>
    <col min="1286" max="1286" width="11.7109375" style="2" bestFit="1" customWidth="1"/>
    <col min="1287" max="1287" width="5.7109375" style="2" bestFit="1" customWidth="1"/>
    <col min="1288" max="1288" width="11.85546875" style="2" customWidth="1"/>
    <col min="1289" max="1289" width="14.85546875" style="2" bestFit="1" customWidth="1"/>
    <col min="1290" max="1290" width="13.28515625" style="2" customWidth="1"/>
    <col min="1291" max="1291" width="14.85546875" style="2" bestFit="1" customWidth="1"/>
    <col min="1292" max="1292" width="13.85546875" style="2" customWidth="1"/>
    <col min="1293" max="1293" width="14.42578125" style="2" customWidth="1"/>
    <col min="1294" max="1294" width="14.5703125" style="2" customWidth="1"/>
    <col min="1295" max="1534" width="9.140625" style="2"/>
    <col min="1535" max="1535" width="5.85546875" style="2" customWidth="1"/>
    <col min="1536" max="1536" width="8.85546875" style="2" customWidth="1"/>
    <col min="1537" max="1537" width="15.85546875" style="2" customWidth="1"/>
    <col min="1538" max="1538" width="5" style="2" customWidth="1"/>
    <col min="1539" max="1539" width="14.85546875" style="2" bestFit="1" customWidth="1"/>
    <col min="1540" max="1540" width="7.140625" style="2" customWidth="1"/>
    <col min="1541" max="1541" width="7.42578125" style="2" customWidth="1"/>
    <col min="1542" max="1542" width="11.7109375" style="2" bestFit="1" customWidth="1"/>
    <col min="1543" max="1543" width="5.7109375" style="2" bestFit="1" customWidth="1"/>
    <col min="1544" max="1544" width="11.85546875" style="2" customWidth="1"/>
    <col min="1545" max="1545" width="14.85546875" style="2" bestFit="1" customWidth="1"/>
    <col min="1546" max="1546" width="13.28515625" style="2" customWidth="1"/>
    <col min="1547" max="1547" width="14.85546875" style="2" bestFit="1" customWidth="1"/>
    <col min="1548" max="1548" width="13.85546875" style="2" customWidth="1"/>
    <col min="1549" max="1549" width="14.42578125" style="2" customWidth="1"/>
    <col min="1550" max="1550" width="14.5703125" style="2" customWidth="1"/>
    <col min="1551" max="1790" width="9.140625" style="2"/>
    <col min="1791" max="1791" width="5.85546875" style="2" customWidth="1"/>
    <col min="1792" max="1792" width="8.85546875" style="2" customWidth="1"/>
    <col min="1793" max="1793" width="15.85546875" style="2" customWidth="1"/>
    <col min="1794" max="1794" width="5" style="2" customWidth="1"/>
    <col min="1795" max="1795" width="14.85546875" style="2" bestFit="1" customWidth="1"/>
    <col min="1796" max="1796" width="7.140625" style="2" customWidth="1"/>
    <col min="1797" max="1797" width="7.42578125" style="2" customWidth="1"/>
    <col min="1798" max="1798" width="11.7109375" style="2" bestFit="1" customWidth="1"/>
    <col min="1799" max="1799" width="5.7109375" style="2" bestFit="1" customWidth="1"/>
    <col min="1800" max="1800" width="11.85546875" style="2" customWidth="1"/>
    <col min="1801" max="1801" width="14.85546875" style="2" bestFit="1" customWidth="1"/>
    <col min="1802" max="1802" width="13.28515625" style="2" customWidth="1"/>
    <col min="1803" max="1803" width="14.85546875" style="2" bestFit="1" customWidth="1"/>
    <col min="1804" max="1804" width="13.85546875" style="2" customWidth="1"/>
    <col min="1805" max="1805" width="14.42578125" style="2" customWidth="1"/>
    <col min="1806" max="1806" width="14.5703125" style="2" customWidth="1"/>
    <col min="1807" max="2046" width="9.140625" style="2"/>
    <col min="2047" max="2047" width="5.85546875" style="2" customWidth="1"/>
    <col min="2048" max="2048" width="8.85546875" style="2" customWidth="1"/>
    <col min="2049" max="2049" width="15.85546875" style="2" customWidth="1"/>
    <col min="2050" max="2050" width="5" style="2" customWidth="1"/>
    <col min="2051" max="2051" width="14.85546875" style="2" bestFit="1" customWidth="1"/>
    <col min="2052" max="2052" width="7.140625" style="2" customWidth="1"/>
    <col min="2053" max="2053" width="7.42578125" style="2" customWidth="1"/>
    <col min="2054" max="2054" width="11.7109375" style="2" bestFit="1" customWidth="1"/>
    <col min="2055" max="2055" width="5.7109375" style="2" bestFit="1" customWidth="1"/>
    <col min="2056" max="2056" width="11.85546875" style="2" customWidth="1"/>
    <col min="2057" max="2057" width="14.85546875" style="2" bestFit="1" customWidth="1"/>
    <col min="2058" max="2058" width="13.28515625" style="2" customWidth="1"/>
    <col min="2059" max="2059" width="14.85546875" style="2" bestFit="1" customWidth="1"/>
    <col min="2060" max="2060" width="13.85546875" style="2" customWidth="1"/>
    <col min="2061" max="2061" width="14.42578125" style="2" customWidth="1"/>
    <col min="2062" max="2062" width="14.5703125" style="2" customWidth="1"/>
    <col min="2063" max="2302" width="9.140625" style="2"/>
    <col min="2303" max="2303" width="5.85546875" style="2" customWidth="1"/>
    <col min="2304" max="2304" width="8.85546875" style="2" customWidth="1"/>
    <col min="2305" max="2305" width="15.85546875" style="2" customWidth="1"/>
    <col min="2306" max="2306" width="5" style="2" customWidth="1"/>
    <col min="2307" max="2307" width="14.85546875" style="2" bestFit="1" customWidth="1"/>
    <col min="2308" max="2308" width="7.140625" style="2" customWidth="1"/>
    <col min="2309" max="2309" width="7.42578125" style="2" customWidth="1"/>
    <col min="2310" max="2310" width="11.7109375" style="2" bestFit="1" customWidth="1"/>
    <col min="2311" max="2311" width="5.7109375" style="2" bestFit="1" customWidth="1"/>
    <col min="2312" max="2312" width="11.85546875" style="2" customWidth="1"/>
    <col min="2313" max="2313" width="14.85546875" style="2" bestFit="1" customWidth="1"/>
    <col min="2314" max="2314" width="13.28515625" style="2" customWidth="1"/>
    <col min="2315" max="2315" width="14.85546875" style="2" bestFit="1" customWidth="1"/>
    <col min="2316" max="2316" width="13.85546875" style="2" customWidth="1"/>
    <col min="2317" max="2317" width="14.42578125" style="2" customWidth="1"/>
    <col min="2318" max="2318" width="14.5703125" style="2" customWidth="1"/>
    <col min="2319" max="2558" width="9.140625" style="2"/>
    <col min="2559" max="2559" width="5.85546875" style="2" customWidth="1"/>
    <col min="2560" max="2560" width="8.85546875" style="2" customWidth="1"/>
    <col min="2561" max="2561" width="15.85546875" style="2" customWidth="1"/>
    <col min="2562" max="2562" width="5" style="2" customWidth="1"/>
    <col min="2563" max="2563" width="14.85546875" style="2" bestFit="1" customWidth="1"/>
    <col min="2564" max="2564" width="7.140625" style="2" customWidth="1"/>
    <col min="2565" max="2565" width="7.42578125" style="2" customWidth="1"/>
    <col min="2566" max="2566" width="11.7109375" style="2" bestFit="1" customWidth="1"/>
    <col min="2567" max="2567" width="5.7109375" style="2" bestFit="1" customWidth="1"/>
    <col min="2568" max="2568" width="11.85546875" style="2" customWidth="1"/>
    <col min="2569" max="2569" width="14.85546875" style="2" bestFit="1" customWidth="1"/>
    <col min="2570" max="2570" width="13.28515625" style="2" customWidth="1"/>
    <col min="2571" max="2571" width="14.85546875" style="2" bestFit="1" customWidth="1"/>
    <col min="2572" max="2572" width="13.85546875" style="2" customWidth="1"/>
    <col min="2573" max="2573" width="14.42578125" style="2" customWidth="1"/>
    <col min="2574" max="2574" width="14.5703125" style="2" customWidth="1"/>
    <col min="2575" max="2814" width="9.140625" style="2"/>
    <col min="2815" max="2815" width="5.85546875" style="2" customWidth="1"/>
    <col min="2816" max="2816" width="8.85546875" style="2" customWidth="1"/>
    <col min="2817" max="2817" width="15.85546875" style="2" customWidth="1"/>
    <col min="2818" max="2818" width="5" style="2" customWidth="1"/>
    <col min="2819" max="2819" width="14.85546875" style="2" bestFit="1" customWidth="1"/>
    <col min="2820" max="2820" width="7.140625" style="2" customWidth="1"/>
    <col min="2821" max="2821" width="7.42578125" style="2" customWidth="1"/>
    <col min="2822" max="2822" width="11.7109375" style="2" bestFit="1" customWidth="1"/>
    <col min="2823" max="2823" width="5.7109375" style="2" bestFit="1" customWidth="1"/>
    <col min="2824" max="2824" width="11.85546875" style="2" customWidth="1"/>
    <col min="2825" max="2825" width="14.85546875" style="2" bestFit="1" customWidth="1"/>
    <col min="2826" max="2826" width="13.28515625" style="2" customWidth="1"/>
    <col min="2827" max="2827" width="14.85546875" style="2" bestFit="1" customWidth="1"/>
    <col min="2828" max="2828" width="13.85546875" style="2" customWidth="1"/>
    <col min="2829" max="2829" width="14.42578125" style="2" customWidth="1"/>
    <col min="2830" max="2830" width="14.5703125" style="2" customWidth="1"/>
    <col min="2831" max="3070" width="9.140625" style="2"/>
    <col min="3071" max="3071" width="5.85546875" style="2" customWidth="1"/>
    <col min="3072" max="3072" width="8.85546875" style="2" customWidth="1"/>
    <col min="3073" max="3073" width="15.85546875" style="2" customWidth="1"/>
    <col min="3074" max="3074" width="5" style="2" customWidth="1"/>
    <col min="3075" max="3075" width="14.85546875" style="2" bestFit="1" customWidth="1"/>
    <col min="3076" max="3076" width="7.140625" style="2" customWidth="1"/>
    <col min="3077" max="3077" width="7.42578125" style="2" customWidth="1"/>
    <col min="3078" max="3078" width="11.7109375" style="2" bestFit="1" customWidth="1"/>
    <col min="3079" max="3079" width="5.7109375" style="2" bestFit="1" customWidth="1"/>
    <col min="3080" max="3080" width="11.85546875" style="2" customWidth="1"/>
    <col min="3081" max="3081" width="14.85546875" style="2" bestFit="1" customWidth="1"/>
    <col min="3082" max="3082" width="13.28515625" style="2" customWidth="1"/>
    <col min="3083" max="3083" width="14.85546875" style="2" bestFit="1" customWidth="1"/>
    <col min="3084" max="3084" width="13.85546875" style="2" customWidth="1"/>
    <col min="3085" max="3085" width="14.42578125" style="2" customWidth="1"/>
    <col min="3086" max="3086" width="14.5703125" style="2" customWidth="1"/>
    <col min="3087" max="3326" width="9.140625" style="2"/>
    <col min="3327" max="3327" width="5.85546875" style="2" customWidth="1"/>
    <col min="3328" max="3328" width="8.85546875" style="2" customWidth="1"/>
    <col min="3329" max="3329" width="15.85546875" style="2" customWidth="1"/>
    <col min="3330" max="3330" width="5" style="2" customWidth="1"/>
    <col min="3331" max="3331" width="14.85546875" style="2" bestFit="1" customWidth="1"/>
    <col min="3332" max="3332" width="7.140625" style="2" customWidth="1"/>
    <col min="3333" max="3333" width="7.42578125" style="2" customWidth="1"/>
    <col min="3334" max="3334" width="11.7109375" style="2" bestFit="1" customWidth="1"/>
    <col min="3335" max="3335" width="5.7109375" style="2" bestFit="1" customWidth="1"/>
    <col min="3336" max="3336" width="11.85546875" style="2" customWidth="1"/>
    <col min="3337" max="3337" width="14.85546875" style="2" bestFit="1" customWidth="1"/>
    <col min="3338" max="3338" width="13.28515625" style="2" customWidth="1"/>
    <col min="3339" max="3339" width="14.85546875" style="2" bestFit="1" customWidth="1"/>
    <col min="3340" max="3340" width="13.85546875" style="2" customWidth="1"/>
    <col min="3341" max="3341" width="14.42578125" style="2" customWidth="1"/>
    <col min="3342" max="3342" width="14.5703125" style="2" customWidth="1"/>
    <col min="3343" max="3582" width="9.140625" style="2"/>
    <col min="3583" max="3583" width="5.85546875" style="2" customWidth="1"/>
    <col min="3584" max="3584" width="8.85546875" style="2" customWidth="1"/>
    <col min="3585" max="3585" width="15.85546875" style="2" customWidth="1"/>
    <col min="3586" max="3586" width="5" style="2" customWidth="1"/>
    <col min="3587" max="3587" width="14.85546875" style="2" bestFit="1" customWidth="1"/>
    <col min="3588" max="3588" width="7.140625" style="2" customWidth="1"/>
    <col min="3589" max="3589" width="7.42578125" style="2" customWidth="1"/>
    <col min="3590" max="3590" width="11.7109375" style="2" bestFit="1" customWidth="1"/>
    <col min="3591" max="3591" width="5.7109375" style="2" bestFit="1" customWidth="1"/>
    <col min="3592" max="3592" width="11.85546875" style="2" customWidth="1"/>
    <col min="3593" max="3593" width="14.85546875" style="2" bestFit="1" customWidth="1"/>
    <col min="3594" max="3594" width="13.28515625" style="2" customWidth="1"/>
    <col min="3595" max="3595" width="14.85546875" style="2" bestFit="1" customWidth="1"/>
    <col min="3596" max="3596" width="13.85546875" style="2" customWidth="1"/>
    <col min="3597" max="3597" width="14.42578125" style="2" customWidth="1"/>
    <col min="3598" max="3598" width="14.5703125" style="2" customWidth="1"/>
    <col min="3599" max="3838" width="9.140625" style="2"/>
    <col min="3839" max="3839" width="5.85546875" style="2" customWidth="1"/>
    <col min="3840" max="3840" width="8.85546875" style="2" customWidth="1"/>
    <col min="3841" max="3841" width="15.85546875" style="2" customWidth="1"/>
    <col min="3842" max="3842" width="5" style="2" customWidth="1"/>
    <col min="3843" max="3843" width="14.85546875" style="2" bestFit="1" customWidth="1"/>
    <col min="3844" max="3844" width="7.140625" style="2" customWidth="1"/>
    <col min="3845" max="3845" width="7.42578125" style="2" customWidth="1"/>
    <col min="3846" max="3846" width="11.7109375" style="2" bestFit="1" customWidth="1"/>
    <col min="3847" max="3847" width="5.7109375" style="2" bestFit="1" customWidth="1"/>
    <col min="3848" max="3848" width="11.85546875" style="2" customWidth="1"/>
    <col min="3849" max="3849" width="14.85546875" style="2" bestFit="1" customWidth="1"/>
    <col min="3850" max="3850" width="13.28515625" style="2" customWidth="1"/>
    <col min="3851" max="3851" width="14.85546875" style="2" bestFit="1" customWidth="1"/>
    <col min="3852" max="3852" width="13.85546875" style="2" customWidth="1"/>
    <col min="3853" max="3853" width="14.42578125" style="2" customWidth="1"/>
    <col min="3854" max="3854" width="14.5703125" style="2" customWidth="1"/>
    <col min="3855" max="4094" width="9.140625" style="2"/>
    <col min="4095" max="4095" width="5.85546875" style="2" customWidth="1"/>
    <col min="4096" max="4096" width="8.85546875" style="2" customWidth="1"/>
    <col min="4097" max="4097" width="15.85546875" style="2" customWidth="1"/>
    <col min="4098" max="4098" width="5" style="2" customWidth="1"/>
    <col min="4099" max="4099" width="14.85546875" style="2" bestFit="1" customWidth="1"/>
    <col min="4100" max="4100" width="7.140625" style="2" customWidth="1"/>
    <col min="4101" max="4101" width="7.42578125" style="2" customWidth="1"/>
    <col min="4102" max="4102" width="11.7109375" style="2" bestFit="1" customWidth="1"/>
    <col min="4103" max="4103" width="5.7109375" style="2" bestFit="1" customWidth="1"/>
    <col min="4104" max="4104" width="11.85546875" style="2" customWidth="1"/>
    <col min="4105" max="4105" width="14.85546875" style="2" bestFit="1" customWidth="1"/>
    <col min="4106" max="4106" width="13.28515625" style="2" customWidth="1"/>
    <col min="4107" max="4107" width="14.85546875" style="2" bestFit="1" customWidth="1"/>
    <col min="4108" max="4108" width="13.85546875" style="2" customWidth="1"/>
    <col min="4109" max="4109" width="14.42578125" style="2" customWidth="1"/>
    <col min="4110" max="4110" width="14.5703125" style="2" customWidth="1"/>
    <col min="4111" max="4350" width="9.140625" style="2"/>
    <col min="4351" max="4351" width="5.85546875" style="2" customWidth="1"/>
    <col min="4352" max="4352" width="8.85546875" style="2" customWidth="1"/>
    <col min="4353" max="4353" width="15.85546875" style="2" customWidth="1"/>
    <col min="4354" max="4354" width="5" style="2" customWidth="1"/>
    <col min="4355" max="4355" width="14.85546875" style="2" bestFit="1" customWidth="1"/>
    <col min="4356" max="4356" width="7.140625" style="2" customWidth="1"/>
    <col min="4357" max="4357" width="7.42578125" style="2" customWidth="1"/>
    <col min="4358" max="4358" width="11.7109375" style="2" bestFit="1" customWidth="1"/>
    <col min="4359" max="4359" width="5.7109375" style="2" bestFit="1" customWidth="1"/>
    <col min="4360" max="4360" width="11.85546875" style="2" customWidth="1"/>
    <col min="4361" max="4361" width="14.85546875" style="2" bestFit="1" customWidth="1"/>
    <col min="4362" max="4362" width="13.28515625" style="2" customWidth="1"/>
    <col min="4363" max="4363" width="14.85546875" style="2" bestFit="1" customWidth="1"/>
    <col min="4364" max="4364" width="13.85546875" style="2" customWidth="1"/>
    <col min="4365" max="4365" width="14.42578125" style="2" customWidth="1"/>
    <col min="4366" max="4366" width="14.5703125" style="2" customWidth="1"/>
    <col min="4367" max="4606" width="9.140625" style="2"/>
    <col min="4607" max="4607" width="5.85546875" style="2" customWidth="1"/>
    <col min="4608" max="4608" width="8.85546875" style="2" customWidth="1"/>
    <col min="4609" max="4609" width="15.85546875" style="2" customWidth="1"/>
    <col min="4610" max="4610" width="5" style="2" customWidth="1"/>
    <col min="4611" max="4611" width="14.85546875" style="2" bestFit="1" customWidth="1"/>
    <col min="4612" max="4612" width="7.140625" style="2" customWidth="1"/>
    <col min="4613" max="4613" width="7.42578125" style="2" customWidth="1"/>
    <col min="4614" max="4614" width="11.7109375" style="2" bestFit="1" customWidth="1"/>
    <col min="4615" max="4615" width="5.7109375" style="2" bestFit="1" customWidth="1"/>
    <col min="4616" max="4616" width="11.85546875" style="2" customWidth="1"/>
    <col min="4617" max="4617" width="14.85546875" style="2" bestFit="1" customWidth="1"/>
    <col min="4618" max="4618" width="13.28515625" style="2" customWidth="1"/>
    <col min="4619" max="4619" width="14.85546875" style="2" bestFit="1" customWidth="1"/>
    <col min="4620" max="4620" width="13.85546875" style="2" customWidth="1"/>
    <col min="4621" max="4621" width="14.42578125" style="2" customWidth="1"/>
    <col min="4622" max="4622" width="14.5703125" style="2" customWidth="1"/>
    <col min="4623" max="4862" width="9.140625" style="2"/>
    <col min="4863" max="4863" width="5.85546875" style="2" customWidth="1"/>
    <col min="4864" max="4864" width="8.85546875" style="2" customWidth="1"/>
    <col min="4865" max="4865" width="15.85546875" style="2" customWidth="1"/>
    <col min="4866" max="4866" width="5" style="2" customWidth="1"/>
    <col min="4867" max="4867" width="14.85546875" style="2" bestFit="1" customWidth="1"/>
    <col min="4868" max="4868" width="7.140625" style="2" customWidth="1"/>
    <col min="4869" max="4869" width="7.42578125" style="2" customWidth="1"/>
    <col min="4870" max="4870" width="11.7109375" style="2" bestFit="1" customWidth="1"/>
    <col min="4871" max="4871" width="5.7109375" style="2" bestFit="1" customWidth="1"/>
    <col min="4872" max="4872" width="11.85546875" style="2" customWidth="1"/>
    <col min="4873" max="4873" width="14.85546875" style="2" bestFit="1" customWidth="1"/>
    <col min="4874" max="4874" width="13.28515625" style="2" customWidth="1"/>
    <col min="4875" max="4875" width="14.85546875" style="2" bestFit="1" customWidth="1"/>
    <col min="4876" max="4876" width="13.85546875" style="2" customWidth="1"/>
    <col min="4877" max="4877" width="14.42578125" style="2" customWidth="1"/>
    <col min="4878" max="4878" width="14.5703125" style="2" customWidth="1"/>
    <col min="4879" max="5118" width="9.140625" style="2"/>
    <col min="5119" max="5119" width="5.85546875" style="2" customWidth="1"/>
    <col min="5120" max="5120" width="8.85546875" style="2" customWidth="1"/>
    <col min="5121" max="5121" width="15.85546875" style="2" customWidth="1"/>
    <col min="5122" max="5122" width="5" style="2" customWidth="1"/>
    <col min="5123" max="5123" width="14.85546875" style="2" bestFit="1" customWidth="1"/>
    <col min="5124" max="5124" width="7.140625" style="2" customWidth="1"/>
    <col min="5125" max="5125" width="7.42578125" style="2" customWidth="1"/>
    <col min="5126" max="5126" width="11.7109375" style="2" bestFit="1" customWidth="1"/>
    <col min="5127" max="5127" width="5.7109375" style="2" bestFit="1" customWidth="1"/>
    <col min="5128" max="5128" width="11.85546875" style="2" customWidth="1"/>
    <col min="5129" max="5129" width="14.85546875" style="2" bestFit="1" customWidth="1"/>
    <col min="5130" max="5130" width="13.28515625" style="2" customWidth="1"/>
    <col min="5131" max="5131" width="14.85546875" style="2" bestFit="1" customWidth="1"/>
    <col min="5132" max="5132" width="13.85546875" style="2" customWidth="1"/>
    <col min="5133" max="5133" width="14.42578125" style="2" customWidth="1"/>
    <col min="5134" max="5134" width="14.5703125" style="2" customWidth="1"/>
    <col min="5135" max="5374" width="9.140625" style="2"/>
    <col min="5375" max="5375" width="5.85546875" style="2" customWidth="1"/>
    <col min="5376" max="5376" width="8.85546875" style="2" customWidth="1"/>
    <col min="5377" max="5377" width="15.85546875" style="2" customWidth="1"/>
    <col min="5378" max="5378" width="5" style="2" customWidth="1"/>
    <col min="5379" max="5379" width="14.85546875" style="2" bestFit="1" customWidth="1"/>
    <col min="5380" max="5380" width="7.140625" style="2" customWidth="1"/>
    <col min="5381" max="5381" width="7.42578125" style="2" customWidth="1"/>
    <col min="5382" max="5382" width="11.7109375" style="2" bestFit="1" customWidth="1"/>
    <col min="5383" max="5383" width="5.7109375" style="2" bestFit="1" customWidth="1"/>
    <col min="5384" max="5384" width="11.85546875" style="2" customWidth="1"/>
    <col min="5385" max="5385" width="14.85546875" style="2" bestFit="1" customWidth="1"/>
    <col min="5386" max="5386" width="13.28515625" style="2" customWidth="1"/>
    <col min="5387" max="5387" width="14.85546875" style="2" bestFit="1" customWidth="1"/>
    <col min="5388" max="5388" width="13.85546875" style="2" customWidth="1"/>
    <col min="5389" max="5389" width="14.42578125" style="2" customWidth="1"/>
    <col min="5390" max="5390" width="14.5703125" style="2" customWidth="1"/>
    <col min="5391" max="5630" width="9.140625" style="2"/>
    <col min="5631" max="5631" width="5.85546875" style="2" customWidth="1"/>
    <col min="5632" max="5632" width="8.85546875" style="2" customWidth="1"/>
    <col min="5633" max="5633" width="15.85546875" style="2" customWidth="1"/>
    <col min="5634" max="5634" width="5" style="2" customWidth="1"/>
    <col min="5635" max="5635" width="14.85546875" style="2" bestFit="1" customWidth="1"/>
    <col min="5636" max="5636" width="7.140625" style="2" customWidth="1"/>
    <col min="5637" max="5637" width="7.42578125" style="2" customWidth="1"/>
    <col min="5638" max="5638" width="11.7109375" style="2" bestFit="1" customWidth="1"/>
    <col min="5639" max="5639" width="5.7109375" style="2" bestFit="1" customWidth="1"/>
    <col min="5640" max="5640" width="11.85546875" style="2" customWidth="1"/>
    <col min="5641" max="5641" width="14.85546875" style="2" bestFit="1" customWidth="1"/>
    <col min="5642" max="5642" width="13.28515625" style="2" customWidth="1"/>
    <col min="5643" max="5643" width="14.85546875" style="2" bestFit="1" customWidth="1"/>
    <col min="5644" max="5644" width="13.85546875" style="2" customWidth="1"/>
    <col min="5645" max="5645" width="14.42578125" style="2" customWidth="1"/>
    <col min="5646" max="5646" width="14.5703125" style="2" customWidth="1"/>
    <col min="5647" max="5886" width="9.140625" style="2"/>
    <col min="5887" max="5887" width="5.85546875" style="2" customWidth="1"/>
    <col min="5888" max="5888" width="8.85546875" style="2" customWidth="1"/>
    <col min="5889" max="5889" width="15.85546875" style="2" customWidth="1"/>
    <col min="5890" max="5890" width="5" style="2" customWidth="1"/>
    <col min="5891" max="5891" width="14.85546875" style="2" bestFit="1" customWidth="1"/>
    <col min="5892" max="5892" width="7.140625" style="2" customWidth="1"/>
    <col min="5893" max="5893" width="7.42578125" style="2" customWidth="1"/>
    <col min="5894" max="5894" width="11.7109375" style="2" bestFit="1" customWidth="1"/>
    <col min="5895" max="5895" width="5.7109375" style="2" bestFit="1" customWidth="1"/>
    <col min="5896" max="5896" width="11.85546875" style="2" customWidth="1"/>
    <col min="5897" max="5897" width="14.85546875" style="2" bestFit="1" customWidth="1"/>
    <col min="5898" max="5898" width="13.28515625" style="2" customWidth="1"/>
    <col min="5899" max="5899" width="14.85546875" style="2" bestFit="1" customWidth="1"/>
    <col min="5900" max="5900" width="13.85546875" style="2" customWidth="1"/>
    <col min="5901" max="5901" width="14.42578125" style="2" customWidth="1"/>
    <col min="5902" max="5902" width="14.5703125" style="2" customWidth="1"/>
    <col min="5903" max="6142" width="9.140625" style="2"/>
    <col min="6143" max="6143" width="5.85546875" style="2" customWidth="1"/>
    <col min="6144" max="6144" width="8.85546875" style="2" customWidth="1"/>
    <col min="6145" max="6145" width="15.85546875" style="2" customWidth="1"/>
    <col min="6146" max="6146" width="5" style="2" customWidth="1"/>
    <col min="6147" max="6147" width="14.85546875" style="2" bestFit="1" customWidth="1"/>
    <col min="6148" max="6148" width="7.140625" style="2" customWidth="1"/>
    <col min="6149" max="6149" width="7.42578125" style="2" customWidth="1"/>
    <col min="6150" max="6150" width="11.7109375" style="2" bestFit="1" customWidth="1"/>
    <col min="6151" max="6151" width="5.7109375" style="2" bestFit="1" customWidth="1"/>
    <col min="6152" max="6152" width="11.85546875" style="2" customWidth="1"/>
    <col min="6153" max="6153" width="14.85546875" style="2" bestFit="1" customWidth="1"/>
    <col min="6154" max="6154" width="13.28515625" style="2" customWidth="1"/>
    <col min="6155" max="6155" width="14.85546875" style="2" bestFit="1" customWidth="1"/>
    <col min="6156" max="6156" width="13.85546875" style="2" customWidth="1"/>
    <col min="6157" max="6157" width="14.42578125" style="2" customWidth="1"/>
    <col min="6158" max="6158" width="14.5703125" style="2" customWidth="1"/>
    <col min="6159" max="6398" width="9.140625" style="2"/>
    <col min="6399" max="6399" width="5.85546875" style="2" customWidth="1"/>
    <col min="6400" max="6400" width="8.85546875" style="2" customWidth="1"/>
    <col min="6401" max="6401" width="15.85546875" style="2" customWidth="1"/>
    <col min="6402" max="6402" width="5" style="2" customWidth="1"/>
    <col min="6403" max="6403" width="14.85546875" style="2" bestFit="1" customWidth="1"/>
    <col min="6404" max="6404" width="7.140625" style="2" customWidth="1"/>
    <col min="6405" max="6405" width="7.42578125" style="2" customWidth="1"/>
    <col min="6406" max="6406" width="11.7109375" style="2" bestFit="1" customWidth="1"/>
    <col min="6407" max="6407" width="5.7109375" style="2" bestFit="1" customWidth="1"/>
    <col min="6408" max="6408" width="11.85546875" style="2" customWidth="1"/>
    <col min="6409" max="6409" width="14.85546875" style="2" bestFit="1" customWidth="1"/>
    <col min="6410" max="6410" width="13.28515625" style="2" customWidth="1"/>
    <col min="6411" max="6411" width="14.85546875" style="2" bestFit="1" customWidth="1"/>
    <col min="6412" max="6412" width="13.85546875" style="2" customWidth="1"/>
    <col min="6413" max="6413" width="14.42578125" style="2" customWidth="1"/>
    <col min="6414" max="6414" width="14.5703125" style="2" customWidth="1"/>
    <col min="6415" max="6654" width="9.140625" style="2"/>
    <col min="6655" max="6655" width="5.85546875" style="2" customWidth="1"/>
    <col min="6656" max="6656" width="8.85546875" style="2" customWidth="1"/>
    <col min="6657" max="6657" width="15.85546875" style="2" customWidth="1"/>
    <col min="6658" max="6658" width="5" style="2" customWidth="1"/>
    <col min="6659" max="6659" width="14.85546875" style="2" bestFit="1" customWidth="1"/>
    <col min="6660" max="6660" width="7.140625" style="2" customWidth="1"/>
    <col min="6661" max="6661" width="7.42578125" style="2" customWidth="1"/>
    <col min="6662" max="6662" width="11.7109375" style="2" bestFit="1" customWidth="1"/>
    <col min="6663" max="6663" width="5.7109375" style="2" bestFit="1" customWidth="1"/>
    <col min="6664" max="6664" width="11.85546875" style="2" customWidth="1"/>
    <col min="6665" max="6665" width="14.85546875" style="2" bestFit="1" customWidth="1"/>
    <col min="6666" max="6666" width="13.28515625" style="2" customWidth="1"/>
    <col min="6667" max="6667" width="14.85546875" style="2" bestFit="1" customWidth="1"/>
    <col min="6668" max="6668" width="13.85546875" style="2" customWidth="1"/>
    <col min="6669" max="6669" width="14.42578125" style="2" customWidth="1"/>
    <col min="6670" max="6670" width="14.5703125" style="2" customWidth="1"/>
    <col min="6671" max="6910" width="9.140625" style="2"/>
    <col min="6911" max="6911" width="5.85546875" style="2" customWidth="1"/>
    <col min="6912" max="6912" width="8.85546875" style="2" customWidth="1"/>
    <col min="6913" max="6913" width="15.85546875" style="2" customWidth="1"/>
    <col min="6914" max="6914" width="5" style="2" customWidth="1"/>
    <col min="6915" max="6915" width="14.85546875" style="2" bestFit="1" customWidth="1"/>
    <col min="6916" max="6916" width="7.140625" style="2" customWidth="1"/>
    <col min="6917" max="6917" width="7.42578125" style="2" customWidth="1"/>
    <col min="6918" max="6918" width="11.7109375" style="2" bestFit="1" customWidth="1"/>
    <col min="6919" max="6919" width="5.7109375" style="2" bestFit="1" customWidth="1"/>
    <col min="6920" max="6920" width="11.85546875" style="2" customWidth="1"/>
    <col min="6921" max="6921" width="14.85546875" style="2" bestFit="1" customWidth="1"/>
    <col min="6922" max="6922" width="13.28515625" style="2" customWidth="1"/>
    <col min="6923" max="6923" width="14.85546875" style="2" bestFit="1" customWidth="1"/>
    <col min="6924" max="6924" width="13.85546875" style="2" customWidth="1"/>
    <col min="6925" max="6925" width="14.42578125" style="2" customWidth="1"/>
    <col min="6926" max="6926" width="14.5703125" style="2" customWidth="1"/>
    <col min="6927" max="7166" width="9.140625" style="2"/>
    <col min="7167" max="7167" width="5.85546875" style="2" customWidth="1"/>
    <col min="7168" max="7168" width="8.85546875" style="2" customWidth="1"/>
    <col min="7169" max="7169" width="15.85546875" style="2" customWidth="1"/>
    <col min="7170" max="7170" width="5" style="2" customWidth="1"/>
    <col min="7171" max="7171" width="14.85546875" style="2" bestFit="1" customWidth="1"/>
    <col min="7172" max="7172" width="7.140625" style="2" customWidth="1"/>
    <col min="7173" max="7173" width="7.42578125" style="2" customWidth="1"/>
    <col min="7174" max="7174" width="11.7109375" style="2" bestFit="1" customWidth="1"/>
    <col min="7175" max="7175" width="5.7109375" style="2" bestFit="1" customWidth="1"/>
    <col min="7176" max="7176" width="11.85546875" style="2" customWidth="1"/>
    <col min="7177" max="7177" width="14.85546875" style="2" bestFit="1" customWidth="1"/>
    <col min="7178" max="7178" width="13.28515625" style="2" customWidth="1"/>
    <col min="7179" max="7179" width="14.85546875" style="2" bestFit="1" customWidth="1"/>
    <col min="7180" max="7180" width="13.85546875" style="2" customWidth="1"/>
    <col min="7181" max="7181" width="14.42578125" style="2" customWidth="1"/>
    <col min="7182" max="7182" width="14.5703125" style="2" customWidth="1"/>
    <col min="7183" max="7422" width="9.140625" style="2"/>
    <col min="7423" max="7423" width="5.85546875" style="2" customWidth="1"/>
    <col min="7424" max="7424" width="8.85546875" style="2" customWidth="1"/>
    <col min="7425" max="7425" width="15.85546875" style="2" customWidth="1"/>
    <col min="7426" max="7426" width="5" style="2" customWidth="1"/>
    <col min="7427" max="7427" width="14.85546875" style="2" bestFit="1" customWidth="1"/>
    <col min="7428" max="7428" width="7.140625" style="2" customWidth="1"/>
    <col min="7429" max="7429" width="7.42578125" style="2" customWidth="1"/>
    <col min="7430" max="7430" width="11.7109375" style="2" bestFit="1" customWidth="1"/>
    <col min="7431" max="7431" width="5.7109375" style="2" bestFit="1" customWidth="1"/>
    <col min="7432" max="7432" width="11.85546875" style="2" customWidth="1"/>
    <col min="7433" max="7433" width="14.85546875" style="2" bestFit="1" customWidth="1"/>
    <col min="7434" max="7434" width="13.28515625" style="2" customWidth="1"/>
    <col min="7435" max="7435" width="14.85546875" style="2" bestFit="1" customWidth="1"/>
    <col min="7436" max="7436" width="13.85546875" style="2" customWidth="1"/>
    <col min="7437" max="7437" width="14.42578125" style="2" customWidth="1"/>
    <col min="7438" max="7438" width="14.5703125" style="2" customWidth="1"/>
    <col min="7439" max="7678" width="9.140625" style="2"/>
    <col min="7679" max="7679" width="5.85546875" style="2" customWidth="1"/>
    <col min="7680" max="7680" width="8.85546875" style="2" customWidth="1"/>
    <col min="7681" max="7681" width="15.85546875" style="2" customWidth="1"/>
    <col min="7682" max="7682" width="5" style="2" customWidth="1"/>
    <col min="7683" max="7683" width="14.85546875" style="2" bestFit="1" customWidth="1"/>
    <col min="7684" max="7684" width="7.140625" style="2" customWidth="1"/>
    <col min="7685" max="7685" width="7.42578125" style="2" customWidth="1"/>
    <col min="7686" max="7686" width="11.7109375" style="2" bestFit="1" customWidth="1"/>
    <col min="7687" max="7687" width="5.7109375" style="2" bestFit="1" customWidth="1"/>
    <col min="7688" max="7688" width="11.85546875" style="2" customWidth="1"/>
    <col min="7689" max="7689" width="14.85546875" style="2" bestFit="1" customWidth="1"/>
    <col min="7690" max="7690" width="13.28515625" style="2" customWidth="1"/>
    <col min="7691" max="7691" width="14.85546875" style="2" bestFit="1" customWidth="1"/>
    <col min="7692" max="7692" width="13.85546875" style="2" customWidth="1"/>
    <col min="7693" max="7693" width="14.42578125" style="2" customWidth="1"/>
    <col min="7694" max="7694" width="14.5703125" style="2" customWidth="1"/>
    <col min="7695" max="7934" width="9.140625" style="2"/>
    <col min="7935" max="7935" width="5.85546875" style="2" customWidth="1"/>
    <col min="7936" max="7936" width="8.85546875" style="2" customWidth="1"/>
    <col min="7937" max="7937" width="15.85546875" style="2" customWidth="1"/>
    <col min="7938" max="7938" width="5" style="2" customWidth="1"/>
    <col min="7939" max="7939" width="14.85546875" style="2" bestFit="1" customWidth="1"/>
    <col min="7940" max="7940" width="7.140625" style="2" customWidth="1"/>
    <col min="7941" max="7941" width="7.42578125" style="2" customWidth="1"/>
    <col min="7942" max="7942" width="11.7109375" style="2" bestFit="1" customWidth="1"/>
    <col min="7943" max="7943" width="5.7109375" style="2" bestFit="1" customWidth="1"/>
    <col min="7944" max="7944" width="11.85546875" style="2" customWidth="1"/>
    <col min="7945" max="7945" width="14.85546875" style="2" bestFit="1" customWidth="1"/>
    <col min="7946" max="7946" width="13.28515625" style="2" customWidth="1"/>
    <col min="7947" max="7947" width="14.85546875" style="2" bestFit="1" customWidth="1"/>
    <col min="7948" max="7948" width="13.85546875" style="2" customWidth="1"/>
    <col min="7949" max="7949" width="14.42578125" style="2" customWidth="1"/>
    <col min="7950" max="7950" width="14.5703125" style="2" customWidth="1"/>
    <col min="7951" max="8190" width="9.140625" style="2"/>
    <col min="8191" max="8191" width="5.85546875" style="2" customWidth="1"/>
    <col min="8192" max="8192" width="8.85546875" style="2" customWidth="1"/>
    <col min="8193" max="8193" width="15.85546875" style="2" customWidth="1"/>
    <col min="8194" max="8194" width="5" style="2" customWidth="1"/>
    <col min="8195" max="8195" width="14.85546875" style="2" bestFit="1" customWidth="1"/>
    <col min="8196" max="8196" width="7.140625" style="2" customWidth="1"/>
    <col min="8197" max="8197" width="7.42578125" style="2" customWidth="1"/>
    <col min="8198" max="8198" width="11.7109375" style="2" bestFit="1" customWidth="1"/>
    <col min="8199" max="8199" width="5.7109375" style="2" bestFit="1" customWidth="1"/>
    <col min="8200" max="8200" width="11.85546875" style="2" customWidth="1"/>
    <col min="8201" max="8201" width="14.85546875" style="2" bestFit="1" customWidth="1"/>
    <col min="8202" max="8202" width="13.28515625" style="2" customWidth="1"/>
    <col min="8203" max="8203" width="14.85546875" style="2" bestFit="1" customWidth="1"/>
    <col min="8204" max="8204" width="13.85546875" style="2" customWidth="1"/>
    <col min="8205" max="8205" width="14.42578125" style="2" customWidth="1"/>
    <col min="8206" max="8206" width="14.5703125" style="2" customWidth="1"/>
    <col min="8207" max="8446" width="9.140625" style="2"/>
    <col min="8447" max="8447" width="5.85546875" style="2" customWidth="1"/>
    <col min="8448" max="8448" width="8.85546875" style="2" customWidth="1"/>
    <col min="8449" max="8449" width="15.85546875" style="2" customWidth="1"/>
    <col min="8450" max="8450" width="5" style="2" customWidth="1"/>
    <col min="8451" max="8451" width="14.85546875" style="2" bestFit="1" customWidth="1"/>
    <col min="8452" max="8452" width="7.140625" style="2" customWidth="1"/>
    <col min="8453" max="8453" width="7.42578125" style="2" customWidth="1"/>
    <col min="8454" max="8454" width="11.7109375" style="2" bestFit="1" customWidth="1"/>
    <col min="8455" max="8455" width="5.7109375" style="2" bestFit="1" customWidth="1"/>
    <col min="8456" max="8456" width="11.85546875" style="2" customWidth="1"/>
    <col min="8457" max="8457" width="14.85546875" style="2" bestFit="1" customWidth="1"/>
    <col min="8458" max="8458" width="13.28515625" style="2" customWidth="1"/>
    <col min="8459" max="8459" width="14.85546875" style="2" bestFit="1" customWidth="1"/>
    <col min="8460" max="8460" width="13.85546875" style="2" customWidth="1"/>
    <col min="8461" max="8461" width="14.42578125" style="2" customWidth="1"/>
    <col min="8462" max="8462" width="14.5703125" style="2" customWidth="1"/>
    <col min="8463" max="8702" width="9.140625" style="2"/>
    <col min="8703" max="8703" width="5.85546875" style="2" customWidth="1"/>
    <col min="8704" max="8704" width="8.85546875" style="2" customWidth="1"/>
    <col min="8705" max="8705" width="15.85546875" style="2" customWidth="1"/>
    <col min="8706" max="8706" width="5" style="2" customWidth="1"/>
    <col min="8707" max="8707" width="14.85546875" style="2" bestFit="1" customWidth="1"/>
    <col min="8708" max="8708" width="7.140625" style="2" customWidth="1"/>
    <col min="8709" max="8709" width="7.42578125" style="2" customWidth="1"/>
    <col min="8710" max="8710" width="11.7109375" style="2" bestFit="1" customWidth="1"/>
    <col min="8711" max="8711" width="5.7109375" style="2" bestFit="1" customWidth="1"/>
    <col min="8712" max="8712" width="11.85546875" style="2" customWidth="1"/>
    <col min="8713" max="8713" width="14.85546875" style="2" bestFit="1" customWidth="1"/>
    <col min="8714" max="8714" width="13.28515625" style="2" customWidth="1"/>
    <col min="8715" max="8715" width="14.85546875" style="2" bestFit="1" customWidth="1"/>
    <col min="8716" max="8716" width="13.85546875" style="2" customWidth="1"/>
    <col min="8717" max="8717" width="14.42578125" style="2" customWidth="1"/>
    <col min="8718" max="8718" width="14.5703125" style="2" customWidth="1"/>
    <col min="8719" max="8958" width="9.140625" style="2"/>
    <col min="8959" max="8959" width="5.85546875" style="2" customWidth="1"/>
    <col min="8960" max="8960" width="8.85546875" style="2" customWidth="1"/>
    <col min="8961" max="8961" width="15.85546875" style="2" customWidth="1"/>
    <col min="8962" max="8962" width="5" style="2" customWidth="1"/>
    <col min="8963" max="8963" width="14.85546875" style="2" bestFit="1" customWidth="1"/>
    <col min="8964" max="8964" width="7.140625" style="2" customWidth="1"/>
    <col min="8965" max="8965" width="7.42578125" style="2" customWidth="1"/>
    <col min="8966" max="8966" width="11.7109375" style="2" bestFit="1" customWidth="1"/>
    <col min="8967" max="8967" width="5.7109375" style="2" bestFit="1" customWidth="1"/>
    <col min="8968" max="8968" width="11.85546875" style="2" customWidth="1"/>
    <col min="8969" max="8969" width="14.85546875" style="2" bestFit="1" customWidth="1"/>
    <col min="8970" max="8970" width="13.28515625" style="2" customWidth="1"/>
    <col min="8971" max="8971" width="14.85546875" style="2" bestFit="1" customWidth="1"/>
    <col min="8972" max="8972" width="13.85546875" style="2" customWidth="1"/>
    <col min="8973" max="8973" width="14.42578125" style="2" customWidth="1"/>
    <col min="8974" max="8974" width="14.5703125" style="2" customWidth="1"/>
    <col min="8975" max="9214" width="9.140625" style="2"/>
    <col min="9215" max="9215" width="5.85546875" style="2" customWidth="1"/>
    <col min="9216" max="9216" width="8.85546875" style="2" customWidth="1"/>
    <col min="9217" max="9217" width="15.85546875" style="2" customWidth="1"/>
    <col min="9218" max="9218" width="5" style="2" customWidth="1"/>
    <col min="9219" max="9219" width="14.85546875" style="2" bestFit="1" customWidth="1"/>
    <col min="9220" max="9220" width="7.140625" style="2" customWidth="1"/>
    <col min="9221" max="9221" width="7.42578125" style="2" customWidth="1"/>
    <col min="9222" max="9222" width="11.7109375" style="2" bestFit="1" customWidth="1"/>
    <col min="9223" max="9223" width="5.7109375" style="2" bestFit="1" customWidth="1"/>
    <col min="9224" max="9224" width="11.85546875" style="2" customWidth="1"/>
    <col min="9225" max="9225" width="14.85546875" style="2" bestFit="1" customWidth="1"/>
    <col min="9226" max="9226" width="13.28515625" style="2" customWidth="1"/>
    <col min="9227" max="9227" width="14.85546875" style="2" bestFit="1" customWidth="1"/>
    <col min="9228" max="9228" width="13.85546875" style="2" customWidth="1"/>
    <col min="9229" max="9229" width="14.42578125" style="2" customWidth="1"/>
    <col min="9230" max="9230" width="14.5703125" style="2" customWidth="1"/>
    <col min="9231" max="9470" width="9.140625" style="2"/>
    <col min="9471" max="9471" width="5.85546875" style="2" customWidth="1"/>
    <col min="9472" max="9472" width="8.85546875" style="2" customWidth="1"/>
    <col min="9473" max="9473" width="15.85546875" style="2" customWidth="1"/>
    <col min="9474" max="9474" width="5" style="2" customWidth="1"/>
    <col min="9475" max="9475" width="14.85546875" style="2" bestFit="1" customWidth="1"/>
    <col min="9476" max="9476" width="7.140625" style="2" customWidth="1"/>
    <col min="9477" max="9477" width="7.42578125" style="2" customWidth="1"/>
    <col min="9478" max="9478" width="11.7109375" style="2" bestFit="1" customWidth="1"/>
    <col min="9479" max="9479" width="5.7109375" style="2" bestFit="1" customWidth="1"/>
    <col min="9480" max="9480" width="11.85546875" style="2" customWidth="1"/>
    <col min="9481" max="9481" width="14.85546875" style="2" bestFit="1" customWidth="1"/>
    <col min="9482" max="9482" width="13.28515625" style="2" customWidth="1"/>
    <col min="9483" max="9483" width="14.85546875" style="2" bestFit="1" customWidth="1"/>
    <col min="9484" max="9484" width="13.85546875" style="2" customWidth="1"/>
    <col min="9485" max="9485" width="14.42578125" style="2" customWidth="1"/>
    <col min="9486" max="9486" width="14.5703125" style="2" customWidth="1"/>
    <col min="9487" max="9726" width="9.140625" style="2"/>
    <col min="9727" max="9727" width="5.85546875" style="2" customWidth="1"/>
    <col min="9728" max="9728" width="8.85546875" style="2" customWidth="1"/>
    <col min="9729" max="9729" width="15.85546875" style="2" customWidth="1"/>
    <col min="9730" max="9730" width="5" style="2" customWidth="1"/>
    <col min="9731" max="9731" width="14.85546875" style="2" bestFit="1" customWidth="1"/>
    <col min="9732" max="9732" width="7.140625" style="2" customWidth="1"/>
    <col min="9733" max="9733" width="7.42578125" style="2" customWidth="1"/>
    <col min="9734" max="9734" width="11.7109375" style="2" bestFit="1" customWidth="1"/>
    <col min="9735" max="9735" width="5.7109375" style="2" bestFit="1" customWidth="1"/>
    <col min="9736" max="9736" width="11.85546875" style="2" customWidth="1"/>
    <col min="9737" max="9737" width="14.85546875" style="2" bestFit="1" customWidth="1"/>
    <col min="9738" max="9738" width="13.28515625" style="2" customWidth="1"/>
    <col min="9739" max="9739" width="14.85546875" style="2" bestFit="1" customWidth="1"/>
    <col min="9740" max="9740" width="13.85546875" style="2" customWidth="1"/>
    <col min="9741" max="9741" width="14.42578125" style="2" customWidth="1"/>
    <col min="9742" max="9742" width="14.5703125" style="2" customWidth="1"/>
    <col min="9743" max="9982" width="9.140625" style="2"/>
    <col min="9983" max="9983" width="5.85546875" style="2" customWidth="1"/>
    <col min="9984" max="9984" width="8.85546875" style="2" customWidth="1"/>
    <col min="9985" max="9985" width="15.85546875" style="2" customWidth="1"/>
    <col min="9986" max="9986" width="5" style="2" customWidth="1"/>
    <col min="9987" max="9987" width="14.85546875" style="2" bestFit="1" customWidth="1"/>
    <col min="9988" max="9988" width="7.140625" style="2" customWidth="1"/>
    <col min="9989" max="9989" width="7.42578125" style="2" customWidth="1"/>
    <col min="9990" max="9990" width="11.7109375" style="2" bestFit="1" customWidth="1"/>
    <col min="9991" max="9991" width="5.7109375" style="2" bestFit="1" customWidth="1"/>
    <col min="9992" max="9992" width="11.85546875" style="2" customWidth="1"/>
    <col min="9993" max="9993" width="14.85546875" style="2" bestFit="1" customWidth="1"/>
    <col min="9994" max="9994" width="13.28515625" style="2" customWidth="1"/>
    <col min="9995" max="9995" width="14.85546875" style="2" bestFit="1" customWidth="1"/>
    <col min="9996" max="9996" width="13.85546875" style="2" customWidth="1"/>
    <col min="9997" max="9997" width="14.42578125" style="2" customWidth="1"/>
    <col min="9998" max="9998" width="14.5703125" style="2" customWidth="1"/>
    <col min="9999" max="10238" width="9.140625" style="2"/>
    <col min="10239" max="10239" width="5.85546875" style="2" customWidth="1"/>
    <col min="10240" max="10240" width="8.85546875" style="2" customWidth="1"/>
    <col min="10241" max="10241" width="15.85546875" style="2" customWidth="1"/>
    <col min="10242" max="10242" width="5" style="2" customWidth="1"/>
    <col min="10243" max="10243" width="14.85546875" style="2" bestFit="1" customWidth="1"/>
    <col min="10244" max="10244" width="7.140625" style="2" customWidth="1"/>
    <col min="10245" max="10245" width="7.42578125" style="2" customWidth="1"/>
    <col min="10246" max="10246" width="11.7109375" style="2" bestFit="1" customWidth="1"/>
    <col min="10247" max="10247" width="5.7109375" style="2" bestFit="1" customWidth="1"/>
    <col min="10248" max="10248" width="11.85546875" style="2" customWidth="1"/>
    <col min="10249" max="10249" width="14.85546875" style="2" bestFit="1" customWidth="1"/>
    <col min="10250" max="10250" width="13.28515625" style="2" customWidth="1"/>
    <col min="10251" max="10251" width="14.85546875" style="2" bestFit="1" customWidth="1"/>
    <col min="10252" max="10252" width="13.85546875" style="2" customWidth="1"/>
    <col min="10253" max="10253" width="14.42578125" style="2" customWidth="1"/>
    <col min="10254" max="10254" width="14.5703125" style="2" customWidth="1"/>
    <col min="10255" max="10494" width="9.140625" style="2"/>
    <col min="10495" max="10495" width="5.85546875" style="2" customWidth="1"/>
    <col min="10496" max="10496" width="8.85546875" style="2" customWidth="1"/>
    <col min="10497" max="10497" width="15.85546875" style="2" customWidth="1"/>
    <col min="10498" max="10498" width="5" style="2" customWidth="1"/>
    <col min="10499" max="10499" width="14.85546875" style="2" bestFit="1" customWidth="1"/>
    <col min="10500" max="10500" width="7.140625" style="2" customWidth="1"/>
    <col min="10501" max="10501" width="7.42578125" style="2" customWidth="1"/>
    <col min="10502" max="10502" width="11.7109375" style="2" bestFit="1" customWidth="1"/>
    <col min="10503" max="10503" width="5.7109375" style="2" bestFit="1" customWidth="1"/>
    <col min="10504" max="10504" width="11.85546875" style="2" customWidth="1"/>
    <col min="10505" max="10505" width="14.85546875" style="2" bestFit="1" customWidth="1"/>
    <col min="10506" max="10506" width="13.28515625" style="2" customWidth="1"/>
    <col min="10507" max="10507" width="14.85546875" style="2" bestFit="1" customWidth="1"/>
    <col min="10508" max="10508" width="13.85546875" style="2" customWidth="1"/>
    <col min="10509" max="10509" width="14.42578125" style="2" customWidth="1"/>
    <col min="10510" max="10510" width="14.5703125" style="2" customWidth="1"/>
    <col min="10511" max="10750" width="9.140625" style="2"/>
    <col min="10751" max="10751" width="5.85546875" style="2" customWidth="1"/>
    <col min="10752" max="10752" width="8.85546875" style="2" customWidth="1"/>
    <col min="10753" max="10753" width="15.85546875" style="2" customWidth="1"/>
    <col min="10754" max="10754" width="5" style="2" customWidth="1"/>
    <col min="10755" max="10755" width="14.85546875" style="2" bestFit="1" customWidth="1"/>
    <col min="10756" max="10756" width="7.140625" style="2" customWidth="1"/>
    <col min="10757" max="10757" width="7.42578125" style="2" customWidth="1"/>
    <col min="10758" max="10758" width="11.7109375" style="2" bestFit="1" customWidth="1"/>
    <col min="10759" max="10759" width="5.7109375" style="2" bestFit="1" customWidth="1"/>
    <col min="10760" max="10760" width="11.85546875" style="2" customWidth="1"/>
    <col min="10761" max="10761" width="14.85546875" style="2" bestFit="1" customWidth="1"/>
    <col min="10762" max="10762" width="13.28515625" style="2" customWidth="1"/>
    <col min="10763" max="10763" width="14.85546875" style="2" bestFit="1" customWidth="1"/>
    <col min="10764" max="10764" width="13.85546875" style="2" customWidth="1"/>
    <col min="10765" max="10765" width="14.42578125" style="2" customWidth="1"/>
    <col min="10766" max="10766" width="14.5703125" style="2" customWidth="1"/>
    <col min="10767" max="11006" width="9.140625" style="2"/>
    <col min="11007" max="11007" width="5.85546875" style="2" customWidth="1"/>
    <col min="11008" max="11008" width="8.85546875" style="2" customWidth="1"/>
    <col min="11009" max="11009" width="15.85546875" style="2" customWidth="1"/>
    <col min="11010" max="11010" width="5" style="2" customWidth="1"/>
    <col min="11011" max="11011" width="14.85546875" style="2" bestFit="1" customWidth="1"/>
    <col min="11012" max="11012" width="7.140625" style="2" customWidth="1"/>
    <col min="11013" max="11013" width="7.42578125" style="2" customWidth="1"/>
    <col min="11014" max="11014" width="11.7109375" style="2" bestFit="1" customWidth="1"/>
    <col min="11015" max="11015" width="5.7109375" style="2" bestFit="1" customWidth="1"/>
    <col min="11016" max="11016" width="11.85546875" style="2" customWidth="1"/>
    <col min="11017" max="11017" width="14.85546875" style="2" bestFit="1" customWidth="1"/>
    <col min="11018" max="11018" width="13.28515625" style="2" customWidth="1"/>
    <col min="11019" max="11019" width="14.85546875" style="2" bestFit="1" customWidth="1"/>
    <col min="11020" max="11020" width="13.85546875" style="2" customWidth="1"/>
    <col min="11021" max="11021" width="14.42578125" style="2" customWidth="1"/>
    <col min="11022" max="11022" width="14.5703125" style="2" customWidth="1"/>
    <col min="11023" max="11262" width="9.140625" style="2"/>
    <col min="11263" max="11263" width="5.85546875" style="2" customWidth="1"/>
    <col min="11264" max="11264" width="8.85546875" style="2" customWidth="1"/>
    <col min="11265" max="11265" width="15.85546875" style="2" customWidth="1"/>
    <col min="11266" max="11266" width="5" style="2" customWidth="1"/>
    <col min="11267" max="11267" width="14.85546875" style="2" bestFit="1" customWidth="1"/>
    <col min="11268" max="11268" width="7.140625" style="2" customWidth="1"/>
    <col min="11269" max="11269" width="7.42578125" style="2" customWidth="1"/>
    <col min="11270" max="11270" width="11.7109375" style="2" bestFit="1" customWidth="1"/>
    <col min="11271" max="11271" width="5.7109375" style="2" bestFit="1" customWidth="1"/>
    <col min="11272" max="11272" width="11.85546875" style="2" customWidth="1"/>
    <col min="11273" max="11273" width="14.85546875" style="2" bestFit="1" customWidth="1"/>
    <col min="11274" max="11274" width="13.28515625" style="2" customWidth="1"/>
    <col min="11275" max="11275" width="14.85546875" style="2" bestFit="1" customWidth="1"/>
    <col min="11276" max="11276" width="13.85546875" style="2" customWidth="1"/>
    <col min="11277" max="11277" width="14.42578125" style="2" customWidth="1"/>
    <col min="11278" max="11278" width="14.5703125" style="2" customWidth="1"/>
    <col min="11279" max="11518" width="9.140625" style="2"/>
    <col min="11519" max="11519" width="5.85546875" style="2" customWidth="1"/>
    <col min="11520" max="11520" width="8.85546875" style="2" customWidth="1"/>
    <col min="11521" max="11521" width="15.85546875" style="2" customWidth="1"/>
    <col min="11522" max="11522" width="5" style="2" customWidth="1"/>
    <col min="11523" max="11523" width="14.85546875" style="2" bestFit="1" customWidth="1"/>
    <col min="11524" max="11524" width="7.140625" style="2" customWidth="1"/>
    <col min="11525" max="11525" width="7.42578125" style="2" customWidth="1"/>
    <col min="11526" max="11526" width="11.7109375" style="2" bestFit="1" customWidth="1"/>
    <col min="11527" max="11527" width="5.7109375" style="2" bestFit="1" customWidth="1"/>
    <col min="11528" max="11528" width="11.85546875" style="2" customWidth="1"/>
    <col min="11529" max="11529" width="14.85546875" style="2" bestFit="1" customWidth="1"/>
    <col min="11530" max="11530" width="13.28515625" style="2" customWidth="1"/>
    <col min="11531" max="11531" width="14.85546875" style="2" bestFit="1" customWidth="1"/>
    <col min="11532" max="11532" width="13.85546875" style="2" customWidth="1"/>
    <col min="11533" max="11533" width="14.42578125" style="2" customWidth="1"/>
    <col min="11534" max="11534" width="14.5703125" style="2" customWidth="1"/>
    <col min="11535" max="11774" width="9.140625" style="2"/>
    <col min="11775" max="11775" width="5.85546875" style="2" customWidth="1"/>
    <col min="11776" max="11776" width="8.85546875" style="2" customWidth="1"/>
    <col min="11777" max="11777" width="15.85546875" style="2" customWidth="1"/>
    <col min="11778" max="11778" width="5" style="2" customWidth="1"/>
    <col min="11779" max="11779" width="14.85546875" style="2" bestFit="1" customWidth="1"/>
    <col min="11780" max="11780" width="7.140625" style="2" customWidth="1"/>
    <col min="11781" max="11781" width="7.42578125" style="2" customWidth="1"/>
    <col min="11782" max="11782" width="11.7109375" style="2" bestFit="1" customWidth="1"/>
    <col min="11783" max="11783" width="5.7109375" style="2" bestFit="1" customWidth="1"/>
    <col min="11784" max="11784" width="11.85546875" style="2" customWidth="1"/>
    <col min="11785" max="11785" width="14.85546875" style="2" bestFit="1" customWidth="1"/>
    <col min="11786" max="11786" width="13.28515625" style="2" customWidth="1"/>
    <col min="11787" max="11787" width="14.85546875" style="2" bestFit="1" customWidth="1"/>
    <col min="11788" max="11788" width="13.85546875" style="2" customWidth="1"/>
    <col min="11789" max="11789" width="14.42578125" style="2" customWidth="1"/>
    <col min="11790" max="11790" width="14.5703125" style="2" customWidth="1"/>
    <col min="11791" max="12030" width="9.140625" style="2"/>
    <col min="12031" max="12031" width="5.85546875" style="2" customWidth="1"/>
    <col min="12032" max="12032" width="8.85546875" style="2" customWidth="1"/>
    <col min="12033" max="12033" width="15.85546875" style="2" customWidth="1"/>
    <col min="12034" max="12034" width="5" style="2" customWidth="1"/>
    <col min="12035" max="12035" width="14.85546875" style="2" bestFit="1" customWidth="1"/>
    <col min="12036" max="12036" width="7.140625" style="2" customWidth="1"/>
    <col min="12037" max="12037" width="7.42578125" style="2" customWidth="1"/>
    <col min="12038" max="12038" width="11.7109375" style="2" bestFit="1" customWidth="1"/>
    <col min="12039" max="12039" width="5.7109375" style="2" bestFit="1" customWidth="1"/>
    <col min="12040" max="12040" width="11.85546875" style="2" customWidth="1"/>
    <col min="12041" max="12041" width="14.85546875" style="2" bestFit="1" customWidth="1"/>
    <col min="12042" max="12042" width="13.28515625" style="2" customWidth="1"/>
    <col min="12043" max="12043" width="14.85546875" style="2" bestFit="1" customWidth="1"/>
    <col min="12044" max="12044" width="13.85546875" style="2" customWidth="1"/>
    <col min="12045" max="12045" width="14.42578125" style="2" customWidth="1"/>
    <col min="12046" max="12046" width="14.5703125" style="2" customWidth="1"/>
    <col min="12047" max="12286" width="9.140625" style="2"/>
    <col min="12287" max="12287" width="5.85546875" style="2" customWidth="1"/>
    <col min="12288" max="12288" width="8.85546875" style="2" customWidth="1"/>
    <col min="12289" max="12289" width="15.85546875" style="2" customWidth="1"/>
    <col min="12290" max="12290" width="5" style="2" customWidth="1"/>
    <col min="12291" max="12291" width="14.85546875" style="2" bestFit="1" customWidth="1"/>
    <col min="12292" max="12292" width="7.140625" style="2" customWidth="1"/>
    <col min="12293" max="12293" width="7.42578125" style="2" customWidth="1"/>
    <col min="12294" max="12294" width="11.7109375" style="2" bestFit="1" customWidth="1"/>
    <col min="12295" max="12295" width="5.7109375" style="2" bestFit="1" customWidth="1"/>
    <col min="12296" max="12296" width="11.85546875" style="2" customWidth="1"/>
    <col min="12297" max="12297" width="14.85546875" style="2" bestFit="1" customWidth="1"/>
    <col min="12298" max="12298" width="13.28515625" style="2" customWidth="1"/>
    <col min="12299" max="12299" width="14.85546875" style="2" bestFit="1" customWidth="1"/>
    <col min="12300" max="12300" width="13.85546875" style="2" customWidth="1"/>
    <col min="12301" max="12301" width="14.42578125" style="2" customWidth="1"/>
    <col min="12302" max="12302" width="14.5703125" style="2" customWidth="1"/>
    <col min="12303" max="12542" width="9.140625" style="2"/>
    <col min="12543" max="12543" width="5.85546875" style="2" customWidth="1"/>
    <col min="12544" max="12544" width="8.85546875" style="2" customWidth="1"/>
    <col min="12545" max="12545" width="15.85546875" style="2" customWidth="1"/>
    <col min="12546" max="12546" width="5" style="2" customWidth="1"/>
    <col min="12547" max="12547" width="14.85546875" style="2" bestFit="1" customWidth="1"/>
    <col min="12548" max="12548" width="7.140625" style="2" customWidth="1"/>
    <col min="12549" max="12549" width="7.42578125" style="2" customWidth="1"/>
    <col min="12550" max="12550" width="11.7109375" style="2" bestFit="1" customWidth="1"/>
    <col min="12551" max="12551" width="5.7109375" style="2" bestFit="1" customWidth="1"/>
    <col min="12552" max="12552" width="11.85546875" style="2" customWidth="1"/>
    <col min="12553" max="12553" width="14.85546875" style="2" bestFit="1" customWidth="1"/>
    <col min="12554" max="12554" width="13.28515625" style="2" customWidth="1"/>
    <col min="12555" max="12555" width="14.85546875" style="2" bestFit="1" customWidth="1"/>
    <col min="12556" max="12556" width="13.85546875" style="2" customWidth="1"/>
    <col min="12557" max="12557" width="14.42578125" style="2" customWidth="1"/>
    <col min="12558" max="12558" width="14.5703125" style="2" customWidth="1"/>
    <col min="12559" max="12798" width="9.140625" style="2"/>
    <col min="12799" max="12799" width="5.85546875" style="2" customWidth="1"/>
    <col min="12800" max="12800" width="8.85546875" style="2" customWidth="1"/>
    <col min="12801" max="12801" width="15.85546875" style="2" customWidth="1"/>
    <col min="12802" max="12802" width="5" style="2" customWidth="1"/>
    <col min="12803" max="12803" width="14.85546875" style="2" bestFit="1" customWidth="1"/>
    <col min="12804" max="12804" width="7.140625" style="2" customWidth="1"/>
    <col min="12805" max="12805" width="7.42578125" style="2" customWidth="1"/>
    <col min="12806" max="12806" width="11.7109375" style="2" bestFit="1" customWidth="1"/>
    <col min="12807" max="12807" width="5.7109375" style="2" bestFit="1" customWidth="1"/>
    <col min="12808" max="12808" width="11.85546875" style="2" customWidth="1"/>
    <col min="12809" max="12809" width="14.85546875" style="2" bestFit="1" customWidth="1"/>
    <col min="12810" max="12810" width="13.28515625" style="2" customWidth="1"/>
    <col min="12811" max="12811" width="14.85546875" style="2" bestFit="1" customWidth="1"/>
    <col min="12812" max="12812" width="13.85546875" style="2" customWidth="1"/>
    <col min="12813" max="12813" width="14.42578125" style="2" customWidth="1"/>
    <col min="12814" max="12814" width="14.5703125" style="2" customWidth="1"/>
    <col min="12815" max="13054" width="9.140625" style="2"/>
    <col min="13055" max="13055" width="5.85546875" style="2" customWidth="1"/>
    <col min="13056" max="13056" width="8.85546875" style="2" customWidth="1"/>
    <col min="13057" max="13057" width="15.85546875" style="2" customWidth="1"/>
    <col min="13058" max="13058" width="5" style="2" customWidth="1"/>
    <col min="13059" max="13059" width="14.85546875" style="2" bestFit="1" customWidth="1"/>
    <col min="13060" max="13060" width="7.140625" style="2" customWidth="1"/>
    <col min="13061" max="13061" width="7.42578125" style="2" customWidth="1"/>
    <col min="13062" max="13062" width="11.7109375" style="2" bestFit="1" customWidth="1"/>
    <col min="13063" max="13063" width="5.7109375" style="2" bestFit="1" customWidth="1"/>
    <col min="13064" max="13064" width="11.85546875" style="2" customWidth="1"/>
    <col min="13065" max="13065" width="14.85546875" style="2" bestFit="1" customWidth="1"/>
    <col min="13066" max="13066" width="13.28515625" style="2" customWidth="1"/>
    <col min="13067" max="13067" width="14.85546875" style="2" bestFit="1" customWidth="1"/>
    <col min="13068" max="13068" width="13.85546875" style="2" customWidth="1"/>
    <col min="13069" max="13069" width="14.42578125" style="2" customWidth="1"/>
    <col min="13070" max="13070" width="14.5703125" style="2" customWidth="1"/>
    <col min="13071" max="13310" width="9.140625" style="2"/>
    <col min="13311" max="13311" width="5.85546875" style="2" customWidth="1"/>
    <col min="13312" max="13312" width="8.85546875" style="2" customWidth="1"/>
    <col min="13313" max="13313" width="15.85546875" style="2" customWidth="1"/>
    <col min="13314" max="13314" width="5" style="2" customWidth="1"/>
    <col min="13315" max="13315" width="14.85546875" style="2" bestFit="1" customWidth="1"/>
    <col min="13316" max="13316" width="7.140625" style="2" customWidth="1"/>
    <col min="13317" max="13317" width="7.42578125" style="2" customWidth="1"/>
    <col min="13318" max="13318" width="11.7109375" style="2" bestFit="1" customWidth="1"/>
    <col min="13319" max="13319" width="5.7109375" style="2" bestFit="1" customWidth="1"/>
    <col min="13320" max="13320" width="11.85546875" style="2" customWidth="1"/>
    <col min="13321" max="13321" width="14.85546875" style="2" bestFit="1" customWidth="1"/>
    <col min="13322" max="13322" width="13.28515625" style="2" customWidth="1"/>
    <col min="13323" max="13323" width="14.85546875" style="2" bestFit="1" customWidth="1"/>
    <col min="13324" max="13324" width="13.85546875" style="2" customWidth="1"/>
    <col min="13325" max="13325" width="14.42578125" style="2" customWidth="1"/>
    <col min="13326" max="13326" width="14.5703125" style="2" customWidth="1"/>
    <col min="13327" max="13566" width="9.140625" style="2"/>
    <col min="13567" max="13567" width="5.85546875" style="2" customWidth="1"/>
    <col min="13568" max="13568" width="8.85546875" style="2" customWidth="1"/>
    <col min="13569" max="13569" width="15.85546875" style="2" customWidth="1"/>
    <col min="13570" max="13570" width="5" style="2" customWidth="1"/>
    <col min="13571" max="13571" width="14.85546875" style="2" bestFit="1" customWidth="1"/>
    <col min="13572" max="13572" width="7.140625" style="2" customWidth="1"/>
    <col min="13573" max="13573" width="7.42578125" style="2" customWidth="1"/>
    <col min="13574" max="13574" width="11.7109375" style="2" bestFit="1" customWidth="1"/>
    <col min="13575" max="13575" width="5.7109375" style="2" bestFit="1" customWidth="1"/>
    <col min="13576" max="13576" width="11.85546875" style="2" customWidth="1"/>
    <col min="13577" max="13577" width="14.85546875" style="2" bestFit="1" customWidth="1"/>
    <col min="13578" max="13578" width="13.28515625" style="2" customWidth="1"/>
    <col min="13579" max="13579" width="14.85546875" style="2" bestFit="1" customWidth="1"/>
    <col min="13580" max="13580" width="13.85546875" style="2" customWidth="1"/>
    <col min="13581" max="13581" width="14.42578125" style="2" customWidth="1"/>
    <col min="13582" max="13582" width="14.5703125" style="2" customWidth="1"/>
    <col min="13583" max="13822" width="9.140625" style="2"/>
    <col min="13823" max="13823" width="5.85546875" style="2" customWidth="1"/>
    <col min="13824" max="13824" width="8.85546875" style="2" customWidth="1"/>
    <col min="13825" max="13825" width="15.85546875" style="2" customWidth="1"/>
    <col min="13826" max="13826" width="5" style="2" customWidth="1"/>
    <col min="13827" max="13827" width="14.85546875" style="2" bestFit="1" customWidth="1"/>
    <col min="13828" max="13828" width="7.140625" style="2" customWidth="1"/>
    <col min="13829" max="13829" width="7.42578125" style="2" customWidth="1"/>
    <col min="13830" max="13830" width="11.7109375" style="2" bestFit="1" customWidth="1"/>
    <col min="13831" max="13831" width="5.7109375" style="2" bestFit="1" customWidth="1"/>
    <col min="13832" max="13832" width="11.85546875" style="2" customWidth="1"/>
    <col min="13833" max="13833" width="14.85546875" style="2" bestFit="1" customWidth="1"/>
    <col min="13834" max="13834" width="13.28515625" style="2" customWidth="1"/>
    <col min="13835" max="13835" width="14.85546875" style="2" bestFit="1" customWidth="1"/>
    <col min="13836" max="13836" width="13.85546875" style="2" customWidth="1"/>
    <col min="13837" max="13837" width="14.42578125" style="2" customWidth="1"/>
    <col min="13838" max="13838" width="14.5703125" style="2" customWidth="1"/>
    <col min="13839" max="14078" width="9.140625" style="2"/>
    <col min="14079" max="14079" width="5.85546875" style="2" customWidth="1"/>
    <col min="14080" max="14080" width="8.85546875" style="2" customWidth="1"/>
    <col min="14081" max="14081" width="15.85546875" style="2" customWidth="1"/>
    <col min="14082" max="14082" width="5" style="2" customWidth="1"/>
    <col min="14083" max="14083" width="14.85546875" style="2" bestFit="1" customWidth="1"/>
    <col min="14084" max="14084" width="7.140625" style="2" customWidth="1"/>
    <col min="14085" max="14085" width="7.42578125" style="2" customWidth="1"/>
    <col min="14086" max="14086" width="11.7109375" style="2" bestFit="1" customWidth="1"/>
    <col min="14087" max="14087" width="5.7109375" style="2" bestFit="1" customWidth="1"/>
    <col min="14088" max="14088" width="11.85546875" style="2" customWidth="1"/>
    <col min="14089" max="14089" width="14.85546875" style="2" bestFit="1" customWidth="1"/>
    <col min="14090" max="14090" width="13.28515625" style="2" customWidth="1"/>
    <col min="14091" max="14091" width="14.85546875" style="2" bestFit="1" customWidth="1"/>
    <col min="14092" max="14092" width="13.85546875" style="2" customWidth="1"/>
    <col min="14093" max="14093" width="14.42578125" style="2" customWidth="1"/>
    <col min="14094" max="14094" width="14.5703125" style="2" customWidth="1"/>
    <col min="14095" max="14334" width="9.140625" style="2"/>
    <col min="14335" max="14335" width="5.85546875" style="2" customWidth="1"/>
    <col min="14336" max="14336" width="8.85546875" style="2" customWidth="1"/>
    <col min="14337" max="14337" width="15.85546875" style="2" customWidth="1"/>
    <col min="14338" max="14338" width="5" style="2" customWidth="1"/>
    <col min="14339" max="14339" width="14.85546875" style="2" bestFit="1" customWidth="1"/>
    <col min="14340" max="14340" width="7.140625" style="2" customWidth="1"/>
    <col min="14341" max="14341" width="7.42578125" style="2" customWidth="1"/>
    <col min="14342" max="14342" width="11.7109375" style="2" bestFit="1" customWidth="1"/>
    <col min="14343" max="14343" width="5.7109375" style="2" bestFit="1" customWidth="1"/>
    <col min="14344" max="14344" width="11.85546875" style="2" customWidth="1"/>
    <col min="14345" max="14345" width="14.85546875" style="2" bestFit="1" customWidth="1"/>
    <col min="14346" max="14346" width="13.28515625" style="2" customWidth="1"/>
    <col min="14347" max="14347" width="14.85546875" style="2" bestFit="1" customWidth="1"/>
    <col min="14348" max="14348" width="13.85546875" style="2" customWidth="1"/>
    <col min="14349" max="14349" width="14.42578125" style="2" customWidth="1"/>
    <col min="14350" max="14350" width="14.5703125" style="2" customWidth="1"/>
    <col min="14351" max="14590" width="9.140625" style="2"/>
    <col min="14591" max="14591" width="5.85546875" style="2" customWidth="1"/>
    <col min="14592" max="14592" width="8.85546875" style="2" customWidth="1"/>
    <col min="14593" max="14593" width="15.85546875" style="2" customWidth="1"/>
    <col min="14594" max="14594" width="5" style="2" customWidth="1"/>
    <col min="14595" max="14595" width="14.85546875" style="2" bestFit="1" customWidth="1"/>
    <col min="14596" max="14596" width="7.140625" style="2" customWidth="1"/>
    <col min="14597" max="14597" width="7.42578125" style="2" customWidth="1"/>
    <col min="14598" max="14598" width="11.7109375" style="2" bestFit="1" customWidth="1"/>
    <col min="14599" max="14599" width="5.7109375" style="2" bestFit="1" customWidth="1"/>
    <col min="14600" max="14600" width="11.85546875" style="2" customWidth="1"/>
    <col min="14601" max="14601" width="14.85546875" style="2" bestFit="1" customWidth="1"/>
    <col min="14602" max="14602" width="13.28515625" style="2" customWidth="1"/>
    <col min="14603" max="14603" width="14.85546875" style="2" bestFit="1" customWidth="1"/>
    <col min="14604" max="14604" width="13.85546875" style="2" customWidth="1"/>
    <col min="14605" max="14605" width="14.42578125" style="2" customWidth="1"/>
    <col min="14606" max="14606" width="14.5703125" style="2" customWidth="1"/>
    <col min="14607" max="14846" width="9.140625" style="2"/>
    <col min="14847" max="14847" width="5.85546875" style="2" customWidth="1"/>
    <col min="14848" max="14848" width="8.85546875" style="2" customWidth="1"/>
    <col min="14849" max="14849" width="15.85546875" style="2" customWidth="1"/>
    <col min="14850" max="14850" width="5" style="2" customWidth="1"/>
    <col min="14851" max="14851" width="14.85546875" style="2" bestFit="1" customWidth="1"/>
    <col min="14852" max="14852" width="7.140625" style="2" customWidth="1"/>
    <col min="14853" max="14853" width="7.42578125" style="2" customWidth="1"/>
    <col min="14854" max="14854" width="11.7109375" style="2" bestFit="1" customWidth="1"/>
    <col min="14855" max="14855" width="5.7109375" style="2" bestFit="1" customWidth="1"/>
    <col min="14856" max="14856" width="11.85546875" style="2" customWidth="1"/>
    <col min="14857" max="14857" width="14.85546875" style="2" bestFit="1" customWidth="1"/>
    <col min="14858" max="14858" width="13.28515625" style="2" customWidth="1"/>
    <col min="14859" max="14859" width="14.85546875" style="2" bestFit="1" customWidth="1"/>
    <col min="14860" max="14860" width="13.85546875" style="2" customWidth="1"/>
    <col min="14861" max="14861" width="14.42578125" style="2" customWidth="1"/>
    <col min="14862" max="14862" width="14.5703125" style="2" customWidth="1"/>
    <col min="14863" max="15102" width="9.140625" style="2"/>
    <col min="15103" max="15103" width="5.85546875" style="2" customWidth="1"/>
    <col min="15104" max="15104" width="8.85546875" style="2" customWidth="1"/>
    <col min="15105" max="15105" width="15.85546875" style="2" customWidth="1"/>
    <col min="15106" max="15106" width="5" style="2" customWidth="1"/>
    <col min="15107" max="15107" width="14.85546875" style="2" bestFit="1" customWidth="1"/>
    <col min="15108" max="15108" width="7.140625" style="2" customWidth="1"/>
    <col min="15109" max="15109" width="7.42578125" style="2" customWidth="1"/>
    <col min="15110" max="15110" width="11.7109375" style="2" bestFit="1" customWidth="1"/>
    <col min="15111" max="15111" width="5.7109375" style="2" bestFit="1" customWidth="1"/>
    <col min="15112" max="15112" width="11.85546875" style="2" customWidth="1"/>
    <col min="15113" max="15113" width="14.85546875" style="2" bestFit="1" customWidth="1"/>
    <col min="15114" max="15114" width="13.28515625" style="2" customWidth="1"/>
    <col min="15115" max="15115" width="14.85546875" style="2" bestFit="1" customWidth="1"/>
    <col min="15116" max="15116" width="13.85546875" style="2" customWidth="1"/>
    <col min="15117" max="15117" width="14.42578125" style="2" customWidth="1"/>
    <col min="15118" max="15118" width="14.5703125" style="2" customWidth="1"/>
    <col min="15119" max="15358" width="9.140625" style="2"/>
    <col min="15359" max="15359" width="5.85546875" style="2" customWidth="1"/>
    <col min="15360" max="15360" width="8.85546875" style="2" customWidth="1"/>
    <col min="15361" max="15361" width="15.85546875" style="2" customWidth="1"/>
    <col min="15362" max="15362" width="5" style="2" customWidth="1"/>
    <col min="15363" max="15363" width="14.85546875" style="2" bestFit="1" customWidth="1"/>
    <col min="15364" max="15364" width="7.140625" style="2" customWidth="1"/>
    <col min="15365" max="15365" width="7.42578125" style="2" customWidth="1"/>
    <col min="15366" max="15366" width="11.7109375" style="2" bestFit="1" customWidth="1"/>
    <col min="15367" max="15367" width="5.7109375" style="2" bestFit="1" customWidth="1"/>
    <col min="15368" max="15368" width="11.85546875" style="2" customWidth="1"/>
    <col min="15369" max="15369" width="14.85546875" style="2" bestFit="1" customWidth="1"/>
    <col min="15370" max="15370" width="13.28515625" style="2" customWidth="1"/>
    <col min="15371" max="15371" width="14.85546875" style="2" bestFit="1" customWidth="1"/>
    <col min="15372" max="15372" width="13.85546875" style="2" customWidth="1"/>
    <col min="15373" max="15373" width="14.42578125" style="2" customWidth="1"/>
    <col min="15374" max="15374" width="14.5703125" style="2" customWidth="1"/>
    <col min="15375" max="15614" width="9.140625" style="2"/>
    <col min="15615" max="15615" width="5.85546875" style="2" customWidth="1"/>
    <col min="15616" max="15616" width="8.85546875" style="2" customWidth="1"/>
    <col min="15617" max="15617" width="15.85546875" style="2" customWidth="1"/>
    <col min="15618" max="15618" width="5" style="2" customWidth="1"/>
    <col min="15619" max="15619" width="14.85546875" style="2" bestFit="1" customWidth="1"/>
    <col min="15620" max="15620" width="7.140625" style="2" customWidth="1"/>
    <col min="15621" max="15621" width="7.42578125" style="2" customWidth="1"/>
    <col min="15622" max="15622" width="11.7109375" style="2" bestFit="1" customWidth="1"/>
    <col min="15623" max="15623" width="5.7109375" style="2" bestFit="1" customWidth="1"/>
    <col min="15624" max="15624" width="11.85546875" style="2" customWidth="1"/>
    <col min="15625" max="15625" width="14.85546875" style="2" bestFit="1" customWidth="1"/>
    <col min="15626" max="15626" width="13.28515625" style="2" customWidth="1"/>
    <col min="15627" max="15627" width="14.85546875" style="2" bestFit="1" customWidth="1"/>
    <col min="15628" max="15628" width="13.85546875" style="2" customWidth="1"/>
    <col min="15629" max="15629" width="14.42578125" style="2" customWidth="1"/>
    <col min="15630" max="15630" width="14.5703125" style="2" customWidth="1"/>
    <col min="15631" max="15870" width="9.140625" style="2"/>
    <col min="15871" max="15871" width="5.85546875" style="2" customWidth="1"/>
    <col min="15872" max="15872" width="8.85546875" style="2" customWidth="1"/>
    <col min="15873" max="15873" width="15.85546875" style="2" customWidth="1"/>
    <col min="15874" max="15874" width="5" style="2" customWidth="1"/>
    <col min="15875" max="15875" width="14.85546875" style="2" bestFit="1" customWidth="1"/>
    <col min="15876" max="15876" width="7.140625" style="2" customWidth="1"/>
    <col min="15877" max="15877" width="7.42578125" style="2" customWidth="1"/>
    <col min="15878" max="15878" width="11.7109375" style="2" bestFit="1" customWidth="1"/>
    <col min="15879" max="15879" width="5.7109375" style="2" bestFit="1" customWidth="1"/>
    <col min="15880" max="15880" width="11.85546875" style="2" customWidth="1"/>
    <col min="15881" max="15881" width="14.85546875" style="2" bestFit="1" customWidth="1"/>
    <col min="15882" max="15882" width="13.28515625" style="2" customWidth="1"/>
    <col min="15883" max="15883" width="14.85546875" style="2" bestFit="1" customWidth="1"/>
    <col min="15884" max="15884" width="13.85546875" style="2" customWidth="1"/>
    <col min="15885" max="15885" width="14.42578125" style="2" customWidth="1"/>
    <col min="15886" max="15886" width="14.5703125" style="2" customWidth="1"/>
    <col min="15887" max="16126" width="9.140625" style="2"/>
    <col min="16127" max="16127" width="5.85546875" style="2" customWidth="1"/>
    <col min="16128" max="16128" width="8.85546875" style="2" customWidth="1"/>
    <col min="16129" max="16129" width="15.85546875" style="2" customWidth="1"/>
    <col min="16130" max="16130" width="5" style="2" customWidth="1"/>
    <col min="16131" max="16131" width="14.85546875" style="2" bestFit="1" customWidth="1"/>
    <col min="16132" max="16132" width="7.140625" style="2" customWidth="1"/>
    <col min="16133" max="16133" width="7.42578125" style="2" customWidth="1"/>
    <col min="16134" max="16134" width="11.7109375" style="2" bestFit="1" customWidth="1"/>
    <col min="16135" max="16135" width="5.7109375" style="2" bestFit="1" customWidth="1"/>
    <col min="16136" max="16136" width="11.85546875" style="2" customWidth="1"/>
    <col min="16137" max="16137" width="14.85546875" style="2" bestFit="1" customWidth="1"/>
    <col min="16138" max="16138" width="13.28515625" style="2" customWidth="1"/>
    <col min="16139" max="16139" width="14.85546875" style="2" bestFit="1" customWidth="1"/>
    <col min="16140" max="16140" width="13.85546875" style="2" customWidth="1"/>
    <col min="16141" max="16141" width="14.42578125" style="2" customWidth="1"/>
    <col min="16142" max="16142" width="14.5703125" style="2" customWidth="1"/>
    <col min="16143" max="16384" width="9.140625" style="2"/>
  </cols>
  <sheetData>
    <row r="1" spans="1:18" ht="45.75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s="6" customFormat="1" ht="20.100000000000001" customHeight="1">
      <c r="A2" s="81" t="s">
        <v>0</v>
      </c>
      <c r="B2" s="82"/>
      <c r="C2" s="3" t="s">
        <v>1</v>
      </c>
      <c r="D2" s="83" t="s">
        <v>2</v>
      </c>
      <c r="E2" s="4" t="s">
        <v>3</v>
      </c>
      <c r="F2" s="86" t="s">
        <v>4</v>
      </c>
      <c r="G2" s="87"/>
      <c r="H2" s="87"/>
      <c r="I2" s="87"/>
      <c r="J2" s="87"/>
      <c r="K2" s="88"/>
      <c r="L2" s="4" t="s">
        <v>5</v>
      </c>
      <c r="M2" s="5" t="s">
        <v>6</v>
      </c>
      <c r="N2" s="4" t="s">
        <v>7</v>
      </c>
      <c r="O2" s="89" t="s">
        <v>8</v>
      </c>
      <c r="P2" s="90"/>
    </row>
    <row r="3" spans="1:18" s="6" customFormat="1" ht="20.100000000000001" customHeight="1">
      <c r="A3" s="91" t="s">
        <v>9</v>
      </c>
      <c r="B3" s="93" t="s">
        <v>10</v>
      </c>
      <c r="C3" s="94"/>
      <c r="D3" s="84"/>
      <c r="E3" s="95" t="s">
        <v>11</v>
      </c>
      <c r="F3" s="96"/>
      <c r="G3" s="93" t="s">
        <v>12</v>
      </c>
      <c r="H3" s="94"/>
      <c r="I3" s="93" t="s">
        <v>13</v>
      </c>
      <c r="J3" s="94"/>
      <c r="K3" s="97" t="s">
        <v>14</v>
      </c>
      <c r="L3" s="7" t="s">
        <v>15</v>
      </c>
      <c r="M3" s="8" t="s">
        <v>16</v>
      </c>
      <c r="N3" s="8" t="s">
        <v>17</v>
      </c>
      <c r="O3" s="64" t="s">
        <v>18</v>
      </c>
      <c r="P3" s="66" t="s">
        <v>19</v>
      </c>
    </row>
    <row r="4" spans="1:18" s="6" customFormat="1" ht="20.100000000000001" customHeight="1" thickBot="1">
      <c r="A4" s="92"/>
      <c r="B4" s="9" t="s">
        <v>20</v>
      </c>
      <c r="C4" s="9" t="s">
        <v>10</v>
      </c>
      <c r="D4" s="85"/>
      <c r="E4" s="10" t="s">
        <v>21</v>
      </c>
      <c r="F4" s="10" t="s">
        <v>22</v>
      </c>
      <c r="G4" s="10" t="s">
        <v>23</v>
      </c>
      <c r="H4" s="10" t="s">
        <v>24</v>
      </c>
      <c r="I4" s="10" t="s">
        <v>22</v>
      </c>
      <c r="J4" s="9" t="s">
        <v>25</v>
      </c>
      <c r="K4" s="98"/>
      <c r="L4" s="11">
        <f>$M$32</f>
        <v>0.12</v>
      </c>
      <c r="M4" s="12" t="s">
        <v>26</v>
      </c>
      <c r="N4" s="13" t="s">
        <v>27</v>
      </c>
      <c r="O4" s="65"/>
      <c r="P4" s="67"/>
    </row>
    <row r="5" spans="1:18" s="6" customFormat="1" ht="20.100000000000001" customHeight="1">
      <c r="A5" s="14">
        <v>1</v>
      </c>
      <c r="B5" s="15">
        <v>10005980</v>
      </c>
      <c r="C5" s="16" t="s">
        <v>28</v>
      </c>
      <c r="D5" s="17">
        <f>VLOOKUP($B5,[1]단품수량!$B$5:$M$27,12,FALSE)</f>
        <v>720</v>
      </c>
      <c r="E5" s="18">
        <f>D5*'실행-우진'!E5</f>
        <v>41745600</v>
      </c>
      <c r="F5" s="19">
        <f t="shared" ref="F5:F29" si="0">IF(ISERROR(E5/O5),"0",(E5/O5))</f>
        <v>0.64422222222222225</v>
      </c>
      <c r="G5" s="20">
        <f>D5*'실행-우진'!G5</f>
        <v>360</v>
      </c>
      <c r="H5" s="18">
        <f>G5*$M$31</f>
        <v>14744880</v>
      </c>
      <c r="I5" s="19">
        <f t="shared" ref="I5:I29" si="1">IF(ISERROR(J5/O5),"0",(J5/O5))</f>
        <v>7.9422222222222227E-2</v>
      </c>
      <c r="J5" s="18">
        <f t="shared" ref="J5:J28" si="2">G5*$M$34</f>
        <v>5146560</v>
      </c>
      <c r="K5" s="18">
        <f t="shared" ref="K5:K28" si="3">E5+H5+J5</f>
        <v>61637040</v>
      </c>
      <c r="L5" s="18">
        <f t="shared" ref="L5:L28" si="4">K5*$M$32</f>
        <v>7396444.7999999998</v>
      </c>
      <c r="M5" s="18">
        <f t="shared" ref="M5:M28" si="5">K5+L5</f>
        <v>69033484.799999997</v>
      </c>
      <c r="N5" s="21">
        <f t="shared" ref="N5:N28" si="6">O5-M5</f>
        <v>-4233484.799999997</v>
      </c>
      <c r="O5" s="22">
        <f>D5*'실행-우진'!O5</f>
        <v>64800000</v>
      </c>
      <c r="P5" s="23"/>
      <c r="R5" s="58"/>
    </row>
    <row r="6" spans="1:18" s="6" customFormat="1" ht="20.100000000000001" customHeight="1">
      <c r="A6" s="24">
        <v>2</v>
      </c>
      <c r="B6" s="25">
        <v>10005981</v>
      </c>
      <c r="C6" s="26" t="s">
        <v>29</v>
      </c>
      <c r="D6" s="27">
        <f>VLOOKUP($B6,[1]단품수량!$B$5:$M$27,12,FALSE)</f>
        <v>480</v>
      </c>
      <c r="E6" s="28">
        <f>D6*'실행-우진'!E6</f>
        <v>18048000</v>
      </c>
      <c r="F6" s="29">
        <f t="shared" si="0"/>
        <v>0.78333333333333333</v>
      </c>
      <c r="G6" s="30">
        <f>D6*'실행-우진'!G6</f>
        <v>96</v>
      </c>
      <c r="H6" s="28">
        <f t="shared" ref="H6:H27" si="7">G6*$M$31</f>
        <v>3931968</v>
      </c>
      <c r="I6" s="19">
        <f t="shared" si="1"/>
        <v>5.9566666666666664E-2</v>
      </c>
      <c r="J6" s="18">
        <f t="shared" si="2"/>
        <v>1372416</v>
      </c>
      <c r="K6" s="28">
        <f t="shared" si="3"/>
        <v>23352384</v>
      </c>
      <c r="L6" s="28">
        <f t="shared" si="4"/>
        <v>2802286.08</v>
      </c>
      <c r="M6" s="28">
        <f t="shared" si="5"/>
        <v>26154670.079999998</v>
      </c>
      <c r="N6" s="31">
        <f t="shared" si="6"/>
        <v>-3114670.0799999982</v>
      </c>
      <c r="O6" s="32">
        <f>D6*'실행-우진'!O6</f>
        <v>23040000</v>
      </c>
      <c r="P6" s="33"/>
      <c r="R6" s="58"/>
    </row>
    <row r="7" spans="1:18" s="6" customFormat="1" ht="20.100000000000001" customHeight="1">
      <c r="A7" s="24">
        <v>3</v>
      </c>
      <c r="B7" s="25">
        <v>10005982</v>
      </c>
      <c r="C7" s="26" t="s">
        <v>30</v>
      </c>
      <c r="D7" s="27">
        <f>VLOOKUP($B7,[1]단품수량!$B$5:$M$27,12,FALSE)</f>
        <v>158</v>
      </c>
      <c r="E7" s="28">
        <f>D7*'실행-우진'!E7</f>
        <v>15995762</v>
      </c>
      <c r="F7" s="29">
        <f t="shared" si="0"/>
        <v>0.88033913043478262</v>
      </c>
      <c r="G7" s="30">
        <f>D7*'실행-우진'!G7</f>
        <v>79</v>
      </c>
      <c r="H7" s="28">
        <f t="shared" si="7"/>
        <v>3235682</v>
      </c>
      <c r="I7" s="19">
        <f t="shared" si="1"/>
        <v>6.2156521739130437E-2</v>
      </c>
      <c r="J7" s="18">
        <f t="shared" si="2"/>
        <v>1129384</v>
      </c>
      <c r="K7" s="28">
        <f t="shared" si="3"/>
        <v>20360828</v>
      </c>
      <c r="L7" s="28">
        <f t="shared" si="4"/>
        <v>2443299.36</v>
      </c>
      <c r="M7" s="28">
        <f t="shared" si="5"/>
        <v>22804127.359999999</v>
      </c>
      <c r="N7" s="31">
        <f t="shared" si="6"/>
        <v>-4634127.3599999994</v>
      </c>
      <c r="O7" s="32">
        <f>D7*'실행-우진'!O7</f>
        <v>18170000</v>
      </c>
      <c r="P7" s="33"/>
      <c r="R7" s="58"/>
    </row>
    <row r="8" spans="1:18" s="6" customFormat="1" ht="20.100000000000001" customHeight="1">
      <c r="A8" s="24">
        <v>4</v>
      </c>
      <c r="B8" s="25">
        <v>10005983</v>
      </c>
      <c r="C8" s="26" t="s">
        <v>31</v>
      </c>
      <c r="D8" s="27">
        <f>VLOOKUP($B8,[1]단품수량!$B$5:$M$27,12,FALSE)</f>
        <v>960</v>
      </c>
      <c r="E8" s="28">
        <f>D8*'실행-우진'!E8</f>
        <v>115182720</v>
      </c>
      <c r="F8" s="29">
        <f t="shared" si="0"/>
        <v>0.61529230769230769</v>
      </c>
      <c r="G8" s="30">
        <f>D8*'실행-우진'!G8</f>
        <v>960</v>
      </c>
      <c r="H8" s="28">
        <f t="shared" si="7"/>
        <v>39319680</v>
      </c>
      <c r="I8" s="19">
        <f t="shared" si="1"/>
        <v>7.3312820512820509E-2</v>
      </c>
      <c r="J8" s="18">
        <f t="shared" si="2"/>
        <v>13724160</v>
      </c>
      <c r="K8" s="28">
        <f t="shared" si="3"/>
        <v>168226560</v>
      </c>
      <c r="L8" s="28">
        <f t="shared" si="4"/>
        <v>20187187.199999999</v>
      </c>
      <c r="M8" s="28">
        <f t="shared" si="5"/>
        <v>188413747.19999999</v>
      </c>
      <c r="N8" s="31">
        <f t="shared" si="6"/>
        <v>-1213747.1999999881</v>
      </c>
      <c r="O8" s="32">
        <f>D8*'실행-우진'!O8</f>
        <v>187200000</v>
      </c>
      <c r="P8" s="33"/>
      <c r="R8" s="58"/>
    </row>
    <row r="9" spans="1:18" s="6" customFormat="1" ht="20.100000000000001" customHeight="1">
      <c r="A9" s="24">
        <v>5</v>
      </c>
      <c r="B9" s="25">
        <v>10005984</v>
      </c>
      <c r="C9" s="26" t="s">
        <v>32</v>
      </c>
      <c r="D9" s="27">
        <f>VLOOKUP($B9,[1]단품수량!$B$5:$M$27,12,FALSE)</f>
        <v>120</v>
      </c>
      <c r="E9" s="28">
        <f>D9*'실행-우진'!E9</f>
        <v>12380400</v>
      </c>
      <c r="F9" s="29">
        <f t="shared" si="0"/>
        <v>0.42987500000000001</v>
      </c>
      <c r="G9" s="30">
        <f>D9*'실행-우진'!G9</f>
        <v>120</v>
      </c>
      <c r="H9" s="28">
        <f t="shared" si="7"/>
        <v>4914960</v>
      </c>
      <c r="I9" s="19">
        <f t="shared" si="1"/>
        <v>5.9566666666666664E-2</v>
      </c>
      <c r="J9" s="18">
        <f t="shared" si="2"/>
        <v>1715520</v>
      </c>
      <c r="K9" s="28">
        <f t="shared" si="3"/>
        <v>19010880</v>
      </c>
      <c r="L9" s="28">
        <f t="shared" si="4"/>
        <v>2281305.6</v>
      </c>
      <c r="M9" s="28">
        <f t="shared" si="5"/>
        <v>21292185.600000001</v>
      </c>
      <c r="N9" s="31">
        <f t="shared" si="6"/>
        <v>7507814.3999999985</v>
      </c>
      <c r="O9" s="32">
        <f>D9*'실행-우진'!O9</f>
        <v>28800000</v>
      </c>
      <c r="P9" s="33"/>
      <c r="R9" s="58"/>
    </row>
    <row r="10" spans="1:18" s="6" customFormat="1" ht="20.100000000000001" customHeight="1">
      <c r="A10" s="24">
        <v>6</v>
      </c>
      <c r="B10" s="25">
        <v>10005986</v>
      </c>
      <c r="C10" s="26" t="s">
        <v>33</v>
      </c>
      <c r="D10" s="27">
        <f>VLOOKUP($B10,[1]단품수량!$B$5:$M$27,12,FALSE)</f>
        <v>79</v>
      </c>
      <c r="E10" s="28">
        <f>D10*'실행-우진'!E10</f>
        <v>1201441638</v>
      </c>
      <c r="F10" s="29">
        <f t="shared" si="0"/>
        <v>1.2364326829268293</v>
      </c>
      <c r="G10" s="30">
        <f>D10*'실행-우진'!G10</f>
        <v>711</v>
      </c>
      <c r="H10" s="28">
        <f t="shared" si="7"/>
        <v>29121138</v>
      </c>
      <c r="I10" s="19">
        <f t="shared" si="1"/>
        <v>1.0460487804878049E-2</v>
      </c>
      <c r="J10" s="18">
        <f t="shared" si="2"/>
        <v>10164456</v>
      </c>
      <c r="K10" s="28">
        <f t="shared" si="3"/>
        <v>1240727232</v>
      </c>
      <c r="L10" s="28">
        <f t="shared" si="4"/>
        <v>148887267.84</v>
      </c>
      <c r="M10" s="28">
        <f t="shared" si="5"/>
        <v>1389614499.8399999</v>
      </c>
      <c r="N10" s="31">
        <f t="shared" si="6"/>
        <v>-417914499.83999991</v>
      </c>
      <c r="O10" s="32">
        <f>D10*'실행-우진'!O10</f>
        <v>971700000</v>
      </c>
      <c r="P10" s="33"/>
      <c r="R10" s="58"/>
    </row>
    <row r="11" spans="1:18" s="6" customFormat="1" ht="20.100000000000001" customHeight="1">
      <c r="A11" s="24">
        <v>7</v>
      </c>
      <c r="B11" s="25">
        <v>10005987</v>
      </c>
      <c r="C11" s="26" t="s">
        <v>34</v>
      </c>
      <c r="D11" s="27">
        <f>VLOOKUP($B11,[1]단품수량!$B$5:$M$27,12,FALSE)</f>
        <v>79</v>
      </c>
      <c r="E11" s="28">
        <f>D11*'실행-우진'!E11</f>
        <v>587402130</v>
      </c>
      <c r="F11" s="29">
        <f t="shared" si="0"/>
        <v>1.047249295774648</v>
      </c>
      <c r="G11" s="30">
        <f>D11*'실행-우진'!G11</f>
        <v>711</v>
      </c>
      <c r="H11" s="28">
        <f t="shared" si="7"/>
        <v>29121138</v>
      </c>
      <c r="I11" s="19">
        <f t="shared" si="1"/>
        <v>1.8121690140845071E-2</v>
      </c>
      <c r="J11" s="18">
        <f t="shared" si="2"/>
        <v>10164456</v>
      </c>
      <c r="K11" s="28">
        <f t="shared" si="3"/>
        <v>626687724</v>
      </c>
      <c r="L11" s="28">
        <f t="shared" si="4"/>
        <v>75202526.879999995</v>
      </c>
      <c r="M11" s="28">
        <f t="shared" si="5"/>
        <v>701890250.88</v>
      </c>
      <c r="N11" s="31">
        <f t="shared" si="6"/>
        <v>-140990250.88</v>
      </c>
      <c r="O11" s="32">
        <f>D11*'실행-우진'!O11</f>
        <v>560900000</v>
      </c>
      <c r="P11" s="33"/>
      <c r="R11" s="58"/>
    </row>
    <row r="12" spans="1:18" s="6" customFormat="1" ht="20.100000000000001" customHeight="1">
      <c r="A12" s="24">
        <v>8</v>
      </c>
      <c r="B12" s="25">
        <v>10005988</v>
      </c>
      <c r="C12" s="26" t="s">
        <v>35</v>
      </c>
      <c r="D12" s="27">
        <f>VLOOKUP($B12,[1]단품수량!$B$5:$M$27,12,FALSE)</f>
        <v>480</v>
      </c>
      <c r="E12" s="28">
        <f>D12*'실행-우진'!E12</f>
        <v>27249600</v>
      </c>
      <c r="F12" s="29">
        <f t="shared" si="0"/>
        <v>0.42051851851851851</v>
      </c>
      <c r="G12" s="30">
        <f>D12*'실행-우진'!G12</f>
        <v>240</v>
      </c>
      <c r="H12" s="28">
        <f t="shared" si="7"/>
        <v>9829920</v>
      </c>
      <c r="I12" s="19">
        <f t="shared" si="1"/>
        <v>5.2948148148148147E-2</v>
      </c>
      <c r="J12" s="18">
        <f t="shared" si="2"/>
        <v>3431040</v>
      </c>
      <c r="K12" s="28">
        <f t="shared" si="3"/>
        <v>40510560</v>
      </c>
      <c r="L12" s="28">
        <f t="shared" si="4"/>
        <v>4861267.2</v>
      </c>
      <c r="M12" s="28">
        <f t="shared" si="5"/>
        <v>45371827.200000003</v>
      </c>
      <c r="N12" s="31">
        <f t="shared" si="6"/>
        <v>19428172.799999997</v>
      </c>
      <c r="O12" s="32">
        <f>D12*'실행-우진'!O12</f>
        <v>64800000</v>
      </c>
      <c r="P12" s="33"/>
      <c r="R12" s="58"/>
    </row>
    <row r="13" spans="1:18" s="6" customFormat="1" ht="20.100000000000001" customHeight="1">
      <c r="A13" s="24">
        <v>9</v>
      </c>
      <c r="B13" s="25">
        <v>10005989</v>
      </c>
      <c r="C13" s="26" t="s">
        <v>36</v>
      </c>
      <c r="D13" s="27">
        <f>VLOOKUP($B13,[1]단품수량!$B$5:$M$27,12,FALSE)</f>
        <v>480</v>
      </c>
      <c r="E13" s="28">
        <f>D13*'실행-우진'!E13</f>
        <v>718567200</v>
      </c>
      <c r="F13" s="29">
        <f t="shared" si="0"/>
        <v>0.83167500000000005</v>
      </c>
      <c r="G13" s="30">
        <f>D13*'실행-우진'!G13</f>
        <v>2160</v>
      </c>
      <c r="H13" s="28">
        <f t="shared" si="7"/>
        <v>88469280</v>
      </c>
      <c r="I13" s="19">
        <f t="shared" si="1"/>
        <v>3.5740000000000001E-2</v>
      </c>
      <c r="J13" s="18">
        <f t="shared" si="2"/>
        <v>30879360</v>
      </c>
      <c r="K13" s="28">
        <f t="shared" si="3"/>
        <v>837915840</v>
      </c>
      <c r="L13" s="28">
        <f t="shared" si="4"/>
        <v>100549900.8</v>
      </c>
      <c r="M13" s="28">
        <f t="shared" si="5"/>
        <v>938465740.79999995</v>
      </c>
      <c r="N13" s="31">
        <f t="shared" si="6"/>
        <v>-74465740.799999952</v>
      </c>
      <c r="O13" s="32">
        <f>D13*'실행-우진'!O13</f>
        <v>864000000</v>
      </c>
      <c r="P13" s="33"/>
      <c r="R13" s="58"/>
    </row>
    <row r="14" spans="1:18" s="6" customFormat="1" ht="20.100000000000001" customHeight="1">
      <c r="A14" s="24">
        <v>10</v>
      </c>
      <c r="B14" s="25">
        <v>10005990</v>
      </c>
      <c r="C14" s="26" t="s">
        <v>37</v>
      </c>
      <c r="D14" s="27">
        <f>VLOOKUP($B14,[1]단품수량!$B$5:$M$27,12,FALSE)</f>
        <v>240</v>
      </c>
      <c r="E14" s="28">
        <f>D14*'실행-우진'!E14</f>
        <v>340172880</v>
      </c>
      <c r="F14" s="29">
        <f t="shared" si="0"/>
        <v>0.78743722222222223</v>
      </c>
      <c r="G14" s="30">
        <f>D14*'실행-우진'!G14</f>
        <v>1080</v>
      </c>
      <c r="H14" s="28">
        <f t="shared" si="7"/>
        <v>44234640</v>
      </c>
      <c r="I14" s="19">
        <f t="shared" si="1"/>
        <v>3.5740000000000001E-2</v>
      </c>
      <c r="J14" s="18">
        <f t="shared" si="2"/>
        <v>15439680</v>
      </c>
      <c r="K14" s="28">
        <f t="shared" si="3"/>
        <v>399847200</v>
      </c>
      <c r="L14" s="28">
        <f t="shared" si="4"/>
        <v>47981664</v>
      </c>
      <c r="M14" s="28">
        <f t="shared" si="5"/>
        <v>447828864</v>
      </c>
      <c r="N14" s="31">
        <f t="shared" si="6"/>
        <v>-15828864</v>
      </c>
      <c r="O14" s="32">
        <f>D14*'실행-우진'!O14</f>
        <v>432000000</v>
      </c>
      <c r="P14" s="33"/>
      <c r="R14" s="58"/>
    </row>
    <row r="15" spans="1:18" s="6" customFormat="1" ht="20.100000000000001" customHeight="1">
      <c r="A15" s="24">
        <v>11</v>
      </c>
      <c r="B15" s="25">
        <v>10005991</v>
      </c>
      <c r="C15" s="26" t="s">
        <v>38</v>
      </c>
      <c r="D15" s="27">
        <f>VLOOKUP($B15,[1]단품수량!$B$5:$M$27,12,FALSE)</f>
        <v>240</v>
      </c>
      <c r="E15" s="28">
        <f>D15*'실행-우진'!E15</f>
        <v>321672240</v>
      </c>
      <c r="F15" s="29">
        <f t="shared" si="0"/>
        <v>0.84829177215189877</v>
      </c>
      <c r="G15" s="30">
        <f>D15*'실행-우진'!G15</f>
        <v>1920</v>
      </c>
      <c r="H15" s="28">
        <f t="shared" si="7"/>
        <v>78639360</v>
      </c>
      <c r="I15" s="19">
        <f t="shared" si="1"/>
        <v>7.238481012658228E-2</v>
      </c>
      <c r="J15" s="18">
        <f t="shared" si="2"/>
        <v>27448320</v>
      </c>
      <c r="K15" s="28">
        <f t="shared" si="3"/>
        <v>427759920</v>
      </c>
      <c r="L15" s="28">
        <f t="shared" si="4"/>
        <v>51331190.399999999</v>
      </c>
      <c r="M15" s="28">
        <f t="shared" si="5"/>
        <v>479091110.39999998</v>
      </c>
      <c r="N15" s="31">
        <f t="shared" si="6"/>
        <v>-99891110.399999976</v>
      </c>
      <c r="O15" s="32">
        <f>D15*'실행-우진'!O15</f>
        <v>379200000</v>
      </c>
      <c r="P15" s="33"/>
      <c r="R15" s="58"/>
    </row>
    <row r="16" spans="1:18" s="6" customFormat="1" ht="20.100000000000001" customHeight="1">
      <c r="A16" s="24">
        <v>12</v>
      </c>
      <c r="B16" s="25">
        <v>10005992</v>
      </c>
      <c r="C16" s="26" t="s">
        <v>39</v>
      </c>
      <c r="D16" s="27">
        <f>VLOOKUP($B16,[1]단품수량!$B$5:$M$27,12,FALSE)</f>
        <v>158</v>
      </c>
      <c r="E16" s="28">
        <f>D16*'실행-우진'!E16</f>
        <v>296262166</v>
      </c>
      <c r="F16" s="29">
        <f t="shared" si="0"/>
        <v>0.89289380952380948</v>
      </c>
      <c r="G16" s="30">
        <f>D16*'실행-우진'!G16</f>
        <v>1027</v>
      </c>
      <c r="H16" s="28">
        <f t="shared" si="7"/>
        <v>42063866</v>
      </c>
      <c r="I16" s="19">
        <f t="shared" si="1"/>
        <v>4.4249523809523808E-2</v>
      </c>
      <c r="J16" s="18">
        <f t="shared" si="2"/>
        <v>14681992</v>
      </c>
      <c r="K16" s="28">
        <f t="shared" si="3"/>
        <v>353008024</v>
      </c>
      <c r="L16" s="28">
        <f t="shared" si="4"/>
        <v>42360962.879999995</v>
      </c>
      <c r="M16" s="28">
        <f t="shared" si="5"/>
        <v>395368986.88</v>
      </c>
      <c r="N16" s="31">
        <f t="shared" si="6"/>
        <v>-63568986.879999995</v>
      </c>
      <c r="O16" s="32">
        <f>D16*'실행-우진'!O16</f>
        <v>331800000</v>
      </c>
      <c r="P16" s="33"/>
      <c r="R16" s="58"/>
    </row>
    <row r="17" spans="1:18" s="6" customFormat="1" ht="20.100000000000001" customHeight="1">
      <c r="A17" s="24">
        <v>13</v>
      </c>
      <c r="B17" s="25">
        <v>10005993</v>
      </c>
      <c r="C17" s="26" t="s">
        <v>40</v>
      </c>
      <c r="D17" s="27">
        <f>VLOOKUP($B17,[1]단품수량!$B$5:$M$27,12,FALSE)</f>
        <v>480</v>
      </c>
      <c r="E17" s="28">
        <f>D17*'실행-우진'!E17</f>
        <v>784424160</v>
      </c>
      <c r="F17" s="29">
        <f t="shared" si="0"/>
        <v>0.94066482472802626</v>
      </c>
      <c r="G17" s="30">
        <f>D17*'실행-우진'!G17</f>
        <v>3120</v>
      </c>
      <c r="H17" s="28">
        <f t="shared" si="7"/>
        <v>127788960</v>
      </c>
      <c r="I17" s="19">
        <f t="shared" si="1"/>
        <v>5.3487595694468426E-2</v>
      </c>
      <c r="J17" s="18">
        <f t="shared" si="2"/>
        <v>44603520</v>
      </c>
      <c r="K17" s="28">
        <f t="shared" si="3"/>
        <v>956816640</v>
      </c>
      <c r="L17" s="28">
        <f t="shared" si="4"/>
        <v>114817996.8</v>
      </c>
      <c r="M17" s="28">
        <f t="shared" si="5"/>
        <v>1071634636.8</v>
      </c>
      <c r="N17" s="31">
        <f t="shared" si="6"/>
        <v>-237730636.79999995</v>
      </c>
      <c r="O17" s="32">
        <f>D17*'실행-우진'!O17</f>
        <v>833904000</v>
      </c>
      <c r="P17" s="33"/>
      <c r="R17" s="58"/>
    </row>
    <row r="18" spans="1:18" s="6" customFormat="1" ht="20.100000000000001" customHeight="1">
      <c r="A18" s="24">
        <v>14</v>
      </c>
      <c r="B18" s="25">
        <v>10005994</v>
      </c>
      <c r="C18" s="26" t="s">
        <v>41</v>
      </c>
      <c r="D18" s="27">
        <f>VLOOKUP($B18,[1]단품수량!$B$5:$M$27,12,FALSE)</f>
        <v>158</v>
      </c>
      <c r="E18" s="28">
        <f>D18*'실행-우진'!E18</f>
        <v>105544000</v>
      </c>
      <c r="F18" s="29">
        <f t="shared" si="0"/>
        <v>0.23857142857142857</v>
      </c>
      <c r="G18" s="30">
        <f>D18*'실행-우진'!G18</f>
        <v>0</v>
      </c>
      <c r="H18" s="28">
        <f t="shared" si="7"/>
        <v>0</v>
      </c>
      <c r="I18" s="19">
        <f t="shared" si="1"/>
        <v>0</v>
      </c>
      <c r="J18" s="18">
        <f t="shared" si="2"/>
        <v>0</v>
      </c>
      <c r="K18" s="28">
        <f t="shared" si="3"/>
        <v>105544000</v>
      </c>
      <c r="L18" s="28">
        <f t="shared" si="4"/>
        <v>12665280</v>
      </c>
      <c r="M18" s="28">
        <f t="shared" si="5"/>
        <v>118209280</v>
      </c>
      <c r="N18" s="31">
        <f t="shared" si="6"/>
        <v>324190720</v>
      </c>
      <c r="O18" s="32">
        <f>D18*'실행-우진'!O18</f>
        <v>442400000</v>
      </c>
      <c r="P18" s="33"/>
      <c r="R18" s="58"/>
    </row>
    <row r="19" spans="1:18" s="6" customFormat="1" ht="20.100000000000001" customHeight="1">
      <c r="A19" s="24">
        <v>15</v>
      </c>
      <c r="B19" s="25">
        <v>10005995</v>
      </c>
      <c r="C19" s="26" t="s">
        <v>42</v>
      </c>
      <c r="D19" s="27">
        <f>VLOOKUP($B19,[1]단품수량!$B$5:$M$27,12,FALSE)</f>
        <v>79</v>
      </c>
      <c r="E19" s="28">
        <f>D19*'실행-우진'!E19</f>
        <v>108786160</v>
      </c>
      <c r="F19" s="29">
        <f t="shared" si="0"/>
        <v>0.99543141337034469</v>
      </c>
      <c r="G19" s="30">
        <f>D19*'실행-우진'!G19</f>
        <v>0</v>
      </c>
      <c r="H19" s="28">
        <f t="shared" si="7"/>
        <v>0</v>
      </c>
      <c r="I19" s="19">
        <f t="shared" si="1"/>
        <v>0</v>
      </c>
      <c r="J19" s="18">
        <f t="shared" si="2"/>
        <v>0</v>
      </c>
      <c r="K19" s="28">
        <f t="shared" si="3"/>
        <v>108786160</v>
      </c>
      <c r="L19" s="28">
        <f t="shared" si="4"/>
        <v>13054339.199999999</v>
      </c>
      <c r="M19" s="28">
        <f t="shared" si="5"/>
        <v>121840499.2</v>
      </c>
      <c r="N19" s="31">
        <f t="shared" si="6"/>
        <v>-12555059.200000003</v>
      </c>
      <c r="O19" s="32">
        <f>D19*'실행-우진'!O19</f>
        <v>109285440</v>
      </c>
      <c r="P19" s="33"/>
      <c r="R19" s="58"/>
    </row>
    <row r="20" spans="1:18" s="6" customFormat="1" ht="20.100000000000001" customHeight="1">
      <c r="A20" s="24">
        <v>16</v>
      </c>
      <c r="B20" s="25">
        <v>10005996</v>
      </c>
      <c r="C20" s="26" t="s">
        <v>43</v>
      </c>
      <c r="D20" s="27">
        <f>VLOOKUP($B20,[1]단품수량!$B$5:$M$27,12,FALSE)</f>
        <v>158</v>
      </c>
      <c r="E20" s="28">
        <f>D20*'실행-우진'!E20</f>
        <v>351755716</v>
      </c>
      <c r="F20" s="29">
        <f t="shared" si="0"/>
        <v>0.8905208</v>
      </c>
      <c r="G20" s="30">
        <f>D20*'실행-우진'!G20</f>
        <v>474</v>
      </c>
      <c r="H20" s="28">
        <f t="shared" si="7"/>
        <v>19414092</v>
      </c>
      <c r="I20" s="19">
        <f t="shared" si="1"/>
        <v>1.7155199999999999E-2</v>
      </c>
      <c r="J20" s="18">
        <f t="shared" si="2"/>
        <v>6776304</v>
      </c>
      <c r="K20" s="28">
        <f t="shared" si="3"/>
        <v>377946112</v>
      </c>
      <c r="L20" s="28">
        <f t="shared" si="4"/>
        <v>45353533.439999998</v>
      </c>
      <c r="M20" s="28">
        <f t="shared" si="5"/>
        <v>423299645.44</v>
      </c>
      <c r="N20" s="31">
        <f t="shared" si="6"/>
        <v>-28299645.439999998</v>
      </c>
      <c r="O20" s="32">
        <f>D20*'실행-우진'!O20</f>
        <v>395000000</v>
      </c>
      <c r="P20" s="33"/>
      <c r="R20" s="58"/>
    </row>
    <row r="21" spans="1:18" s="6" customFormat="1" ht="20.100000000000001" customHeight="1">
      <c r="A21" s="24">
        <v>17</v>
      </c>
      <c r="B21" s="25">
        <v>10005997</v>
      </c>
      <c r="C21" s="26" t="s">
        <v>44</v>
      </c>
      <c r="D21" s="27">
        <f>VLOOKUP($B21,[1]단품수량!$B$5:$M$27,12,FALSE)</f>
        <v>158</v>
      </c>
      <c r="E21" s="28">
        <f>D21*'실행-우진'!E21</f>
        <v>306295008</v>
      </c>
      <c r="F21" s="29">
        <f t="shared" si="0"/>
        <v>0.9231314285714286</v>
      </c>
      <c r="G21" s="30">
        <f>D21*'실행-우진'!G21</f>
        <v>316</v>
      </c>
      <c r="H21" s="28">
        <f t="shared" si="7"/>
        <v>12942728</v>
      </c>
      <c r="I21" s="19">
        <f t="shared" si="1"/>
        <v>1.3615238095238095E-2</v>
      </c>
      <c r="J21" s="18">
        <f t="shared" si="2"/>
        <v>4517536</v>
      </c>
      <c r="K21" s="28">
        <f t="shared" si="3"/>
        <v>323755272</v>
      </c>
      <c r="L21" s="28">
        <f t="shared" si="4"/>
        <v>38850632.640000001</v>
      </c>
      <c r="M21" s="28">
        <f t="shared" si="5"/>
        <v>362605904.63999999</v>
      </c>
      <c r="N21" s="31">
        <f t="shared" si="6"/>
        <v>-30805904.639999986</v>
      </c>
      <c r="O21" s="32">
        <f>D21*'실행-우진'!O21</f>
        <v>331800000</v>
      </c>
      <c r="P21" s="33"/>
      <c r="R21" s="58"/>
    </row>
    <row r="22" spans="1:18" s="6" customFormat="1" ht="20.100000000000001" customHeight="1">
      <c r="A22" s="24">
        <v>18</v>
      </c>
      <c r="B22" s="25">
        <v>10005998</v>
      </c>
      <c r="C22" s="26" t="s">
        <v>45</v>
      </c>
      <c r="D22" s="27">
        <f>VLOOKUP($B22,[1]단품수량!$B$5:$M$27,12,FALSE)</f>
        <v>398</v>
      </c>
      <c r="E22" s="28">
        <f>D22*'실행-우진'!E22</f>
        <v>89152000</v>
      </c>
      <c r="F22" s="29">
        <f t="shared" si="0"/>
        <v>0.90909090909090906</v>
      </c>
      <c r="G22" s="30">
        <f>D22*'실행-우진'!G22</f>
        <v>0</v>
      </c>
      <c r="H22" s="28">
        <f t="shared" si="7"/>
        <v>0</v>
      </c>
      <c r="I22" s="19">
        <f t="shared" si="1"/>
        <v>0</v>
      </c>
      <c r="J22" s="18">
        <f t="shared" si="2"/>
        <v>0</v>
      </c>
      <c r="K22" s="28">
        <f t="shared" si="3"/>
        <v>89152000</v>
      </c>
      <c r="L22" s="28">
        <f t="shared" si="4"/>
        <v>10698240</v>
      </c>
      <c r="M22" s="28">
        <f t="shared" si="5"/>
        <v>99850240</v>
      </c>
      <c r="N22" s="31">
        <f t="shared" si="6"/>
        <v>-1783040</v>
      </c>
      <c r="O22" s="32">
        <f>D22*'실행-우진'!O22</f>
        <v>98067200</v>
      </c>
      <c r="P22" s="33"/>
      <c r="R22" s="58"/>
    </row>
    <row r="23" spans="1:18" s="6" customFormat="1" ht="20.100000000000001" customHeight="1">
      <c r="A23" s="24">
        <v>19</v>
      </c>
      <c r="B23" s="25">
        <v>10005999</v>
      </c>
      <c r="C23" s="26" t="s">
        <v>46</v>
      </c>
      <c r="D23" s="27">
        <f>VLOOKUP($B23,[1]단품수량!$B$5:$M$27,12,FALSE)</f>
        <v>480</v>
      </c>
      <c r="E23" s="28">
        <f>D23*'실행-우진'!E23</f>
        <v>39837120</v>
      </c>
      <c r="F23" s="29">
        <f t="shared" si="0"/>
        <v>0.88361990950226244</v>
      </c>
      <c r="G23" s="30">
        <f>D23*'실행-우진'!G23</f>
        <v>480</v>
      </c>
      <c r="H23" s="28">
        <f t="shared" si="7"/>
        <v>19659840</v>
      </c>
      <c r="I23" s="19">
        <f t="shared" si="1"/>
        <v>0.15220654777748202</v>
      </c>
      <c r="J23" s="18">
        <f t="shared" si="2"/>
        <v>6862080</v>
      </c>
      <c r="K23" s="28">
        <f t="shared" si="3"/>
        <v>66359040</v>
      </c>
      <c r="L23" s="28">
        <f t="shared" si="4"/>
        <v>7963084.7999999998</v>
      </c>
      <c r="M23" s="28">
        <f t="shared" si="5"/>
        <v>74322124.799999997</v>
      </c>
      <c r="N23" s="31">
        <f t="shared" si="6"/>
        <v>-29238124.799999997</v>
      </c>
      <c r="O23" s="32">
        <f>D23*'실행-우진'!O23</f>
        <v>45084000</v>
      </c>
      <c r="P23" s="33"/>
      <c r="R23" s="58"/>
    </row>
    <row r="24" spans="1:18" s="6" customFormat="1" ht="20.100000000000001" customHeight="1">
      <c r="A24" s="24">
        <v>20</v>
      </c>
      <c r="B24" s="25">
        <v>10006095</v>
      </c>
      <c r="C24" s="26" t="s">
        <v>47</v>
      </c>
      <c r="D24" s="27">
        <f>VLOOKUP($B24,[1]단품수량!$B$5:$M$27,12,FALSE)</f>
        <v>316</v>
      </c>
      <c r="E24" s="28">
        <f>D24*'실행-우진'!E24</f>
        <v>20533680</v>
      </c>
      <c r="F24" s="29">
        <f t="shared" si="0"/>
        <v>0.72199999999999998</v>
      </c>
      <c r="G24" s="30">
        <f>D24*'실행-우진'!G24</f>
        <v>316</v>
      </c>
      <c r="H24" s="28">
        <f t="shared" si="7"/>
        <v>12942728</v>
      </c>
      <c r="I24" s="19">
        <f t="shared" si="1"/>
        <v>0.15884444444444445</v>
      </c>
      <c r="J24" s="18">
        <f t="shared" si="2"/>
        <v>4517536</v>
      </c>
      <c r="K24" s="28">
        <f t="shared" si="3"/>
        <v>37993944</v>
      </c>
      <c r="L24" s="28">
        <f t="shared" si="4"/>
        <v>4559273.28</v>
      </c>
      <c r="M24" s="28">
        <f t="shared" si="5"/>
        <v>42553217.280000001</v>
      </c>
      <c r="N24" s="31">
        <f t="shared" si="6"/>
        <v>-14113217.280000001</v>
      </c>
      <c r="O24" s="32">
        <f>D24*'실행-우진'!O24</f>
        <v>28440000</v>
      </c>
      <c r="P24" s="33"/>
      <c r="R24" s="58"/>
    </row>
    <row r="25" spans="1:18" s="6" customFormat="1" ht="20.100000000000001" customHeight="1">
      <c r="A25" s="24">
        <v>21</v>
      </c>
      <c r="B25" s="25">
        <v>10006099</v>
      </c>
      <c r="C25" s="26" t="s">
        <v>48</v>
      </c>
      <c r="D25" s="27">
        <f>VLOOKUP($B25,[1]단품수량!$B$5:$M$27,12,FALSE)</f>
        <v>158</v>
      </c>
      <c r="E25" s="28">
        <f>D25*'실행-우진'!E25</f>
        <v>2923000</v>
      </c>
      <c r="F25" s="29" t="str">
        <f t="shared" si="0"/>
        <v>0</v>
      </c>
      <c r="G25" s="30">
        <f>D25*'실행-우진'!G25</f>
        <v>0</v>
      </c>
      <c r="H25" s="28">
        <f t="shared" si="7"/>
        <v>0</v>
      </c>
      <c r="I25" s="19" t="str">
        <f t="shared" si="1"/>
        <v>0</v>
      </c>
      <c r="J25" s="18">
        <f t="shared" si="2"/>
        <v>0</v>
      </c>
      <c r="K25" s="28">
        <f t="shared" si="3"/>
        <v>2923000</v>
      </c>
      <c r="L25" s="28">
        <f t="shared" si="4"/>
        <v>350760</v>
      </c>
      <c r="M25" s="28">
        <f t="shared" si="5"/>
        <v>3273760</v>
      </c>
      <c r="N25" s="31">
        <f t="shared" si="6"/>
        <v>-3273760</v>
      </c>
      <c r="O25" s="32">
        <f>D25*'실행-우진'!O25</f>
        <v>0</v>
      </c>
      <c r="P25" s="33"/>
      <c r="R25" s="58"/>
    </row>
    <row r="26" spans="1:18" s="6" customFormat="1" ht="20.100000000000001" customHeight="1">
      <c r="A26" s="24">
        <v>22</v>
      </c>
      <c r="B26" s="25">
        <v>10006241</v>
      </c>
      <c r="C26" s="26" t="s">
        <v>49</v>
      </c>
      <c r="D26" s="27">
        <f>VLOOKUP($B26,[1]단품수량!$B$5:$M$27,12,FALSE)</f>
        <v>158</v>
      </c>
      <c r="E26" s="28">
        <f>D26*'실행-우진'!E26</f>
        <v>19367640</v>
      </c>
      <c r="F26" s="29">
        <f t="shared" si="0"/>
        <v>0.68100000000000005</v>
      </c>
      <c r="G26" s="30">
        <f>D26*'실행-우진'!G26</f>
        <v>158</v>
      </c>
      <c r="H26" s="28">
        <f t="shared" si="7"/>
        <v>6471364</v>
      </c>
      <c r="I26" s="19">
        <f t="shared" si="1"/>
        <v>7.9422222222222227E-2</v>
      </c>
      <c r="J26" s="18">
        <f t="shared" si="2"/>
        <v>2258768</v>
      </c>
      <c r="K26" s="28">
        <f t="shared" si="3"/>
        <v>28097772</v>
      </c>
      <c r="L26" s="28">
        <f t="shared" si="4"/>
        <v>3371732.6399999997</v>
      </c>
      <c r="M26" s="28">
        <f t="shared" si="5"/>
        <v>31469504.640000001</v>
      </c>
      <c r="N26" s="31">
        <f t="shared" si="6"/>
        <v>-3029504.6400000006</v>
      </c>
      <c r="O26" s="32">
        <f>D26*'실행-우진'!O26</f>
        <v>28440000</v>
      </c>
      <c r="P26" s="33"/>
      <c r="R26" s="58"/>
    </row>
    <row r="27" spans="1:18" s="6" customFormat="1" ht="20.100000000000001" customHeight="1">
      <c r="A27" s="24">
        <v>23</v>
      </c>
      <c r="B27" s="25">
        <v>10006243</v>
      </c>
      <c r="C27" s="26" t="s">
        <v>50</v>
      </c>
      <c r="D27" s="27">
        <f>VLOOKUP($B27,[1]단품수량!$B$5:$M$27,12,FALSE)</f>
        <v>41</v>
      </c>
      <c r="E27" s="28">
        <f>D27*'실행-우진'!E27</f>
        <v>190231800</v>
      </c>
      <c r="F27" s="29" t="str">
        <f t="shared" si="0"/>
        <v>0</v>
      </c>
      <c r="G27" s="30">
        <f>D27*'실행-우진'!G27</f>
        <v>0</v>
      </c>
      <c r="H27" s="28">
        <f t="shared" si="7"/>
        <v>0</v>
      </c>
      <c r="I27" s="19" t="str">
        <f t="shared" si="1"/>
        <v>0</v>
      </c>
      <c r="J27" s="18">
        <f t="shared" si="2"/>
        <v>0</v>
      </c>
      <c r="K27" s="28">
        <f t="shared" si="3"/>
        <v>190231800</v>
      </c>
      <c r="L27" s="28">
        <f t="shared" si="4"/>
        <v>22827816</v>
      </c>
      <c r="M27" s="28">
        <f t="shared" si="5"/>
        <v>213059616</v>
      </c>
      <c r="N27" s="31">
        <f t="shared" si="6"/>
        <v>-213059616</v>
      </c>
      <c r="O27" s="32">
        <f>D27*'실행-우진'!O27</f>
        <v>0</v>
      </c>
      <c r="P27" s="33"/>
      <c r="R27" s="58"/>
    </row>
    <row r="28" spans="1:18" s="6" customFormat="1" ht="20.100000000000001" customHeight="1">
      <c r="A28" s="24">
        <v>24</v>
      </c>
      <c r="B28" s="25"/>
      <c r="C28" s="26" t="s">
        <v>51</v>
      </c>
      <c r="D28" s="27"/>
      <c r="E28" s="28"/>
      <c r="F28" s="29">
        <f t="shared" si="0"/>
        <v>0</v>
      </c>
      <c r="G28" s="30"/>
      <c r="H28" s="28">
        <f>G28*$M$31</f>
        <v>0</v>
      </c>
      <c r="I28" s="19">
        <f t="shared" si="1"/>
        <v>0</v>
      </c>
      <c r="J28" s="18">
        <f t="shared" si="2"/>
        <v>0</v>
      </c>
      <c r="K28" s="28">
        <f t="shared" si="3"/>
        <v>0</v>
      </c>
      <c r="L28" s="28">
        <f t="shared" si="4"/>
        <v>0</v>
      </c>
      <c r="M28" s="28">
        <f t="shared" si="5"/>
        <v>0</v>
      </c>
      <c r="N28" s="31">
        <f t="shared" si="6"/>
        <v>2000000000</v>
      </c>
      <c r="O28" s="32">
        <v>2000000000</v>
      </c>
      <c r="P28" s="33"/>
      <c r="R28" s="58"/>
    </row>
    <row r="29" spans="1:18" s="6" customFormat="1" ht="20.100000000000001" customHeight="1" thickBot="1">
      <c r="A29" s="68" t="s">
        <v>52</v>
      </c>
      <c r="B29" s="69"/>
      <c r="C29" s="70"/>
      <c r="D29" s="34"/>
      <c r="E29" s="35">
        <f>SUM(E5:E28)</f>
        <v>5714970620</v>
      </c>
      <c r="F29" s="36">
        <f t="shared" si="0"/>
        <v>0.6936628351423425</v>
      </c>
      <c r="G29" s="37">
        <f>SUM(G5:G28)</f>
        <v>14328</v>
      </c>
      <c r="H29" s="35">
        <f>SUM(H5:H28)</f>
        <v>586846224</v>
      </c>
      <c r="I29" s="36">
        <f t="shared" si="1"/>
        <v>2.4861912685220582E-2</v>
      </c>
      <c r="J29" s="35">
        <f t="shared" ref="J29:O29" si="8">SUM(J5:J28)</f>
        <v>204833088</v>
      </c>
      <c r="K29" s="35">
        <f t="shared" si="8"/>
        <v>6506649932</v>
      </c>
      <c r="L29" s="35">
        <f t="shared" si="8"/>
        <v>780797991.83999991</v>
      </c>
      <c r="M29" s="35">
        <f t="shared" si="8"/>
        <v>7287447923.8399992</v>
      </c>
      <c r="N29" s="35">
        <f t="shared" si="8"/>
        <v>951382716.16000032</v>
      </c>
      <c r="O29" s="35">
        <f t="shared" si="8"/>
        <v>8238830640</v>
      </c>
      <c r="P29" s="38"/>
    </row>
    <row r="30" spans="1:18" s="6" customFormat="1" ht="20.100000000000001" customHeight="1">
      <c r="A30" s="39" t="s">
        <v>53</v>
      </c>
      <c r="B30" s="40"/>
      <c r="C30" s="40"/>
      <c r="D30" s="40"/>
      <c r="E30" s="40"/>
      <c r="F30" s="40"/>
      <c r="G30" s="40"/>
      <c r="H30" s="40"/>
      <c r="I30" s="40"/>
      <c r="J30" s="71"/>
      <c r="K30" s="72"/>
      <c r="L30" s="73" t="s">
        <v>54</v>
      </c>
      <c r="M30" s="74"/>
      <c r="N30" s="75" t="s">
        <v>55</v>
      </c>
      <c r="O30" s="77" t="s">
        <v>56</v>
      </c>
      <c r="P30" s="78"/>
    </row>
    <row r="31" spans="1:18" s="6" customFormat="1" ht="20.100000000000001" customHeight="1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3"/>
      <c r="L31" s="44" t="s">
        <v>58</v>
      </c>
      <c r="M31" s="45">
        <v>40958</v>
      </c>
      <c r="N31" s="76"/>
      <c r="O31" s="79"/>
      <c r="P31" s="80"/>
    </row>
    <row r="32" spans="1:18" s="6" customFormat="1" ht="20.100000000000001" customHeight="1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3"/>
      <c r="L32" s="44" t="s">
        <v>59</v>
      </c>
      <c r="M32" s="46">
        <v>0.12</v>
      </c>
      <c r="N32" s="59" t="s">
        <v>60</v>
      </c>
      <c r="O32" s="47"/>
      <c r="P32" s="48" t="s">
        <v>61</v>
      </c>
    </row>
    <row r="33" spans="1:16" s="6" customFormat="1" ht="20.100000000000001" customHeight="1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3"/>
      <c r="L33" s="44" t="s">
        <v>62</v>
      </c>
      <c r="M33" s="46"/>
      <c r="N33" s="60"/>
      <c r="O33" s="47"/>
      <c r="P33" s="62"/>
    </row>
    <row r="34" spans="1:16" s="6" customFormat="1" ht="20.100000000000001" customHeight="1" thickBot="1">
      <c r="A34" s="49"/>
      <c r="B34" s="50"/>
      <c r="C34" s="50"/>
      <c r="D34" s="50"/>
      <c r="E34" s="50"/>
      <c r="F34" s="50"/>
      <c r="G34" s="50"/>
      <c r="H34" s="50"/>
      <c r="I34" s="50"/>
      <c r="J34" s="50"/>
      <c r="K34" s="51"/>
      <c r="L34" s="52" t="s">
        <v>63</v>
      </c>
      <c r="M34" s="53">
        <v>14296</v>
      </c>
      <c r="N34" s="61"/>
      <c r="O34" s="54"/>
      <c r="P34" s="63"/>
    </row>
    <row r="35" spans="1:16" s="57" customFormat="1" ht="15" customHeight="1">
      <c r="A35" s="55" t="s">
        <v>64</v>
      </c>
      <c r="B35" s="55"/>
      <c r="C35" s="42"/>
      <c r="D35" s="42"/>
      <c r="E35" s="42"/>
      <c r="F35" s="42"/>
      <c r="G35" s="42"/>
      <c r="H35" s="42"/>
      <c r="I35" s="42"/>
      <c r="J35" s="42" t="s">
        <v>65</v>
      </c>
      <c r="K35" s="42"/>
      <c r="L35" s="40"/>
      <c r="M35" s="42"/>
      <c r="N35" s="42"/>
      <c r="O35" s="42"/>
      <c r="P35" s="56" t="s">
        <v>66</v>
      </c>
    </row>
  </sheetData>
  <mergeCells count="20">
    <mergeCell ref="A2:B2"/>
    <mergeCell ref="D2:D4"/>
    <mergeCell ref="F2:K2"/>
    <mergeCell ref="O2:P2"/>
    <mergeCell ref="A3:A4"/>
    <mergeCell ref="B3:C3"/>
    <mergeCell ref="E3:F3"/>
    <mergeCell ref="G3:H3"/>
    <mergeCell ref="I3:J3"/>
    <mergeCell ref="K3:K4"/>
    <mergeCell ref="N32:N34"/>
    <mergeCell ref="P33:P34"/>
    <mergeCell ref="O3:O4"/>
    <mergeCell ref="P3:P4"/>
    <mergeCell ref="A29:C29"/>
    <mergeCell ref="J30:K30"/>
    <mergeCell ref="L30:M30"/>
    <mergeCell ref="N30:N31"/>
    <mergeCell ref="O30:P30"/>
    <mergeCell ref="O31:P31"/>
  </mergeCells>
  <phoneticPr fontId="3" type="noConversion"/>
  <printOptions horizontalCentered="1"/>
  <pageMargins left="0.63" right="0.35433070866141736" top="0.74" bottom="0.18" header="0.51181102362204722" footer="0.34"/>
  <pageSetup paperSize="9" scale="7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4"/>
  <sheetViews>
    <sheetView tabSelected="1" workbookViewId="0">
      <selection activeCell="D10" sqref="D10"/>
    </sheetView>
  </sheetViews>
  <sheetFormatPr defaultRowHeight="18" customHeight="1"/>
  <cols>
    <col min="1" max="1" width="9.7109375" bestFit="1" customWidth="1"/>
    <col min="2" max="2" width="8.7109375" customWidth="1"/>
    <col min="3" max="3" width="5.28515625" bestFit="1" customWidth="1"/>
    <col min="4" max="4" width="8.7109375" customWidth="1"/>
    <col min="5" max="5" width="10.7109375" bestFit="1" customWidth="1"/>
    <col min="6" max="6" width="21.42578125" customWidth="1"/>
    <col min="7" max="7" width="3.7109375" bestFit="1" customWidth="1"/>
    <col min="8" max="8" width="25.85546875" customWidth="1"/>
    <col min="9" max="9" width="28" customWidth="1"/>
    <col min="10" max="10" width="5.7109375" bestFit="1" customWidth="1"/>
    <col min="11" max="11" width="6" customWidth="1"/>
    <col min="12" max="12" width="5.7109375" bestFit="1" customWidth="1"/>
    <col min="13" max="13" width="6.42578125" customWidth="1"/>
    <col min="14" max="14" width="6.85546875" style="103" customWidth="1"/>
    <col min="15" max="15" width="15.5703125" style="111" bestFit="1" customWidth="1"/>
    <col min="16" max="16" width="18" style="111" bestFit="1" customWidth="1"/>
    <col min="17" max="17" width="18" customWidth="1"/>
  </cols>
  <sheetData>
    <row r="1" spans="1:17" ht="18" customHeight="1">
      <c r="A1" t="s">
        <v>67</v>
      </c>
      <c r="N1" s="99" t="s">
        <v>68</v>
      </c>
      <c r="O1" s="100"/>
      <c r="P1" s="100"/>
    </row>
    <row r="2" spans="1:17" s="103" customFormat="1" ht="18" customHeight="1">
      <c r="A2" s="101" t="s">
        <v>69</v>
      </c>
      <c r="B2" s="101" t="s">
        <v>70</v>
      </c>
      <c r="C2" s="101" t="s">
        <v>71</v>
      </c>
      <c r="D2" s="101" t="s">
        <v>72</v>
      </c>
      <c r="E2" s="101" t="s">
        <v>73</v>
      </c>
      <c r="F2" s="101" t="s">
        <v>74</v>
      </c>
      <c r="G2" s="101" t="s">
        <v>75</v>
      </c>
      <c r="H2" s="101" t="s">
        <v>76</v>
      </c>
      <c r="I2" s="101" t="s">
        <v>77</v>
      </c>
      <c r="J2" s="101" t="s">
        <v>78</v>
      </c>
      <c r="K2" s="101" t="s">
        <v>79</v>
      </c>
      <c r="L2" s="101" t="s">
        <v>80</v>
      </c>
      <c r="M2" s="101" t="s">
        <v>81</v>
      </c>
      <c r="N2" s="101" t="s">
        <v>82</v>
      </c>
      <c r="O2" s="102" t="s">
        <v>83</v>
      </c>
      <c r="P2" s="102" t="s">
        <v>84</v>
      </c>
      <c r="Q2" s="101" t="s">
        <v>85</v>
      </c>
    </row>
    <row r="3" spans="1:17" ht="18" customHeight="1">
      <c r="A3" s="104">
        <v>10005984</v>
      </c>
      <c r="B3" s="104" t="str">
        <f>VLOOKUP(A3,[1]단품수량!$B$5:$E$27,4,FALSE)</f>
        <v>ANSM</v>
      </c>
      <c r="C3" s="104">
        <v>1</v>
      </c>
      <c r="D3" s="104" t="s">
        <v>86</v>
      </c>
      <c r="E3" s="104">
        <v>30120744</v>
      </c>
      <c r="F3" s="104" t="s">
        <v>87</v>
      </c>
      <c r="G3" s="104"/>
      <c r="H3" s="104" t="s">
        <v>88</v>
      </c>
      <c r="I3" s="104" t="s">
        <v>89</v>
      </c>
      <c r="J3" s="104">
        <v>1</v>
      </c>
      <c r="K3" s="104">
        <v>1</v>
      </c>
      <c r="L3" s="104">
        <f>VLOOKUP(A3,[1]단품수량!$B$5:$P$27,13,FALSE)*K3</f>
        <v>120</v>
      </c>
      <c r="M3" s="104" t="s">
        <v>90</v>
      </c>
      <c r="N3" s="101" t="s">
        <v>91</v>
      </c>
      <c r="O3" s="105">
        <v>8000</v>
      </c>
      <c r="P3" s="105">
        <f>K3*O3</f>
        <v>8000</v>
      </c>
      <c r="Q3" s="104" t="s">
        <v>92</v>
      </c>
    </row>
    <row r="4" spans="1:17" ht="18" customHeight="1">
      <c r="A4" s="104">
        <v>10005984</v>
      </c>
      <c r="B4" s="104" t="str">
        <f>VLOOKUP(A4,[1]단품수량!$B$5:$E$27,4,FALSE)</f>
        <v>ANSM</v>
      </c>
      <c r="C4" s="104">
        <v>2</v>
      </c>
      <c r="D4" s="104" t="s">
        <v>93</v>
      </c>
      <c r="E4" s="104">
        <v>30120745</v>
      </c>
      <c r="F4" s="104" t="s">
        <v>94</v>
      </c>
      <c r="G4" s="104"/>
      <c r="H4" s="104" t="s">
        <v>95</v>
      </c>
      <c r="I4" s="104" t="s">
        <v>89</v>
      </c>
      <c r="J4" s="104">
        <v>1</v>
      </c>
      <c r="K4" s="104">
        <v>1</v>
      </c>
      <c r="L4" s="104">
        <f>VLOOKUP(A4,[1]단품수량!$B$5:$P$27,13,FALSE)*K4</f>
        <v>120</v>
      </c>
      <c r="M4" s="104" t="s">
        <v>90</v>
      </c>
      <c r="N4" s="101" t="s">
        <v>91</v>
      </c>
      <c r="O4" s="105">
        <v>800</v>
      </c>
      <c r="P4" s="105">
        <f t="shared" ref="P4:P48" si="0">K4*O4</f>
        <v>800</v>
      </c>
      <c r="Q4" s="104" t="s">
        <v>92</v>
      </c>
    </row>
    <row r="5" spans="1:17" ht="18" customHeight="1">
      <c r="A5" s="104">
        <v>10005984</v>
      </c>
      <c r="B5" s="104" t="str">
        <f>VLOOKUP(A5,[1]단품수량!$B$5:$E$27,4,FALSE)</f>
        <v>ANSM</v>
      </c>
      <c r="C5" s="104">
        <v>3</v>
      </c>
      <c r="D5" s="104" t="s">
        <v>96</v>
      </c>
      <c r="E5" s="104">
        <v>30062576</v>
      </c>
      <c r="F5" s="104"/>
      <c r="G5" s="104"/>
      <c r="H5" s="104" t="s">
        <v>97</v>
      </c>
      <c r="I5" s="104" t="s">
        <v>98</v>
      </c>
      <c r="J5" s="104">
        <v>1</v>
      </c>
      <c r="K5" s="104">
        <v>1</v>
      </c>
      <c r="L5" s="104">
        <f>VLOOKUP(A5,[1]단품수량!$B$5:$P$27,13,FALSE)*K5</f>
        <v>120</v>
      </c>
      <c r="M5" s="104" t="s">
        <v>99</v>
      </c>
      <c r="N5" s="101" t="s">
        <v>91</v>
      </c>
      <c r="O5" s="105">
        <v>660</v>
      </c>
      <c r="P5" s="105">
        <f t="shared" si="0"/>
        <v>660</v>
      </c>
      <c r="Q5" s="104" t="s">
        <v>100</v>
      </c>
    </row>
    <row r="6" spans="1:17" ht="18" customHeight="1">
      <c r="A6" s="104">
        <v>10005984</v>
      </c>
      <c r="B6" s="104" t="str">
        <f>VLOOKUP(A6,[1]단품수량!$B$5:$E$27,4,FALSE)</f>
        <v>ANSM</v>
      </c>
      <c r="C6" s="104">
        <v>4</v>
      </c>
      <c r="D6" s="104" t="s">
        <v>101</v>
      </c>
      <c r="E6" s="104">
        <v>30120230</v>
      </c>
      <c r="F6" s="104"/>
      <c r="G6" s="104"/>
      <c r="H6" s="104" t="s">
        <v>102</v>
      </c>
      <c r="I6" s="104" t="s">
        <v>103</v>
      </c>
      <c r="J6" s="104">
        <v>1</v>
      </c>
      <c r="K6" s="104">
        <v>1</v>
      </c>
      <c r="L6" s="104">
        <f>VLOOKUP(A6,[1]단품수량!$B$5:$P$27,13,FALSE)*K6</f>
        <v>120</v>
      </c>
      <c r="M6" s="104" t="s">
        <v>99</v>
      </c>
      <c r="N6" s="101" t="s">
        <v>91</v>
      </c>
      <c r="O6" s="105">
        <v>2000</v>
      </c>
      <c r="P6" s="105">
        <f t="shared" si="0"/>
        <v>2000</v>
      </c>
      <c r="Q6" s="104" t="s">
        <v>100</v>
      </c>
    </row>
    <row r="7" spans="1:17" ht="18" customHeight="1">
      <c r="A7" s="104">
        <v>10005984</v>
      </c>
      <c r="B7" s="104" t="str">
        <f>VLOOKUP(A7,[1]단품수량!$B$5:$E$27,4,FALSE)</f>
        <v>ANSM</v>
      </c>
      <c r="C7" s="104">
        <v>5</v>
      </c>
      <c r="D7" s="104" t="s">
        <v>104</v>
      </c>
      <c r="E7" s="104">
        <v>30118557</v>
      </c>
      <c r="F7" s="104"/>
      <c r="G7" s="104"/>
      <c r="H7" s="104" t="s">
        <v>105</v>
      </c>
      <c r="I7" s="104" t="s">
        <v>106</v>
      </c>
      <c r="J7" s="104">
        <v>1</v>
      </c>
      <c r="K7" s="104">
        <v>1</v>
      </c>
      <c r="L7" s="104">
        <f>VLOOKUP(A7,[1]단품수량!$B$5:$P$27,13,FALSE)*K7</f>
        <v>120</v>
      </c>
      <c r="M7" s="104" t="s">
        <v>107</v>
      </c>
      <c r="N7" s="101" t="s">
        <v>91</v>
      </c>
      <c r="O7" s="105">
        <v>38900</v>
      </c>
      <c r="P7" s="105">
        <f t="shared" si="0"/>
        <v>38900</v>
      </c>
      <c r="Q7" s="104" t="s">
        <v>108</v>
      </c>
    </row>
    <row r="8" spans="1:17" ht="18" customHeight="1">
      <c r="A8" s="104">
        <v>10005984</v>
      </c>
      <c r="B8" s="104" t="str">
        <f>VLOOKUP(A8,[1]단품수량!$B$5:$E$27,4,FALSE)</f>
        <v>ANSM</v>
      </c>
      <c r="C8" s="104">
        <v>6</v>
      </c>
      <c r="D8" s="104" t="s">
        <v>109</v>
      </c>
      <c r="E8" s="104">
        <v>30118570</v>
      </c>
      <c r="F8" s="104"/>
      <c r="G8" s="104"/>
      <c r="H8" s="104" t="s">
        <v>110</v>
      </c>
      <c r="I8" s="104" t="s">
        <v>111</v>
      </c>
      <c r="J8" s="104">
        <v>7</v>
      </c>
      <c r="K8" s="104">
        <v>7</v>
      </c>
      <c r="L8" s="104">
        <f>VLOOKUP(A8,[1]단품수량!$B$5:$P$27,13,FALSE)*K8</f>
        <v>840</v>
      </c>
      <c r="M8" s="104" t="s">
        <v>107</v>
      </c>
      <c r="N8" s="101" t="s">
        <v>91</v>
      </c>
      <c r="O8" s="105">
        <v>900</v>
      </c>
      <c r="P8" s="105">
        <f t="shared" si="0"/>
        <v>6300</v>
      </c>
      <c r="Q8" s="104" t="s">
        <v>108</v>
      </c>
    </row>
    <row r="9" spans="1:17" ht="18" customHeight="1">
      <c r="A9" s="104">
        <v>10005984</v>
      </c>
      <c r="B9" s="104" t="str">
        <f>VLOOKUP(A9,[1]단품수량!$B$5:$E$27,4,FALSE)</f>
        <v>ANSM</v>
      </c>
      <c r="C9" s="104">
        <v>7</v>
      </c>
      <c r="D9" s="104" t="s">
        <v>112</v>
      </c>
      <c r="E9" s="104">
        <v>30118545</v>
      </c>
      <c r="F9" s="104"/>
      <c r="G9" s="104"/>
      <c r="H9" s="104" t="s">
        <v>113</v>
      </c>
      <c r="I9" s="104" t="s">
        <v>114</v>
      </c>
      <c r="J9" s="104">
        <v>1</v>
      </c>
      <c r="K9" s="104">
        <v>1</v>
      </c>
      <c r="L9" s="104">
        <f>VLOOKUP(A9,[1]단품수량!$B$5:$P$27,13,FALSE)*K9</f>
        <v>120</v>
      </c>
      <c r="M9" s="104" t="s">
        <v>107</v>
      </c>
      <c r="N9" s="101" t="s">
        <v>91</v>
      </c>
      <c r="O9" s="105">
        <v>37400</v>
      </c>
      <c r="P9" s="105">
        <f t="shared" si="0"/>
        <v>37400</v>
      </c>
      <c r="Q9" s="104" t="s">
        <v>108</v>
      </c>
    </row>
    <row r="10" spans="1:17" ht="18" customHeight="1">
      <c r="A10" s="104">
        <v>10005984</v>
      </c>
      <c r="B10" s="104" t="str">
        <f>VLOOKUP(A10,[1]단품수량!$B$5:$E$27,4,FALSE)</f>
        <v>ANSM</v>
      </c>
      <c r="C10" s="104">
        <v>8</v>
      </c>
      <c r="D10" s="104" t="s">
        <v>115</v>
      </c>
      <c r="E10" s="104">
        <v>30118572</v>
      </c>
      <c r="F10" s="104"/>
      <c r="G10" s="104"/>
      <c r="H10" s="104" t="s">
        <v>116</v>
      </c>
      <c r="I10" s="104" t="s">
        <v>117</v>
      </c>
      <c r="J10" s="104">
        <v>7</v>
      </c>
      <c r="K10" s="104">
        <v>7</v>
      </c>
      <c r="L10" s="104">
        <f>VLOOKUP(A10,[1]단품수량!$B$5:$P$27,13,FALSE)*K10</f>
        <v>840</v>
      </c>
      <c r="M10" s="104" t="s">
        <v>107</v>
      </c>
      <c r="N10" s="101" t="s">
        <v>91</v>
      </c>
      <c r="O10" s="105">
        <v>400</v>
      </c>
      <c r="P10" s="105">
        <f t="shared" si="0"/>
        <v>2800</v>
      </c>
      <c r="Q10" s="104" t="s">
        <v>108</v>
      </c>
    </row>
    <row r="11" spans="1:17" ht="18" customHeight="1">
      <c r="A11" s="104">
        <v>10005984</v>
      </c>
      <c r="B11" s="104" t="str">
        <f>VLOOKUP(A11,[1]단품수량!$B$5:$E$27,4,FALSE)</f>
        <v>ANSM</v>
      </c>
      <c r="C11" s="104">
        <v>9</v>
      </c>
      <c r="D11" s="104" t="s">
        <v>118</v>
      </c>
      <c r="E11" s="104">
        <v>30118569</v>
      </c>
      <c r="F11" s="104"/>
      <c r="G11" s="104"/>
      <c r="H11" s="104" t="s">
        <v>119</v>
      </c>
      <c r="I11" s="104" t="s">
        <v>120</v>
      </c>
      <c r="J11" s="104">
        <v>8</v>
      </c>
      <c r="K11" s="104">
        <v>8</v>
      </c>
      <c r="L11" s="104">
        <f>VLOOKUP(A11,[1]단품수량!$B$5:$P$27,13,FALSE)*K11</f>
        <v>960</v>
      </c>
      <c r="M11" s="104" t="s">
        <v>107</v>
      </c>
      <c r="N11" s="101" t="s">
        <v>91</v>
      </c>
      <c r="O11" s="105">
        <v>400</v>
      </c>
      <c r="P11" s="105">
        <f t="shared" si="0"/>
        <v>3200</v>
      </c>
      <c r="Q11" s="104" t="s">
        <v>108</v>
      </c>
    </row>
    <row r="12" spans="1:17" ht="18" customHeight="1">
      <c r="A12" s="104">
        <v>10005984</v>
      </c>
      <c r="B12" s="104" t="str">
        <f>VLOOKUP(A12,[1]단품수량!$B$5:$E$27,4,FALSE)</f>
        <v>ANSM</v>
      </c>
      <c r="C12" s="104">
        <v>10</v>
      </c>
      <c r="D12" s="104" t="s">
        <v>121</v>
      </c>
      <c r="E12" s="104">
        <v>30120660</v>
      </c>
      <c r="F12" s="104" t="s">
        <v>122</v>
      </c>
      <c r="G12" s="104"/>
      <c r="H12" s="104" t="s">
        <v>123</v>
      </c>
      <c r="I12" s="104" t="s">
        <v>124</v>
      </c>
      <c r="J12" s="104">
        <v>1</v>
      </c>
      <c r="K12" s="104">
        <v>1</v>
      </c>
      <c r="L12" s="104">
        <f>VLOOKUP(A12,[1]단품수량!$B$5:$P$27,13,FALSE)*K12</f>
        <v>120</v>
      </c>
      <c r="M12" s="104" t="s">
        <v>90</v>
      </c>
      <c r="N12" s="101" t="s">
        <v>91</v>
      </c>
      <c r="O12" s="105">
        <v>600</v>
      </c>
      <c r="P12" s="105">
        <f t="shared" si="0"/>
        <v>600</v>
      </c>
      <c r="Q12" s="104" t="s">
        <v>125</v>
      </c>
    </row>
    <row r="13" spans="1:17" ht="18" customHeight="1">
      <c r="A13" s="104">
        <v>10005984</v>
      </c>
      <c r="B13" s="104" t="str">
        <f>VLOOKUP(A13,[1]단품수량!$B$5:$E$27,4,FALSE)</f>
        <v>ANSM</v>
      </c>
      <c r="C13" s="104">
        <v>11</v>
      </c>
      <c r="D13" s="104" t="s">
        <v>126</v>
      </c>
      <c r="E13" s="104">
        <v>30093304</v>
      </c>
      <c r="F13" s="104"/>
      <c r="G13" s="104"/>
      <c r="H13" s="104" t="s">
        <v>127</v>
      </c>
      <c r="I13" s="104" t="s">
        <v>128</v>
      </c>
      <c r="J13" s="104">
        <v>1</v>
      </c>
      <c r="K13" s="104">
        <v>1</v>
      </c>
      <c r="L13" s="104">
        <f>VLOOKUP(A13,[1]단품수량!$B$5:$P$27,13,FALSE)*K13</f>
        <v>120</v>
      </c>
      <c r="M13" s="104" t="s">
        <v>107</v>
      </c>
      <c r="N13" s="101" t="s">
        <v>91</v>
      </c>
      <c r="O13" s="105">
        <v>2510</v>
      </c>
      <c r="P13" s="105">
        <f t="shared" si="0"/>
        <v>2510</v>
      </c>
      <c r="Q13" s="104" t="s">
        <v>108</v>
      </c>
    </row>
    <row r="14" spans="1:17" ht="18" customHeight="1">
      <c r="A14" s="104">
        <v>10005980</v>
      </c>
      <c r="B14" s="104" t="str">
        <f>VLOOKUP(A14,[1]단품수량!$B$5:$E$27,4,FALSE)</f>
        <v>BZP</v>
      </c>
      <c r="C14" s="104">
        <v>12</v>
      </c>
      <c r="D14" s="104" t="s">
        <v>86</v>
      </c>
      <c r="E14" s="104">
        <v>30120742</v>
      </c>
      <c r="F14" s="104" t="s">
        <v>129</v>
      </c>
      <c r="G14" s="104"/>
      <c r="H14" s="104" t="s">
        <v>88</v>
      </c>
      <c r="I14" s="104" t="s">
        <v>89</v>
      </c>
      <c r="J14" s="104">
        <v>1</v>
      </c>
      <c r="K14" s="104">
        <v>1</v>
      </c>
      <c r="L14" s="104">
        <f>VLOOKUP(A14,[1]단품수량!$B$5:$P$27,13,FALSE)*K14</f>
        <v>720</v>
      </c>
      <c r="M14" s="104" t="s">
        <v>90</v>
      </c>
      <c r="N14" s="101" t="s">
        <v>91</v>
      </c>
      <c r="O14" s="105">
        <v>11000</v>
      </c>
      <c r="P14" s="105">
        <f t="shared" si="0"/>
        <v>11000</v>
      </c>
      <c r="Q14" s="104" t="s">
        <v>92</v>
      </c>
    </row>
    <row r="15" spans="1:17" ht="18" customHeight="1">
      <c r="A15" s="104">
        <v>10005980</v>
      </c>
      <c r="B15" s="104" t="str">
        <f>VLOOKUP(A15,[1]단품수량!$B$5:$E$27,4,FALSE)</f>
        <v>BZP</v>
      </c>
      <c r="C15" s="104">
        <v>13</v>
      </c>
      <c r="D15" s="104" t="s">
        <v>93</v>
      </c>
      <c r="E15" s="104">
        <v>30120743</v>
      </c>
      <c r="F15" s="104" t="s">
        <v>130</v>
      </c>
      <c r="G15" s="104"/>
      <c r="H15" s="104" t="s">
        <v>131</v>
      </c>
      <c r="I15" s="104" t="s">
        <v>132</v>
      </c>
      <c r="J15" s="104">
        <v>1</v>
      </c>
      <c r="K15" s="104">
        <v>1</v>
      </c>
      <c r="L15" s="104">
        <f>VLOOKUP(A15,[1]단품수량!$B$5:$P$27,13,FALSE)*K15</f>
        <v>720</v>
      </c>
      <c r="M15" s="104" t="s">
        <v>90</v>
      </c>
      <c r="N15" s="101" t="s">
        <v>91</v>
      </c>
      <c r="O15" s="105">
        <v>500</v>
      </c>
      <c r="P15" s="105">
        <f t="shared" si="0"/>
        <v>500</v>
      </c>
      <c r="Q15" s="104" t="s">
        <v>133</v>
      </c>
    </row>
    <row r="16" spans="1:17" ht="18" customHeight="1">
      <c r="A16" s="104">
        <v>10005980</v>
      </c>
      <c r="B16" s="104" t="str">
        <f>VLOOKUP(A16,[1]단품수량!$B$5:$E$27,4,FALSE)</f>
        <v>BZP</v>
      </c>
      <c r="C16" s="104">
        <v>14</v>
      </c>
      <c r="D16" s="104" t="s">
        <v>96</v>
      </c>
      <c r="E16" s="104">
        <v>30118497</v>
      </c>
      <c r="F16" s="104"/>
      <c r="G16" s="104"/>
      <c r="H16" s="104" t="s">
        <v>134</v>
      </c>
      <c r="I16" s="104" t="s">
        <v>135</v>
      </c>
      <c r="J16" s="104">
        <v>1</v>
      </c>
      <c r="K16" s="104">
        <v>1</v>
      </c>
      <c r="L16" s="104">
        <f>VLOOKUP(A16,[1]단품수량!$B$5:$P$27,13,FALSE)*K16</f>
        <v>720</v>
      </c>
      <c r="M16" s="104" t="s">
        <v>99</v>
      </c>
      <c r="N16" s="101" t="s">
        <v>91</v>
      </c>
      <c r="O16" s="105">
        <v>43000</v>
      </c>
      <c r="P16" s="105">
        <f t="shared" si="0"/>
        <v>43000</v>
      </c>
      <c r="Q16" s="104" t="s">
        <v>136</v>
      </c>
    </row>
    <row r="17" spans="1:17" ht="18" customHeight="1">
      <c r="A17" s="104">
        <v>10005980</v>
      </c>
      <c r="B17" s="104" t="str">
        <f>VLOOKUP(A17,[1]단품수량!$B$5:$E$27,4,FALSE)</f>
        <v>BZP</v>
      </c>
      <c r="C17" s="104">
        <v>15</v>
      </c>
      <c r="D17" s="104" t="s">
        <v>101</v>
      </c>
      <c r="E17" s="104">
        <v>30094283</v>
      </c>
      <c r="F17" s="104"/>
      <c r="G17" s="104"/>
      <c r="H17" s="104" t="s">
        <v>137</v>
      </c>
      <c r="I17" s="104" t="s">
        <v>138</v>
      </c>
      <c r="J17" s="104">
        <v>1</v>
      </c>
      <c r="K17" s="104">
        <v>1</v>
      </c>
      <c r="L17" s="104">
        <f>VLOOKUP(A17,[1]단품수량!$B$5:$P$27,13,FALSE)*K17</f>
        <v>720</v>
      </c>
      <c r="M17" s="104" t="s">
        <v>107</v>
      </c>
      <c r="N17" s="101" t="s">
        <v>91</v>
      </c>
      <c r="O17" s="105">
        <v>1300</v>
      </c>
      <c r="P17" s="105">
        <f t="shared" si="0"/>
        <v>1300</v>
      </c>
      <c r="Q17" s="104" t="s">
        <v>139</v>
      </c>
    </row>
    <row r="18" spans="1:17" ht="18" customHeight="1">
      <c r="A18" s="104">
        <v>10005980</v>
      </c>
      <c r="B18" s="104" t="str">
        <f>VLOOKUP(A18,[1]단품수량!$B$5:$E$27,4,FALSE)</f>
        <v>BZP</v>
      </c>
      <c r="C18" s="104">
        <v>16</v>
      </c>
      <c r="D18" s="104" t="s">
        <v>104</v>
      </c>
      <c r="E18" s="104">
        <v>30094282</v>
      </c>
      <c r="F18" s="104"/>
      <c r="G18" s="104"/>
      <c r="H18" s="104" t="s">
        <v>137</v>
      </c>
      <c r="I18" s="104" t="s">
        <v>140</v>
      </c>
      <c r="J18" s="104">
        <v>1</v>
      </c>
      <c r="K18" s="104">
        <v>1</v>
      </c>
      <c r="L18" s="104">
        <f>VLOOKUP(A18,[1]단품수량!$B$5:$P$27,13,FALSE)*K18</f>
        <v>720</v>
      </c>
      <c r="M18" s="104" t="s">
        <v>107</v>
      </c>
      <c r="N18" s="101" t="s">
        <v>91</v>
      </c>
      <c r="O18" s="105">
        <v>1100</v>
      </c>
      <c r="P18" s="105">
        <f t="shared" si="0"/>
        <v>1100</v>
      </c>
      <c r="Q18" s="104" t="s">
        <v>139</v>
      </c>
    </row>
    <row r="19" spans="1:17" ht="18" customHeight="1">
      <c r="A19" s="104">
        <v>10005980</v>
      </c>
      <c r="B19" s="104" t="str">
        <f>VLOOKUP(A19,[1]단품수량!$B$5:$E$27,4,FALSE)</f>
        <v>BZP</v>
      </c>
      <c r="C19" s="104">
        <v>17</v>
      </c>
      <c r="D19" s="104" t="s">
        <v>109</v>
      </c>
      <c r="E19" s="104">
        <v>30120654</v>
      </c>
      <c r="F19" s="104" t="s">
        <v>141</v>
      </c>
      <c r="G19" s="104"/>
      <c r="H19" s="104" t="s">
        <v>123</v>
      </c>
      <c r="I19" s="104" t="s">
        <v>142</v>
      </c>
      <c r="J19" s="104">
        <v>1</v>
      </c>
      <c r="K19" s="104">
        <v>1</v>
      </c>
      <c r="L19" s="104">
        <f>VLOOKUP(A19,[1]단품수량!$B$5:$P$27,13,FALSE)*K19</f>
        <v>720</v>
      </c>
      <c r="M19" s="104" t="s">
        <v>90</v>
      </c>
      <c r="N19" s="101" t="s">
        <v>91</v>
      </c>
      <c r="O19" s="105">
        <v>600</v>
      </c>
      <c r="P19" s="105">
        <f t="shared" si="0"/>
        <v>600</v>
      </c>
      <c r="Q19" s="104" t="s">
        <v>125</v>
      </c>
    </row>
    <row r="20" spans="1:17" ht="18" customHeight="1">
      <c r="A20" s="104">
        <v>10005980</v>
      </c>
      <c r="B20" s="104" t="str">
        <f>VLOOKUP(A20,[1]단품수량!$B$5:$E$27,4,FALSE)</f>
        <v>BZP</v>
      </c>
      <c r="C20" s="104">
        <v>18</v>
      </c>
      <c r="D20" s="104" t="s">
        <v>112</v>
      </c>
      <c r="E20" s="104">
        <v>30063371</v>
      </c>
      <c r="F20" s="104"/>
      <c r="G20" s="104"/>
      <c r="H20" s="104" t="s">
        <v>143</v>
      </c>
      <c r="I20" s="104" t="s">
        <v>144</v>
      </c>
      <c r="J20" s="104">
        <v>1</v>
      </c>
      <c r="K20" s="104">
        <v>1</v>
      </c>
      <c r="L20" s="104">
        <f>VLOOKUP(A20,[1]단품수량!$B$5:$P$27,13,FALSE)*K20</f>
        <v>720</v>
      </c>
      <c r="M20" s="104" t="s">
        <v>107</v>
      </c>
      <c r="N20" s="101" t="s">
        <v>91</v>
      </c>
      <c r="O20" s="105">
        <v>480</v>
      </c>
      <c r="P20" s="105">
        <f t="shared" si="0"/>
        <v>480</v>
      </c>
      <c r="Q20" s="104" t="s">
        <v>108</v>
      </c>
    </row>
    <row r="21" spans="1:17" ht="18" customHeight="1">
      <c r="A21" s="104">
        <v>10006095</v>
      </c>
      <c r="B21" s="104" t="str">
        <f>VLOOKUP(A21,[1]단품수량!$B$5:$E$27,4,FALSE)</f>
        <v>BZPB</v>
      </c>
      <c r="C21" s="104">
        <v>19</v>
      </c>
      <c r="D21" s="104" t="s">
        <v>86</v>
      </c>
      <c r="E21" s="104">
        <v>30120776</v>
      </c>
      <c r="F21" s="104"/>
      <c r="G21" s="104"/>
      <c r="H21" s="104" t="s">
        <v>145</v>
      </c>
      <c r="I21" s="104" t="s">
        <v>146</v>
      </c>
      <c r="J21" s="104">
        <v>1</v>
      </c>
      <c r="K21" s="104">
        <v>1</v>
      </c>
      <c r="L21" s="104">
        <f>VLOOKUP(A21,[1]단품수량!$B$5:$P$27,13,FALSE)*K21</f>
        <v>316</v>
      </c>
      <c r="M21" s="104" t="s">
        <v>99</v>
      </c>
      <c r="N21" s="101" t="s">
        <v>91</v>
      </c>
      <c r="O21" s="105">
        <v>13500</v>
      </c>
      <c r="P21" s="105">
        <f t="shared" si="0"/>
        <v>13500</v>
      </c>
      <c r="Q21" s="104" t="s">
        <v>136</v>
      </c>
    </row>
    <row r="22" spans="1:17" ht="18" customHeight="1">
      <c r="A22" s="104">
        <v>10006095</v>
      </c>
      <c r="B22" s="104" t="str">
        <f>VLOOKUP(A22,[1]단품수량!$B$5:$E$27,4,FALSE)</f>
        <v>BZPB</v>
      </c>
      <c r="C22" s="104">
        <v>20</v>
      </c>
      <c r="D22" s="104" t="s">
        <v>93</v>
      </c>
      <c r="E22" s="104">
        <v>30120739</v>
      </c>
      <c r="F22" s="104" t="s">
        <v>147</v>
      </c>
      <c r="G22" s="104"/>
      <c r="H22" s="104" t="s">
        <v>148</v>
      </c>
      <c r="I22" s="104" t="s">
        <v>89</v>
      </c>
      <c r="J22" s="104">
        <v>1</v>
      </c>
      <c r="K22" s="104">
        <v>1</v>
      </c>
      <c r="L22" s="104">
        <f>VLOOKUP(A22,[1]단품수량!$B$5:$P$27,13,FALSE)*K22</f>
        <v>316</v>
      </c>
      <c r="M22" s="104" t="s">
        <v>90</v>
      </c>
      <c r="N22" s="101" t="s">
        <v>91</v>
      </c>
      <c r="O22" s="105">
        <v>48000</v>
      </c>
      <c r="P22" s="105">
        <f t="shared" si="0"/>
        <v>48000</v>
      </c>
      <c r="Q22" s="104" t="s">
        <v>92</v>
      </c>
    </row>
    <row r="23" spans="1:17" ht="18" customHeight="1">
      <c r="A23" s="104">
        <v>10006095</v>
      </c>
      <c r="B23" s="104" t="str">
        <f>VLOOKUP(A23,[1]단품수량!$B$5:$E$27,4,FALSE)</f>
        <v>BZPB</v>
      </c>
      <c r="C23" s="104">
        <v>21</v>
      </c>
      <c r="D23" s="104" t="s">
        <v>149</v>
      </c>
      <c r="E23" s="104">
        <v>30120737</v>
      </c>
      <c r="F23" s="104" t="s">
        <v>150</v>
      </c>
      <c r="G23" s="104"/>
      <c r="H23" s="104" t="s">
        <v>151</v>
      </c>
      <c r="I23" s="104" t="s">
        <v>89</v>
      </c>
      <c r="J23" s="104">
        <v>1</v>
      </c>
      <c r="K23" s="104">
        <v>1</v>
      </c>
      <c r="L23" s="104">
        <f>VLOOKUP(A23,[1]단품수량!$B$5:$P$27,13,FALSE)*K23</f>
        <v>316</v>
      </c>
      <c r="M23" s="104" t="s">
        <v>90</v>
      </c>
      <c r="N23" s="101" t="s">
        <v>91</v>
      </c>
      <c r="O23" s="105">
        <v>0</v>
      </c>
      <c r="P23" s="105">
        <f t="shared" si="0"/>
        <v>0</v>
      </c>
      <c r="Q23" s="104" t="s">
        <v>92</v>
      </c>
    </row>
    <row r="24" spans="1:17" ht="18" customHeight="1">
      <c r="A24" s="104">
        <v>10006095</v>
      </c>
      <c r="B24" s="104" t="str">
        <f>VLOOKUP(A24,[1]단품수량!$B$5:$E$27,4,FALSE)</f>
        <v>BZPB</v>
      </c>
      <c r="C24" s="104">
        <v>22</v>
      </c>
      <c r="D24" s="104" t="s">
        <v>152</v>
      </c>
      <c r="E24" s="104">
        <v>30120738</v>
      </c>
      <c r="F24" s="104" t="s">
        <v>153</v>
      </c>
      <c r="G24" s="104"/>
      <c r="H24" s="104" t="s">
        <v>151</v>
      </c>
      <c r="I24" s="104" t="s">
        <v>89</v>
      </c>
      <c r="J24" s="104">
        <v>1</v>
      </c>
      <c r="K24" s="104">
        <v>1</v>
      </c>
      <c r="L24" s="104">
        <f>VLOOKUP(A24,[1]단품수량!$B$5:$P$27,13,FALSE)*K24</f>
        <v>316</v>
      </c>
      <c r="M24" s="104" t="s">
        <v>90</v>
      </c>
      <c r="N24" s="101" t="s">
        <v>91</v>
      </c>
      <c r="O24" s="105">
        <v>0</v>
      </c>
      <c r="P24" s="105">
        <f t="shared" si="0"/>
        <v>0</v>
      </c>
      <c r="Q24" s="104" t="s">
        <v>92</v>
      </c>
    </row>
    <row r="25" spans="1:17" ht="18" customHeight="1">
      <c r="A25" s="104">
        <v>10006095</v>
      </c>
      <c r="B25" s="104" t="str">
        <f>VLOOKUP(A25,[1]단품수량!$B$5:$E$27,4,FALSE)</f>
        <v>BZPB</v>
      </c>
      <c r="C25" s="104">
        <v>23</v>
      </c>
      <c r="D25" s="104" t="s">
        <v>96</v>
      </c>
      <c r="E25" s="104">
        <v>30120740</v>
      </c>
      <c r="F25" s="104" t="s">
        <v>154</v>
      </c>
      <c r="G25" s="104"/>
      <c r="H25" s="104" t="s">
        <v>88</v>
      </c>
      <c r="I25" s="104" t="s">
        <v>89</v>
      </c>
      <c r="J25" s="104">
        <v>1</v>
      </c>
      <c r="K25" s="104">
        <v>1</v>
      </c>
      <c r="L25" s="104">
        <f>VLOOKUP(A25,[1]단품수량!$B$5:$P$27,13,FALSE)*K25</f>
        <v>316</v>
      </c>
      <c r="M25" s="104" t="s">
        <v>90</v>
      </c>
      <c r="N25" s="101" t="s">
        <v>91</v>
      </c>
      <c r="O25" s="105">
        <v>0</v>
      </c>
      <c r="P25" s="105">
        <f t="shared" si="0"/>
        <v>0</v>
      </c>
      <c r="Q25" s="104" t="s">
        <v>92</v>
      </c>
    </row>
    <row r="26" spans="1:17" ht="18" customHeight="1">
      <c r="A26" s="104">
        <v>10006095</v>
      </c>
      <c r="B26" s="104" t="str">
        <f>VLOOKUP(A26,[1]단품수량!$B$5:$E$27,4,FALSE)</f>
        <v>BZPB</v>
      </c>
      <c r="C26" s="104">
        <v>24</v>
      </c>
      <c r="D26" s="104" t="s">
        <v>101</v>
      </c>
      <c r="E26" s="104">
        <v>30094283</v>
      </c>
      <c r="F26" s="104"/>
      <c r="G26" s="104"/>
      <c r="H26" s="104" t="s">
        <v>137</v>
      </c>
      <c r="I26" s="104" t="s">
        <v>138</v>
      </c>
      <c r="J26" s="104">
        <v>1</v>
      </c>
      <c r="K26" s="104">
        <v>1</v>
      </c>
      <c r="L26" s="104">
        <f>VLOOKUP(A26,[1]단품수량!$B$5:$P$27,13,FALSE)*K26</f>
        <v>316</v>
      </c>
      <c r="M26" s="104" t="s">
        <v>107</v>
      </c>
      <c r="N26" s="101" t="s">
        <v>91</v>
      </c>
      <c r="O26" s="105">
        <v>1300</v>
      </c>
      <c r="P26" s="105">
        <f t="shared" si="0"/>
        <v>1300</v>
      </c>
      <c r="Q26" s="104" t="s">
        <v>139</v>
      </c>
    </row>
    <row r="27" spans="1:17" ht="18" customHeight="1">
      <c r="A27" s="104">
        <v>10006095</v>
      </c>
      <c r="B27" s="104" t="str">
        <f>VLOOKUP(A27,[1]단품수량!$B$5:$E$27,4,FALSE)</f>
        <v>BZPB</v>
      </c>
      <c r="C27" s="104">
        <v>25</v>
      </c>
      <c r="D27" s="104" t="s">
        <v>104</v>
      </c>
      <c r="E27" s="104">
        <v>30094282</v>
      </c>
      <c r="F27" s="104"/>
      <c r="G27" s="104"/>
      <c r="H27" s="104" t="s">
        <v>137</v>
      </c>
      <c r="I27" s="104" t="s">
        <v>140</v>
      </c>
      <c r="J27" s="104">
        <v>1</v>
      </c>
      <c r="K27" s="104">
        <v>1</v>
      </c>
      <c r="L27" s="104">
        <f>VLOOKUP(A27,[1]단품수량!$B$5:$P$27,13,FALSE)*K27</f>
        <v>316</v>
      </c>
      <c r="M27" s="104" t="s">
        <v>107</v>
      </c>
      <c r="N27" s="101" t="s">
        <v>91</v>
      </c>
      <c r="O27" s="105">
        <v>1100</v>
      </c>
      <c r="P27" s="105">
        <f t="shared" si="0"/>
        <v>1100</v>
      </c>
      <c r="Q27" s="104" t="s">
        <v>139</v>
      </c>
    </row>
    <row r="28" spans="1:17" ht="18" customHeight="1">
      <c r="A28" s="104">
        <v>10006095</v>
      </c>
      <c r="B28" s="104" t="str">
        <f>VLOOKUP(A28,[1]단품수량!$B$5:$E$27,4,FALSE)</f>
        <v>BZPB</v>
      </c>
      <c r="C28" s="104">
        <v>26</v>
      </c>
      <c r="D28" s="104" t="s">
        <v>109</v>
      </c>
      <c r="E28" s="104">
        <v>30120653</v>
      </c>
      <c r="F28" s="104" t="s">
        <v>155</v>
      </c>
      <c r="G28" s="104"/>
      <c r="H28" s="104" t="s">
        <v>123</v>
      </c>
      <c r="I28" s="104" t="s">
        <v>156</v>
      </c>
      <c r="J28" s="104">
        <v>1</v>
      </c>
      <c r="K28" s="104">
        <v>1</v>
      </c>
      <c r="L28" s="104">
        <f>VLOOKUP(A28,[1]단품수량!$B$5:$P$27,13,FALSE)*K28</f>
        <v>316</v>
      </c>
      <c r="M28" s="104" t="s">
        <v>90</v>
      </c>
      <c r="N28" s="101" t="s">
        <v>91</v>
      </c>
      <c r="O28" s="105">
        <v>600</v>
      </c>
      <c r="P28" s="105">
        <f t="shared" si="0"/>
        <v>600</v>
      </c>
      <c r="Q28" s="104" t="s">
        <v>125</v>
      </c>
    </row>
    <row r="29" spans="1:17" ht="18" customHeight="1">
      <c r="A29" s="104">
        <v>10006095</v>
      </c>
      <c r="B29" s="104" t="str">
        <f>VLOOKUP(A29,[1]단품수량!$B$5:$E$27,4,FALSE)</f>
        <v>BZPB</v>
      </c>
      <c r="C29" s="104">
        <v>27</v>
      </c>
      <c r="D29" s="104" t="s">
        <v>112</v>
      </c>
      <c r="E29" s="104">
        <v>30063371</v>
      </c>
      <c r="F29" s="104"/>
      <c r="G29" s="104"/>
      <c r="H29" s="104" t="s">
        <v>143</v>
      </c>
      <c r="I29" s="104" t="s">
        <v>144</v>
      </c>
      <c r="J29" s="104">
        <v>1</v>
      </c>
      <c r="K29" s="104">
        <v>1</v>
      </c>
      <c r="L29" s="104">
        <f>VLOOKUP(A29,[1]단품수량!$B$5:$P$27,13,FALSE)*K29</f>
        <v>316</v>
      </c>
      <c r="M29" s="104" t="s">
        <v>107</v>
      </c>
      <c r="N29" s="101" t="s">
        <v>91</v>
      </c>
      <c r="O29" s="105">
        <v>480</v>
      </c>
      <c r="P29" s="105">
        <f t="shared" si="0"/>
        <v>480</v>
      </c>
      <c r="Q29" s="104" t="s">
        <v>108</v>
      </c>
    </row>
    <row r="30" spans="1:17" ht="18" customHeight="1">
      <c r="A30" s="104">
        <v>10005998</v>
      </c>
      <c r="B30" s="104" t="str">
        <f>VLOOKUP(A30,[1]단품수량!$B$5:$E$27,4,FALSE)</f>
        <v>CBZ</v>
      </c>
      <c r="C30" s="104">
        <v>28</v>
      </c>
      <c r="D30" s="104" t="s">
        <v>86</v>
      </c>
      <c r="E30" s="104">
        <v>10005998</v>
      </c>
      <c r="F30" s="104"/>
      <c r="G30" s="104"/>
      <c r="H30" s="104" t="s">
        <v>45</v>
      </c>
      <c r="I30" s="104"/>
      <c r="J30" s="104">
        <v>1</v>
      </c>
      <c r="K30" s="104">
        <v>1</v>
      </c>
      <c r="L30" s="104">
        <f>VLOOKUP(A30,[1]단품수량!$B$5:$P$27,13,FALSE)*K30</f>
        <v>357</v>
      </c>
      <c r="M30" s="104" t="s">
        <v>157</v>
      </c>
      <c r="N30" s="101" t="s">
        <v>91</v>
      </c>
      <c r="O30" s="105">
        <v>224000</v>
      </c>
      <c r="P30" s="105">
        <f t="shared" si="0"/>
        <v>224000</v>
      </c>
      <c r="Q30" s="104" t="s">
        <v>136</v>
      </c>
    </row>
    <row r="31" spans="1:17" ht="18" customHeight="1">
      <c r="A31" s="104">
        <v>10005997</v>
      </c>
      <c r="B31" s="104" t="str">
        <f>VLOOKUP(A31,[1]단품수량!$B$5:$E$27,4,FALSE)</f>
        <v>CCP</v>
      </c>
      <c r="C31" s="104">
        <v>29</v>
      </c>
      <c r="D31" s="104" t="s">
        <v>86</v>
      </c>
      <c r="E31" s="104">
        <v>30120714</v>
      </c>
      <c r="F31" s="104" t="s">
        <v>158</v>
      </c>
      <c r="G31" s="104"/>
      <c r="H31" s="104" t="s">
        <v>148</v>
      </c>
      <c r="I31" s="104" t="s">
        <v>89</v>
      </c>
      <c r="J31" s="104">
        <v>1</v>
      </c>
      <c r="K31" s="104">
        <v>1</v>
      </c>
      <c r="L31" s="104">
        <f>VLOOKUP(A31,[1]단품수량!$B$5:$P$27,13,FALSE)*K31</f>
        <v>158</v>
      </c>
      <c r="M31" s="104" t="s">
        <v>90</v>
      </c>
      <c r="N31" s="101" t="s">
        <v>91</v>
      </c>
      <c r="O31" s="105">
        <v>75000</v>
      </c>
      <c r="P31" s="105">
        <f t="shared" si="0"/>
        <v>75000</v>
      </c>
      <c r="Q31" s="104" t="s">
        <v>159</v>
      </c>
    </row>
    <row r="32" spans="1:17" ht="18" customHeight="1">
      <c r="A32" s="104">
        <v>10005997</v>
      </c>
      <c r="B32" s="104" t="str">
        <f>VLOOKUP(A32,[1]단품수량!$B$5:$E$27,4,FALSE)</f>
        <v>CCP</v>
      </c>
      <c r="C32" s="104">
        <v>30</v>
      </c>
      <c r="D32" s="104" t="s">
        <v>149</v>
      </c>
      <c r="E32" s="104">
        <v>30120715</v>
      </c>
      <c r="F32" s="104" t="s">
        <v>160</v>
      </c>
      <c r="G32" s="104"/>
      <c r="H32" s="104" t="s">
        <v>161</v>
      </c>
      <c r="I32" s="104" t="s">
        <v>89</v>
      </c>
      <c r="J32" s="104">
        <v>1</v>
      </c>
      <c r="K32" s="104">
        <v>1</v>
      </c>
      <c r="L32" s="104">
        <f>VLOOKUP(A32,[1]단품수량!$B$5:$P$27,13,FALSE)*K32</f>
        <v>158</v>
      </c>
      <c r="M32" s="104" t="s">
        <v>90</v>
      </c>
      <c r="N32" s="101" t="s">
        <v>91</v>
      </c>
      <c r="O32" s="105">
        <v>0</v>
      </c>
      <c r="P32" s="105">
        <f t="shared" si="0"/>
        <v>0</v>
      </c>
      <c r="Q32" s="104" t="s">
        <v>159</v>
      </c>
    </row>
    <row r="33" spans="1:17" ht="18" customHeight="1">
      <c r="A33" s="104">
        <v>10005997</v>
      </c>
      <c r="B33" s="104" t="str">
        <f>VLOOKUP(A33,[1]단품수량!$B$5:$E$27,4,FALSE)</f>
        <v>CCP</v>
      </c>
      <c r="C33" s="104">
        <v>31</v>
      </c>
      <c r="D33" s="104" t="s">
        <v>152</v>
      </c>
      <c r="E33" s="104">
        <v>30120716</v>
      </c>
      <c r="F33" s="104" t="s">
        <v>162</v>
      </c>
      <c r="G33" s="104"/>
      <c r="H33" s="104" t="s">
        <v>161</v>
      </c>
      <c r="I33" s="104" t="s">
        <v>89</v>
      </c>
      <c r="J33" s="104">
        <v>1</v>
      </c>
      <c r="K33" s="104">
        <v>1</v>
      </c>
      <c r="L33" s="104">
        <f>VLOOKUP(A33,[1]단품수량!$B$5:$P$27,13,FALSE)*K33</f>
        <v>158</v>
      </c>
      <c r="M33" s="104" t="s">
        <v>90</v>
      </c>
      <c r="N33" s="101" t="s">
        <v>91</v>
      </c>
      <c r="O33" s="105">
        <v>0</v>
      </c>
      <c r="P33" s="105">
        <f t="shared" si="0"/>
        <v>0</v>
      </c>
      <c r="Q33" s="104" t="s">
        <v>159</v>
      </c>
    </row>
    <row r="34" spans="1:17" ht="18" customHeight="1">
      <c r="A34" s="104">
        <v>10005997</v>
      </c>
      <c r="B34" s="104" t="str">
        <f>VLOOKUP(A34,[1]단품수량!$B$5:$E$27,4,FALSE)</f>
        <v>CCP</v>
      </c>
      <c r="C34" s="104">
        <v>32</v>
      </c>
      <c r="D34" s="104" t="s">
        <v>93</v>
      </c>
      <c r="E34" s="104">
        <v>30120718</v>
      </c>
      <c r="F34" s="104" t="s">
        <v>163</v>
      </c>
      <c r="G34" s="104"/>
      <c r="H34" s="104" t="s">
        <v>88</v>
      </c>
      <c r="I34" s="104" t="s">
        <v>89</v>
      </c>
      <c r="J34" s="104">
        <v>1</v>
      </c>
      <c r="K34" s="104">
        <v>1</v>
      </c>
      <c r="L34" s="104">
        <f>VLOOKUP(A34,[1]단품수량!$B$5:$P$27,13,FALSE)*K34</f>
        <v>158</v>
      </c>
      <c r="M34" s="104" t="s">
        <v>90</v>
      </c>
      <c r="N34" s="101" t="s">
        <v>91</v>
      </c>
      <c r="O34" s="105">
        <v>0</v>
      </c>
      <c r="P34" s="105">
        <f t="shared" si="0"/>
        <v>0</v>
      </c>
      <c r="Q34" s="104" t="s">
        <v>159</v>
      </c>
    </row>
    <row r="35" spans="1:17" ht="18" customHeight="1">
      <c r="A35" s="104">
        <v>10005997</v>
      </c>
      <c r="B35" s="104" t="str">
        <f>VLOOKUP(A35,[1]단품수량!$B$5:$E$27,4,FALSE)</f>
        <v>CCP</v>
      </c>
      <c r="C35" s="104">
        <v>33</v>
      </c>
      <c r="D35" s="104" t="s">
        <v>96</v>
      </c>
      <c r="E35" s="104">
        <v>30120765</v>
      </c>
      <c r="F35" s="104"/>
      <c r="G35" s="104"/>
      <c r="H35" s="104" t="s">
        <v>164</v>
      </c>
      <c r="I35" s="104" t="s">
        <v>165</v>
      </c>
      <c r="J35" s="104">
        <v>1</v>
      </c>
      <c r="K35" s="104">
        <v>1</v>
      </c>
      <c r="L35" s="104">
        <f>VLOOKUP(A35,[1]단품수량!$B$5:$P$27,13,FALSE)*K35</f>
        <v>158</v>
      </c>
      <c r="M35" s="104" t="s">
        <v>99</v>
      </c>
      <c r="N35" s="101" t="s">
        <v>91</v>
      </c>
      <c r="O35" s="105">
        <v>10000</v>
      </c>
      <c r="P35" s="105">
        <f t="shared" si="0"/>
        <v>10000</v>
      </c>
      <c r="Q35" s="104" t="s">
        <v>166</v>
      </c>
    </row>
    <row r="36" spans="1:17" ht="18" customHeight="1">
      <c r="A36" s="104">
        <v>10005997</v>
      </c>
      <c r="B36" s="104" t="str">
        <f>VLOOKUP(A36,[1]단품수량!$B$5:$E$27,4,FALSE)</f>
        <v>CCP</v>
      </c>
      <c r="C36" s="104">
        <v>34</v>
      </c>
      <c r="D36" s="104" t="s">
        <v>101</v>
      </c>
      <c r="E36" s="104">
        <v>30120766</v>
      </c>
      <c r="F36" s="104"/>
      <c r="G36" s="104"/>
      <c r="H36" s="104" t="s">
        <v>167</v>
      </c>
      <c r="I36" s="104" t="s">
        <v>168</v>
      </c>
      <c r="J36" s="104">
        <v>1</v>
      </c>
      <c r="K36" s="104">
        <v>1</v>
      </c>
      <c r="L36" s="104">
        <f>VLOOKUP(A36,[1]단품수량!$B$5:$P$27,13,FALSE)*K36</f>
        <v>158</v>
      </c>
      <c r="M36" s="104" t="s">
        <v>99</v>
      </c>
      <c r="N36" s="101" t="s">
        <v>91</v>
      </c>
      <c r="O36" s="105">
        <v>70000</v>
      </c>
      <c r="P36" s="105">
        <f t="shared" si="0"/>
        <v>70000</v>
      </c>
      <c r="Q36" s="104" t="s">
        <v>166</v>
      </c>
    </row>
    <row r="37" spans="1:17" ht="18" customHeight="1">
      <c r="A37" s="104">
        <v>10005997</v>
      </c>
      <c r="B37" s="104" t="str">
        <f>VLOOKUP(A37,[1]단품수량!$B$5:$E$27,4,FALSE)</f>
        <v>CCP</v>
      </c>
      <c r="C37" s="104">
        <v>35</v>
      </c>
      <c r="D37" s="104" t="s">
        <v>104</v>
      </c>
      <c r="E37" s="104">
        <v>30120717</v>
      </c>
      <c r="F37" s="104" t="s">
        <v>169</v>
      </c>
      <c r="G37" s="104"/>
      <c r="H37" s="104" t="s">
        <v>170</v>
      </c>
      <c r="I37" s="104" t="s">
        <v>89</v>
      </c>
      <c r="J37" s="104">
        <v>1</v>
      </c>
      <c r="K37" s="104">
        <v>1</v>
      </c>
      <c r="L37" s="104">
        <f>VLOOKUP(A37,[1]단품수량!$B$5:$P$27,13,FALSE)*K37</f>
        <v>158</v>
      </c>
      <c r="M37" s="104" t="s">
        <v>90</v>
      </c>
      <c r="N37" s="101" t="s">
        <v>91</v>
      </c>
      <c r="O37" s="105">
        <v>0</v>
      </c>
      <c r="P37" s="105">
        <f t="shared" si="0"/>
        <v>0</v>
      </c>
      <c r="Q37" s="104" t="s">
        <v>159</v>
      </c>
    </row>
    <row r="38" spans="1:17" ht="18" customHeight="1">
      <c r="A38" s="104">
        <v>10005997</v>
      </c>
      <c r="B38" s="104" t="str">
        <f>VLOOKUP(A38,[1]단품수량!$B$5:$E$27,4,FALSE)</f>
        <v>CCP</v>
      </c>
      <c r="C38" s="104">
        <v>36</v>
      </c>
      <c r="D38" s="104" t="s">
        <v>109</v>
      </c>
      <c r="E38" s="104">
        <v>30118555</v>
      </c>
      <c r="F38" s="104"/>
      <c r="G38" s="104"/>
      <c r="H38" s="104" t="s">
        <v>171</v>
      </c>
      <c r="I38" s="104" t="s">
        <v>172</v>
      </c>
      <c r="J38" s="104">
        <v>1</v>
      </c>
      <c r="K38" s="104">
        <v>1</v>
      </c>
      <c r="L38" s="104">
        <f>VLOOKUP(A38,[1]단품수량!$B$5:$P$27,13,FALSE)*K38</f>
        <v>158</v>
      </c>
      <c r="M38" s="104" t="s">
        <v>107</v>
      </c>
      <c r="N38" s="101" t="s">
        <v>91</v>
      </c>
      <c r="O38" s="105">
        <v>23900</v>
      </c>
      <c r="P38" s="105">
        <f t="shared" si="0"/>
        <v>23900</v>
      </c>
      <c r="Q38" s="104" t="s">
        <v>108</v>
      </c>
    </row>
    <row r="39" spans="1:17" ht="18" customHeight="1">
      <c r="A39" s="104">
        <v>10005997</v>
      </c>
      <c r="B39" s="104" t="str">
        <f>VLOOKUP(A39,[1]단품수량!$B$5:$E$27,4,FALSE)</f>
        <v>CCP</v>
      </c>
      <c r="C39" s="104">
        <v>37</v>
      </c>
      <c r="D39" s="104" t="s">
        <v>112</v>
      </c>
      <c r="E39" s="104">
        <v>30118583</v>
      </c>
      <c r="F39" s="104"/>
      <c r="G39" s="104"/>
      <c r="H39" s="104" t="s">
        <v>173</v>
      </c>
      <c r="I39" s="104" t="s">
        <v>174</v>
      </c>
      <c r="J39" s="104">
        <v>1</v>
      </c>
      <c r="K39" s="104">
        <v>1</v>
      </c>
      <c r="L39" s="104">
        <f>VLOOKUP(A39,[1]단품수량!$B$5:$P$27,13,FALSE)*K39</f>
        <v>158</v>
      </c>
      <c r="M39" s="104" t="s">
        <v>107</v>
      </c>
      <c r="N39" s="101" t="s">
        <v>91</v>
      </c>
      <c r="O39" s="105">
        <v>59800</v>
      </c>
      <c r="P39" s="105">
        <f t="shared" si="0"/>
        <v>59800</v>
      </c>
      <c r="Q39" s="104" t="s">
        <v>108</v>
      </c>
    </row>
    <row r="40" spans="1:17" ht="18" customHeight="1">
      <c r="A40" s="104">
        <v>10005997</v>
      </c>
      <c r="B40" s="104" t="str">
        <f>VLOOKUP(A40,[1]단품수량!$B$5:$E$27,4,FALSE)</f>
        <v>CCP</v>
      </c>
      <c r="C40" s="104">
        <v>38</v>
      </c>
      <c r="D40" s="104" t="s">
        <v>115</v>
      </c>
      <c r="E40" s="104">
        <v>30120669</v>
      </c>
      <c r="F40" s="104" t="s">
        <v>175</v>
      </c>
      <c r="G40" s="104"/>
      <c r="H40" s="104" t="s">
        <v>123</v>
      </c>
      <c r="I40" s="104" t="s">
        <v>176</v>
      </c>
      <c r="J40" s="104">
        <v>1</v>
      </c>
      <c r="K40" s="104">
        <v>1</v>
      </c>
      <c r="L40" s="104">
        <f>VLOOKUP(A40,[1]단품수량!$B$5:$P$27,13,FALSE)*K40</f>
        <v>158</v>
      </c>
      <c r="M40" s="104" t="s">
        <v>90</v>
      </c>
      <c r="N40" s="101" t="s">
        <v>91</v>
      </c>
      <c r="O40" s="105">
        <v>1400</v>
      </c>
      <c r="P40" s="105">
        <f t="shared" si="0"/>
        <v>1400</v>
      </c>
      <c r="Q40" s="104" t="s">
        <v>125</v>
      </c>
    </row>
    <row r="41" spans="1:17" ht="18" customHeight="1">
      <c r="A41" s="104">
        <v>10005997</v>
      </c>
      <c r="B41" s="104" t="str">
        <f>VLOOKUP(A41,[1]단품수량!$B$5:$E$27,4,FALSE)</f>
        <v>CCP</v>
      </c>
      <c r="C41" s="104">
        <v>39</v>
      </c>
      <c r="D41" s="104" t="s">
        <v>118</v>
      </c>
      <c r="E41" s="104">
        <v>30118569</v>
      </c>
      <c r="F41" s="104"/>
      <c r="G41" s="104"/>
      <c r="H41" s="104" t="s">
        <v>119</v>
      </c>
      <c r="I41" s="104" t="s">
        <v>120</v>
      </c>
      <c r="J41" s="104">
        <v>6</v>
      </c>
      <c r="K41" s="104">
        <v>6</v>
      </c>
      <c r="L41" s="104">
        <f>VLOOKUP(A41,[1]단품수량!$B$5:$P$27,13,FALSE)*K41</f>
        <v>948</v>
      </c>
      <c r="M41" s="104" t="s">
        <v>107</v>
      </c>
      <c r="N41" s="101" t="s">
        <v>91</v>
      </c>
      <c r="O41" s="105">
        <v>400</v>
      </c>
      <c r="P41" s="105">
        <f t="shared" si="0"/>
        <v>2400</v>
      </c>
      <c r="Q41" s="104" t="s">
        <v>108</v>
      </c>
    </row>
    <row r="42" spans="1:17" ht="18" customHeight="1">
      <c r="A42" s="104">
        <v>10005997</v>
      </c>
      <c r="B42" s="104" t="str">
        <f>VLOOKUP(A42,[1]단품수량!$B$5:$E$27,4,FALSE)</f>
        <v>CCP</v>
      </c>
      <c r="C42" s="104">
        <v>40</v>
      </c>
      <c r="D42" s="104" t="s">
        <v>121</v>
      </c>
      <c r="E42" s="104">
        <v>30118573</v>
      </c>
      <c r="F42" s="104"/>
      <c r="G42" s="104"/>
      <c r="H42" s="104" t="s">
        <v>177</v>
      </c>
      <c r="I42" s="104" t="s">
        <v>178</v>
      </c>
      <c r="J42" s="104">
        <v>19</v>
      </c>
      <c r="K42" s="104">
        <v>19</v>
      </c>
      <c r="L42" s="104">
        <f>VLOOKUP(A42,[1]단품수량!$B$5:$P$27,13,FALSE)*K42</f>
        <v>3002</v>
      </c>
      <c r="M42" s="104" t="s">
        <v>107</v>
      </c>
      <c r="N42" s="101" t="s">
        <v>91</v>
      </c>
      <c r="O42" s="105">
        <v>1000</v>
      </c>
      <c r="P42" s="105">
        <f t="shared" si="0"/>
        <v>19000</v>
      </c>
      <c r="Q42" s="104" t="s">
        <v>108</v>
      </c>
    </row>
    <row r="43" spans="1:17" ht="18" customHeight="1">
      <c r="A43" s="104">
        <v>10005997</v>
      </c>
      <c r="B43" s="104" t="str">
        <f>VLOOKUP(A43,[1]단품수량!$B$5:$E$27,4,FALSE)</f>
        <v>CCP</v>
      </c>
      <c r="C43" s="104">
        <v>41</v>
      </c>
      <c r="D43" s="104" t="s">
        <v>126</v>
      </c>
      <c r="E43" s="104">
        <v>30118582</v>
      </c>
      <c r="F43" s="104"/>
      <c r="G43" s="104"/>
      <c r="H43" s="104" t="s">
        <v>179</v>
      </c>
      <c r="I43" s="104" t="s">
        <v>180</v>
      </c>
      <c r="J43" s="104">
        <v>4</v>
      </c>
      <c r="K43" s="104">
        <v>4</v>
      </c>
      <c r="L43" s="104">
        <f>VLOOKUP(A43,[1]단품수량!$B$5:$P$27,13,FALSE)*K43</f>
        <v>632</v>
      </c>
      <c r="M43" s="104" t="s">
        <v>107</v>
      </c>
      <c r="N43" s="101" t="s">
        <v>91</v>
      </c>
      <c r="O43" s="105">
        <v>500</v>
      </c>
      <c r="P43" s="105">
        <f t="shared" si="0"/>
        <v>2000</v>
      </c>
      <c r="Q43" s="104" t="s">
        <v>108</v>
      </c>
    </row>
    <row r="44" spans="1:17" ht="18" customHeight="1">
      <c r="A44" s="104">
        <v>10005997</v>
      </c>
      <c r="B44" s="104" t="str">
        <f>VLOOKUP(A44,[1]단품수량!$B$5:$E$27,4,FALSE)</f>
        <v>CCP</v>
      </c>
      <c r="C44" s="104">
        <v>42</v>
      </c>
      <c r="D44" s="104" t="s">
        <v>181</v>
      </c>
      <c r="E44" s="104">
        <v>30118581</v>
      </c>
      <c r="F44" s="104"/>
      <c r="G44" s="104"/>
      <c r="H44" s="104" t="s">
        <v>182</v>
      </c>
      <c r="I44" s="104" t="s">
        <v>183</v>
      </c>
      <c r="J44" s="104">
        <v>15</v>
      </c>
      <c r="K44" s="104">
        <v>15</v>
      </c>
      <c r="L44" s="104">
        <f>VLOOKUP(A44,[1]단품수량!$B$5:$P$27,13,FALSE)*K44</f>
        <v>2370</v>
      </c>
      <c r="M44" s="104" t="s">
        <v>107</v>
      </c>
      <c r="N44" s="101" t="s">
        <v>91</v>
      </c>
      <c r="O44" s="105">
        <v>900</v>
      </c>
      <c r="P44" s="105">
        <f t="shared" si="0"/>
        <v>13500</v>
      </c>
      <c r="Q44" s="104" t="s">
        <v>108</v>
      </c>
    </row>
    <row r="45" spans="1:17" ht="18" customHeight="1">
      <c r="A45" s="104">
        <v>10005997</v>
      </c>
      <c r="B45" s="104" t="str">
        <f>VLOOKUP(A45,[1]단품수량!$B$5:$E$27,4,FALSE)</f>
        <v>CCP</v>
      </c>
      <c r="C45" s="104">
        <v>43</v>
      </c>
      <c r="D45" s="104" t="s">
        <v>184</v>
      </c>
      <c r="E45" s="104">
        <v>30120835</v>
      </c>
      <c r="F45" s="104"/>
      <c r="G45" s="104"/>
      <c r="H45" s="104" t="s">
        <v>185</v>
      </c>
      <c r="I45" s="104" t="s">
        <v>89</v>
      </c>
      <c r="J45" s="104">
        <v>1</v>
      </c>
      <c r="K45" s="104">
        <v>1</v>
      </c>
      <c r="L45" s="104">
        <f>VLOOKUP(A45,[1]단품수량!$B$5:$P$27,13,FALSE)*K45</f>
        <v>158</v>
      </c>
      <c r="M45" s="104" t="s">
        <v>90</v>
      </c>
      <c r="N45" s="101" t="s">
        <v>91</v>
      </c>
      <c r="O45" s="105">
        <v>1200000</v>
      </c>
      <c r="P45" s="105">
        <f t="shared" si="0"/>
        <v>1200000</v>
      </c>
      <c r="Q45" s="104" t="s">
        <v>166</v>
      </c>
    </row>
    <row r="46" spans="1:17" ht="18" customHeight="1">
      <c r="A46" s="104">
        <v>10005997</v>
      </c>
      <c r="B46" s="104" t="str">
        <f>VLOOKUP(A46,[1]단품수량!$B$5:$E$27,4,FALSE)</f>
        <v>CCP</v>
      </c>
      <c r="C46" s="104">
        <v>44</v>
      </c>
      <c r="D46" s="104" t="s">
        <v>149</v>
      </c>
      <c r="E46" s="104">
        <v>30120992</v>
      </c>
      <c r="F46" s="104"/>
      <c r="G46" s="104"/>
      <c r="H46" s="104" t="s">
        <v>186</v>
      </c>
      <c r="I46" s="104" t="s">
        <v>187</v>
      </c>
      <c r="J46" s="104">
        <v>1</v>
      </c>
      <c r="K46" s="104">
        <v>1</v>
      </c>
      <c r="L46" s="104">
        <f>VLOOKUP(A46,[1]단품수량!$B$5:$P$27,13,FALSE)*K46</f>
        <v>158</v>
      </c>
      <c r="M46" s="104" t="s">
        <v>107</v>
      </c>
      <c r="N46" s="101" t="s">
        <v>91</v>
      </c>
      <c r="O46" s="105">
        <v>24000</v>
      </c>
      <c r="P46" s="105">
        <f t="shared" si="0"/>
        <v>24000</v>
      </c>
      <c r="Q46" s="104" t="s">
        <v>188</v>
      </c>
    </row>
    <row r="47" spans="1:17" ht="18" customHeight="1">
      <c r="A47" s="104">
        <v>10005997</v>
      </c>
      <c r="B47" s="104" t="str">
        <f>VLOOKUP(A47,[1]단품수량!$B$5:$E$27,4,FALSE)</f>
        <v>CCP</v>
      </c>
      <c r="C47" s="104">
        <v>45</v>
      </c>
      <c r="D47" s="104" t="s">
        <v>152</v>
      </c>
      <c r="E47" s="104">
        <v>30121672</v>
      </c>
      <c r="F47" s="104"/>
      <c r="G47" s="104"/>
      <c r="H47" s="104" t="s">
        <v>189</v>
      </c>
      <c r="I47" s="104" t="s">
        <v>190</v>
      </c>
      <c r="J47" s="104">
        <v>1</v>
      </c>
      <c r="K47" s="104">
        <v>1</v>
      </c>
      <c r="L47" s="104">
        <f>VLOOKUP(A47,[1]단품수량!$B$5:$P$27,13,FALSE)*K47</f>
        <v>158</v>
      </c>
      <c r="M47" s="104" t="s">
        <v>99</v>
      </c>
      <c r="N47" s="101" t="s">
        <v>91</v>
      </c>
      <c r="O47" s="105">
        <v>320</v>
      </c>
      <c r="P47" s="105">
        <f t="shared" si="0"/>
        <v>320</v>
      </c>
      <c r="Q47" s="104" t="s">
        <v>188</v>
      </c>
    </row>
    <row r="48" spans="1:17" ht="18" customHeight="1">
      <c r="A48" s="104">
        <v>10005997</v>
      </c>
      <c r="B48" s="104" t="str">
        <f>VLOOKUP(A48,[1]단품수량!$B$5:$E$27,4,FALSE)</f>
        <v>CCP</v>
      </c>
      <c r="C48" s="104">
        <v>46</v>
      </c>
      <c r="D48" s="104" t="s">
        <v>191</v>
      </c>
      <c r="E48" s="104">
        <v>30120836</v>
      </c>
      <c r="F48" s="104"/>
      <c r="G48" s="104"/>
      <c r="H48" s="104" t="s">
        <v>192</v>
      </c>
      <c r="I48" s="104" t="s">
        <v>193</v>
      </c>
      <c r="J48" s="104">
        <v>1</v>
      </c>
      <c r="K48" s="104">
        <v>1</v>
      </c>
      <c r="L48" s="104">
        <f>VLOOKUP(A48,[1]단품수량!$B$5:$P$27,13,FALSE)*K48</f>
        <v>158</v>
      </c>
      <c r="M48" s="104" t="s">
        <v>99</v>
      </c>
      <c r="N48" s="101" t="s">
        <v>91</v>
      </c>
      <c r="O48" s="105">
        <v>800</v>
      </c>
      <c r="P48" s="105">
        <f t="shared" si="0"/>
        <v>800</v>
      </c>
      <c r="Q48" s="104" t="s">
        <v>100</v>
      </c>
    </row>
    <row r="49" spans="1:17" ht="18" customHeight="1">
      <c r="A49" s="104">
        <v>10005997</v>
      </c>
      <c r="B49" s="104" t="str">
        <f>VLOOKUP(A49,[1]단품수량!$B$5:$E$27,4,FALSE)</f>
        <v>CCP</v>
      </c>
      <c r="C49" s="104">
        <v>47</v>
      </c>
      <c r="D49" s="104" t="s">
        <v>194</v>
      </c>
      <c r="E49" s="104">
        <v>30120837</v>
      </c>
      <c r="F49" s="104"/>
      <c r="G49" s="104"/>
      <c r="H49" s="104" t="s">
        <v>195</v>
      </c>
      <c r="I49" s="104" t="s">
        <v>196</v>
      </c>
      <c r="J49" s="104">
        <v>1</v>
      </c>
      <c r="K49" s="104">
        <v>1</v>
      </c>
      <c r="L49" s="104">
        <f>VLOOKUP(A49,[1]단품수량!$B$5:$P$27,13,FALSE)*K49</f>
        <v>158</v>
      </c>
      <c r="M49" s="104" t="s">
        <v>90</v>
      </c>
      <c r="N49" s="101" t="s">
        <v>197</v>
      </c>
      <c r="O49" s="105">
        <v>434240</v>
      </c>
      <c r="P49" s="105">
        <f>K49*O49</f>
        <v>434240</v>
      </c>
      <c r="Q49" s="104" t="s">
        <v>198</v>
      </c>
    </row>
    <row r="50" spans="1:17" ht="18" customHeight="1">
      <c r="A50" s="104">
        <v>10005997</v>
      </c>
      <c r="B50" s="104" t="str">
        <f>VLOOKUP(A50,[1]단품수량!$B$5:$E$27,4,FALSE)</f>
        <v>CCP</v>
      </c>
      <c r="C50" s="104">
        <v>48</v>
      </c>
      <c r="D50" s="104" t="s">
        <v>201</v>
      </c>
      <c r="E50" s="104">
        <v>20061700</v>
      </c>
      <c r="F50" s="104" t="s">
        <v>202</v>
      </c>
      <c r="G50" s="104"/>
      <c r="H50" s="104" t="s">
        <v>203</v>
      </c>
      <c r="I50" s="104" t="s">
        <v>204</v>
      </c>
      <c r="J50" s="104">
        <v>1</v>
      </c>
      <c r="K50" s="104">
        <v>1</v>
      </c>
      <c r="L50" s="104">
        <f>VLOOKUP(A50,[1]단품수량!$B$5:$P$27,13,FALSE)*K50</f>
        <v>158</v>
      </c>
      <c r="M50" s="104" t="s">
        <v>205</v>
      </c>
      <c r="N50" s="101"/>
      <c r="O50" s="105">
        <v>0</v>
      </c>
      <c r="P50" s="105">
        <f t="shared" ref="P50:P63" si="1">K50*O50</f>
        <v>0</v>
      </c>
      <c r="Q50" s="104"/>
    </row>
    <row r="51" spans="1:17" ht="18" customHeight="1">
      <c r="A51" s="104">
        <v>10005997</v>
      </c>
      <c r="B51" s="104" t="str">
        <f>VLOOKUP(A51,[1]단품수량!$B$5:$E$27,4,FALSE)</f>
        <v>CCP</v>
      </c>
      <c r="C51" s="104">
        <v>49</v>
      </c>
      <c r="D51" s="104" t="s">
        <v>149</v>
      </c>
      <c r="E51" s="104">
        <v>30075140</v>
      </c>
      <c r="F51" s="104"/>
      <c r="G51" s="104"/>
      <c r="H51" s="104" t="s">
        <v>143</v>
      </c>
      <c r="I51" s="104" t="s">
        <v>206</v>
      </c>
      <c r="J51" s="104">
        <v>1</v>
      </c>
      <c r="K51" s="104">
        <v>1</v>
      </c>
      <c r="L51" s="104">
        <f>VLOOKUP(A51,[1]단품수량!$B$5:$P$27,13,FALSE)*K51</f>
        <v>158</v>
      </c>
      <c r="M51" s="104" t="s">
        <v>107</v>
      </c>
      <c r="N51" s="101" t="s">
        <v>91</v>
      </c>
      <c r="O51" s="105">
        <v>380</v>
      </c>
      <c r="P51" s="105">
        <f t="shared" si="1"/>
        <v>380</v>
      </c>
      <c r="Q51" s="104" t="s">
        <v>108</v>
      </c>
    </row>
    <row r="52" spans="1:17" ht="18" customHeight="1">
      <c r="A52" s="104">
        <v>10005997</v>
      </c>
      <c r="B52" s="104" t="str">
        <f>VLOOKUP(A52,[1]단품수량!$B$5:$E$27,4,FALSE)</f>
        <v>CCP</v>
      </c>
      <c r="C52" s="104">
        <v>50</v>
      </c>
      <c r="D52" s="104" t="s">
        <v>152</v>
      </c>
      <c r="E52" s="104">
        <v>30054014</v>
      </c>
      <c r="F52" s="104"/>
      <c r="G52" s="104"/>
      <c r="H52" s="104" t="s">
        <v>143</v>
      </c>
      <c r="I52" s="104" t="s">
        <v>207</v>
      </c>
      <c r="J52" s="104">
        <v>2</v>
      </c>
      <c r="K52" s="104">
        <v>2</v>
      </c>
      <c r="L52" s="104">
        <f>VLOOKUP(A52,[1]단품수량!$B$5:$P$27,13,FALSE)*K52</f>
        <v>316</v>
      </c>
      <c r="M52" s="104" t="s">
        <v>99</v>
      </c>
      <c r="N52" s="101" t="s">
        <v>91</v>
      </c>
      <c r="O52" s="105">
        <v>330</v>
      </c>
      <c r="P52" s="105">
        <f t="shared" si="1"/>
        <v>660</v>
      </c>
      <c r="Q52" s="104" t="s">
        <v>108</v>
      </c>
    </row>
    <row r="53" spans="1:17" ht="18" customHeight="1">
      <c r="A53" s="104">
        <v>10005997</v>
      </c>
      <c r="B53" s="104" t="str">
        <f>VLOOKUP(A53,[1]단품수량!$B$5:$E$27,4,FALSE)</f>
        <v>CCP</v>
      </c>
      <c r="C53" s="104">
        <v>51</v>
      </c>
      <c r="D53" s="104" t="s">
        <v>208</v>
      </c>
      <c r="E53" s="104">
        <v>30121474</v>
      </c>
      <c r="F53" s="104"/>
      <c r="G53" s="104"/>
      <c r="H53" s="104" t="s">
        <v>143</v>
      </c>
      <c r="I53" s="104" t="s">
        <v>209</v>
      </c>
      <c r="J53" s="104">
        <v>1</v>
      </c>
      <c r="K53" s="104">
        <v>1</v>
      </c>
      <c r="L53" s="104">
        <f>VLOOKUP(A53,[1]단품수량!$B$5:$P$27,13,FALSE)*K53</f>
        <v>158</v>
      </c>
      <c r="M53" s="104" t="s">
        <v>107</v>
      </c>
      <c r="N53" s="101" t="s">
        <v>91</v>
      </c>
      <c r="O53" s="105">
        <v>310</v>
      </c>
      <c r="P53" s="105">
        <f t="shared" si="1"/>
        <v>310</v>
      </c>
      <c r="Q53" s="104" t="s">
        <v>108</v>
      </c>
    </row>
    <row r="54" spans="1:17" ht="18" customHeight="1">
      <c r="A54" s="104">
        <v>10005997</v>
      </c>
      <c r="B54" s="104" t="str">
        <f>VLOOKUP(A54,[1]단품수량!$B$5:$E$27,4,FALSE)</f>
        <v>CCP</v>
      </c>
      <c r="C54" s="104">
        <v>52</v>
      </c>
      <c r="D54" s="104" t="s">
        <v>210</v>
      </c>
      <c r="E54" s="104">
        <v>30100325</v>
      </c>
      <c r="F54" s="104"/>
      <c r="G54" s="104"/>
      <c r="H54" s="104" t="s">
        <v>211</v>
      </c>
      <c r="I54" s="104" t="s">
        <v>212</v>
      </c>
      <c r="J54" s="104">
        <v>1</v>
      </c>
      <c r="K54" s="104">
        <v>1</v>
      </c>
      <c r="L54" s="104">
        <f>VLOOKUP(A54,[1]단품수량!$B$5:$P$27,13,FALSE)*K54</f>
        <v>158</v>
      </c>
      <c r="M54" s="104" t="s">
        <v>107</v>
      </c>
      <c r="N54" s="101" t="s">
        <v>91</v>
      </c>
      <c r="O54" s="105">
        <v>150</v>
      </c>
      <c r="P54" s="105">
        <f t="shared" si="1"/>
        <v>150</v>
      </c>
      <c r="Q54" s="104" t="s">
        <v>100</v>
      </c>
    </row>
    <row r="55" spans="1:17" ht="18" customHeight="1">
      <c r="A55" s="104">
        <v>10005997</v>
      </c>
      <c r="B55" s="104" t="str">
        <f>VLOOKUP(A55,[1]단품수량!$B$5:$E$27,4,FALSE)</f>
        <v>CCP</v>
      </c>
      <c r="C55" s="104">
        <v>53</v>
      </c>
      <c r="D55" s="104" t="s">
        <v>213</v>
      </c>
      <c r="E55" s="104">
        <v>30115073</v>
      </c>
      <c r="F55" s="104"/>
      <c r="G55" s="104"/>
      <c r="H55" s="104" t="s">
        <v>137</v>
      </c>
      <c r="I55" s="104" t="s">
        <v>214</v>
      </c>
      <c r="J55" s="104">
        <v>1</v>
      </c>
      <c r="K55" s="104">
        <v>1</v>
      </c>
      <c r="L55" s="104">
        <f>VLOOKUP(A55,[1]단품수량!$B$5:$P$27,13,FALSE)*K55</f>
        <v>158</v>
      </c>
      <c r="M55" s="104" t="s">
        <v>99</v>
      </c>
      <c r="N55" s="101" t="s">
        <v>91</v>
      </c>
      <c r="O55" s="105">
        <v>96</v>
      </c>
      <c r="P55" s="105">
        <f t="shared" si="1"/>
        <v>96</v>
      </c>
      <c r="Q55" s="104" t="s">
        <v>100</v>
      </c>
    </row>
    <row r="56" spans="1:17" ht="18" customHeight="1">
      <c r="A56" s="104">
        <v>10005997</v>
      </c>
      <c r="B56" s="104" t="str">
        <f>VLOOKUP(A56,[1]단품수량!$B$5:$E$27,4,FALSE)</f>
        <v>CCP</v>
      </c>
      <c r="C56" s="104">
        <v>54</v>
      </c>
      <c r="D56" s="104" t="s">
        <v>215</v>
      </c>
      <c r="E56" s="104">
        <v>30081231</v>
      </c>
      <c r="F56" s="104"/>
      <c r="G56" s="104"/>
      <c r="H56" s="104" t="s">
        <v>216</v>
      </c>
      <c r="I56" s="104" t="s">
        <v>217</v>
      </c>
      <c r="J56" s="104">
        <v>10</v>
      </c>
      <c r="K56" s="104">
        <v>10</v>
      </c>
      <c r="L56" s="104">
        <f>VLOOKUP(A56,[1]단품수량!$B$5:$P$27,13,FALSE)*K56</f>
        <v>1580</v>
      </c>
      <c r="M56" s="104" t="s">
        <v>107</v>
      </c>
      <c r="N56" s="101" t="s">
        <v>91</v>
      </c>
      <c r="O56" s="105">
        <v>18</v>
      </c>
      <c r="P56" s="105">
        <f t="shared" si="1"/>
        <v>180</v>
      </c>
      <c r="Q56" s="104" t="s">
        <v>100</v>
      </c>
    </row>
    <row r="57" spans="1:17" ht="18" customHeight="1">
      <c r="A57" s="104">
        <v>10005997</v>
      </c>
      <c r="B57" s="104" t="str">
        <f>VLOOKUP(A57,[1]단품수량!$B$5:$E$27,4,FALSE)</f>
        <v>CCP</v>
      </c>
      <c r="C57" s="104">
        <v>55</v>
      </c>
      <c r="D57" s="104" t="s">
        <v>218</v>
      </c>
      <c r="E57" s="104">
        <v>30118485</v>
      </c>
      <c r="F57" s="104"/>
      <c r="G57" s="104"/>
      <c r="H57" s="104" t="s">
        <v>219</v>
      </c>
      <c r="I57" s="104" t="s">
        <v>220</v>
      </c>
      <c r="J57" s="104">
        <v>1</v>
      </c>
      <c r="K57" s="104">
        <v>1</v>
      </c>
      <c r="L57" s="104">
        <f>VLOOKUP(A57,[1]단품수량!$B$5:$P$27,13,FALSE)*K57</f>
        <v>158</v>
      </c>
      <c r="M57" s="104" t="s">
        <v>99</v>
      </c>
      <c r="N57" s="101" t="s">
        <v>91</v>
      </c>
      <c r="O57" s="105">
        <v>100</v>
      </c>
      <c r="P57" s="105">
        <f t="shared" si="1"/>
        <v>100</v>
      </c>
      <c r="Q57" s="104" t="s">
        <v>100</v>
      </c>
    </row>
    <row r="58" spans="1:17" ht="18" customHeight="1">
      <c r="A58" s="104">
        <v>10005997</v>
      </c>
      <c r="B58" s="104" t="str">
        <f>VLOOKUP(A58,[1]단품수량!$B$5:$E$27,4,FALSE)</f>
        <v>CCP</v>
      </c>
      <c r="C58" s="104">
        <v>56</v>
      </c>
      <c r="D58" s="104" t="s">
        <v>221</v>
      </c>
      <c r="E58" s="104">
        <v>30118484</v>
      </c>
      <c r="F58" s="104"/>
      <c r="G58" s="104"/>
      <c r="H58" s="104" t="s">
        <v>222</v>
      </c>
      <c r="I58" s="104" t="s">
        <v>223</v>
      </c>
      <c r="J58" s="104">
        <v>16</v>
      </c>
      <c r="K58" s="104">
        <v>16</v>
      </c>
      <c r="L58" s="104">
        <f>VLOOKUP(A58,[1]단품수량!$B$5:$P$27,13,FALSE)*K58</f>
        <v>2528</v>
      </c>
      <c r="M58" s="104" t="s">
        <v>99</v>
      </c>
      <c r="N58" s="101" t="s">
        <v>91</v>
      </c>
      <c r="O58" s="105">
        <v>15</v>
      </c>
      <c r="P58" s="105">
        <f t="shared" si="1"/>
        <v>240</v>
      </c>
      <c r="Q58" s="104" t="s">
        <v>100</v>
      </c>
    </row>
    <row r="59" spans="1:17" ht="18" customHeight="1">
      <c r="A59" s="104">
        <v>10005997</v>
      </c>
      <c r="B59" s="104" t="str">
        <f>VLOOKUP(A59,[1]단품수량!$B$5:$E$27,4,FALSE)</f>
        <v>CCP</v>
      </c>
      <c r="C59" s="104">
        <v>57</v>
      </c>
      <c r="D59" s="104" t="s">
        <v>224</v>
      </c>
      <c r="E59" s="104">
        <v>30125533</v>
      </c>
      <c r="F59" s="104"/>
      <c r="G59" s="104"/>
      <c r="H59" s="104" t="s">
        <v>225</v>
      </c>
      <c r="I59" s="104" t="s">
        <v>226</v>
      </c>
      <c r="J59" s="104">
        <v>1</v>
      </c>
      <c r="K59" s="104">
        <v>1</v>
      </c>
      <c r="L59" s="104">
        <f>VLOOKUP(A59,[1]단품수량!$B$5:$P$27,13,FALSE)*K59</f>
        <v>158</v>
      </c>
      <c r="M59" s="104" t="s">
        <v>90</v>
      </c>
      <c r="N59" s="101" t="s">
        <v>91</v>
      </c>
      <c r="O59" s="105">
        <v>100</v>
      </c>
      <c r="P59" s="105">
        <f t="shared" si="1"/>
        <v>100</v>
      </c>
      <c r="Q59" s="104" t="s">
        <v>125</v>
      </c>
    </row>
    <row r="60" spans="1:17" ht="18" customHeight="1">
      <c r="A60" s="107">
        <v>10005982</v>
      </c>
      <c r="B60" s="104" t="str">
        <f>VLOOKUP(A60,[1]단품수량!$B$5:$E$27,4,FALSE)</f>
        <v>CSP</v>
      </c>
      <c r="C60" s="104">
        <v>58</v>
      </c>
      <c r="D60" s="104" t="s">
        <v>86</v>
      </c>
      <c r="E60" s="104">
        <v>30120723</v>
      </c>
      <c r="F60" s="104" t="s">
        <v>227</v>
      </c>
      <c r="G60" s="104"/>
      <c r="H60" s="104" t="s">
        <v>151</v>
      </c>
      <c r="I60" s="104" t="s">
        <v>89</v>
      </c>
      <c r="J60" s="104">
        <v>1</v>
      </c>
      <c r="K60" s="104">
        <v>1</v>
      </c>
      <c r="L60" s="104">
        <f>VLOOKUP(A60,[1]단품수량!$B$5:$P$27,13,FALSE)*K60</f>
        <v>158</v>
      </c>
      <c r="M60" s="104" t="s">
        <v>90</v>
      </c>
      <c r="N60" s="101" t="s">
        <v>91</v>
      </c>
      <c r="O60" s="105">
        <v>71000</v>
      </c>
      <c r="P60" s="105">
        <f t="shared" si="1"/>
        <v>71000</v>
      </c>
      <c r="Q60" s="104" t="s">
        <v>92</v>
      </c>
    </row>
    <row r="61" spans="1:17" ht="18" customHeight="1">
      <c r="A61" s="107">
        <v>10005982</v>
      </c>
      <c r="B61" s="104" t="str">
        <f>VLOOKUP(A61,[1]단품수량!$B$5:$E$27,4,FALSE)</f>
        <v>CSP</v>
      </c>
      <c r="C61" s="104">
        <v>59</v>
      </c>
      <c r="D61" s="104" t="s">
        <v>93</v>
      </c>
      <c r="E61" s="104">
        <v>30120724</v>
      </c>
      <c r="F61" s="104" t="s">
        <v>228</v>
      </c>
      <c r="G61" s="104"/>
      <c r="H61" s="104" t="s">
        <v>88</v>
      </c>
      <c r="I61" s="104" t="s">
        <v>89</v>
      </c>
      <c r="J61" s="104">
        <v>1</v>
      </c>
      <c r="K61" s="104">
        <v>1</v>
      </c>
      <c r="L61" s="104">
        <f>VLOOKUP(A61,[1]단품수량!$B$5:$P$27,13,FALSE)*K61</f>
        <v>158</v>
      </c>
      <c r="M61" s="104" t="s">
        <v>90</v>
      </c>
      <c r="N61" s="101" t="s">
        <v>91</v>
      </c>
      <c r="O61" s="105">
        <v>0</v>
      </c>
      <c r="P61" s="105">
        <f t="shared" si="1"/>
        <v>0</v>
      </c>
      <c r="Q61" s="104" t="s">
        <v>92</v>
      </c>
    </row>
    <row r="62" spans="1:17" ht="18" customHeight="1">
      <c r="A62" s="107">
        <v>10005982</v>
      </c>
      <c r="B62" s="104" t="str">
        <f>VLOOKUP(A62,[1]단품수량!$B$5:$E$27,4,FALSE)</f>
        <v>CSP</v>
      </c>
      <c r="C62" s="104">
        <v>60</v>
      </c>
      <c r="D62" s="104" t="s">
        <v>96</v>
      </c>
      <c r="E62" s="104">
        <v>30118495</v>
      </c>
      <c r="F62" s="104"/>
      <c r="G62" s="104"/>
      <c r="H62" s="104" t="s">
        <v>229</v>
      </c>
      <c r="I62" s="104" t="s">
        <v>230</v>
      </c>
      <c r="J62" s="104">
        <v>1</v>
      </c>
      <c r="K62" s="104">
        <v>1</v>
      </c>
      <c r="L62" s="104">
        <f>VLOOKUP(A62,[1]단품수량!$B$5:$P$27,13,FALSE)*K62</f>
        <v>158</v>
      </c>
      <c r="M62" s="104" t="s">
        <v>99</v>
      </c>
      <c r="N62" s="101" t="s">
        <v>91</v>
      </c>
      <c r="O62" s="105">
        <v>4600</v>
      </c>
      <c r="P62" s="105">
        <f t="shared" si="1"/>
        <v>4600</v>
      </c>
      <c r="Q62" s="104" t="s">
        <v>100</v>
      </c>
    </row>
    <row r="63" spans="1:17" ht="18" customHeight="1">
      <c r="A63" s="107">
        <v>10005982</v>
      </c>
      <c r="B63" s="104" t="str">
        <f>VLOOKUP(A63,[1]단품수량!$B$5:$E$27,4,FALSE)</f>
        <v>CSP</v>
      </c>
      <c r="C63" s="104">
        <v>61</v>
      </c>
      <c r="D63" s="104" t="s">
        <v>101</v>
      </c>
      <c r="E63" s="104">
        <v>30123883</v>
      </c>
      <c r="F63" s="104"/>
      <c r="G63" s="104"/>
      <c r="H63" s="104" t="s">
        <v>231</v>
      </c>
      <c r="I63" s="104" t="s">
        <v>232</v>
      </c>
      <c r="J63" s="104">
        <v>1</v>
      </c>
      <c r="K63" s="104">
        <v>1</v>
      </c>
      <c r="L63" s="104">
        <f>VLOOKUP(A63,[1]단품수량!$B$5:$P$27,13,FALSE)*K63</f>
        <v>158</v>
      </c>
      <c r="M63" s="104" t="s">
        <v>99</v>
      </c>
      <c r="N63" s="101" t="s">
        <v>91</v>
      </c>
      <c r="O63" s="105">
        <v>1500</v>
      </c>
      <c r="P63" s="105">
        <f t="shared" si="1"/>
        <v>1500</v>
      </c>
      <c r="Q63" s="104" t="s">
        <v>100</v>
      </c>
    </row>
    <row r="64" spans="1:17" ht="18" customHeight="1">
      <c r="A64" s="107">
        <v>10005982</v>
      </c>
      <c r="B64" s="104" t="str">
        <f>VLOOKUP(A64,[1]단품수량!$B$5:$E$27,4,FALSE)</f>
        <v>CSP</v>
      </c>
      <c r="C64" s="104">
        <v>62</v>
      </c>
      <c r="D64" s="104" t="s">
        <v>104</v>
      </c>
      <c r="E64" s="104">
        <v>30120767</v>
      </c>
      <c r="F64" s="104" t="s">
        <v>233</v>
      </c>
      <c r="G64" s="104"/>
      <c r="H64" s="104" t="s">
        <v>234</v>
      </c>
      <c r="I64" s="104" t="s">
        <v>235</v>
      </c>
      <c r="J64" s="104">
        <v>1</v>
      </c>
      <c r="K64" s="104">
        <v>1</v>
      </c>
      <c r="L64" s="104">
        <f>VLOOKUP(A64,[1]단품수량!$B$5:$P$27,13,FALSE)*K64</f>
        <v>158</v>
      </c>
      <c r="M64" s="104" t="s">
        <v>99</v>
      </c>
      <c r="N64" s="101" t="s">
        <v>199</v>
      </c>
      <c r="O64" s="106">
        <v>10.32</v>
      </c>
      <c r="P64" s="106">
        <f>K64*O64*1186*1.08</f>
        <v>13218.681600000002</v>
      </c>
      <c r="Q64" s="104" t="s">
        <v>236</v>
      </c>
    </row>
    <row r="65" spans="1:17" ht="18" customHeight="1">
      <c r="A65" s="107">
        <v>10005982</v>
      </c>
      <c r="B65" s="104" t="str">
        <f>VLOOKUP(A65,[1]단품수량!$B$5:$E$27,4,FALSE)</f>
        <v>CSP</v>
      </c>
      <c r="C65" s="104">
        <v>63</v>
      </c>
      <c r="D65" s="104" t="s">
        <v>149</v>
      </c>
      <c r="E65" s="104">
        <v>30124429</v>
      </c>
      <c r="F65" s="104"/>
      <c r="G65" s="104"/>
      <c r="H65" s="104" t="s">
        <v>237</v>
      </c>
      <c r="I65" s="104" t="s">
        <v>238</v>
      </c>
      <c r="J65" s="104">
        <v>1</v>
      </c>
      <c r="K65" s="104">
        <v>1</v>
      </c>
      <c r="L65" s="104">
        <f>VLOOKUP(A65,[1]단품수량!$B$5:$P$27,13,FALSE)*K65</f>
        <v>158</v>
      </c>
      <c r="M65" s="104" t="s">
        <v>90</v>
      </c>
      <c r="N65" s="101" t="s">
        <v>91</v>
      </c>
      <c r="O65" s="105">
        <v>4000</v>
      </c>
      <c r="P65" s="105">
        <f t="shared" ref="P65:P102" si="2">K65*O65</f>
        <v>4000</v>
      </c>
      <c r="Q65" s="104" t="s">
        <v>239</v>
      </c>
    </row>
    <row r="66" spans="1:17" ht="18" customHeight="1">
      <c r="A66" s="107">
        <v>10005982</v>
      </c>
      <c r="B66" s="104" t="str">
        <f>VLOOKUP(A66,[1]단품수량!$B$5:$E$27,4,FALSE)</f>
        <v>CSP</v>
      </c>
      <c r="C66" s="104">
        <v>64</v>
      </c>
      <c r="D66" s="104" t="s">
        <v>109</v>
      </c>
      <c r="E66" s="104">
        <v>30120726</v>
      </c>
      <c r="F66" s="104" t="s">
        <v>240</v>
      </c>
      <c r="G66" s="104"/>
      <c r="H66" s="104" t="s">
        <v>161</v>
      </c>
      <c r="I66" s="104" t="s">
        <v>89</v>
      </c>
      <c r="J66" s="104">
        <v>1</v>
      </c>
      <c r="K66" s="104">
        <v>1</v>
      </c>
      <c r="L66" s="104">
        <f>VLOOKUP(A66,[1]단품수량!$B$5:$P$27,13,FALSE)*K66</f>
        <v>158</v>
      </c>
      <c r="M66" s="104" t="s">
        <v>90</v>
      </c>
      <c r="N66" s="101" t="s">
        <v>91</v>
      </c>
      <c r="O66" s="105">
        <v>0</v>
      </c>
      <c r="P66" s="105">
        <f t="shared" si="2"/>
        <v>0</v>
      </c>
      <c r="Q66" s="104" t="s">
        <v>92</v>
      </c>
    </row>
    <row r="67" spans="1:17" ht="18" customHeight="1">
      <c r="A67" s="107">
        <v>10005982</v>
      </c>
      <c r="B67" s="104" t="str">
        <f>VLOOKUP(A67,[1]단품수량!$B$5:$E$27,4,FALSE)</f>
        <v>CSP</v>
      </c>
      <c r="C67" s="104">
        <v>65</v>
      </c>
      <c r="D67" s="104" t="s">
        <v>112</v>
      </c>
      <c r="E67" s="104">
        <v>30120651</v>
      </c>
      <c r="F67" s="104" t="s">
        <v>241</v>
      </c>
      <c r="G67" s="104"/>
      <c r="H67" s="104" t="s">
        <v>123</v>
      </c>
      <c r="I67" s="104" t="s">
        <v>242</v>
      </c>
      <c r="J67" s="104">
        <v>1</v>
      </c>
      <c r="K67" s="104">
        <v>1</v>
      </c>
      <c r="L67" s="104">
        <f>VLOOKUP(A67,[1]단품수량!$B$5:$P$27,13,FALSE)*K67</f>
        <v>158</v>
      </c>
      <c r="M67" s="104" t="s">
        <v>90</v>
      </c>
      <c r="N67" s="101" t="s">
        <v>91</v>
      </c>
      <c r="O67" s="105">
        <v>600</v>
      </c>
      <c r="P67" s="105">
        <f t="shared" si="2"/>
        <v>600</v>
      </c>
      <c r="Q67" s="104" t="s">
        <v>125</v>
      </c>
    </row>
    <row r="68" spans="1:17" ht="18" customHeight="1">
      <c r="A68" s="107">
        <v>10005982</v>
      </c>
      <c r="B68" s="104" t="str">
        <f>VLOOKUP(A68,[1]단품수량!$B$5:$E$27,4,FALSE)</f>
        <v>CSP</v>
      </c>
      <c r="C68" s="104">
        <v>66</v>
      </c>
      <c r="D68" s="104" t="s">
        <v>115</v>
      </c>
      <c r="E68" s="104">
        <v>30120725</v>
      </c>
      <c r="F68" s="104" t="s">
        <v>243</v>
      </c>
      <c r="G68" s="104"/>
      <c r="H68" s="104" t="s">
        <v>151</v>
      </c>
      <c r="I68" s="104" t="s">
        <v>89</v>
      </c>
      <c r="J68" s="104">
        <v>1</v>
      </c>
      <c r="K68" s="104">
        <v>1</v>
      </c>
      <c r="L68" s="104">
        <f>VLOOKUP(A68,[1]단품수량!$B$5:$P$27,13,FALSE)*K68</f>
        <v>158</v>
      </c>
      <c r="M68" s="104" t="s">
        <v>90</v>
      </c>
      <c r="N68" s="101" t="s">
        <v>91</v>
      </c>
      <c r="O68" s="105">
        <v>0</v>
      </c>
      <c r="P68" s="105">
        <f t="shared" si="2"/>
        <v>0</v>
      </c>
      <c r="Q68" s="104" t="s">
        <v>92</v>
      </c>
    </row>
    <row r="69" spans="1:17" ht="18" customHeight="1">
      <c r="A69" s="107">
        <v>10005982</v>
      </c>
      <c r="B69" s="104" t="str">
        <f>VLOOKUP(A69,[1]단품수량!$B$5:$E$27,4,FALSE)</f>
        <v>CSP</v>
      </c>
      <c r="C69" s="104">
        <v>67</v>
      </c>
      <c r="D69" s="104" t="s">
        <v>118</v>
      </c>
      <c r="E69" s="104">
        <v>30118493</v>
      </c>
      <c r="F69" s="104"/>
      <c r="G69" s="104"/>
      <c r="H69" s="104" t="s">
        <v>137</v>
      </c>
      <c r="I69" s="104" t="s">
        <v>244</v>
      </c>
      <c r="J69" s="104">
        <v>1</v>
      </c>
      <c r="K69" s="104">
        <v>1</v>
      </c>
      <c r="L69" s="104">
        <f>VLOOKUP(A69,[1]단품수량!$B$5:$P$27,13,FALSE)*K69</f>
        <v>158</v>
      </c>
      <c r="M69" s="104" t="s">
        <v>99</v>
      </c>
      <c r="N69" s="101" t="s">
        <v>91</v>
      </c>
      <c r="O69" s="105">
        <v>2780</v>
      </c>
      <c r="P69" s="105">
        <f t="shared" si="2"/>
        <v>2780</v>
      </c>
      <c r="Q69" s="104" t="s">
        <v>139</v>
      </c>
    </row>
    <row r="70" spans="1:17" ht="18" customHeight="1">
      <c r="A70" s="107">
        <v>10005982</v>
      </c>
      <c r="B70" s="104" t="str">
        <f>VLOOKUP(A70,[1]단품수량!$B$5:$E$27,4,FALSE)</f>
        <v>CSP</v>
      </c>
      <c r="C70" s="104">
        <v>68</v>
      </c>
      <c r="D70" s="104" t="s">
        <v>121</v>
      </c>
      <c r="E70" s="104">
        <v>30118494</v>
      </c>
      <c r="F70" s="104"/>
      <c r="G70" s="104"/>
      <c r="H70" s="104" t="s">
        <v>137</v>
      </c>
      <c r="I70" s="104" t="s">
        <v>245</v>
      </c>
      <c r="J70" s="104">
        <v>1</v>
      </c>
      <c r="K70" s="104">
        <v>1</v>
      </c>
      <c r="L70" s="104">
        <f>VLOOKUP(A70,[1]단품수량!$B$5:$P$27,13,FALSE)*K70</f>
        <v>158</v>
      </c>
      <c r="M70" s="104" t="s">
        <v>99</v>
      </c>
      <c r="N70" s="101" t="s">
        <v>91</v>
      </c>
      <c r="O70" s="105">
        <v>3060</v>
      </c>
      <c r="P70" s="105">
        <f t="shared" si="2"/>
        <v>3060</v>
      </c>
      <c r="Q70" s="104" t="s">
        <v>139</v>
      </c>
    </row>
    <row r="71" spans="1:17" ht="18" customHeight="1">
      <c r="A71" s="107">
        <v>10005982</v>
      </c>
      <c r="B71" s="104" t="str">
        <f>VLOOKUP(A71,[1]단품수량!$B$5:$E$27,4,FALSE)</f>
        <v>CSP</v>
      </c>
      <c r="C71" s="104">
        <v>69</v>
      </c>
      <c r="D71" s="104" t="s">
        <v>126</v>
      </c>
      <c r="E71" s="104">
        <v>30063371</v>
      </c>
      <c r="F71" s="104"/>
      <c r="G71" s="104"/>
      <c r="H71" s="104" t="s">
        <v>143</v>
      </c>
      <c r="I71" s="104" t="s">
        <v>144</v>
      </c>
      <c r="J71" s="104">
        <v>1</v>
      </c>
      <c r="K71" s="104">
        <v>1</v>
      </c>
      <c r="L71" s="104">
        <f>VLOOKUP(A71,[1]단품수량!$B$5:$P$27,13,FALSE)*K71</f>
        <v>158</v>
      </c>
      <c r="M71" s="104" t="s">
        <v>107</v>
      </c>
      <c r="N71" s="101" t="s">
        <v>91</v>
      </c>
      <c r="O71" s="105">
        <v>480</v>
      </c>
      <c r="P71" s="105">
        <f t="shared" si="2"/>
        <v>480</v>
      </c>
      <c r="Q71" s="104" t="s">
        <v>108</v>
      </c>
    </row>
    <row r="72" spans="1:17" ht="18" customHeight="1">
      <c r="A72" s="107">
        <v>10005981</v>
      </c>
      <c r="B72" s="104" t="str">
        <f>VLOOKUP(A72,[1]단품수량!$B$5:$E$27,4,FALSE)</f>
        <v>DBZ</v>
      </c>
      <c r="C72" s="104">
        <v>70</v>
      </c>
      <c r="D72" s="104" t="s">
        <v>86</v>
      </c>
      <c r="E72" s="104">
        <v>30120741</v>
      </c>
      <c r="F72" s="104" t="s">
        <v>246</v>
      </c>
      <c r="G72" s="104"/>
      <c r="H72" s="104" t="s">
        <v>88</v>
      </c>
      <c r="I72" s="104" t="s">
        <v>89</v>
      </c>
      <c r="J72" s="104">
        <v>1</v>
      </c>
      <c r="K72" s="104">
        <v>1</v>
      </c>
      <c r="L72" s="104">
        <f>VLOOKUP(A72,[1]단품수량!$B$5:$P$27,13,FALSE)*K72</f>
        <v>480</v>
      </c>
      <c r="M72" s="104" t="s">
        <v>90</v>
      </c>
      <c r="N72" s="101" t="s">
        <v>91</v>
      </c>
      <c r="O72" s="105">
        <v>15000</v>
      </c>
      <c r="P72" s="105">
        <f t="shared" si="2"/>
        <v>15000</v>
      </c>
      <c r="Q72" s="104" t="s">
        <v>92</v>
      </c>
    </row>
    <row r="73" spans="1:17" ht="18" customHeight="1">
      <c r="A73" s="107">
        <v>10005981</v>
      </c>
      <c r="B73" s="104" t="str">
        <f>VLOOKUP(A73,[1]단품수량!$B$5:$E$27,4,FALSE)</f>
        <v>DBZ</v>
      </c>
      <c r="C73" s="104">
        <v>71</v>
      </c>
      <c r="D73" s="104" t="s">
        <v>93</v>
      </c>
      <c r="E73" s="104">
        <v>30120616</v>
      </c>
      <c r="F73" s="104"/>
      <c r="G73" s="104"/>
      <c r="H73" s="104" t="s">
        <v>247</v>
      </c>
      <c r="I73" s="104" t="s">
        <v>248</v>
      </c>
      <c r="J73" s="104">
        <v>1</v>
      </c>
      <c r="K73" s="104">
        <v>1</v>
      </c>
      <c r="L73" s="104">
        <f>VLOOKUP(A73,[1]단품수량!$B$5:$P$27,13,FALSE)*K73</f>
        <v>480</v>
      </c>
      <c r="M73" s="104" t="s">
        <v>99</v>
      </c>
      <c r="N73" s="101" t="s">
        <v>91</v>
      </c>
      <c r="O73" s="105">
        <v>22000</v>
      </c>
      <c r="P73" s="105">
        <f t="shared" si="2"/>
        <v>22000</v>
      </c>
      <c r="Q73" s="104" t="s">
        <v>100</v>
      </c>
    </row>
    <row r="74" spans="1:17" ht="18" customHeight="1">
      <c r="A74" s="107">
        <v>10005981</v>
      </c>
      <c r="B74" s="104" t="str">
        <f>VLOOKUP(A74,[1]단품수량!$B$5:$E$27,4,FALSE)</f>
        <v>DBZ</v>
      </c>
      <c r="C74" s="104">
        <v>72</v>
      </c>
      <c r="D74" s="104" t="s">
        <v>96</v>
      </c>
      <c r="E74" s="104">
        <v>30120656</v>
      </c>
      <c r="F74" s="104" t="s">
        <v>249</v>
      </c>
      <c r="G74" s="104"/>
      <c r="H74" s="104" t="s">
        <v>123</v>
      </c>
      <c r="I74" s="104" t="s">
        <v>250</v>
      </c>
      <c r="J74" s="104">
        <v>1</v>
      </c>
      <c r="K74" s="104">
        <v>1</v>
      </c>
      <c r="L74" s="104">
        <f>VLOOKUP(A74,[1]단품수량!$B$5:$P$27,13,FALSE)*K74</f>
        <v>480</v>
      </c>
      <c r="M74" s="104" t="s">
        <v>90</v>
      </c>
      <c r="N74" s="101" t="s">
        <v>91</v>
      </c>
      <c r="O74" s="105">
        <v>600</v>
      </c>
      <c r="P74" s="105">
        <f t="shared" si="2"/>
        <v>600</v>
      </c>
      <c r="Q74" s="104" t="s">
        <v>125</v>
      </c>
    </row>
    <row r="75" spans="1:17" ht="18" customHeight="1">
      <c r="A75" s="107">
        <v>10006241</v>
      </c>
      <c r="B75" s="104" t="str">
        <f>VLOOKUP(A75,[1]단품수량!$B$5:$E$27,4,FALSE)</f>
        <v>DMJ</v>
      </c>
      <c r="C75" s="104">
        <v>73</v>
      </c>
      <c r="D75" s="104" t="s">
        <v>86</v>
      </c>
      <c r="E75" s="104">
        <v>30121473</v>
      </c>
      <c r="F75" s="104"/>
      <c r="G75" s="104"/>
      <c r="H75" s="104" t="s">
        <v>251</v>
      </c>
      <c r="I75" s="104" t="s">
        <v>252</v>
      </c>
      <c r="J75" s="104">
        <v>1</v>
      </c>
      <c r="K75" s="104">
        <v>1</v>
      </c>
      <c r="L75" s="104">
        <f>VLOOKUP(A75,[1]단품수량!$B$5:$P$27,13,FALSE)*K75</f>
        <v>158</v>
      </c>
      <c r="M75" s="104" t="s">
        <v>99</v>
      </c>
      <c r="N75" s="101" t="s">
        <v>91</v>
      </c>
      <c r="O75" s="105">
        <v>750</v>
      </c>
      <c r="P75" s="105">
        <f t="shared" si="2"/>
        <v>750</v>
      </c>
      <c r="Q75" s="104" t="s">
        <v>100</v>
      </c>
    </row>
    <row r="76" spans="1:17" ht="18" customHeight="1">
      <c r="A76" s="107">
        <v>10006241</v>
      </c>
      <c r="B76" s="104" t="str">
        <f>VLOOKUP(A76,[1]단품수량!$B$5:$E$27,4,FALSE)</f>
        <v>DMJ</v>
      </c>
      <c r="C76" s="104">
        <v>74</v>
      </c>
      <c r="D76" s="104" t="s">
        <v>93</v>
      </c>
      <c r="E76" s="104">
        <v>30120779</v>
      </c>
      <c r="F76" s="104"/>
      <c r="G76" s="104"/>
      <c r="H76" s="104" t="s">
        <v>143</v>
      </c>
      <c r="I76" s="104" t="s">
        <v>253</v>
      </c>
      <c r="J76" s="104">
        <v>8</v>
      </c>
      <c r="K76" s="104">
        <v>8</v>
      </c>
      <c r="L76" s="104">
        <f>VLOOKUP(A76,[1]단품수량!$B$5:$P$27,13,FALSE)*K76</f>
        <v>1264</v>
      </c>
      <c r="M76" s="104" t="s">
        <v>99</v>
      </c>
      <c r="N76" s="101" t="s">
        <v>91</v>
      </c>
      <c r="O76" s="105">
        <v>3490</v>
      </c>
      <c r="P76" s="105">
        <f t="shared" si="2"/>
        <v>27920</v>
      </c>
      <c r="Q76" s="104" t="s">
        <v>108</v>
      </c>
    </row>
    <row r="77" spans="1:17" ht="18" customHeight="1">
      <c r="A77" s="107">
        <v>10006241</v>
      </c>
      <c r="B77" s="104" t="str">
        <f>VLOOKUP(A77,[1]단품수량!$B$5:$E$27,4,FALSE)</f>
        <v>DMJ</v>
      </c>
      <c r="C77" s="104">
        <v>75</v>
      </c>
      <c r="D77" s="104" t="s">
        <v>96</v>
      </c>
      <c r="E77" s="104">
        <v>30118565</v>
      </c>
      <c r="F77" s="104"/>
      <c r="G77" s="104"/>
      <c r="H77" s="104" t="s">
        <v>254</v>
      </c>
      <c r="I77" s="104" t="s">
        <v>255</v>
      </c>
      <c r="J77" s="104">
        <v>1</v>
      </c>
      <c r="K77" s="104">
        <v>1</v>
      </c>
      <c r="L77" s="104">
        <f>VLOOKUP(A77,[1]단품수량!$B$5:$P$27,13,FALSE)*K77</f>
        <v>158</v>
      </c>
      <c r="M77" s="104" t="s">
        <v>107</v>
      </c>
      <c r="N77" s="101" t="s">
        <v>91</v>
      </c>
      <c r="O77" s="105">
        <v>44800</v>
      </c>
      <c r="P77" s="105">
        <f t="shared" si="2"/>
        <v>44800</v>
      </c>
      <c r="Q77" s="104" t="s">
        <v>108</v>
      </c>
    </row>
    <row r="78" spans="1:17" ht="18" customHeight="1">
      <c r="A78" s="107">
        <v>10006241</v>
      </c>
      <c r="B78" s="104" t="str">
        <f>VLOOKUP(A78,[1]단품수량!$B$5:$E$27,4,FALSE)</f>
        <v>DMJ</v>
      </c>
      <c r="C78" s="104">
        <v>76</v>
      </c>
      <c r="D78" s="104" t="s">
        <v>101</v>
      </c>
      <c r="E78" s="104">
        <v>30118570</v>
      </c>
      <c r="F78" s="104"/>
      <c r="G78" s="104"/>
      <c r="H78" s="104" t="s">
        <v>110</v>
      </c>
      <c r="I78" s="104" t="s">
        <v>111</v>
      </c>
      <c r="J78" s="104">
        <v>7</v>
      </c>
      <c r="K78" s="104">
        <v>7</v>
      </c>
      <c r="L78" s="104">
        <f>VLOOKUP(A78,[1]단품수량!$B$5:$P$27,13,FALSE)*K78</f>
        <v>1106</v>
      </c>
      <c r="M78" s="104" t="s">
        <v>107</v>
      </c>
      <c r="N78" s="101" t="s">
        <v>91</v>
      </c>
      <c r="O78" s="105">
        <v>900</v>
      </c>
      <c r="P78" s="105">
        <f t="shared" si="2"/>
        <v>6300</v>
      </c>
      <c r="Q78" s="104" t="s">
        <v>108</v>
      </c>
    </row>
    <row r="79" spans="1:17" ht="18" customHeight="1">
      <c r="A79" s="107">
        <v>10006241</v>
      </c>
      <c r="B79" s="104" t="str">
        <f>VLOOKUP(A79,[1]단품수량!$B$5:$E$27,4,FALSE)</f>
        <v>DMJ</v>
      </c>
      <c r="C79" s="104">
        <v>77</v>
      </c>
      <c r="D79" s="104" t="s">
        <v>104</v>
      </c>
      <c r="E79" s="104">
        <v>30118569</v>
      </c>
      <c r="F79" s="104"/>
      <c r="G79" s="104"/>
      <c r="H79" s="104" t="s">
        <v>119</v>
      </c>
      <c r="I79" s="104" t="s">
        <v>120</v>
      </c>
      <c r="J79" s="104">
        <v>2</v>
      </c>
      <c r="K79" s="104">
        <v>2</v>
      </c>
      <c r="L79" s="104">
        <f>VLOOKUP(A79,[1]단품수량!$B$5:$P$27,13,FALSE)*K79</f>
        <v>316</v>
      </c>
      <c r="M79" s="104" t="s">
        <v>107</v>
      </c>
      <c r="N79" s="101" t="s">
        <v>91</v>
      </c>
      <c r="O79" s="105">
        <v>400</v>
      </c>
      <c r="P79" s="105">
        <f t="shared" si="2"/>
        <v>800</v>
      </c>
      <c r="Q79" s="104" t="s">
        <v>108</v>
      </c>
    </row>
    <row r="80" spans="1:17" ht="18" customHeight="1">
      <c r="A80" s="107">
        <v>10006241</v>
      </c>
      <c r="B80" s="104" t="str">
        <f>VLOOKUP(A80,[1]단품수량!$B$5:$E$27,4,FALSE)</f>
        <v>DMJ</v>
      </c>
      <c r="C80" s="104">
        <v>78</v>
      </c>
      <c r="D80" s="104" t="s">
        <v>109</v>
      </c>
      <c r="E80" s="104">
        <v>30120746</v>
      </c>
      <c r="F80" s="104" t="s">
        <v>256</v>
      </c>
      <c r="G80" s="104"/>
      <c r="H80" s="104" t="s">
        <v>257</v>
      </c>
      <c r="I80" s="104" t="s">
        <v>89</v>
      </c>
      <c r="J80" s="104">
        <v>1</v>
      </c>
      <c r="K80" s="104">
        <v>1</v>
      </c>
      <c r="L80" s="104">
        <f>VLOOKUP(A80,[1]단품수량!$B$5:$P$27,13,FALSE)*K80</f>
        <v>158</v>
      </c>
      <c r="M80" s="104" t="s">
        <v>90</v>
      </c>
      <c r="N80" s="101" t="s">
        <v>91</v>
      </c>
      <c r="O80" s="105">
        <v>40000</v>
      </c>
      <c r="P80" s="105">
        <f t="shared" si="2"/>
        <v>40000</v>
      </c>
      <c r="Q80" s="104" t="s">
        <v>92</v>
      </c>
    </row>
    <row r="81" spans="1:17" ht="18" customHeight="1">
      <c r="A81" s="107">
        <v>10006241</v>
      </c>
      <c r="B81" s="104" t="str">
        <f>VLOOKUP(A81,[1]단품수량!$B$5:$E$27,4,FALSE)</f>
        <v>DMJ</v>
      </c>
      <c r="C81" s="104">
        <v>79</v>
      </c>
      <c r="D81" s="104" t="s">
        <v>112</v>
      </c>
      <c r="E81" s="104">
        <v>30120747</v>
      </c>
      <c r="F81" s="104" t="s">
        <v>258</v>
      </c>
      <c r="G81" s="104"/>
      <c r="H81" s="104" t="s">
        <v>170</v>
      </c>
      <c r="I81" s="104" t="s">
        <v>89</v>
      </c>
      <c r="J81" s="104">
        <v>1</v>
      </c>
      <c r="K81" s="104">
        <v>1</v>
      </c>
      <c r="L81" s="104">
        <f>VLOOKUP(A81,[1]단품수량!$B$5:$P$27,13,FALSE)*K81</f>
        <v>158</v>
      </c>
      <c r="M81" s="104" t="s">
        <v>90</v>
      </c>
      <c r="N81" s="101" t="s">
        <v>91</v>
      </c>
      <c r="O81" s="105">
        <v>0</v>
      </c>
      <c r="P81" s="105">
        <f t="shared" si="2"/>
        <v>0</v>
      </c>
      <c r="Q81" s="104" t="s">
        <v>92</v>
      </c>
    </row>
    <row r="82" spans="1:17" ht="18" customHeight="1">
      <c r="A82" s="107">
        <v>10006241</v>
      </c>
      <c r="B82" s="104" t="str">
        <f>VLOOKUP(A82,[1]단품수량!$B$5:$E$27,4,FALSE)</f>
        <v>DMJ</v>
      </c>
      <c r="C82" s="104">
        <v>80</v>
      </c>
      <c r="D82" s="104" t="s">
        <v>115</v>
      </c>
      <c r="E82" s="104">
        <v>30120267</v>
      </c>
      <c r="F82" s="104"/>
      <c r="G82" s="104"/>
      <c r="H82" s="104" t="s">
        <v>259</v>
      </c>
      <c r="I82" s="104" t="s">
        <v>260</v>
      </c>
      <c r="J82" s="104">
        <v>1</v>
      </c>
      <c r="K82" s="104">
        <v>1</v>
      </c>
      <c r="L82" s="104">
        <f>VLOOKUP(A82,[1]단품수량!$B$5:$P$27,13,FALSE)*K82</f>
        <v>158</v>
      </c>
      <c r="M82" s="104" t="s">
        <v>99</v>
      </c>
      <c r="N82" s="101" t="s">
        <v>91</v>
      </c>
      <c r="O82" s="105">
        <v>330</v>
      </c>
      <c r="P82" s="105">
        <f t="shared" si="2"/>
        <v>330</v>
      </c>
      <c r="Q82" s="104" t="s">
        <v>100</v>
      </c>
    </row>
    <row r="83" spans="1:17" ht="18" customHeight="1">
      <c r="A83" s="107">
        <v>10006241</v>
      </c>
      <c r="B83" s="104" t="str">
        <f>VLOOKUP(A83,[1]단품수량!$B$5:$E$27,4,FALSE)</f>
        <v>DMJ</v>
      </c>
      <c r="C83" s="104">
        <v>81</v>
      </c>
      <c r="D83" s="104" t="s">
        <v>118</v>
      </c>
      <c r="E83" s="104">
        <v>30120777</v>
      </c>
      <c r="F83" s="104"/>
      <c r="G83" s="104"/>
      <c r="H83" s="104" t="s">
        <v>261</v>
      </c>
      <c r="I83" s="104" t="s">
        <v>262</v>
      </c>
      <c r="J83" s="104">
        <v>2</v>
      </c>
      <c r="K83" s="104">
        <v>2</v>
      </c>
      <c r="L83" s="104">
        <f>VLOOKUP(A83,[1]단품수량!$B$5:$P$27,13,FALSE)*K83</f>
        <v>316</v>
      </c>
      <c r="M83" s="104" t="s">
        <v>99</v>
      </c>
      <c r="N83" s="101" t="s">
        <v>91</v>
      </c>
      <c r="O83" s="105">
        <v>540</v>
      </c>
      <c r="P83" s="105">
        <f t="shared" si="2"/>
        <v>1080</v>
      </c>
      <c r="Q83" s="104" t="s">
        <v>100</v>
      </c>
    </row>
    <row r="84" spans="1:17" ht="18" customHeight="1">
      <c r="A84" s="107">
        <v>10006241</v>
      </c>
      <c r="B84" s="104" t="str">
        <f>VLOOKUP(A84,[1]단품수량!$B$5:$E$27,4,FALSE)</f>
        <v>DMJ</v>
      </c>
      <c r="C84" s="104">
        <v>82</v>
      </c>
      <c r="D84" s="104" t="s">
        <v>121</v>
      </c>
      <c r="E84" s="104">
        <v>30120661</v>
      </c>
      <c r="F84" s="104" t="s">
        <v>263</v>
      </c>
      <c r="G84" s="104"/>
      <c r="H84" s="104" t="s">
        <v>123</v>
      </c>
      <c r="I84" s="104" t="s">
        <v>264</v>
      </c>
      <c r="J84" s="104">
        <v>1</v>
      </c>
      <c r="K84" s="104">
        <v>1</v>
      </c>
      <c r="L84" s="104">
        <f>VLOOKUP(A84,[1]단품수량!$B$5:$P$27,13,FALSE)*K84</f>
        <v>158</v>
      </c>
      <c r="M84" s="104" t="s">
        <v>90</v>
      </c>
      <c r="N84" s="101" t="s">
        <v>91</v>
      </c>
      <c r="O84" s="105">
        <v>600</v>
      </c>
      <c r="P84" s="105">
        <f t="shared" si="2"/>
        <v>600</v>
      </c>
      <c r="Q84" s="104" t="s">
        <v>125</v>
      </c>
    </row>
    <row r="85" spans="1:17" ht="18" customHeight="1">
      <c r="A85" s="107">
        <v>10005988</v>
      </c>
      <c r="B85" s="104" t="str">
        <f>VLOOKUP(A85,[1]단품수량!$B$5:$E$27,4,FALSE)</f>
        <v>ESP</v>
      </c>
      <c r="C85" s="104">
        <v>83</v>
      </c>
      <c r="D85" s="104" t="s">
        <v>86</v>
      </c>
      <c r="E85" s="104">
        <v>30120730</v>
      </c>
      <c r="F85" s="104" t="s">
        <v>265</v>
      </c>
      <c r="G85" s="104"/>
      <c r="H85" s="104" t="s">
        <v>151</v>
      </c>
      <c r="I85" s="104" t="s">
        <v>89</v>
      </c>
      <c r="J85" s="104">
        <v>1</v>
      </c>
      <c r="K85" s="104">
        <v>1</v>
      </c>
      <c r="L85" s="104">
        <f>VLOOKUP(A85,[1]단품수량!$B$5:$P$27,13,FALSE)*K85</f>
        <v>480</v>
      </c>
      <c r="M85" s="104" t="s">
        <v>90</v>
      </c>
      <c r="N85" s="101" t="s">
        <v>91</v>
      </c>
      <c r="O85" s="105">
        <v>44100</v>
      </c>
      <c r="P85" s="105">
        <f t="shared" si="2"/>
        <v>44100</v>
      </c>
      <c r="Q85" s="104" t="s">
        <v>159</v>
      </c>
    </row>
    <row r="86" spans="1:17" ht="18" customHeight="1">
      <c r="A86" s="107">
        <v>10005988</v>
      </c>
      <c r="B86" s="104" t="str">
        <f>VLOOKUP(A86,[1]단품수량!$B$5:$E$27,4,FALSE)</f>
        <v>ESP</v>
      </c>
      <c r="C86" s="104">
        <v>84</v>
      </c>
      <c r="D86" s="104" t="s">
        <v>93</v>
      </c>
      <c r="E86" s="104">
        <v>30120732</v>
      </c>
      <c r="F86" s="104" t="s">
        <v>266</v>
      </c>
      <c r="G86" s="104"/>
      <c r="H86" s="104" t="s">
        <v>161</v>
      </c>
      <c r="I86" s="104" t="s">
        <v>89</v>
      </c>
      <c r="J86" s="104">
        <v>1</v>
      </c>
      <c r="K86" s="104">
        <v>1</v>
      </c>
      <c r="L86" s="104">
        <f>VLOOKUP(A86,[1]단품수량!$B$5:$P$27,13,FALSE)*K86</f>
        <v>480</v>
      </c>
      <c r="M86" s="104" t="s">
        <v>90</v>
      </c>
      <c r="N86" s="101" t="s">
        <v>91</v>
      </c>
      <c r="O86" s="105">
        <v>0</v>
      </c>
      <c r="P86" s="105">
        <f t="shared" si="2"/>
        <v>0</v>
      </c>
      <c r="Q86" s="104" t="s">
        <v>159</v>
      </c>
    </row>
    <row r="87" spans="1:17" ht="18" customHeight="1">
      <c r="A87" s="107">
        <v>10005988</v>
      </c>
      <c r="B87" s="104" t="str">
        <f>VLOOKUP(A87,[1]단품수량!$B$5:$E$27,4,FALSE)</f>
        <v>ESP</v>
      </c>
      <c r="C87" s="104">
        <v>85</v>
      </c>
      <c r="D87" s="104" t="s">
        <v>96</v>
      </c>
      <c r="E87" s="104">
        <v>30120728</v>
      </c>
      <c r="F87" s="104" t="s">
        <v>267</v>
      </c>
      <c r="G87" s="104"/>
      <c r="H87" s="104" t="s">
        <v>268</v>
      </c>
      <c r="I87" s="104" t="s">
        <v>89</v>
      </c>
      <c r="J87" s="104">
        <v>1</v>
      </c>
      <c r="K87" s="104">
        <v>1</v>
      </c>
      <c r="L87" s="104">
        <f>VLOOKUP(A87,[1]단품수량!$B$5:$P$27,13,FALSE)*K87</f>
        <v>480</v>
      </c>
      <c r="M87" s="104" t="s">
        <v>90</v>
      </c>
      <c r="N87" s="101" t="s">
        <v>91</v>
      </c>
      <c r="O87" s="105">
        <v>1500</v>
      </c>
      <c r="P87" s="105">
        <f t="shared" si="2"/>
        <v>1500</v>
      </c>
      <c r="Q87" s="104" t="s">
        <v>133</v>
      </c>
    </row>
    <row r="88" spans="1:17" ht="18" customHeight="1">
      <c r="A88" s="107">
        <v>10005988</v>
      </c>
      <c r="B88" s="104" t="str">
        <f>VLOOKUP(A88,[1]단품수량!$B$5:$E$27,4,FALSE)</f>
        <v>ESP</v>
      </c>
      <c r="C88" s="104">
        <v>86</v>
      </c>
      <c r="D88" s="104" t="s">
        <v>101</v>
      </c>
      <c r="E88" s="104">
        <v>30120729</v>
      </c>
      <c r="F88" s="104" t="s">
        <v>269</v>
      </c>
      <c r="G88" s="104"/>
      <c r="H88" s="104" t="s">
        <v>88</v>
      </c>
      <c r="I88" s="104" t="s">
        <v>89</v>
      </c>
      <c r="J88" s="104">
        <v>1</v>
      </c>
      <c r="K88" s="104">
        <v>1</v>
      </c>
      <c r="L88" s="104">
        <f>VLOOKUP(A88,[1]단품수량!$B$5:$P$27,13,FALSE)*K88</f>
        <v>480</v>
      </c>
      <c r="M88" s="104" t="s">
        <v>90</v>
      </c>
      <c r="N88" s="101" t="s">
        <v>91</v>
      </c>
      <c r="O88" s="105">
        <v>0</v>
      </c>
      <c r="P88" s="105">
        <f t="shared" si="2"/>
        <v>0</v>
      </c>
      <c r="Q88" s="104" t="s">
        <v>159</v>
      </c>
    </row>
    <row r="89" spans="1:17" ht="18" customHeight="1">
      <c r="A89" s="107">
        <v>10005988</v>
      </c>
      <c r="B89" s="104" t="str">
        <f>VLOOKUP(A89,[1]단품수량!$B$5:$E$27,4,FALSE)</f>
        <v>ESP</v>
      </c>
      <c r="C89" s="104">
        <v>87</v>
      </c>
      <c r="D89" s="104" t="s">
        <v>104</v>
      </c>
      <c r="E89" s="104">
        <v>30118495</v>
      </c>
      <c r="F89" s="104"/>
      <c r="G89" s="104"/>
      <c r="H89" s="104" t="s">
        <v>229</v>
      </c>
      <c r="I89" s="104" t="s">
        <v>230</v>
      </c>
      <c r="J89" s="104">
        <v>1</v>
      </c>
      <c r="K89" s="104">
        <v>1</v>
      </c>
      <c r="L89" s="104">
        <f>VLOOKUP(A89,[1]단품수량!$B$5:$P$27,13,FALSE)*K89</f>
        <v>480</v>
      </c>
      <c r="M89" s="104" t="s">
        <v>99</v>
      </c>
      <c r="N89" s="101" t="s">
        <v>91</v>
      </c>
      <c r="O89" s="105">
        <v>4600</v>
      </c>
      <c r="P89" s="105">
        <f t="shared" si="2"/>
        <v>4600</v>
      </c>
      <c r="Q89" s="104" t="s">
        <v>100</v>
      </c>
    </row>
    <row r="90" spans="1:17" ht="18" customHeight="1">
      <c r="A90" s="107">
        <v>10005988</v>
      </c>
      <c r="B90" s="104" t="str">
        <f>VLOOKUP(A90,[1]단품수량!$B$5:$E$27,4,FALSE)</f>
        <v>ESP</v>
      </c>
      <c r="C90" s="104">
        <v>88</v>
      </c>
      <c r="D90" s="104" t="s">
        <v>109</v>
      </c>
      <c r="E90" s="104">
        <v>30118493</v>
      </c>
      <c r="F90" s="104"/>
      <c r="G90" s="104"/>
      <c r="H90" s="104" t="s">
        <v>137</v>
      </c>
      <c r="I90" s="104" t="s">
        <v>244</v>
      </c>
      <c r="J90" s="104">
        <v>1</v>
      </c>
      <c r="K90" s="104">
        <v>1</v>
      </c>
      <c r="L90" s="104">
        <f>VLOOKUP(A90,[1]단품수량!$B$5:$P$27,13,FALSE)*K90</f>
        <v>480</v>
      </c>
      <c r="M90" s="104" t="s">
        <v>99</v>
      </c>
      <c r="N90" s="101" t="s">
        <v>91</v>
      </c>
      <c r="O90" s="105">
        <v>2780</v>
      </c>
      <c r="P90" s="105">
        <f t="shared" si="2"/>
        <v>2780</v>
      </c>
      <c r="Q90" s="104" t="s">
        <v>139</v>
      </c>
    </row>
    <row r="91" spans="1:17" ht="18" customHeight="1">
      <c r="A91" s="107">
        <v>10005988</v>
      </c>
      <c r="B91" s="104" t="str">
        <f>VLOOKUP(A91,[1]단품수량!$B$5:$E$27,4,FALSE)</f>
        <v>ESP</v>
      </c>
      <c r="C91" s="104">
        <v>89</v>
      </c>
      <c r="D91" s="104" t="s">
        <v>112</v>
      </c>
      <c r="E91" s="104">
        <v>30118494</v>
      </c>
      <c r="F91" s="104"/>
      <c r="G91" s="104"/>
      <c r="H91" s="104" t="s">
        <v>137</v>
      </c>
      <c r="I91" s="104" t="s">
        <v>245</v>
      </c>
      <c r="J91" s="104">
        <v>1</v>
      </c>
      <c r="K91" s="104">
        <v>1</v>
      </c>
      <c r="L91" s="104">
        <f>VLOOKUP(A91,[1]단품수량!$B$5:$P$27,13,FALSE)*K91</f>
        <v>480</v>
      </c>
      <c r="M91" s="104" t="s">
        <v>99</v>
      </c>
      <c r="N91" s="101" t="s">
        <v>91</v>
      </c>
      <c r="O91" s="105">
        <v>3060</v>
      </c>
      <c r="P91" s="105">
        <f t="shared" si="2"/>
        <v>3060</v>
      </c>
      <c r="Q91" s="104" t="s">
        <v>139</v>
      </c>
    </row>
    <row r="92" spans="1:17" ht="18" customHeight="1">
      <c r="A92" s="107">
        <v>10005988</v>
      </c>
      <c r="B92" s="104" t="str">
        <f>VLOOKUP(A92,[1]단품수량!$B$5:$E$27,4,FALSE)</f>
        <v>ESP</v>
      </c>
      <c r="C92" s="104">
        <v>90</v>
      </c>
      <c r="D92" s="104" t="s">
        <v>115</v>
      </c>
      <c r="E92" s="104">
        <v>30099477</v>
      </c>
      <c r="F92" s="104"/>
      <c r="G92" s="104"/>
      <c r="H92" s="104" t="s">
        <v>270</v>
      </c>
      <c r="I92" s="104" t="s">
        <v>271</v>
      </c>
      <c r="J92" s="104">
        <v>1</v>
      </c>
      <c r="K92" s="104">
        <v>1</v>
      </c>
      <c r="L92" s="104">
        <f>VLOOKUP(A92,[1]단품수량!$B$5:$P$27,13,FALSE)*K92</f>
        <v>480</v>
      </c>
      <c r="M92" s="104" t="s">
        <v>99</v>
      </c>
      <c r="N92" s="101" t="s">
        <v>91</v>
      </c>
      <c r="O92" s="105">
        <v>250</v>
      </c>
      <c r="P92" s="105">
        <f t="shared" si="2"/>
        <v>250</v>
      </c>
      <c r="Q92" s="104" t="s">
        <v>133</v>
      </c>
    </row>
    <row r="93" spans="1:17" ht="18" customHeight="1">
      <c r="A93" s="107">
        <v>10005988</v>
      </c>
      <c r="B93" s="104" t="str">
        <f>VLOOKUP(A93,[1]단품수량!$B$5:$E$27,4,FALSE)</f>
        <v>ESP</v>
      </c>
      <c r="C93" s="104">
        <v>91</v>
      </c>
      <c r="D93" s="104" t="s">
        <v>118</v>
      </c>
      <c r="E93" s="104">
        <v>30063371</v>
      </c>
      <c r="F93" s="104"/>
      <c r="G93" s="104"/>
      <c r="H93" s="104" t="s">
        <v>143</v>
      </c>
      <c r="I93" s="104" t="s">
        <v>144</v>
      </c>
      <c r="J93" s="104">
        <v>1</v>
      </c>
      <c r="K93" s="104">
        <v>1</v>
      </c>
      <c r="L93" s="104">
        <f>VLOOKUP(A93,[1]단품수량!$B$5:$P$27,13,FALSE)*K93</f>
        <v>480</v>
      </c>
      <c r="M93" s="104" t="s">
        <v>107</v>
      </c>
      <c r="N93" s="101" t="s">
        <v>91</v>
      </c>
      <c r="O93" s="105">
        <v>480</v>
      </c>
      <c r="P93" s="105">
        <f t="shared" si="2"/>
        <v>480</v>
      </c>
      <c r="Q93" s="104" t="s">
        <v>108</v>
      </c>
    </row>
    <row r="94" spans="1:17" ht="18" customHeight="1">
      <c r="A94" s="107">
        <v>10005988</v>
      </c>
      <c r="B94" s="104" t="str">
        <f>VLOOKUP(A94,[1]단품수량!$B$5:$E$27,4,FALSE)</f>
        <v>ESP</v>
      </c>
      <c r="C94" s="104">
        <v>92</v>
      </c>
      <c r="D94" s="104" t="s">
        <v>121</v>
      </c>
      <c r="E94" s="104">
        <v>30124437</v>
      </c>
      <c r="F94" s="104"/>
      <c r="G94" s="104"/>
      <c r="H94" s="104" t="s">
        <v>272</v>
      </c>
      <c r="I94" s="104" t="s">
        <v>273</v>
      </c>
      <c r="J94" s="104">
        <v>2</v>
      </c>
      <c r="K94" s="104">
        <v>2</v>
      </c>
      <c r="L94" s="104">
        <f>VLOOKUP(A94,[1]단품수량!$B$5:$P$27,13,FALSE)*K94</f>
        <v>960</v>
      </c>
      <c r="M94" s="104" t="s">
        <v>99</v>
      </c>
      <c r="N94" s="101"/>
      <c r="O94" s="105">
        <v>0</v>
      </c>
      <c r="P94" s="105">
        <f t="shared" si="2"/>
        <v>0</v>
      </c>
      <c r="Q94" s="104"/>
    </row>
    <row r="95" spans="1:17" ht="18" customHeight="1">
      <c r="A95" s="104">
        <v>10005992</v>
      </c>
      <c r="B95" s="104" t="str">
        <f>VLOOKUP(A95,[1]단품수량!$B$5:$E$27,4,FALSE)</f>
        <v>FDI</v>
      </c>
      <c r="C95" s="104">
        <v>93</v>
      </c>
      <c r="D95" s="104" t="s">
        <v>86</v>
      </c>
      <c r="E95" s="104">
        <v>30120684</v>
      </c>
      <c r="F95" s="104" t="s">
        <v>274</v>
      </c>
      <c r="G95" s="104"/>
      <c r="H95" s="104" t="s">
        <v>151</v>
      </c>
      <c r="I95" s="104" t="s">
        <v>89</v>
      </c>
      <c r="J95" s="104">
        <v>1</v>
      </c>
      <c r="K95" s="104">
        <v>1</v>
      </c>
      <c r="L95" s="104">
        <f>VLOOKUP(A95,[1]단품수량!$B$5:$P$27,13,FALSE)*K95</f>
        <v>158</v>
      </c>
      <c r="M95" s="104" t="s">
        <v>90</v>
      </c>
      <c r="N95" s="101" t="s">
        <v>91</v>
      </c>
      <c r="O95" s="105">
        <v>114000</v>
      </c>
      <c r="P95" s="105">
        <f t="shared" si="2"/>
        <v>114000</v>
      </c>
      <c r="Q95" s="104" t="s">
        <v>92</v>
      </c>
    </row>
    <row r="96" spans="1:17" ht="18" customHeight="1">
      <c r="A96" s="104">
        <v>10005992</v>
      </c>
      <c r="B96" s="104" t="str">
        <f>VLOOKUP(A96,[1]단품수량!$B$5:$E$27,4,FALSE)</f>
        <v>FDI</v>
      </c>
      <c r="C96" s="104">
        <v>94</v>
      </c>
      <c r="D96" s="104" t="s">
        <v>93</v>
      </c>
      <c r="E96" s="104">
        <v>30120686</v>
      </c>
      <c r="F96" s="104" t="s">
        <v>275</v>
      </c>
      <c r="G96" s="104"/>
      <c r="H96" s="104" t="s">
        <v>88</v>
      </c>
      <c r="I96" s="104" t="s">
        <v>89</v>
      </c>
      <c r="J96" s="104">
        <v>1</v>
      </c>
      <c r="K96" s="104">
        <v>1</v>
      </c>
      <c r="L96" s="104">
        <f>VLOOKUP(A96,[1]단품수량!$B$5:$P$27,13,FALSE)*K96</f>
        <v>158</v>
      </c>
      <c r="M96" s="104" t="s">
        <v>90</v>
      </c>
      <c r="N96" s="101" t="s">
        <v>91</v>
      </c>
      <c r="O96" s="105">
        <v>0</v>
      </c>
      <c r="P96" s="105">
        <f t="shared" si="2"/>
        <v>0</v>
      </c>
      <c r="Q96" s="104" t="s">
        <v>92</v>
      </c>
    </row>
    <row r="97" spans="1:17" ht="18" customHeight="1">
      <c r="A97" s="104">
        <v>10005992</v>
      </c>
      <c r="B97" s="104" t="str">
        <f>VLOOKUP(A97,[1]단품수량!$B$5:$E$27,4,FALSE)</f>
        <v>FDI</v>
      </c>
      <c r="C97" s="104">
        <v>95</v>
      </c>
      <c r="D97" s="104" t="s">
        <v>96</v>
      </c>
      <c r="E97" s="104">
        <v>30120687</v>
      </c>
      <c r="F97" s="104" t="s">
        <v>276</v>
      </c>
      <c r="G97" s="104"/>
      <c r="H97" s="104" t="s">
        <v>88</v>
      </c>
      <c r="I97" s="104" t="s">
        <v>89</v>
      </c>
      <c r="J97" s="104">
        <v>2</v>
      </c>
      <c r="K97" s="104">
        <v>2</v>
      </c>
      <c r="L97" s="104">
        <f>VLOOKUP(A97,[1]단품수량!$B$5:$P$27,13,FALSE)*K97</f>
        <v>316</v>
      </c>
      <c r="M97" s="104" t="s">
        <v>90</v>
      </c>
      <c r="N97" s="101" t="s">
        <v>91</v>
      </c>
      <c r="O97" s="105">
        <v>0</v>
      </c>
      <c r="P97" s="105">
        <f t="shared" si="2"/>
        <v>0</v>
      </c>
      <c r="Q97" s="104" t="s">
        <v>92</v>
      </c>
    </row>
    <row r="98" spans="1:17" ht="18" customHeight="1">
      <c r="A98" s="104">
        <v>10005992</v>
      </c>
      <c r="B98" s="104" t="str">
        <f>VLOOKUP(A98,[1]단품수량!$B$5:$E$27,4,FALSE)</f>
        <v>FDI</v>
      </c>
      <c r="C98" s="104">
        <v>96</v>
      </c>
      <c r="D98" s="104" t="s">
        <v>101</v>
      </c>
      <c r="E98" s="104">
        <v>30120688</v>
      </c>
      <c r="F98" s="104" t="s">
        <v>277</v>
      </c>
      <c r="G98" s="104"/>
      <c r="H98" s="104" t="s">
        <v>170</v>
      </c>
      <c r="I98" s="104" t="s">
        <v>89</v>
      </c>
      <c r="J98" s="104">
        <v>1</v>
      </c>
      <c r="K98" s="104">
        <v>1</v>
      </c>
      <c r="L98" s="104">
        <f>VLOOKUP(A98,[1]단품수량!$B$5:$P$27,13,FALSE)*K98</f>
        <v>158</v>
      </c>
      <c r="M98" s="104" t="s">
        <v>90</v>
      </c>
      <c r="N98" s="101" t="s">
        <v>91</v>
      </c>
      <c r="O98" s="105">
        <v>0</v>
      </c>
      <c r="P98" s="105">
        <f t="shared" si="2"/>
        <v>0</v>
      </c>
      <c r="Q98" s="104" t="s">
        <v>92</v>
      </c>
    </row>
    <row r="99" spans="1:17" ht="18" customHeight="1">
      <c r="A99" s="104">
        <v>10005992</v>
      </c>
      <c r="B99" s="104" t="str">
        <f>VLOOKUP(A99,[1]단품수량!$B$5:$E$27,4,FALSE)</f>
        <v>FDI</v>
      </c>
      <c r="C99" s="104">
        <v>97</v>
      </c>
      <c r="D99" s="104" t="s">
        <v>104</v>
      </c>
      <c r="E99" s="104">
        <v>30118098</v>
      </c>
      <c r="F99" s="104"/>
      <c r="G99" s="104"/>
      <c r="H99" s="104" t="s">
        <v>278</v>
      </c>
      <c r="I99" s="104" t="s">
        <v>279</v>
      </c>
      <c r="J99" s="104">
        <v>3</v>
      </c>
      <c r="K99" s="104">
        <v>3</v>
      </c>
      <c r="L99" s="104">
        <f>VLOOKUP(A99,[1]단품수량!$B$5:$P$27,13,FALSE)*K99</f>
        <v>474</v>
      </c>
      <c r="M99" s="104" t="s">
        <v>99</v>
      </c>
      <c r="N99" s="101" t="s">
        <v>91</v>
      </c>
      <c r="O99" s="105">
        <v>440</v>
      </c>
      <c r="P99" s="105">
        <f t="shared" si="2"/>
        <v>1320</v>
      </c>
      <c r="Q99" s="104" t="s">
        <v>280</v>
      </c>
    </row>
    <row r="100" spans="1:17" ht="18" customHeight="1">
      <c r="A100" s="104">
        <v>10005992</v>
      </c>
      <c r="B100" s="104" t="str">
        <f>VLOOKUP(A100,[1]단품수량!$B$5:$E$27,4,FALSE)</f>
        <v>FDI</v>
      </c>
      <c r="C100" s="104">
        <v>98</v>
      </c>
      <c r="D100" s="104" t="s">
        <v>109</v>
      </c>
      <c r="E100" s="104">
        <v>30120749</v>
      </c>
      <c r="F100" s="104"/>
      <c r="G100" s="104"/>
      <c r="H100" s="104" t="s">
        <v>281</v>
      </c>
      <c r="I100" s="104" t="s">
        <v>282</v>
      </c>
      <c r="J100" s="104">
        <v>10</v>
      </c>
      <c r="K100" s="104">
        <v>10</v>
      </c>
      <c r="L100" s="104">
        <f>VLOOKUP(A100,[1]단품수량!$B$5:$P$27,13,FALSE)*K100</f>
        <v>1580</v>
      </c>
      <c r="M100" s="104" t="s">
        <v>99</v>
      </c>
      <c r="N100" s="101" t="s">
        <v>91</v>
      </c>
      <c r="O100" s="105">
        <v>40000</v>
      </c>
      <c r="P100" s="105">
        <f t="shared" si="2"/>
        <v>400000</v>
      </c>
      <c r="Q100" s="104" t="s">
        <v>283</v>
      </c>
    </row>
    <row r="101" spans="1:17" ht="18" customHeight="1">
      <c r="A101" s="104">
        <v>10005992</v>
      </c>
      <c r="B101" s="104" t="str">
        <f>VLOOKUP(A101,[1]단품수량!$B$5:$E$27,4,FALSE)</f>
        <v>FDI</v>
      </c>
      <c r="C101" s="104">
        <v>99</v>
      </c>
      <c r="D101" s="104" t="s">
        <v>112</v>
      </c>
      <c r="E101" s="104">
        <v>30120750</v>
      </c>
      <c r="F101" s="104"/>
      <c r="G101" s="104"/>
      <c r="H101" s="104" t="s">
        <v>281</v>
      </c>
      <c r="I101" s="104" t="s">
        <v>284</v>
      </c>
      <c r="J101" s="104">
        <v>2</v>
      </c>
      <c r="K101" s="104">
        <v>2</v>
      </c>
      <c r="L101" s="104">
        <f>VLOOKUP(A101,[1]단품수량!$B$5:$P$27,13,FALSE)*K101</f>
        <v>316</v>
      </c>
      <c r="M101" s="104" t="s">
        <v>99</v>
      </c>
      <c r="N101" s="101" t="s">
        <v>91</v>
      </c>
      <c r="O101" s="105">
        <v>170000</v>
      </c>
      <c r="P101" s="105">
        <f t="shared" si="2"/>
        <v>340000</v>
      </c>
      <c r="Q101" s="104" t="s">
        <v>283</v>
      </c>
    </row>
    <row r="102" spans="1:17" ht="18" customHeight="1">
      <c r="A102" s="104">
        <v>10005992</v>
      </c>
      <c r="B102" s="104" t="str">
        <f>VLOOKUP(A102,[1]단품수량!$B$5:$E$27,4,FALSE)</f>
        <v>FDI</v>
      </c>
      <c r="C102" s="104">
        <v>100</v>
      </c>
      <c r="D102" s="104" t="s">
        <v>115</v>
      </c>
      <c r="E102" s="104">
        <v>30120838</v>
      </c>
      <c r="F102" s="104"/>
      <c r="G102" s="104"/>
      <c r="H102" s="104" t="s">
        <v>285</v>
      </c>
      <c r="I102" s="104" t="s">
        <v>286</v>
      </c>
      <c r="J102" s="104">
        <v>1</v>
      </c>
      <c r="K102" s="104">
        <v>1</v>
      </c>
      <c r="L102" s="104">
        <f>VLOOKUP(A102,[1]단품수량!$B$5:$P$27,13,FALSE)*K102</f>
        <v>158</v>
      </c>
      <c r="M102" s="104" t="s">
        <v>99</v>
      </c>
      <c r="N102" s="101" t="s">
        <v>91</v>
      </c>
      <c r="O102" s="105">
        <v>0</v>
      </c>
      <c r="P102" s="105">
        <f t="shared" si="2"/>
        <v>0</v>
      </c>
      <c r="Q102" s="104" t="s">
        <v>283</v>
      </c>
    </row>
    <row r="103" spans="1:17" ht="18" customHeight="1">
      <c r="A103" s="104">
        <v>10005992</v>
      </c>
      <c r="B103" s="104" t="str">
        <f>VLOOKUP(A103,[1]단품수량!$B$5:$E$27,4,FALSE)</f>
        <v>FDI</v>
      </c>
      <c r="C103" s="104">
        <v>101</v>
      </c>
      <c r="D103" s="104" t="s">
        <v>118</v>
      </c>
      <c r="E103" s="104">
        <v>30120839</v>
      </c>
      <c r="F103" s="104"/>
      <c r="G103" s="104"/>
      <c r="H103" s="104" t="s">
        <v>287</v>
      </c>
      <c r="I103" s="104" t="s">
        <v>288</v>
      </c>
      <c r="J103" s="104">
        <v>1</v>
      </c>
      <c r="K103" s="104">
        <v>1</v>
      </c>
      <c r="L103" s="104">
        <f>VLOOKUP(A103,[1]단품수량!$B$5:$P$27,13,FALSE)*K103</f>
        <v>158</v>
      </c>
      <c r="M103" s="104" t="s">
        <v>90</v>
      </c>
      <c r="N103" s="101" t="s">
        <v>197</v>
      </c>
      <c r="O103" s="105">
        <v>666040</v>
      </c>
      <c r="P103" s="105">
        <f>K103*O103</f>
        <v>666040</v>
      </c>
      <c r="Q103" s="104" t="s">
        <v>198</v>
      </c>
    </row>
    <row r="104" spans="1:17" ht="18" customHeight="1">
      <c r="A104" s="104">
        <v>10005992</v>
      </c>
      <c r="B104" s="104" t="str">
        <f>VLOOKUP(A104,[1]단품수량!$B$5:$E$27,4,FALSE)</f>
        <v>FDI</v>
      </c>
      <c r="C104" s="104">
        <v>102</v>
      </c>
      <c r="D104" s="104" t="s">
        <v>121</v>
      </c>
      <c r="E104" s="104">
        <v>30120751</v>
      </c>
      <c r="F104" s="104"/>
      <c r="G104" s="104"/>
      <c r="H104" s="104" t="s">
        <v>289</v>
      </c>
      <c r="I104" s="104" t="s">
        <v>290</v>
      </c>
      <c r="J104" s="104">
        <v>1</v>
      </c>
      <c r="K104" s="104">
        <v>1</v>
      </c>
      <c r="L104" s="104">
        <f>VLOOKUP(A104,[1]단품수량!$B$5:$P$27,13,FALSE)*K104</f>
        <v>158</v>
      </c>
      <c r="M104" s="104" t="s">
        <v>90</v>
      </c>
      <c r="N104" s="101" t="s">
        <v>91</v>
      </c>
      <c r="O104" s="105">
        <v>160000</v>
      </c>
      <c r="P104" s="105">
        <f t="shared" ref="P104:P167" si="3">K104*O104</f>
        <v>160000</v>
      </c>
      <c r="Q104" s="104" t="s">
        <v>291</v>
      </c>
    </row>
    <row r="105" spans="1:17" ht="18" customHeight="1">
      <c r="A105" s="104">
        <v>10005992</v>
      </c>
      <c r="B105" s="104" t="str">
        <f>VLOOKUP(A105,[1]단품수량!$B$5:$E$27,4,FALSE)</f>
        <v>FDI</v>
      </c>
      <c r="C105" s="104">
        <v>103</v>
      </c>
      <c r="D105" s="104" t="s">
        <v>149</v>
      </c>
      <c r="E105" s="104">
        <v>30120992</v>
      </c>
      <c r="F105" s="104"/>
      <c r="G105" s="104"/>
      <c r="H105" s="104" t="s">
        <v>186</v>
      </c>
      <c r="I105" s="104" t="s">
        <v>187</v>
      </c>
      <c r="J105" s="104">
        <v>1</v>
      </c>
      <c r="K105" s="104">
        <v>1</v>
      </c>
      <c r="L105" s="104">
        <f>VLOOKUP(A105,[1]단품수량!$B$5:$P$27,13,FALSE)*K105</f>
        <v>158</v>
      </c>
      <c r="M105" s="104" t="s">
        <v>107</v>
      </c>
      <c r="N105" s="101" t="s">
        <v>91</v>
      </c>
      <c r="O105" s="105">
        <v>24000</v>
      </c>
      <c r="P105" s="105">
        <f t="shared" si="3"/>
        <v>24000</v>
      </c>
      <c r="Q105" s="104" t="s">
        <v>188</v>
      </c>
    </row>
    <row r="106" spans="1:17" ht="18" customHeight="1">
      <c r="A106" s="104">
        <v>10005992</v>
      </c>
      <c r="B106" s="104" t="str">
        <f>VLOOKUP(A106,[1]단품수량!$B$5:$E$27,4,FALSE)</f>
        <v>FDI</v>
      </c>
      <c r="C106" s="104">
        <v>104</v>
      </c>
      <c r="D106" s="104" t="s">
        <v>152</v>
      </c>
      <c r="E106" s="104">
        <v>30121672</v>
      </c>
      <c r="F106" s="104"/>
      <c r="G106" s="104"/>
      <c r="H106" s="104" t="s">
        <v>189</v>
      </c>
      <c r="I106" s="104" t="s">
        <v>190</v>
      </c>
      <c r="J106" s="104">
        <v>1</v>
      </c>
      <c r="K106" s="104">
        <v>1</v>
      </c>
      <c r="L106" s="104">
        <f>VLOOKUP(A106,[1]단품수량!$B$5:$P$27,13,FALSE)*K106</f>
        <v>158</v>
      </c>
      <c r="M106" s="104" t="s">
        <v>99</v>
      </c>
      <c r="N106" s="101" t="s">
        <v>91</v>
      </c>
      <c r="O106" s="105">
        <v>320</v>
      </c>
      <c r="P106" s="105">
        <f t="shared" si="3"/>
        <v>320</v>
      </c>
      <c r="Q106" s="104" t="s">
        <v>188</v>
      </c>
    </row>
    <row r="107" spans="1:17" ht="18" customHeight="1">
      <c r="A107" s="104">
        <v>10005992</v>
      </c>
      <c r="B107" s="104" t="str">
        <f>VLOOKUP(A107,[1]단품수량!$B$5:$E$27,4,FALSE)</f>
        <v>FDI</v>
      </c>
      <c r="C107" s="104">
        <v>105</v>
      </c>
      <c r="D107" s="104" t="s">
        <v>126</v>
      </c>
      <c r="E107" s="104">
        <v>30120752</v>
      </c>
      <c r="F107" s="104"/>
      <c r="G107" s="104"/>
      <c r="H107" s="104" t="s">
        <v>292</v>
      </c>
      <c r="I107" s="104" t="s">
        <v>89</v>
      </c>
      <c r="J107" s="104">
        <v>1</v>
      </c>
      <c r="K107" s="104">
        <v>1</v>
      </c>
      <c r="L107" s="104">
        <f>VLOOKUP(A107,[1]단품수량!$B$5:$P$27,13,FALSE)*K107</f>
        <v>158</v>
      </c>
      <c r="M107" s="104" t="s">
        <v>90</v>
      </c>
      <c r="N107" s="101" t="s">
        <v>91</v>
      </c>
      <c r="O107" s="105">
        <v>12000</v>
      </c>
      <c r="P107" s="105">
        <f t="shared" si="3"/>
        <v>12000</v>
      </c>
      <c r="Q107" s="104" t="s">
        <v>291</v>
      </c>
    </row>
    <row r="108" spans="1:17" ht="18" customHeight="1">
      <c r="A108" s="104">
        <v>10005992</v>
      </c>
      <c r="B108" s="104" t="str">
        <f>VLOOKUP(A108,[1]단품수량!$B$5:$E$27,4,FALSE)</f>
        <v>FDI</v>
      </c>
      <c r="C108" s="104">
        <v>106</v>
      </c>
      <c r="D108" s="104" t="s">
        <v>181</v>
      </c>
      <c r="E108" s="104">
        <v>30118546</v>
      </c>
      <c r="F108" s="104"/>
      <c r="G108" s="104"/>
      <c r="H108" s="104" t="s">
        <v>293</v>
      </c>
      <c r="I108" s="104" t="s">
        <v>294</v>
      </c>
      <c r="J108" s="104">
        <v>1</v>
      </c>
      <c r="K108" s="104">
        <v>1</v>
      </c>
      <c r="L108" s="104">
        <f>VLOOKUP(A108,[1]단품수량!$B$5:$P$27,13,FALSE)*K108</f>
        <v>158</v>
      </c>
      <c r="M108" s="104" t="s">
        <v>107</v>
      </c>
      <c r="N108" s="101" t="s">
        <v>91</v>
      </c>
      <c r="O108" s="105">
        <v>44800</v>
      </c>
      <c r="P108" s="105">
        <f t="shared" si="3"/>
        <v>44800</v>
      </c>
      <c r="Q108" s="104" t="s">
        <v>108</v>
      </c>
    </row>
    <row r="109" spans="1:17" ht="18" customHeight="1">
      <c r="A109" s="104">
        <v>10005992</v>
      </c>
      <c r="B109" s="104" t="str">
        <f>VLOOKUP(A109,[1]단품수량!$B$5:$E$27,4,FALSE)</f>
        <v>FDI</v>
      </c>
      <c r="C109" s="104">
        <v>107</v>
      </c>
      <c r="D109" s="104" t="s">
        <v>184</v>
      </c>
      <c r="E109" s="104">
        <v>30118561</v>
      </c>
      <c r="F109" s="104"/>
      <c r="G109" s="104"/>
      <c r="H109" s="104" t="s">
        <v>295</v>
      </c>
      <c r="I109" s="104" t="s">
        <v>296</v>
      </c>
      <c r="J109" s="104">
        <v>1</v>
      </c>
      <c r="K109" s="104">
        <v>1</v>
      </c>
      <c r="L109" s="104">
        <f>VLOOKUP(A109,[1]단품수량!$B$5:$P$27,13,FALSE)*K109</f>
        <v>158</v>
      </c>
      <c r="M109" s="104" t="s">
        <v>107</v>
      </c>
      <c r="N109" s="101" t="s">
        <v>91</v>
      </c>
      <c r="O109" s="105">
        <v>47800</v>
      </c>
      <c r="P109" s="105">
        <f t="shared" si="3"/>
        <v>47800</v>
      </c>
      <c r="Q109" s="104" t="s">
        <v>108</v>
      </c>
    </row>
    <row r="110" spans="1:17" ht="18" customHeight="1">
      <c r="A110" s="104">
        <v>10005992</v>
      </c>
      <c r="B110" s="104" t="str">
        <f>VLOOKUP(A110,[1]단품수량!$B$5:$E$27,4,FALSE)</f>
        <v>FDI</v>
      </c>
      <c r="C110" s="104">
        <v>108</v>
      </c>
      <c r="D110" s="104" t="s">
        <v>191</v>
      </c>
      <c r="E110" s="104">
        <v>30118569</v>
      </c>
      <c r="F110" s="104"/>
      <c r="G110" s="104"/>
      <c r="H110" s="104" t="s">
        <v>119</v>
      </c>
      <c r="I110" s="104" t="s">
        <v>120</v>
      </c>
      <c r="J110" s="104">
        <v>4</v>
      </c>
      <c r="K110" s="104">
        <v>4</v>
      </c>
      <c r="L110" s="104">
        <f>VLOOKUP(A110,[1]단품수량!$B$5:$P$27,13,FALSE)*K110</f>
        <v>632</v>
      </c>
      <c r="M110" s="104" t="s">
        <v>107</v>
      </c>
      <c r="N110" s="101" t="s">
        <v>91</v>
      </c>
      <c r="O110" s="105">
        <v>400</v>
      </c>
      <c r="P110" s="105">
        <f t="shared" si="3"/>
        <v>1600</v>
      </c>
      <c r="Q110" s="104" t="s">
        <v>108</v>
      </c>
    </row>
    <row r="111" spans="1:17" ht="18" customHeight="1">
      <c r="A111" s="104">
        <v>10005992</v>
      </c>
      <c r="B111" s="104" t="str">
        <f>VLOOKUP(A111,[1]단품수량!$B$5:$E$27,4,FALSE)</f>
        <v>FDI</v>
      </c>
      <c r="C111" s="104">
        <v>109</v>
      </c>
      <c r="D111" s="104" t="s">
        <v>194</v>
      </c>
      <c r="E111" s="104">
        <v>30118573</v>
      </c>
      <c r="F111" s="104"/>
      <c r="G111" s="104"/>
      <c r="H111" s="104" t="s">
        <v>177</v>
      </c>
      <c r="I111" s="104" t="s">
        <v>178</v>
      </c>
      <c r="J111" s="104">
        <v>17</v>
      </c>
      <c r="K111" s="104">
        <v>17</v>
      </c>
      <c r="L111" s="104">
        <f>VLOOKUP(A111,[1]단품수량!$B$5:$P$27,13,FALSE)*K111</f>
        <v>2686</v>
      </c>
      <c r="M111" s="104" t="s">
        <v>107</v>
      </c>
      <c r="N111" s="101" t="s">
        <v>91</v>
      </c>
      <c r="O111" s="105">
        <v>1000</v>
      </c>
      <c r="P111" s="105">
        <f t="shared" si="3"/>
        <v>17000</v>
      </c>
      <c r="Q111" s="104" t="s">
        <v>108</v>
      </c>
    </row>
    <row r="112" spans="1:17" ht="18" customHeight="1">
      <c r="A112" s="104">
        <v>10005992</v>
      </c>
      <c r="B112" s="104" t="str">
        <f>VLOOKUP(A112,[1]단품수량!$B$5:$E$27,4,FALSE)</f>
        <v>FDI</v>
      </c>
      <c r="C112" s="104">
        <v>110</v>
      </c>
      <c r="D112" s="104" t="s">
        <v>201</v>
      </c>
      <c r="E112" s="104">
        <v>30118582</v>
      </c>
      <c r="F112" s="104"/>
      <c r="G112" s="104"/>
      <c r="H112" s="104" t="s">
        <v>179</v>
      </c>
      <c r="I112" s="104" t="s">
        <v>180</v>
      </c>
      <c r="J112" s="104">
        <v>17</v>
      </c>
      <c r="K112" s="104">
        <v>17</v>
      </c>
      <c r="L112" s="104">
        <f>VLOOKUP(A112,[1]단품수량!$B$5:$P$27,13,FALSE)*K112</f>
        <v>2686</v>
      </c>
      <c r="M112" s="104" t="s">
        <v>107</v>
      </c>
      <c r="N112" s="101" t="s">
        <v>91</v>
      </c>
      <c r="O112" s="105">
        <v>500</v>
      </c>
      <c r="P112" s="105">
        <f t="shared" si="3"/>
        <v>8500</v>
      </c>
      <c r="Q112" s="104" t="s">
        <v>108</v>
      </c>
    </row>
    <row r="113" spans="1:17" ht="18" customHeight="1">
      <c r="A113" s="104">
        <v>10005992</v>
      </c>
      <c r="B113" s="104" t="str">
        <f>VLOOKUP(A113,[1]단품수량!$B$5:$E$27,4,FALSE)</f>
        <v>FDI</v>
      </c>
      <c r="C113" s="104">
        <v>111</v>
      </c>
      <c r="D113" s="104" t="s">
        <v>224</v>
      </c>
      <c r="E113" s="104">
        <v>30120840</v>
      </c>
      <c r="F113" s="104"/>
      <c r="G113" s="104"/>
      <c r="H113" s="104" t="s">
        <v>297</v>
      </c>
      <c r="I113" s="104" t="s">
        <v>298</v>
      </c>
      <c r="J113" s="104">
        <v>4</v>
      </c>
      <c r="K113" s="104">
        <v>4</v>
      </c>
      <c r="L113" s="104">
        <f>VLOOKUP(A113,[1]단품수량!$B$5:$P$27,13,FALSE)*K113</f>
        <v>632</v>
      </c>
      <c r="M113" s="104" t="s">
        <v>107</v>
      </c>
      <c r="N113" s="101" t="s">
        <v>91</v>
      </c>
      <c r="O113" s="105">
        <v>759</v>
      </c>
      <c r="P113" s="105">
        <f t="shared" si="3"/>
        <v>3036</v>
      </c>
      <c r="Q113" s="104" t="s">
        <v>299</v>
      </c>
    </row>
    <row r="114" spans="1:17" ht="18" customHeight="1">
      <c r="A114" s="104">
        <v>10005992</v>
      </c>
      <c r="B114" s="104" t="str">
        <f>VLOOKUP(A114,[1]단품수량!$B$5:$E$27,4,FALSE)</f>
        <v>FDI</v>
      </c>
      <c r="C114" s="104">
        <v>112</v>
      </c>
      <c r="D114" s="104" t="s">
        <v>300</v>
      </c>
      <c r="E114" s="104">
        <v>30120532</v>
      </c>
      <c r="F114" s="104"/>
      <c r="G114" s="104"/>
      <c r="H114" s="104" t="s">
        <v>301</v>
      </c>
      <c r="I114" s="104" t="s">
        <v>302</v>
      </c>
      <c r="J114" s="104">
        <v>4</v>
      </c>
      <c r="K114" s="104">
        <v>4</v>
      </c>
      <c r="L114" s="104">
        <f>VLOOKUP(A114,[1]단품수량!$B$5:$P$27,13,FALSE)*K114</f>
        <v>632</v>
      </c>
      <c r="M114" s="104" t="s">
        <v>107</v>
      </c>
      <c r="N114" s="101" t="s">
        <v>91</v>
      </c>
      <c r="O114" s="105">
        <v>297</v>
      </c>
      <c r="P114" s="105">
        <f t="shared" si="3"/>
        <v>1188</v>
      </c>
      <c r="Q114" s="104" t="s">
        <v>299</v>
      </c>
    </row>
    <row r="115" spans="1:17" ht="18" customHeight="1">
      <c r="A115" s="104">
        <v>10005992</v>
      </c>
      <c r="B115" s="104" t="str">
        <f>VLOOKUP(A115,[1]단품수량!$B$5:$E$27,4,FALSE)</f>
        <v>FDI</v>
      </c>
      <c r="C115" s="104">
        <v>113</v>
      </c>
      <c r="D115" s="104" t="s">
        <v>303</v>
      </c>
      <c r="E115" s="104">
        <v>30120533</v>
      </c>
      <c r="F115" s="104"/>
      <c r="G115" s="104"/>
      <c r="H115" s="104" t="s">
        <v>304</v>
      </c>
      <c r="I115" s="104" t="s">
        <v>305</v>
      </c>
      <c r="J115" s="104">
        <v>4</v>
      </c>
      <c r="K115" s="104">
        <v>4</v>
      </c>
      <c r="L115" s="104">
        <f>VLOOKUP(A115,[1]단품수량!$B$5:$P$27,13,FALSE)*K115</f>
        <v>632</v>
      </c>
      <c r="M115" s="104" t="s">
        <v>107</v>
      </c>
      <c r="N115" s="101" t="s">
        <v>91</v>
      </c>
      <c r="O115" s="105">
        <v>71</v>
      </c>
      <c r="P115" s="105">
        <f t="shared" si="3"/>
        <v>284</v>
      </c>
      <c r="Q115" s="104" t="s">
        <v>299</v>
      </c>
    </row>
    <row r="116" spans="1:17" ht="18" customHeight="1">
      <c r="A116" s="104">
        <v>10005992</v>
      </c>
      <c r="B116" s="104" t="str">
        <f>VLOOKUP(A116,[1]단품수량!$B$5:$E$27,4,FALSE)</f>
        <v>FDI</v>
      </c>
      <c r="C116" s="104">
        <v>114</v>
      </c>
      <c r="D116" s="104" t="s">
        <v>306</v>
      </c>
      <c r="E116" s="104">
        <v>30120534</v>
      </c>
      <c r="F116" s="104"/>
      <c r="G116" s="104"/>
      <c r="H116" s="104" t="s">
        <v>307</v>
      </c>
      <c r="I116" s="104" t="s">
        <v>308</v>
      </c>
      <c r="J116" s="104">
        <v>4</v>
      </c>
      <c r="K116" s="104">
        <v>4</v>
      </c>
      <c r="L116" s="104">
        <f>VLOOKUP(A116,[1]단품수량!$B$5:$P$27,13,FALSE)*K116</f>
        <v>632</v>
      </c>
      <c r="M116" s="104" t="s">
        <v>107</v>
      </c>
      <c r="N116" s="101" t="s">
        <v>91</v>
      </c>
      <c r="O116" s="105">
        <v>155</v>
      </c>
      <c r="P116" s="105">
        <f t="shared" si="3"/>
        <v>620</v>
      </c>
      <c r="Q116" s="104" t="s">
        <v>299</v>
      </c>
    </row>
    <row r="117" spans="1:17" ht="18" customHeight="1">
      <c r="A117" s="104">
        <v>10005992</v>
      </c>
      <c r="B117" s="104" t="str">
        <f>VLOOKUP(A117,[1]단품수량!$B$5:$E$27,4,FALSE)</f>
        <v>FDI</v>
      </c>
      <c r="C117" s="104">
        <v>115</v>
      </c>
      <c r="D117" s="104" t="s">
        <v>309</v>
      </c>
      <c r="E117" s="104">
        <v>30120535</v>
      </c>
      <c r="F117" s="104"/>
      <c r="G117" s="104"/>
      <c r="H117" s="104" t="s">
        <v>310</v>
      </c>
      <c r="I117" s="104" t="s">
        <v>311</v>
      </c>
      <c r="J117" s="104">
        <v>4</v>
      </c>
      <c r="K117" s="104">
        <v>4</v>
      </c>
      <c r="L117" s="104">
        <f>VLOOKUP(A117,[1]단품수량!$B$5:$P$27,13,FALSE)*K117</f>
        <v>632</v>
      </c>
      <c r="M117" s="104" t="s">
        <v>107</v>
      </c>
      <c r="N117" s="101" t="s">
        <v>91</v>
      </c>
      <c r="O117" s="105">
        <v>87</v>
      </c>
      <c r="P117" s="105">
        <f t="shared" si="3"/>
        <v>348</v>
      </c>
      <c r="Q117" s="104" t="s">
        <v>299</v>
      </c>
    </row>
    <row r="118" spans="1:17" ht="18" customHeight="1">
      <c r="A118" s="104">
        <v>10005992</v>
      </c>
      <c r="B118" s="104" t="str">
        <f>VLOOKUP(A118,[1]단품수량!$B$5:$E$27,4,FALSE)</f>
        <v>FDI</v>
      </c>
      <c r="C118" s="104">
        <v>116</v>
      </c>
      <c r="D118" s="104" t="s">
        <v>312</v>
      </c>
      <c r="E118" s="104">
        <v>30120666</v>
      </c>
      <c r="F118" s="104" t="s">
        <v>313</v>
      </c>
      <c r="G118" s="104"/>
      <c r="H118" s="104" t="s">
        <v>123</v>
      </c>
      <c r="I118" s="104" t="s">
        <v>314</v>
      </c>
      <c r="J118" s="104">
        <v>1</v>
      </c>
      <c r="K118" s="104">
        <v>1</v>
      </c>
      <c r="L118" s="104">
        <f>VLOOKUP(A118,[1]단품수량!$B$5:$P$27,13,FALSE)*K118</f>
        <v>158</v>
      </c>
      <c r="M118" s="104" t="s">
        <v>90</v>
      </c>
      <c r="N118" s="101" t="s">
        <v>91</v>
      </c>
      <c r="O118" s="105">
        <v>1400</v>
      </c>
      <c r="P118" s="105">
        <f t="shared" si="3"/>
        <v>1400</v>
      </c>
      <c r="Q118" s="104" t="s">
        <v>125</v>
      </c>
    </row>
    <row r="119" spans="1:17" ht="18" customHeight="1">
      <c r="A119" s="104">
        <v>10005992</v>
      </c>
      <c r="B119" s="104" t="str">
        <f>VLOOKUP(A119,[1]단품수량!$B$5:$E$27,4,FALSE)</f>
        <v>FDI</v>
      </c>
      <c r="C119" s="104">
        <v>117</v>
      </c>
      <c r="D119" s="104" t="s">
        <v>315</v>
      </c>
      <c r="E119" s="104">
        <v>20061697</v>
      </c>
      <c r="F119" s="104" t="s">
        <v>316</v>
      </c>
      <c r="G119" s="104"/>
      <c r="H119" s="104" t="s">
        <v>203</v>
      </c>
      <c r="I119" s="104" t="s">
        <v>317</v>
      </c>
      <c r="J119" s="104">
        <v>1</v>
      </c>
      <c r="K119" s="104">
        <v>1</v>
      </c>
      <c r="L119" s="104">
        <f>VLOOKUP(A119,[1]단품수량!$B$5:$P$27,13,FALSE)*K119</f>
        <v>158</v>
      </c>
      <c r="M119" s="104" t="s">
        <v>205</v>
      </c>
      <c r="N119" s="101"/>
      <c r="O119" s="105">
        <v>0</v>
      </c>
      <c r="P119" s="105">
        <f t="shared" si="3"/>
        <v>0</v>
      </c>
      <c r="Q119" s="104"/>
    </row>
    <row r="120" spans="1:17" ht="18" customHeight="1">
      <c r="A120" s="104">
        <v>10005992</v>
      </c>
      <c r="B120" s="104" t="str">
        <f>VLOOKUP(A120,[1]단품수량!$B$5:$E$27,4,FALSE)</f>
        <v>FDI</v>
      </c>
      <c r="C120" s="104">
        <v>118</v>
      </c>
      <c r="D120" s="104" t="s">
        <v>149</v>
      </c>
      <c r="E120" s="104">
        <v>30075140</v>
      </c>
      <c r="F120" s="104"/>
      <c r="G120" s="104"/>
      <c r="H120" s="104" t="s">
        <v>143</v>
      </c>
      <c r="I120" s="104" t="s">
        <v>206</v>
      </c>
      <c r="J120" s="104">
        <v>50</v>
      </c>
      <c r="K120" s="104">
        <v>50</v>
      </c>
      <c r="L120" s="104">
        <f>VLOOKUP(A120,[1]단품수량!$B$5:$P$27,13,FALSE)*K120</f>
        <v>7900</v>
      </c>
      <c r="M120" s="104" t="s">
        <v>107</v>
      </c>
      <c r="N120" s="101" t="s">
        <v>91</v>
      </c>
      <c r="O120" s="105">
        <v>380</v>
      </c>
      <c r="P120" s="105">
        <f t="shared" si="3"/>
        <v>19000</v>
      </c>
      <c r="Q120" s="104" t="s">
        <v>108</v>
      </c>
    </row>
    <row r="121" spans="1:17" ht="18" customHeight="1">
      <c r="A121" s="104">
        <v>10005992</v>
      </c>
      <c r="B121" s="104" t="str">
        <f>VLOOKUP(A121,[1]단품수량!$B$5:$E$27,4,FALSE)</f>
        <v>FDI</v>
      </c>
      <c r="C121" s="104">
        <v>119</v>
      </c>
      <c r="D121" s="104" t="s">
        <v>152</v>
      </c>
      <c r="E121" s="104">
        <v>30093304</v>
      </c>
      <c r="F121" s="104"/>
      <c r="G121" s="104"/>
      <c r="H121" s="104" t="s">
        <v>127</v>
      </c>
      <c r="I121" s="104" t="s">
        <v>128</v>
      </c>
      <c r="J121" s="104">
        <v>4</v>
      </c>
      <c r="K121" s="104">
        <v>4</v>
      </c>
      <c r="L121" s="104">
        <f>VLOOKUP(A121,[1]단품수량!$B$5:$P$27,13,FALSE)*K121</f>
        <v>632</v>
      </c>
      <c r="M121" s="104" t="s">
        <v>107</v>
      </c>
      <c r="N121" s="101" t="s">
        <v>91</v>
      </c>
      <c r="O121" s="105">
        <v>2510</v>
      </c>
      <c r="P121" s="105">
        <f t="shared" si="3"/>
        <v>10040</v>
      </c>
      <c r="Q121" s="104" t="s">
        <v>108</v>
      </c>
    </row>
    <row r="122" spans="1:17" ht="18" customHeight="1">
      <c r="A122" s="104">
        <v>10005992</v>
      </c>
      <c r="B122" s="104" t="str">
        <f>VLOOKUP(A122,[1]단품수량!$B$5:$E$27,4,FALSE)</f>
        <v>FDI</v>
      </c>
      <c r="C122" s="104">
        <v>120</v>
      </c>
      <c r="D122" s="104" t="s">
        <v>208</v>
      </c>
      <c r="E122" s="104">
        <v>30115146</v>
      </c>
      <c r="F122" s="104"/>
      <c r="G122" s="104"/>
      <c r="H122" s="104" t="s">
        <v>137</v>
      </c>
      <c r="I122" s="104" t="s">
        <v>318</v>
      </c>
      <c r="J122" s="104">
        <v>1</v>
      </c>
      <c r="K122" s="104">
        <v>1</v>
      </c>
      <c r="L122" s="104">
        <f>VLOOKUP(A122,[1]단품수량!$B$5:$P$27,13,FALSE)*K122</f>
        <v>158</v>
      </c>
      <c r="M122" s="104" t="s">
        <v>107</v>
      </c>
      <c r="N122" s="101" t="s">
        <v>91</v>
      </c>
      <c r="O122" s="105">
        <v>440</v>
      </c>
      <c r="P122" s="105">
        <f t="shared" si="3"/>
        <v>440</v>
      </c>
      <c r="Q122" s="104" t="s">
        <v>100</v>
      </c>
    </row>
    <row r="123" spans="1:17" ht="18" customHeight="1">
      <c r="A123" s="104">
        <v>10005992</v>
      </c>
      <c r="B123" s="104" t="str">
        <f>VLOOKUP(A123,[1]단품수량!$B$5:$E$27,4,FALSE)</f>
        <v>FDI</v>
      </c>
      <c r="C123" s="104">
        <v>121</v>
      </c>
      <c r="D123" s="104" t="s">
        <v>210</v>
      </c>
      <c r="E123" s="104">
        <v>30110820</v>
      </c>
      <c r="F123" s="104"/>
      <c r="G123" s="104"/>
      <c r="H123" s="104" t="s">
        <v>319</v>
      </c>
      <c r="I123" s="104" t="s">
        <v>320</v>
      </c>
      <c r="J123" s="104">
        <v>1</v>
      </c>
      <c r="K123" s="104">
        <v>1</v>
      </c>
      <c r="L123" s="104">
        <f>VLOOKUP(A123,[1]단품수량!$B$5:$P$27,13,FALSE)*K123</f>
        <v>158</v>
      </c>
      <c r="M123" s="104" t="s">
        <v>107</v>
      </c>
      <c r="N123" s="101" t="s">
        <v>91</v>
      </c>
      <c r="O123" s="105">
        <v>195</v>
      </c>
      <c r="P123" s="105">
        <f t="shared" si="3"/>
        <v>195</v>
      </c>
      <c r="Q123" s="104" t="s">
        <v>100</v>
      </c>
    </row>
    <row r="124" spans="1:17" ht="18" customHeight="1">
      <c r="A124" s="104">
        <v>10005992</v>
      </c>
      <c r="B124" s="104" t="str">
        <f>VLOOKUP(A124,[1]단품수량!$B$5:$E$27,4,FALSE)</f>
        <v>FDI</v>
      </c>
      <c r="C124" s="104">
        <v>122</v>
      </c>
      <c r="D124" s="104" t="s">
        <v>213</v>
      </c>
      <c r="E124" s="104">
        <v>30100325</v>
      </c>
      <c r="F124" s="104"/>
      <c r="G124" s="104"/>
      <c r="H124" s="104" t="s">
        <v>211</v>
      </c>
      <c r="I124" s="104" t="s">
        <v>212</v>
      </c>
      <c r="J124" s="104">
        <v>1</v>
      </c>
      <c r="K124" s="104">
        <v>1</v>
      </c>
      <c r="L124" s="104">
        <f>VLOOKUP(A124,[1]단품수량!$B$5:$P$27,13,FALSE)*K124</f>
        <v>158</v>
      </c>
      <c r="M124" s="104" t="s">
        <v>107</v>
      </c>
      <c r="N124" s="101" t="s">
        <v>91</v>
      </c>
      <c r="O124" s="105">
        <v>150</v>
      </c>
      <c r="P124" s="105">
        <f t="shared" si="3"/>
        <v>150</v>
      </c>
      <c r="Q124" s="104" t="s">
        <v>100</v>
      </c>
    </row>
    <row r="125" spans="1:17" ht="18" customHeight="1">
      <c r="A125" s="104">
        <v>10005992</v>
      </c>
      <c r="B125" s="104" t="str">
        <f>VLOOKUP(A125,[1]단품수량!$B$5:$E$27,4,FALSE)</f>
        <v>FDI</v>
      </c>
      <c r="C125" s="104">
        <v>123</v>
      </c>
      <c r="D125" s="104" t="s">
        <v>215</v>
      </c>
      <c r="E125" s="104">
        <v>30111991</v>
      </c>
      <c r="F125" s="104"/>
      <c r="G125" s="104"/>
      <c r="H125" s="104" t="s">
        <v>137</v>
      </c>
      <c r="I125" s="104" t="s">
        <v>321</v>
      </c>
      <c r="J125" s="104">
        <v>1</v>
      </c>
      <c r="K125" s="104">
        <v>1</v>
      </c>
      <c r="L125" s="104">
        <f>VLOOKUP(A125,[1]단품수량!$B$5:$P$27,13,FALSE)*K125</f>
        <v>158</v>
      </c>
      <c r="M125" s="104" t="s">
        <v>99</v>
      </c>
      <c r="N125" s="101" t="s">
        <v>91</v>
      </c>
      <c r="O125" s="105">
        <v>240</v>
      </c>
      <c r="P125" s="105">
        <f t="shared" si="3"/>
        <v>240</v>
      </c>
      <c r="Q125" s="104" t="s">
        <v>100</v>
      </c>
    </row>
    <row r="126" spans="1:17" ht="18" customHeight="1">
      <c r="A126" s="104">
        <v>10005992</v>
      </c>
      <c r="B126" s="104" t="str">
        <f>VLOOKUP(A126,[1]단품수량!$B$5:$E$27,4,FALSE)</f>
        <v>FDI</v>
      </c>
      <c r="C126" s="104">
        <v>124</v>
      </c>
      <c r="D126" s="104" t="s">
        <v>218</v>
      </c>
      <c r="E126" s="104">
        <v>30081231</v>
      </c>
      <c r="F126" s="104"/>
      <c r="G126" s="104"/>
      <c r="H126" s="104" t="s">
        <v>216</v>
      </c>
      <c r="I126" s="104" t="s">
        <v>217</v>
      </c>
      <c r="J126" s="104">
        <v>42</v>
      </c>
      <c r="K126" s="104">
        <v>42</v>
      </c>
      <c r="L126" s="104">
        <f>VLOOKUP(A126,[1]단품수량!$B$5:$P$27,13,FALSE)*K126</f>
        <v>6636</v>
      </c>
      <c r="M126" s="104" t="s">
        <v>107</v>
      </c>
      <c r="N126" s="101" t="s">
        <v>91</v>
      </c>
      <c r="O126" s="105">
        <v>18</v>
      </c>
      <c r="P126" s="105">
        <f t="shared" si="3"/>
        <v>756</v>
      </c>
      <c r="Q126" s="104" t="s">
        <v>100</v>
      </c>
    </row>
    <row r="127" spans="1:17" ht="18" customHeight="1">
      <c r="A127" s="104">
        <v>10005983</v>
      </c>
      <c r="B127" s="104" t="str">
        <f>VLOOKUP(A127,[1]단품수량!$B$5:$E$27,4,FALSE)</f>
        <v>ISP</v>
      </c>
      <c r="C127" s="104">
        <v>125</v>
      </c>
      <c r="D127" s="104" t="s">
        <v>86</v>
      </c>
      <c r="E127" s="104">
        <v>30120734</v>
      </c>
      <c r="F127" s="104" t="s">
        <v>322</v>
      </c>
      <c r="G127" s="104"/>
      <c r="H127" s="104" t="s">
        <v>151</v>
      </c>
      <c r="I127" s="104" t="s">
        <v>89</v>
      </c>
      <c r="J127" s="104">
        <v>1</v>
      </c>
      <c r="K127" s="104">
        <v>1</v>
      </c>
      <c r="L127" s="104">
        <f>VLOOKUP(A127,[1]단품수량!$B$5:$P$27,13,FALSE)*K127</f>
        <v>960</v>
      </c>
      <c r="M127" s="104" t="s">
        <v>90</v>
      </c>
      <c r="N127" s="101" t="s">
        <v>91</v>
      </c>
      <c r="O127" s="105">
        <v>45800</v>
      </c>
      <c r="P127" s="105">
        <f t="shared" si="3"/>
        <v>45800</v>
      </c>
      <c r="Q127" s="104" t="s">
        <v>159</v>
      </c>
    </row>
    <row r="128" spans="1:17" ht="18" customHeight="1">
      <c r="A128" s="104">
        <v>10005983</v>
      </c>
      <c r="B128" s="104" t="str">
        <f>VLOOKUP(A128,[1]단품수량!$B$5:$E$27,4,FALSE)</f>
        <v>ISP</v>
      </c>
      <c r="C128" s="104">
        <v>126</v>
      </c>
      <c r="D128" s="104" t="s">
        <v>149</v>
      </c>
      <c r="E128" s="104">
        <v>30120732</v>
      </c>
      <c r="F128" s="104" t="s">
        <v>266</v>
      </c>
      <c r="G128" s="104"/>
      <c r="H128" s="104" t="s">
        <v>161</v>
      </c>
      <c r="I128" s="104" t="s">
        <v>89</v>
      </c>
      <c r="J128" s="104">
        <v>1</v>
      </c>
      <c r="K128" s="104">
        <v>1</v>
      </c>
      <c r="L128" s="104">
        <f>VLOOKUP(A128,[1]단품수량!$B$5:$P$27,13,FALSE)*K128</f>
        <v>960</v>
      </c>
      <c r="M128" s="104" t="s">
        <v>90</v>
      </c>
      <c r="N128" s="101" t="s">
        <v>91</v>
      </c>
      <c r="O128" s="105">
        <v>0</v>
      </c>
      <c r="P128" s="105">
        <f t="shared" si="3"/>
        <v>0</v>
      </c>
      <c r="Q128" s="104" t="s">
        <v>159</v>
      </c>
    </row>
    <row r="129" spans="1:17" ht="18" customHeight="1">
      <c r="A129" s="104">
        <v>10005983</v>
      </c>
      <c r="B129" s="104" t="str">
        <f>VLOOKUP(A129,[1]단품수량!$B$5:$E$27,4,FALSE)</f>
        <v>ISP</v>
      </c>
      <c r="C129" s="104">
        <v>127</v>
      </c>
      <c r="D129" s="104" t="s">
        <v>152</v>
      </c>
      <c r="E129" s="104">
        <v>30120733</v>
      </c>
      <c r="F129" s="104" t="s">
        <v>323</v>
      </c>
      <c r="G129" s="104"/>
      <c r="H129" s="104" t="s">
        <v>88</v>
      </c>
      <c r="I129" s="104" t="s">
        <v>89</v>
      </c>
      <c r="J129" s="104">
        <v>1</v>
      </c>
      <c r="K129" s="104">
        <v>1</v>
      </c>
      <c r="L129" s="104">
        <f>VLOOKUP(A129,[1]단품수량!$B$5:$P$27,13,FALSE)*K129</f>
        <v>960</v>
      </c>
      <c r="M129" s="104" t="s">
        <v>90</v>
      </c>
      <c r="N129" s="101" t="s">
        <v>91</v>
      </c>
      <c r="O129" s="105">
        <v>0</v>
      </c>
      <c r="P129" s="105">
        <f t="shared" si="3"/>
        <v>0</v>
      </c>
      <c r="Q129" s="104" t="s">
        <v>159</v>
      </c>
    </row>
    <row r="130" spans="1:17" ht="18" customHeight="1">
      <c r="A130" s="104">
        <v>10005983</v>
      </c>
      <c r="B130" s="104" t="str">
        <f>VLOOKUP(A130,[1]단품수량!$B$5:$E$27,4,FALSE)</f>
        <v>ISP</v>
      </c>
      <c r="C130" s="104">
        <v>128</v>
      </c>
      <c r="D130" s="104" t="s">
        <v>93</v>
      </c>
      <c r="E130" s="104">
        <v>30118495</v>
      </c>
      <c r="F130" s="104"/>
      <c r="G130" s="104"/>
      <c r="H130" s="104" t="s">
        <v>229</v>
      </c>
      <c r="I130" s="104" t="s">
        <v>230</v>
      </c>
      <c r="J130" s="104">
        <v>1</v>
      </c>
      <c r="K130" s="104">
        <v>1</v>
      </c>
      <c r="L130" s="104">
        <f>VLOOKUP(A130,[1]단품수량!$B$5:$P$27,13,FALSE)*K130</f>
        <v>960</v>
      </c>
      <c r="M130" s="104" t="s">
        <v>99</v>
      </c>
      <c r="N130" s="101" t="s">
        <v>91</v>
      </c>
      <c r="O130" s="105">
        <v>4600</v>
      </c>
      <c r="P130" s="105">
        <f t="shared" si="3"/>
        <v>4600</v>
      </c>
      <c r="Q130" s="104" t="s">
        <v>100</v>
      </c>
    </row>
    <row r="131" spans="1:17" ht="18" customHeight="1">
      <c r="A131" s="104">
        <v>10005983</v>
      </c>
      <c r="B131" s="104" t="str">
        <f>VLOOKUP(A131,[1]단품수량!$B$5:$E$27,4,FALSE)</f>
        <v>ISP</v>
      </c>
      <c r="C131" s="104">
        <v>129</v>
      </c>
      <c r="D131" s="104" t="s">
        <v>96</v>
      </c>
      <c r="E131" s="104">
        <v>30120769</v>
      </c>
      <c r="F131" s="104" t="s">
        <v>324</v>
      </c>
      <c r="G131" s="104"/>
      <c r="H131" s="104" t="s">
        <v>289</v>
      </c>
      <c r="I131" s="104" t="s">
        <v>325</v>
      </c>
      <c r="J131" s="104">
        <v>1</v>
      </c>
      <c r="K131" s="104">
        <v>1</v>
      </c>
      <c r="L131" s="104">
        <f>VLOOKUP(A131,[1]단품수량!$B$5:$P$27,13,FALSE)*K131</f>
        <v>960</v>
      </c>
      <c r="M131" s="104" t="s">
        <v>90</v>
      </c>
      <c r="N131" s="101" t="s">
        <v>91</v>
      </c>
      <c r="O131" s="105">
        <v>35000</v>
      </c>
      <c r="P131" s="105">
        <f t="shared" si="3"/>
        <v>35000</v>
      </c>
      <c r="Q131" s="104" t="s">
        <v>291</v>
      </c>
    </row>
    <row r="132" spans="1:17" ht="18" customHeight="1">
      <c r="A132" s="104">
        <v>10005983</v>
      </c>
      <c r="B132" s="104" t="str">
        <f>VLOOKUP(A132,[1]단품수량!$B$5:$E$27,4,FALSE)</f>
        <v>ISP</v>
      </c>
      <c r="C132" s="104">
        <v>130</v>
      </c>
      <c r="D132" s="104" t="s">
        <v>101</v>
      </c>
      <c r="E132" s="104">
        <v>30120773</v>
      </c>
      <c r="F132" s="104" t="s">
        <v>326</v>
      </c>
      <c r="G132" s="104"/>
      <c r="H132" s="104" t="s">
        <v>327</v>
      </c>
      <c r="I132" s="104" t="s">
        <v>89</v>
      </c>
      <c r="J132" s="104">
        <v>1</v>
      </c>
      <c r="K132" s="104">
        <v>1</v>
      </c>
      <c r="L132" s="104">
        <f>VLOOKUP(A132,[1]단품수량!$B$5:$P$27,13,FALSE)*K132</f>
        <v>960</v>
      </c>
      <c r="M132" s="104" t="s">
        <v>99</v>
      </c>
      <c r="N132" s="101" t="s">
        <v>91</v>
      </c>
      <c r="O132" s="105">
        <v>19500</v>
      </c>
      <c r="P132" s="105">
        <f t="shared" si="3"/>
        <v>19500</v>
      </c>
      <c r="Q132" s="104" t="s">
        <v>328</v>
      </c>
    </row>
    <row r="133" spans="1:17" ht="18" customHeight="1">
      <c r="A133" s="104">
        <v>10005983</v>
      </c>
      <c r="B133" s="104" t="str">
        <f>VLOOKUP(A133,[1]단품수량!$B$5:$E$27,4,FALSE)</f>
        <v>ISP</v>
      </c>
      <c r="C133" s="104">
        <v>131</v>
      </c>
      <c r="D133" s="104" t="s">
        <v>104</v>
      </c>
      <c r="E133" s="104">
        <v>30120269</v>
      </c>
      <c r="F133" s="104"/>
      <c r="G133" s="104"/>
      <c r="H133" s="104" t="s">
        <v>137</v>
      </c>
      <c r="I133" s="104" t="s">
        <v>329</v>
      </c>
      <c r="J133" s="104">
        <v>1</v>
      </c>
      <c r="K133" s="104">
        <v>1</v>
      </c>
      <c r="L133" s="104">
        <f>VLOOKUP(A133,[1]단품수량!$B$5:$P$27,13,FALSE)*K133</f>
        <v>960</v>
      </c>
      <c r="M133" s="104" t="s">
        <v>99</v>
      </c>
      <c r="N133" s="101" t="s">
        <v>91</v>
      </c>
      <c r="O133" s="105">
        <v>6280</v>
      </c>
      <c r="P133" s="105">
        <f t="shared" si="3"/>
        <v>6280</v>
      </c>
      <c r="Q133" s="104" t="s">
        <v>139</v>
      </c>
    </row>
    <row r="134" spans="1:17" ht="18" customHeight="1">
      <c r="A134" s="104">
        <v>10005983</v>
      </c>
      <c r="B134" s="104" t="str">
        <f>VLOOKUP(A134,[1]단품수량!$B$5:$E$27,4,FALSE)</f>
        <v>ISP</v>
      </c>
      <c r="C134" s="104">
        <v>132</v>
      </c>
      <c r="D134" s="104" t="s">
        <v>109</v>
      </c>
      <c r="E134" s="104">
        <v>30120270</v>
      </c>
      <c r="F134" s="104"/>
      <c r="G134" s="104"/>
      <c r="H134" s="104" t="s">
        <v>137</v>
      </c>
      <c r="I134" s="104" t="s">
        <v>330</v>
      </c>
      <c r="J134" s="104">
        <v>1</v>
      </c>
      <c r="K134" s="104">
        <v>1</v>
      </c>
      <c r="L134" s="104">
        <f>VLOOKUP(A134,[1]단품수량!$B$5:$P$27,13,FALSE)*K134</f>
        <v>960</v>
      </c>
      <c r="M134" s="104" t="s">
        <v>99</v>
      </c>
      <c r="N134" s="101" t="s">
        <v>91</v>
      </c>
      <c r="O134" s="105">
        <v>6530</v>
      </c>
      <c r="P134" s="105">
        <f t="shared" si="3"/>
        <v>6530</v>
      </c>
      <c r="Q134" s="104" t="s">
        <v>139</v>
      </c>
    </row>
    <row r="135" spans="1:17" ht="18" customHeight="1">
      <c r="A135" s="104">
        <v>10005983</v>
      </c>
      <c r="B135" s="104" t="str">
        <f>VLOOKUP(A135,[1]단품수량!$B$5:$E$27,4,FALSE)</f>
        <v>ISP</v>
      </c>
      <c r="C135" s="104">
        <v>133</v>
      </c>
      <c r="D135" s="104" t="s">
        <v>112</v>
      </c>
      <c r="E135" s="104">
        <v>30120808</v>
      </c>
      <c r="F135" s="104"/>
      <c r="G135" s="104"/>
      <c r="H135" s="104" t="s">
        <v>270</v>
      </c>
      <c r="I135" s="104" t="s">
        <v>331</v>
      </c>
      <c r="J135" s="104">
        <v>1</v>
      </c>
      <c r="K135" s="104">
        <v>1</v>
      </c>
      <c r="L135" s="104">
        <f>VLOOKUP(A135,[1]단품수량!$B$5:$P$27,13,FALSE)*K135</f>
        <v>960</v>
      </c>
      <c r="M135" s="104" t="s">
        <v>99</v>
      </c>
      <c r="N135" s="101" t="s">
        <v>91</v>
      </c>
      <c r="O135" s="105">
        <v>300</v>
      </c>
      <c r="P135" s="105">
        <f t="shared" si="3"/>
        <v>300</v>
      </c>
      <c r="Q135" s="104" t="s">
        <v>133</v>
      </c>
    </row>
    <row r="136" spans="1:17" ht="18" customHeight="1">
      <c r="A136" s="104">
        <v>10005983</v>
      </c>
      <c r="B136" s="104" t="str">
        <f>VLOOKUP(A136,[1]단품수량!$B$5:$E$27,4,FALSE)</f>
        <v>ISP</v>
      </c>
      <c r="C136" s="104">
        <v>134</v>
      </c>
      <c r="D136" s="104" t="s">
        <v>115</v>
      </c>
      <c r="E136" s="104">
        <v>30120650</v>
      </c>
      <c r="F136" s="104" t="s">
        <v>332</v>
      </c>
      <c r="G136" s="104"/>
      <c r="H136" s="104" t="s">
        <v>123</v>
      </c>
      <c r="I136" s="104" t="s">
        <v>333</v>
      </c>
      <c r="J136" s="104">
        <v>1</v>
      </c>
      <c r="K136" s="104">
        <v>1</v>
      </c>
      <c r="L136" s="104">
        <f>VLOOKUP(A136,[1]단품수량!$B$5:$P$27,13,FALSE)*K136</f>
        <v>960</v>
      </c>
      <c r="M136" s="104" t="s">
        <v>90</v>
      </c>
      <c r="N136" s="101" t="s">
        <v>91</v>
      </c>
      <c r="O136" s="105">
        <v>600</v>
      </c>
      <c r="P136" s="105">
        <f t="shared" si="3"/>
        <v>600</v>
      </c>
      <c r="Q136" s="104" t="s">
        <v>125</v>
      </c>
    </row>
    <row r="137" spans="1:17" ht="18" customHeight="1">
      <c r="A137" s="104">
        <v>10005983</v>
      </c>
      <c r="B137" s="104" t="str">
        <f>VLOOKUP(A137,[1]단품수량!$B$5:$E$27,4,FALSE)</f>
        <v>ISP</v>
      </c>
      <c r="C137" s="104">
        <v>135</v>
      </c>
      <c r="D137" s="104" t="s">
        <v>118</v>
      </c>
      <c r="E137" s="104">
        <v>20061635</v>
      </c>
      <c r="F137" s="104" t="s">
        <v>334</v>
      </c>
      <c r="G137" s="104"/>
      <c r="H137" s="104" t="s">
        <v>335</v>
      </c>
      <c r="I137" s="104" t="s">
        <v>89</v>
      </c>
      <c r="J137" s="104">
        <v>1</v>
      </c>
      <c r="K137" s="104">
        <v>1</v>
      </c>
      <c r="L137" s="104">
        <f>VLOOKUP(A137,[1]단품수량!$B$5:$P$27,13,FALSE)*K137</f>
        <v>960</v>
      </c>
      <c r="M137" s="104" t="s">
        <v>205</v>
      </c>
      <c r="N137" s="101" t="s">
        <v>91</v>
      </c>
      <c r="O137" s="105">
        <v>0</v>
      </c>
      <c r="P137" s="105">
        <f t="shared" si="3"/>
        <v>0</v>
      </c>
      <c r="Q137" s="104" t="s">
        <v>336</v>
      </c>
    </row>
    <row r="138" spans="1:17" ht="18" customHeight="1">
      <c r="A138" s="104">
        <v>10005983</v>
      </c>
      <c r="B138" s="104" t="str">
        <f>VLOOKUP(A138,[1]단품수량!$B$5:$E$27,4,FALSE)</f>
        <v>ISP</v>
      </c>
      <c r="C138" s="104">
        <v>136</v>
      </c>
      <c r="D138" s="104" t="s">
        <v>149</v>
      </c>
      <c r="E138" s="104">
        <v>30075140</v>
      </c>
      <c r="F138" s="104"/>
      <c r="G138" s="104"/>
      <c r="H138" s="104" t="s">
        <v>143</v>
      </c>
      <c r="I138" s="104" t="s">
        <v>206</v>
      </c>
      <c r="J138" s="104">
        <v>2</v>
      </c>
      <c r="K138" s="104">
        <v>2</v>
      </c>
      <c r="L138" s="104">
        <f>VLOOKUP(A138,[1]단품수량!$B$5:$P$27,13,FALSE)*K138</f>
        <v>1920</v>
      </c>
      <c r="M138" s="104" t="s">
        <v>107</v>
      </c>
      <c r="N138" s="101" t="s">
        <v>91</v>
      </c>
      <c r="O138" s="105">
        <v>380</v>
      </c>
      <c r="P138" s="105">
        <f t="shared" si="3"/>
        <v>760</v>
      </c>
      <c r="Q138" s="104" t="s">
        <v>108</v>
      </c>
    </row>
    <row r="139" spans="1:17" ht="18" customHeight="1">
      <c r="A139" s="104">
        <v>10005983</v>
      </c>
      <c r="B139" s="104" t="str">
        <f>VLOOKUP(A139,[1]단품수량!$B$5:$E$27,4,FALSE)</f>
        <v>ISP</v>
      </c>
      <c r="C139" s="104">
        <v>137</v>
      </c>
      <c r="D139" s="104" t="s">
        <v>152</v>
      </c>
      <c r="E139" s="104">
        <v>30111991</v>
      </c>
      <c r="F139" s="104"/>
      <c r="G139" s="104"/>
      <c r="H139" s="104" t="s">
        <v>137</v>
      </c>
      <c r="I139" s="104" t="s">
        <v>321</v>
      </c>
      <c r="J139" s="104">
        <v>1</v>
      </c>
      <c r="K139" s="104">
        <v>1</v>
      </c>
      <c r="L139" s="104">
        <f>VLOOKUP(A139,[1]단품수량!$B$5:$P$27,13,FALSE)*K139</f>
        <v>960</v>
      </c>
      <c r="M139" s="104" t="s">
        <v>99</v>
      </c>
      <c r="N139" s="101" t="s">
        <v>91</v>
      </c>
      <c r="O139" s="105">
        <v>240</v>
      </c>
      <c r="P139" s="105">
        <f t="shared" si="3"/>
        <v>240</v>
      </c>
      <c r="Q139" s="104" t="s">
        <v>100</v>
      </c>
    </row>
    <row r="140" spans="1:17" ht="18" customHeight="1">
      <c r="A140" s="104">
        <v>10005983</v>
      </c>
      <c r="B140" s="104" t="str">
        <f>VLOOKUP(A140,[1]단품수량!$B$5:$E$27,4,FALSE)</f>
        <v>ISP</v>
      </c>
      <c r="C140" s="104">
        <v>138</v>
      </c>
      <c r="D140" s="104" t="s">
        <v>208</v>
      </c>
      <c r="E140" s="104">
        <v>30120775</v>
      </c>
      <c r="F140" s="104"/>
      <c r="G140" s="104"/>
      <c r="H140" s="104" t="s">
        <v>137</v>
      </c>
      <c r="I140" s="104" t="s">
        <v>337</v>
      </c>
      <c r="J140" s="104">
        <v>1</v>
      </c>
      <c r="K140" s="104">
        <v>1</v>
      </c>
      <c r="L140" s="104">
        <f>VLOOKUP(A140,[1]단품수량!$B$5:$P$27,13,FALSE)*K140</f>
        <v>960</v>
      </c>
      <c r="M140" s="104" t="s">
        <v>99</v>
      </c>
      <c r="N140" s="101" t="s">
        <v>91</v>
      </c>
      <c r="O140" s="105">
        <v>60</v>
      </c>
      <c r="P140" s="105">
        <f t="shared" si="3"/>
        <v>60</v>
      </c>
      <c r="Q140" s="104" t="s">
        <v>100</v>
      </c>
    </row>
    <row r="141" spans="1:17" ht="18" customHeight="1">
      <c r="A141" s="104">
        <v>10005983</v>
      </c>
      <c r="B141" s="104" t="str">
        <f>VLOOKUP(A141,[1]단품수량!$B$5:$E$27,4,FALSE)</f>
        <v>ISP</v>
      </c>
      <c r="C141" s="104">
        <v>139</v>
      </c>
      <c r="D141" s="104" t="s">
        <v>210</v>
      </c>
      <c r="E141" s="104">
        <v>30115073</v>
      </c>
      <c r="F141" s="104"/>
      <c r="G141" s="104"/>
      <c r="H141" s="104" t="s">
        <v>137</v>
      </c>
      <c r="I141" s="104" t="s">
        <v>214</v>
      </c>
      <c r="J141" s="104">
        <v>1</v>
      </c>
      <c r="K141" s="104">
        <v>1</v>
      </c>
      <c r="L141" s="104">
        <f>VLOOKUP(A141,[1]단품수량!$B$5:$P$27,13,FALSE)*K141</f>
        <v>960</v>
      </c>
      <c r="M141" s="104" t="s">
        <v>99</v>
      </c>
      <c r="N141" s="101" t="s">
        <v>91</v>
      </c>
      <c r="O141" s="105">
        <v>96</v>
      </c>
      <c r="P141" s="105">
        <f t="shared" si="3"/>
        <v>96</v>
      </c>
      <c r="Q141" s="104" t="s">
        <v>100</v>
      </c>
    </row>
    <row r="142" spans="1:17" ht="18" customHeight="1">
      <c r="A142" s="104">
        <v>10005983</v>
      </c>
      <c r="B142" s="104" t="str">
        <f>VLOOKUP(A142,[1]단품수량!$B$5:$E$27,4,FALSE)</f>
        <v>ISP</v>
      </c>
      <c r="C142" s="104">
        <v>140</v>
      </c>
      <c r="D142" s="104" t="s">
        <v>213</v>
      </c>
      <c r="E142" s="104">
        <v>30081231</v>
      </c>
      <c r="F142" s="104"/>
      <c r="G142" s="104"/>
      <c r="H142" s="104" t="s">
        <v>216</v>
      </c>
      <c r="I142" s="104" t="s">
        <v>217</v>
      </c>
      <c r="J142" s="104">
        <v>12</v>
      </c>
      <c r="K142" s="104">
        <v>12</v>
      </c>
      <c r="L142" s="104">
        <f>VLOOKUP(A142,[1]단품수량!$B$5:$P$27,13,FALSE)*K142</f>
        <v>11520</v>
      </c>
      <c r="M142" s="104" t="s">
        <v>107</v>
      </c>
      <c r="N142" s="101" t="s">
        <v>91</v>
      </c>
      <c r="O142" s="105">
        <v>18</v>
      </c>
      <c r="P142" s="105">
        <f t="shared" si="3"/>
        <v>216</v>
      </c>
      <c r="Q142" s="104" t="s">
        <v>100</v>
      </c>
    </row>
    <row r="143" spans="1:17" ht="18" customHeight="1">
      <c r="A143" s="104">
        <v>10005983</v>
      </c>
      <c r="B143" s="104" t="str">
        <f>VLOOKUP(A143,[1]단품수량!$B$5:$E$27,4,FALSE)</f>
        <v>ISP</v>
      </c>
      <c r="C143" s="104">
        <v>141</v>
      </c>
      <c r="D143" s="104" t="s">
        <v>121</v>
      </c>
      <c r="E143" s="104">
        <v>30124437</v>
      </c>
      <c r="F143" s="104"/>
      <c r="G143" s="104"/>
      <c r="H143" s="104" t="s">
        <v>272</v>
      </c>
      <c r="I143" s="104" t="s">
        <v>273</v>
      </c>
      <c r="J143" s="104">
        <v>8</v>
      </c>
      <c r="K143" s="104">
        <v>8</v>
      </c>
      <c r="L143" s="104">
        <f>VLOOKUP(A143,[1]단품수량!$B$5:$P$27,13,FALSE)*K143</f>
        <v>7680</v>
      </c>
      <c r="M143" s="104" t="s">
        <v>99</v>
      </c>
      <c r="N143" s="101"/>
      <c r="O143" s="105">
        <v>0</v>
      </c>
      <c r="P143" s="105">
        <f t="shared" si="3"/>
        <v>0</v>
      </c>
      <c r="Q143" s="104"/>
    </row>
    <row r="144" spans="1:17" ht="18" customHeight="1">
      <c r="A144" s="104">
        <v>10006243</v>
      </c>
      <c r="B144" s="104" t="str">
        <f>VLOOKUP(A144,[1]단품수량!$B$5:$E$27,4,FALSE)</f>
        <v>JCR</v>
      </c>
      <c r="C144" s="104">
        <v>142</v>
      </c>
      <c r="D144" s="104" t="s">
        <v>86</v>
      </c>
      <c r="E144" s="104">
        <v>20061702</v>
      </c>
      <c r="F144" s="104"/>
      <c r="G144" s="104"/>
      <c r="H144" s="104" t="s">
        <v>338</v>
      </c>
      <c r="I144" s="104" t="s">
        <v>339</v>
      </c>
      <c r="J144" s="104">
        <v>1</v>
      </c>
      <c r="K144" s="104">
        <v>1</v>
      </c>
      <c r="L144" s="104">
        <f>VLOOKUP(A144,[1]단품수량!$B$5:$P$27,13,FALSE)*K144</f>
        <v>0</v>
      </c>
      <c r="M144" s="104" t="s">
        <v>90</v>
      </c>
      <c r="N144" s="101" t="s">
        <v>91</v>
      </c>
      <c r="O144" s="105">
        <v>1292000</v>
      </c>
      <c r="P144" s="105">
        <f t="shared" si="3"/>
        <v>1292000</v>
      </c>
      <c r="Q144" s="104" t="s">
        <v>108</v>
      </c>
    </row>
    <row r="145" spans="1:17" ht="18" customHeight="1">
      <c r="A145" s="104">
        <v>10006243</v>
      </c>
      <c r="B145" s="104" t="str">
        <f>VLOOKUP(A145,[1]단품수량!$B$5:$E$27,4,FALSE)</f>
        <v>JCR</v>
      </c>
      <c r="C145" s="104">
        <v>143</v>
      </c>
      <c r="D145" s="104" t="s">
        <v>93</v>
      </c>
      <c r="E145" s="104">
        <v>20061703</v>
      </c>
      <c r="F145" s="104"/>
      <c r="G145" s="104"/>
      <c r="H145" s="104" t="s">
        <v>340</v>
      </c>
      <c r="I145" s="104" t="s">
        <v>339</v>
      </c>
      <c r="J145" s="104">
        <v>2</v>
      </c>
      <c r="K145" s="104">
        <v>2</v>
      </c>
      <c r="L145" s="104">
        <f>VLOOKUP(A145,[1]단품수량!$B$5:$P$27,13,FALSE)*K145</f>
        <v>0</v>
      </c>
      <c r="M145" s="104" t="s">
        <v>90</v>
      </c>
      <c r="N145" s="101" t="s">
        <v>91</v>
      </c>
      <c r="O145" s="105">
        <v>277000</v>
      </c>
      <c r="P145" s="105">
        <f t="shared" si="3"/>
        <v>554000</v>
      </c>
      <c r="Q145" s="104" t="s">
        <v>108</v>
      </c>
    </row>
    <row r="146" spans="1:17" ht="18" customHeight="1">
      <c r="A146" s="104">
        <v>10006243</v>
      </c>
      <c r="B146" s="104" t="str">
        <f>VLOOKUP(A146,[1]단품수량!$B$5:$E$27,4,FALSE)</f>
        <v>JCR</v>
      </c>
      <c r="C146" s="104">
        <v>144</v>
      </c>
      <c r="D146" s="104" t="s">
        <v>96</v>
      </c>
      <c r="E146" s="104">
        <v>20061704</v>
      </c>
      <c r="F146" s="104"/>
      <c r="G146" s="104"/>
      <c r="H146" s="104" t="s">
        <v>341</v>
      </c>
      <c r="I146" s="104" t="s">
        <v>339</v>
      </c>
      <c r="J146" s="104">
        <v>1</v>
      </c>
      <c r="K146" s="104">
        <v>1</v>
      </c>
      <c r="L146" s="104">
        <f>VLOOKUP(A146,[1]단품수량!$B$5:$P$27,13,FALSE)*K146</f>
        <v>0</v>
      </c>
      <c r="M146" s="104" t="s">
        <v>90</v>
      </c>
      <c r="N146" s="101"/>
      <c r="O146" s="105">
        <v>0</v>
      </c>
      <c r="P146" s="105">
        <f t="shared" si="3"/>
        <v>0</v>
      </c>
      <c r="Q146" s="104"/>
    </row>
    <row r="147" spans="1:17" ht="18" customHeight="1">
      <c r="A147" s="104">
        <v>10006243</v>
      </c>
      <c r="B147" s="104" t="str">
        <f>VLOOKUP(A147,[1]단품수량!$B$5:$E$27,4,FALSE)</f>
        <v>JCR</v>
      </c>
      <c r="C147" s="104">
        <v>145</v>
      </c>
      <c r="D147" s="104" t="s">
        <v>149</v>
      </c>
      <c r="E147" s="104">
        <v>30121210</v>
      </c>
      <c r="F147" s="104"/>
      <c r="G147" s="104"/>
      <c r="H147" s="104" t="s">
        <v>342</v>
      </c>
      <c r="I147" s="104" t="s">
        <v>343</v>
      </c>
      <c r="J147" s="104">
        <v>1</v>
      </c>
      <c r="K147" s="104">
        <v>1</v>
      </c>
      <c r="L147" s="104">
        <f>VLOOKUP(A147,[1]단품수량!$B$5:$P$27,13,FALSE)*K147</f>
        <v>0</v>
      </c>
      <c r="M147" s="104" t="s">
        <v>99</v>
      </c>
      <c r="N147" s="101" t="s">
        <v>91</v>
      </c>
      <c r="O147" s="105">
        <v>119100</v>
      </c>
      <c r="P147" s="105">
        <f t="shared" si="3"/>
        <v>119100</v>
      </c>
      <c r="Q147" s="104" t="s">
        <v>108</v>
      </c>
    </row>
    <row r="148" spans="1:17" ht="18" customHeight="1">
      <c r="A148" s="104">
        <v>10006243</v>
      </c>
      <c r="B148" s="104" t="str">
        <f>VLOOKUP(A148,[1]단품수량!$B$5:$E$27,4,FALSE)</f>
        <v>JCR</v>
      </c>
      <c r="C148" s="104">
        <v>146</v>
      </c>
      <c r="D148" s="104" t="s">
        <v>152</v>
      </c>
      <c r="E148" s="104">
        <v>30121211</v>
      </c>
      <c r="F148" s="104"/>
      <c r="G148" s="104"/>
      <c r="H148" s="104" t="s">
        <v>342</v>
      </c>
      <c r="I148" s="104" t="s">
        <v>344</v>
      </c>
      <c r="J148" s="104">
        <v>1</v>
      </c>
      <c r="K148" s="104">
        <v>1</v>
      </c>
      <c r="L148" s="104">
        <f>VLOOKUP(A148,[1]단품수량!$B$5:$P$27,13,FALSE)*K148</f>
        <v>0</v>
      </c>
      <c r="M148" s="104" t="s">
        <v>99</v>
      </c>
      <c r="N148" s="101" t="s">
        <v>91</v>
      </c>
      <c r="O148" s="105">
        <v>119100</v>
      </c>
      <c r="P148" s="105">
        <f t="shared" si="3"/>
        <v>119100</v>
      </c>
      <c r="Q148" s="104" t="s">
        <v>108</v>
      </c>
    </row>
    <row r="149" spans="1:17" ht="18" customHeight="1">
      <c r="A149" s="104">
        <v>10006243</v>
      </c>
      <c r="B149" s="104" t="str">
        <f>VLOOKUP(A149,[1]단품수량!$B$5:$E$27,4,FALSE)</f>
        <v>JCR</v>
      </c>
      <c r="C149" s="104">
        <v>147</v>
      </c>
      <c r="D149" s="104" t="s">
        <v>208</v>
      </c>
      <c r="E149" s="104">
        <v>30121212</v>
      </c>
      <c r="F149" s="104"/>
      <c r="G149" s="104"/>
      <c r="H149" s="104" t="s">
        <v>342</v>
      </c>
      <c r="I149" s="104" t="s">
        <v>345</v>
      </c>
      <c r="J149" s="104">
        <v>1</v>
      </c>
      <c r="K149" s="104">
        <v>1</v>
      </c>
      <c r="L149" s="104">
        <f>VLOOKUP(A149,[1]단품수량!$B$5:$P$27,13,FALSE)*K149</f>
        <v>0</v>
      </c>
      <c r="M149" s="104" t="s">
        <v>99</v>
      </c>
      <c r="N149" s="101" t="s">
        <v>91</v>
      </c>
      <c r="O149" s="105">
        <v>141100</v>
      </c>
      <c r="P149" s="105">
        <f t="shared" si="3"/>
        <v>141100</v>
      </c>
      <c r="Q149" s="104" t="s">
        <v>108</v>
      </c>
    </row>
    <row r="150" spans="1:17" ht="18" customHeight="1">
      <c r="A150" s="104">
        <v>10006243</v>
      </c>
      <c r="B150" s="104" t="str">
        <f>VLOOKUP(A150,[1]단품수량!$B$5:$E$27,4,FALSE)</f>
        <v>JCR</v>
      </c>
      <c r="C150" s="104">
        <v>148</v>
      </c>
      <c r="D150" s="104" t="s">
        <v>210</v>
      </c>
      <c r="E150" s="104">
        <v>30121213</v>
      </c>
      <c r="F150" s="104"/>
      <c r="G150" s="104"/>
      <c r="H150" s="104" t="s">
        <v>342</v>
      </c>
      <c r="I150" s="104" t="s">
        <v>346</v>
      </c>
      <c r="J150" s="104">
        <v>1</v>
      </c>
      <c r="K150" s="104">
        <v>1</v>
      </c>
      <c r="L150" s="104">
        <f>VLOOKUP(A150,[1]단품수량!$B$5:$P$27,13,FALSE)*K150</f>
        <v>0</v>
      </c>
      <c r="M150" s="104" t="s">
        <v>99</v>
      </c>
      <c r="N150" s="101" t="s">
        <v>91</v>
      </c>
      <c r="O150" s="105">
        <v>119100</v>
      </c>
      <c r="P150" s="105">
        <f t="shared" si="3"/>
        <v>119100</v>
      </c>
      <c r="Q150" s="104" t="s">
        <v>108</v>
      </c>
    </row>
    <row r="151" spans="1:17" ht="18" customHeight="1">
      <c r="A151" s="104">
        <v>10006243</v>
      </c>
      <c r="B151" s="104" t="str">
        <f>VLOOKUP(A151,[1]단품수량!$B$5:$E$27,4,FALSE)</f>
        <v>JCR</v>
      </c>
      <c r="C151" s="104">
        <v>149</v>
      </c>
      <c r="D151" s="104" t="s">
        <v>213</v>
      </c>
      <c r="E151" s="104">
        <v>30121214</v>
      </c>
      <c r="F151" s="104"/>
      <c r="G151" s="104"/>
      <c r="H151" s="104" t="s">
        <v>342</v>
      </c>
      <c r="I151" s="104" t="s">
        <v>347</v>
      </c>
      <c r="J151" s="104">
        <v>1</v>
      </c>
      <c r="K151" s="104">
        <v>1</v>
      </c>
      <c r="L151" s="104">
        <f>VLOOKUP(A151,[1]단품수량!$B$5:$P$27,13,FALSE)*K151</f>
        <v>0</v>
      </c>
      <c r="M151" s="104" t="s">
        <v>99</v>
      </c>
      <c r="N151" s="101" t="s">
        <v>91</v>
      </c>
      <c r="O151" s="105">
        <v>123700</v>
      </c>
      <c r="P151" s="105">
        <f t="shared" si="3"/>
        <v>123700</v>
      </c>
      <c r="Q151" s="104" t="s">
        <v>108</v>
      </c>
    </row>
    <row r="152" spans="1:17" ht="18" customHeight="1">
      <c r="A152" s="104">
        <v>10006243</v>
      </c>
      <c r="B152" s="104" t="str">
        <f>VLOOKUP(A152,[1]단품수량!$B$5:$E$27,4,FALSE)</f>
        <v>JCR</v>
      </c>
      <c r="C152" s="104">
        <v>150</v>
      </c>
      <c r="D152" s="104" t="s">
        <v>215</v>
      </c>
      <c r="E152" s="104">
        <v>30121215</v>
      </c>
      <c r="F152" s="104"/>
      <c r="G152" s="104"/>
      <c r="H152" s="104" t="s">
        <v>342</v>
      </c>
      <c r="I152" s="104" t="s">
        <v>348</v>
      </c>
      <c r="J152" s="104">
        <v>1</v>
      </c>
      <c r="K152" s="104">
        <v>1</v>
      </c>
      <c r="L152" s="104">
        <f>VLOOKUP(A152,[1]단품수량!$B$5:$P$27,13,FALSE)*K152</f>
        <v>0</v>
      </c>
      <c r="M152" s="104" t="s">
        <v>99</v>
      </c>
      <c r="N152" s="101" t="s">
        <v>91</v>
      </c>
      <c r="O152" s="105">
        <v>141100</v>
      </c>
      <c r="P152" s="105">
        <f t="shared" si="3"/>
        <v>141100</v>
      </c>
      <c r="Q152" s="104" t="s">
        <v>108</v>
      </c>
    </row>
    <row r="153" spans="1:17" ht="18" customHeight="1">
      <c r="A153" s="104">
        <v>10006243</v>
      </c>
      <c r="B153" s="104" t="str">
        <f>VLOOKUP(A153,[1]단품수량!$B$5:$E$27,4,FALSE)</f>
        <v>JCR</v>
      </c>
      <c r="C153" s="104">
        <v>151</v>
      </c>
      <c r="D153" s="104" t="s">
        <v>218</v>
      </c>
      <c r="E153" s="104">
        <v>30121216</v>
      </c>
      <c r="F153" s="104"/>
      <c r="G153" s="104"/>
      <c r="H153" s="104" t="s">
        <v>342</v>
      </c>
      <c r="I153" s="104" t="s">
        <v>349</v>
      </c>
      <c r="J153" s="104">
        <v>1</v>
      </c>
      <c r="K153" s="104">
        <v>1</v>
      </c>
      <c r="L153" s="104">
        <f>VLOOKUP(A153,[1]단품수량!$B$5:$P$27,13,FALSE)*K153</f>
        <v>0</v>
      </c>
      <c r="M153" s="104" t="s">
        <v>99</v>
      </c>
      <c r="N153" s="101" t="s">
        <v>91</v>
      </c>
      <c r="O153" s="105">
        <v>119100</v>
      </c>
      <c r="P153" s="105">
        <f t="shared" si="3"/>
        <v>119100</v>
      </c>
      <c r="Q153" s="104" t="s">
        <v>108</v>
      </c>
    </row>
    <row r="154" spans="1:17" ht="18" customHeight="1">
      <c r="A154" s="104">
        <v>10006243</v>
      </c>
      <c r="B154" s="104" t="str">
        <f>VLOOKUP(A154,[1]단품수량!$B$5:$E$27,4,FALSE)</f>
        <v>JCR</v>
      </c>
      <c r="C154" s="104">
        <v>152</v>
      </c>
      <c r="D154" s="104" t="s">
        <v>221</v>
      </c>
      <c r="E154" s="104">
        <v>30121217</v>
      </c>
      <c r="F154" s="104"/>
      <c r="G154" s="104"/>
      <c r="H154" s="104" t="s">
        <v>342</v>
      </c>
      <c r="I154" s="104" t="s">
        <v>350</v>
      </c>
      <c r="J154" s="104">
        <v>1</v>
      </c>
      <c r="K154" s="104">
        <v>1</v>
      </c>
      <c r="L154" s="104">
        <f>VLOOKUP(A154,[1]단품수량!$B$5:$P$27,13,FALSE)*K154</f>
        <v>0</v>
      </c>
      <c r="M154" s="104" t="s">
        <v>99</v>
      </c>
      <c r="N154" s="101" t="s">
        <v>91</v>
      </c>
      <c r="O154" s="105">
        <v>119100</v>
      </c>
      <c r="P154" s="105">
        <f t="shared" si="3"/>
        <v>119100</v>
      </c>
      <c r="Q154" s="104" t="s">
        <v>108</v>
      </c>
    </row>
    <row r="155" spans="1:17" ht="18" customHeight="1">
      <c r="A155" s="104">
        <v>10006243</v>
      </c>
      <c r="B155" s="104" t="str">
        <f>VLOOKUP(A155,[1]단품수량!$B$5:$E$27,4,FALSE)</f>
        <v>JCR</v>
      </c>
      <c r="C155" s="104">
        <v>153</v>
      </c>
      <c r="D155" s="104" t="s">
        <v>351</v>
      </c>
      <c r="E155" s="104">
        <v>30121218</v>
      </c>
      <c r="F155" s="104"/>
      <c r="G155" s="104"/>
      <c r="H155" s="104" t="s">
        <v>342</v>
      </c>
      <c r="I155" s="104" t="s">
        <v>352</v>
      </c>
      <c r="J155" s="104">
        <v>1</v>
      </c>
      <c r="K155" s="104">
        <v>1</v>
      </c>
      <c r="L155" s="104">
        <f>VLOOKUP(A155,[1]단품수량!$B$5:$P$27,13,FALSE)*K155</f>
        <v>0</v>
      </c>
      <c r="M155" s="104" t="s">
        <v>99</v>
      </c>
      <c r="N155" s="101" t="s">
        <v>91</v>
      </c>
      <c r="O155" s="105">
        <v>141100</v>
      </c>
      <c r="P155" s="105">
        <f t="shared" si="3"/>
        <v>141100</v>
      </c>
      <c r="Q155" s="104" t="s">
        <v>108</v>
      </c>
    </row>
    <row r="156" spans="1:17" ht="18" customHeight="1">
      <c r="A156" s="104">
        <v>10006243</v>
      </c>
      <c r="B156" s="104" t="str">
        <f>VLOOKUP(A156,[1]단품수량!$B$5:$E$27,4,FALSE)</f>
        <v>JCR</v>
      </c>
      <c r="C156" s="104">
        <v>154</v>
      </c>
      <c r="D156" s="104" t="s">
        <v>353</v>
      </c>
      <c r="E156" s="104">
        <v>30121219</v>
      </c>
      <c r="F156" s="104"/>
      <c r="G156" s="104"/>
      <c r="H156" s="104" t="s">
        <v>342</v>
      </c>
      <c r="I156" s="104" t="s">
        <v>354</v>
      </c>
      <c r="J156" s="104">
        <v>1</v>
      </c>
      <c r="K156" s="104">
        <v>1</v>
      </c>
      <c r="L156" s="104">
        <f>VLOOKUP(A156,[1]단품수량!$B$5:$P$27,13,FALSE)*K156</f>
        <v>0</v>
      </c>
      <c r="M156" s="104" t="s">
        <v>99</v>
      </c>
      <c r="N156" s="101" t="s">
        <v>91</v>
      </c>
      <c r="O156" s="105">
        <v>119100</v>
      </c>
      <c r="P156" s="105">
        <f t="shared" si="3"/>
        <v>119100</v>
      </c>
      <c r="Q156" s="104" t="s">
        <v>108</v>
      </c>
    </row>
    <row r="157" spans="1:17" ht="18" customHeight="1">
      <c r="A157" s="104">
        <v>10006243</v>
      </c>
      <c r="B157" s="104" t="str">
        <f>VLOOKUP(A157,[1]단품수량!$B$5:$E$27,4,FALSE)</f>
        <v>JCR</v>
      </c>
      <c r="C157" s="104">
        <v>155</v>
      </c>
      <c r="D157" s="104" t="s">
        <v>355</v>
      </c>
      <c r="E157" s="104">
        <v>30121220</v>
      </c>
      <c r="F157" s="104"/>
      <c r="G157" s="104"/>
      <c r="H157" s="104" t="s">
        <v>342</v>
      </c>
      <c r="I157" s="104" t="s">
        <v>356</v>
      </c>
      <c r="J157" s="104">
        <v>1</v>
      </c>
      <c r="K157" s="104">
        <v>1</v>
      </c>
      <c r="L157" s="104">
        <f>VLOOKUP(A157,[1]단품수량!$B$5:$P$27,13,FALSE)*K157</f>
        <v>0</v>
      </c>
      <c r="M157" s="104" t="s">
        <v>99</v>
      </c>
      <c r="N157" s="101" t="s">
        <v>91</v>
      </c>
      <c r="O157" s="105">
        <v>101100</v>
      </c>
      <c r="P157" s="105">
        <f t="shared" si="3"/>
        <v>101100</v>
      </c>
      <c r="Q157" s="104" t="s">
        <v>108</v>
      </c>
    </row>
    <row r="158" spans="1:17" ht="18" customHeight="1">
      <c r="A158" s="104">
        <v>10006243</v>
      </c>
      <c r="B158" s="104" t="str">
        <f>VLOOKUP(A158,[1]단품수량!$B$5:$E$27,4,FALSE)</f>
        <v>JCR</v>
      </c>
      <c r="C158" s="104">
        <v>156</v>
      </c>
      <c r="D158" s="104" t="s">
        <v>357</v>
      </c>
      <c r="E158" s="104">
        <v>30121221</v>
      </c>
      <c r="F158" s="104"/>
      <c r="G158" s="104"/>
      <c r="H158" s="104" t="s">
        <v>342</v>
      </c>
      <c r="I158" s="104" t="s">
        <v>358</v>
      </c>
      <c r="J158" s="104">
        <v>1</v>
      </c>
      <c r="K158" s="104">
        <v>1</v>
      </c>
      <c r="L158" s="104">
        <f>VLOOKUP(A158,[1]단품수량!$B$5:$P$27,13,FALSE)*K158</f>
        <v>0</v>
      </c>
      <c r="M158" s="104" t="s">
        <v>99</v>
      </c>
      <c r="N158" s="101" t="s">
        <v>91</v>
      </c>
      <c r="O158" s="105">
        <v>123700</v>
      </c>
      <c r="P158" s="105">
        <f t="shared" si="3"/>
        <v>123700</v>
      </c>
      <c r="Q158" s="104" t="s">
        <v>108</v>
      </c>
    </row>
    <row r="159" spans="1:17" ht="18" customHeight="1">
      <c r="A159" s="104">
        <v>10006243</v>
      </c>
      <c r="B159" s="104" t="str">
        <f>VLOOKUP(A159,[1]단품수량!$B$5:$E$27,4,FALSE)</f>
        <v>JCR</v>
      </c>
      <c r="C159" s="104">
        <v>157</v>
      </c>
      <c r="D159" s="104" t="s">
        <v>359</v>
      </c>
      <c r="E159" s="104">
        <v>30121222</v>
      </c>
      <c r="F159" s="104"/>
      <c r="G159" s="104"/>
      <c r="H159" s="104" t="s">
        <v>342</v>
      </c>
      <c r="I159" s="104" t="s">
        <v>360</v>
      </c>
      <c r="J159" s="104">
        <v>1</v>
      </c>
      <c r="K159" s="104">
        <v>1</v>
      </c>
      <c r="L159" s="104">
        <f>VLOOKUP(A159,[1]단품수량!$B$5:$P$27,13,FALSE)*K159</f>
        <v>0</v>
      </c>
      <c r="M159" s="104" t="s">
        <v>99</v>
      </c>
      <c r="N159" s="101" t="s">
        <v>91</v>
      </c>
      <c r="O159" s="105">
        <v>141100</v>
      </c>
      <c r="P159" s="105">
        <f t="shared" si="3"/>
        <v>141100</v>
      </c>
      <c r="Q159" s="104" t="s">
        <v>108</v>
      </c>
    </row>
    <row r="160" spans="1:17" ht="18" customHeight="1">
      <c r="A160" s="104">
        <v>10006243</v>
      </c>
      <c r="B160" s="104" t="str">
        <f>VLOOKUP(A160,[1]단품수량!$B$5:$E$27,4,FALSE)</f>
        <v>JCR</v>
      </c>
      <c r="C160" s="104">
        <v>158</v>
      </c>
      <c r="D160" s="104" t="s">
        <v>361</v>
      </c>
      <c r="E160" s="104">
        <v>30121223</v>
      </c>
      <c r="F160" s="104"/>
      <c r="G160" s="104"/>
      <c r="H160" s="104" t="s">
        <v>342</v>
      </c>
      <c r="I160" s="104" t="s">
        <v>362</v>
      </c>
      <c r="J160" s="104">
        <v>1</v>
      </c>
      <c r="K160" s="104">
        <v>1</v>
      </c>
      <c r="L160" s="104">
        <f>VLOOKUP(A160,[1]단품수량!$B$5:$P$27,13,FALSE)*K160</f>
        <v>0</v>
      </c>
      <c r="M160" s="104" t="s">
        <v>99</v>
      </c>
      <c r="N160" s="101" t="s">
        <v>91</v>
      </c>
      <c r="O160" s="105">
        <v>151000</v>
      </c>
      <c r="P160" s="105">
        <f t="shared" si="3"/>
        <v>151000</v>
      </c>
      <c r="Q160" s="104" t="s">
        <v>108</v>
      </c>
    </row>
    <row r="161" spans="1:17" ht="18" customHeight="1">
      <c r="A161" s="104">
        <v>10006243</v>
      </c>
      <c r="B161" s="104" t="str">
        <f>VLOOKUP(A161,[1]단품수량!$B$5:$E$27,4,FALSE)</f>
        <v>JCR</v>
      </c>
      <c r="C161" s="104">
        <v>159</v>
      </c>
      <c r="D161" s="104" t="s">
        <v>363</v>
      </c>
      <c r="E161" s="104">
        <v>30121224</v>
      </c>
      <c r="F161" s="104"/>
      <c r="G161" s="104"/>
      <c r="H161" s="104" t="s">
        <v>342</v>
      </c>
      <c r="I161" s="104" t="s">
        <v>364</v>
      </c>
      <c r="J161" s="104">
        <v>1</v>
      </c>
      <c r="K161" s="104">
        <v>1</v>
      </c>
      <c r="L161" s="104">
        <f>VLOOKUP(A161,[1]단품수량!$B$5:$P$27,13,FALSE)*K161</f>
        <v>0</v>
      </c>
      <c r="M161" s="104" t="s">
        <v>99</v>
      </c>
      <c r="N161" s="101" t="s">
        <v>91</v>
      </c>
      <c r="O161" s="105">
        <v>119100</v>
      </c>
      <c r="P161" s="105">
        <f t="shared" si="3"/>
        <v>119100</v>
      </c>
      <c r="Q161" s="104" t="s">
        <v>108</v>
      </c>
    </row>
    <row r="162" spans="1:17" ht="18" customHeight="1">
      <c r="A162" s="104">
        <v>10006243</v>
      </c>
      <c r="B162" s="104" t="str">
        <f>VLOOKUP(A162,[1]단품수량!$B$5:$E$27,4,FALSE)</f>
        <v>JCR</v>
      </c>
      <c r="C162" s="104">
        <v>160</v>
      </c>
      <c r="D162" s="104" t="s">
        <v>365</v>
      </c>
      <c r="E162" s="104">
        <v>30121225</v>
      </c>
      <c r="F162" s="104"/>
      <c r="G162" s="104"/>
      <c r="H162" s="104" t="s">
        <v>342</v>
      </c>
      <c r="I162" s="104" t="s">
        <v>366</v>
      </c>
      <c r="J162" s="104">
        <v>1</v>
      </c>
      <c r="K162" s="104">
        <v>1</v>
      </c>
      <c r="L162" s="104">
        <f>VLOOKUP(A162,[1]단품수량!$B$5:$P$27,13,FALSE)*K162</f>
        <v>0</v>
      </c>
      <c r="M162" s="104" t="s">
        <v>99</v>
      </c>
      <c r="N162" s="101" t="s">
        <v>91</v>
      </c>
      <c r="O162" s="105">
        <v>119100</v>
      </c>
      <c r="P162" s="105">
        <f t="shared" si="3"/>
        <v>119100</v>
      </c>
      <c r="Q162" s="104" t="s">
        <v>108</v>
      </c>
    </row>
    <row r="163" spans="1:17" ht="18" customHeight="1">
      <c r="A163" s="104">
        <v>10006243</v>
      </c>
      <c r="B163" s="104" t="str">
        <f>VLOOKUP(A163,[1]단품수량!$B$5:$E$27,4,FALSE)</f>
        <v>JCR</v>
      </c>
      <c r="C163" s="104">
        <v>161</v>
      </c>
      <c r="D163" s="104" t="s">
        <v>367</v>
      </c>
      <c r="E163" s="104">
        <v>30121226</v>
      </c>
      <c r="F163" s="104"/>
      <c r="G163" s="104"/>
      <c r="H163" s="104" t="s">
        <v>342</v>
      </c>
      <c r="I163" s="104" t="s">
        <v>368</v>
      </c>
      <c r="J163" s="104">
        <v>1</v>
      </c>
      <c r="K163" s="104">
        <v>1</v>
      </c>
      <c r="L163" s="104">
        <f>VLOOKUP(A163,[1]단품수량!$B$5:$P$27,13,FALSE)*K163</f>
        <v>0</v>
      </c>
      <c r="M163" s="104" t="s">
        <v>99</v>
      </c>
      <c r="N163" s="101" t="s">
        <v>91</v>
      </c>
      <c r="O163" s="105">
        <v>141100</v>
      </c>
      <c r="P163" s="105">
        <f t="shared" si="3"/>
        <v>141100</v>
      </c>
      <c r="Q163" s="104" t="s">
        <v>108</v>
      </c>
    </row>
    <row r="164" spans="1:17" ht="18" customHeight="1">
      <c r="A164" s="104">
        <v>10006243</v>
      </c>
      <c r="B164" s="104" t="str">
        <f>VLOOKUP(A164,[1]단품수량!$B$5:$E$27,4,FALSE)</f>
        <v>JCR</v>
      </c>
      <c r="C164" s="104">
        <v>162</v>
      </c>
      <c r="D164" s="104" t="s">
        <v>369</v>
      </c>
      <c r="E164" s="104">
        <v>30121227</v>
      </c>
      <c r="F164" s="104"/>
      <c r="G164" s="104"/>
      <c r="H164" s="104" t="s">
        <v>342</v>
      </c>
      <c r="I164" s="104" t="s">
        <v>370</v>
      </c>
      <c r="J164" s="104">
        <v>1</v>
      </c>
      <c r="K164" s="104">
        <v>1</v>
      </c>
      <c r="L164" s="104">
        <f>VLOOKUP(A164,[1]단품수량!$B$5:$P$27,13,FALSE)*K164</f>
        <v>0</v>
      </c>
      <c r="M164" s="104" t="s">
        <v>99</v>
      </c>
      <c r="N164" s="101" t="s">
        <v>91</v>
      </c>
      <c r="O164" s="105">
        <v>119100</v>
      </c>
      <c r="P164" s="105">
        <f t="shared" si="3"/>
        <v>119100</v>
      </c>
      <c r="Q164" s="104" t="s">
        <v>108</v>
      </c>
    </row>
    <row r="165" spans="1:17" ht="18" customHeight="1">
      <c r="A165" s="104">
        <v>10006243</v>
      </c>
      <c r="B165" s="104" t="str">
        <f>VLOOKUP(A165,[1]단품수량!$B$5:$E$27,4,FALSE)</f>
        <v>JCR</v>
      </c>
      <c r="C165" s="104">
        <v>163</v>
      </c>
      <c r="D165" s="104" t="s">
        <v>371</v>
      </c>
      <c r="E165" s="104">
        <v>30121228</v>
      </c>
      <c r="F165" s="104"/>
      <c r="G165" s="104"/>
      <c r="H165" s="104" t="s">
        <v>342</v>
      </c>
      <c r="I165" s="104" t="s">
        <v>372</v>
      </c>
      <c r="J165" s="104">
        <v>1</v>
      </c>
      <c r="K165" s="104">
        <v>1</v>
      </c>
      <c r="L165" s="104">
        <f>VLOOKUP(A165,[1]단품수량!$B$5:$P$27,13,FALSE)*K165</f>
        <v>0</v>
      </c>
      <c r="M165" s="104" t="s">
        <v>99</v>
      </c>
      <c r="N165" s="101" t="s">
        <v>91</v>
      </c>
      <c r="O165" s="105">
        <v>101100</v>
      </c>
      <c r="P165" s="105">
        <f t="shared" si="3"/>
        <v>101100</v>
      </c>
      <c r="Q165" s="104" t="s">
        <v>108</v>
      </c>
    </row>
    <row r="166" spans="1:17" ht="18" customHeight="1">
      <c r="A166" s="104">
        <v>10006243</v>
      </c>
      <c r="B166" s="104" t="str">
        <f>VLOOKUP(A166,[1]단품수량!$B$5:$E$27,4,FALSE)</f>
        <v>JCR</v>
      </c>
      <c r="C166" s="104">
        <v>164</v>
      </c>
      <c r="D166" s="104" t="s">
        <v>373</v>
      </c>
      <c r="E166" s="104">
        <v>30121229</v>
      </c>
      <c r="F166" s="104"/>
      <c r="G166" s="104"/>
      <c r="H166" s="104" t="s">
        <v>342</v>
      </c>
      <c r="I166" s="104" t="s">
        <v>374</v>
      </c>
      <c r="J166" s="104">
        <v>1</v>
      </c>
      <c r="K166" s="104">
        <v>1</v>
      </c>
      <c r="L166" s="104">
        <f>VLOOKUP(A166,[1]단품수량!$B$5:$P$27,13,FALSE)*K166</f>
        <v>0</v>
      </c>
      <c r="M166" s="104" t="s">
        <v>99</v>
      </c>
      <c r="N166" s="101" t="s">
        <v>91</v>
      </c>
      <c r="O166" s="105">
        <v>123700</v>
      </c>
      <c r="P166" s="105">
        <f t="shared" si="3"/>
        <v>123700</v>
      </c>
      <c r="Q166" s="104" t="s">
        <v>108</v>
      </c>
    </row>
    <row r="167" spans="1:17" ht="18" customHeight="1">
      <c r="A167" s="104">
        <v>10006243</v>
      </c>
      <c r="B167" s="104" t="str">
        <f>VLOOKUP(A167,[1]단품수량!$B$5:$E$27,4,FALSE)</f>
        <v>JCR</v>
      </c>
      <c r="C167" s="104">
        <v>165</v>
      </c>
      <c r="D167" s="104" t="s">
        <v>375</v>
      </c>
      <c r="E167" s="104">
        <v>30121230</v>
      </c>
      <c r="F167" s="104"/>
      <c r="G167" s="104"/>
      <c r="H167" s="104" t="s">
        <v>342</v>
      </c>
      <c r="I167" s="104" t="s">
        <v>376</v>
      </c>
      <c r="J167" s="104">
        <v>1</v>
      </c>
      <c r="K167" s="104">
        <v>1</v>
      </c>
      <c r="L167" s="104">
        <f>VLOOKUP(A167,[1]단품수량!$B$5:$P$27,13,FALSE)*K167</f>
        <v>0</v>
      </c>
      <c r="M167" s="104" t="s">
        <v>99</v>
      </c>
      <c r="N167" s="101" t="s">
        <v>91</v>
      </c>
      <c r="O167" s="105">
        <v>141100</v>
      </c>
      <c r="P167" s="105">
        <f t="shared" si="3"/>
        <v>141100</v>
      </c>
      <c r="Q167" s="104" t="s">
        <v>108</v>
      </c>
    </row>
    <row r="168" spans="1:17" ht="18" customHeight="1">
      <c r="A168" s="104">
        <v>10006243</v>
      </c>
      <c r="B168" s="104" t="str">
        <f>VLOOKUP(A168,[1]단품수량!$B$5:$E$27,4,FALSE)</f>
        <v>JCR</v>
      </c>
      <c r="C168" s="104">
        <v>166</v>
      </c>
      <c r="D168" s="104" t="s">
        <v>377</v>
      </c>
      <c r="E168" s="104">
        <v>30121231</v>
      </c>
      <c r="F168" s="104"/>
      <c r="G168" s="104"/>
      <c r="H168" s="104" t="s">
        <v>342</v>
      </c>
      <c r="I168" s="104" t="s">
        <v>378</v>
      </c>
      <c r="J168" s="104">
        <v>1</v>
      </c>
      <c r="K168" s="104">
        <v>1</v>
      </c>
      <c r="L168" s="104">
        <f>VLOOKUP(A168,[1]단품수량!$B$5:$P$27,13,FALSE)*K168</f>
        <v>0</v>
      </c>
      <c r="M168" s="104" t="s">
        <v>99</v>
      </c>
      <c r="N168" s="101" t="s">
        <v>91</v>
      </c>
      <c r="O168" s="105">
        <v>151000</v>
      </c>
      <c r="P168" s="105">
        <f t="shared" ref="P168:P188" si="4">K168*O168</f>
        <v>151000</v>
      </c>
      <c r="Q168" s="104" t="s">
        <v>108</v>
      </c>
    </row>
    <row r="169" spans="1:17" ht="18" customHeight="1">
      <c r="A169" s="108">
        <v>10005989</v>
      </c>
      <c r="B169" s="104" t="str">
        <f>VLOOKUP(A169,[1]단품수량!$B$5:$E$27,4,FALSE)</f>
        <v>PID1</v>
      </c>
      <c r="C169" s="104">
        <v>167</v>
      </c>
      <c r="D169" s="104"/>
      <c r="E169" s="104"/>
      <c r="F169" s="104"/>
      <c r="G169" s="104"/>
      <c r="H169" s="104" t="s">
        <v>379</v>
      </c>
      <c r="I169" s="104"/>
      <c r="J169" s="104">
        <v>1</v>
      </c>
      <c r="K169" s="104">
        <v>1</v>
      </c>
      <c r="L169" s="104">
        <f>VLOOKUP(A169,[1]단품수량!$B$5:$P$27,13,FALSE)*K169</f>
        <v>480</v>
      </c>
      <c r="M169" s="104" t="s">
        <v>157</v>
      </c>
      <c r="N169" s="101"/>
      <c r="O169" s="105"/>
      <c r="P169" s="105"/>
      <c r="Q169" s="104" t="s">
        <v>380</v>
      </c>
    </row>
    <row r="170" spans="1:17" ht="18" customHeight="1">
      <c r="A170" s="108">
        <v>10005989</v>
      </c>
      <c r="B170" s="104" t="str">
        <f>VLOOKUP(A170,[1]단품수량!$B$5:$E$27,4,FALSE)</f>
        <v>PID1</v>
      </c>
      <c r="C170" s="104">
        <v>167</v>
      </c>
      <c r="D170" s="104" t="s">
        <v>86</v>
      </c>
      <c r="E170" s="104">
        <v>30120702</v>
      </c>
      <c r="F170" s="104" t="s">
        <v>381</v>
      </c>
      <c r="G170" s="104"/>
      <c r="H170" s="104" t="s">
        <v>382</v>
      </c>
      <c r="I170" s="104" t="s">
        <v>89</v>
      </c>
      <c r="J170" s="104">
        <v>1</v>
      </c>
      <c r="K170" s="104">
        <v>1</v>
      </c>
      <c r="L170" s="104">
        <f>VLOOKUP(A170,[1]단품수량!$B$5:$P$27,13,FALSE)*K170</f>
        <v>480</v>
      </c>
      <c r="M170" s="104" t="s">
        <v>90</v>
      </c>
      <c r="N170" s="101" t="s">
        <v>91</v>
      </c>
      <c r="O170" s="105">
        <v>190000</v>
      </c>
      <c r="P170" s="105">
        <f t="shared" si="4"/>
        <v>190000</v>
      </c>
      <c r="Q170" s="104" t="s">
        <v>159</v>
      </c>
    </row>
    <row r="171" spans="1:17" ht="18" customHeight="1">
      <c r="A171" s="108">
        <v>10005989</v>
      </c>
      <c r="B171" s="104" t="str">
        <f>VLOOKUP(A171,[1]단품수량!$B$5:$E$27,4,FALSE)</f>
        <v>PID1</v>
      </c>
      <c r="C171" s="104">
        <v>168</v>
      </c>
      <c r="D171" s="104" t="s">
        <v>93</v>
      </c>
      <c r="E171" s="104">
        <v>30120703</v>
      </c>
      <c r="F171" s="104" t="s">
        <v>383</v>
      </c>
      <c r="G171" s="104"/>
      <c r="H171" s="104" t="s">
        <v>170</v>
      </c>
      <c r="I171" s="104" t="s">
        <v>89</v>
      </c>
      <c r="J171" s="104">
        <v>1</v>
      </c>
      <c r="K171" s="104">
        <v>1</v>
      </c>
      <c r="L171" s="104">
        <f>VLOOKUP(A171,[1]단품수량!$B$5:$P$27,13,FALSE)*K171</f>
        <v>480</v>
      </c>
      <c r="M171" s="104" t="s">
        <v>90</v>
      </c>
      <c r="N171" s="101" t="s">
        <v>91</v>
      </c>
      <c r="O171" s="105">
        <v>0</v>
      </c>
      <c r="P171" s="105">
        <f t="shared" si="4"/>
        <v>0</v>
      </c>
      <c r="Q171" s="104" t="s">
        <v>159</v>
      </c>
    </row>
    <row r="172" spans="1:17" ht="18" customHeight="1">
      <c r="A172" s="108">
        <v>10005989</v>
      </c>
      <c r="B172" s="104" t="str">
        <f>VLOOKUP(A172,[1]단품수량!$B$5:$E$27,4,FALSE)</f>
        <v>PID1</v>
      </c>
      <c r="C172" s="104">
        <v>169</v>
      </c>
      <c r="D172" s="104" t="s">
        <v>96</v>
      </c>
      <c r="E172" s="104">
        <v>30120704</v>
      </c>
      <c r="F172" s="104" t="s">
        <v>384</v>
      </c>
      <c r="G172" s="104"/>
      <c r="H172" s="104" t="s">
        <v>170</v>
      </c>
      <c r="I172" s="104" t="s">
        <v>385</v>
      </c>
      <c r="J172" s="104">
        <v>1</v>
      </c>
      <c r="K172" s="104">
        <v>1</v>
      </c>
      <c r="L172" s="104">
        <f>VLOOKUP(A172,[1]단품수량!$B$5:$P$27,13,FALSE)*K172</f>
        <v>480</v>
      </c>
      <c r="M172" s="104" t="s">
        <v>90</v>
      </c>
      <c r="N172" s="101" t="s">
        <v>91</v>
      </c>
      <c r="O172" s="105">
        <v>8000</v>
      </c>
      <c r="P172" s="105">
        <f t="shared" si="4"/>
        <v>8000</v>
      </c>
      <c r="Q172" s="104" t="s">
        <v>125</v>
      </c>
    </row>
    <row r="173" spans="1:17" ht="18" customHeight="1">
      <c r="A173" s="108">
        <v>10005989</v>
      </c>
      <c r="B173" s="104" t="str">
        <f>VLOOKUP(A173,[1]단품수량!$B$5:$E$27,4,FALSE)</f>
        <v>PID1</v>
      </c>
      <c r="C173" s="104">
        <v>170</v>
      </c>
      <c r="D173" s="104" t="s">
        <v>101</v>
      </c>
      <c r="E173" s="104">
        <v>30118138</v>
      </c>
      <c r="F173" s="104"/>
      <c r="G173" s="104"/>
      <c r="H173" s="104" t="s">
        <v>386</v>
      </c>
      <c r="I173" s="104" t="s">
        <v>387</v>
      </c>
      <c r="J173" s="104">
        <v>1</v>
      </c>
      <c r="K173" s="104">
        <v>1</v>
      </c>
      <c r="L173" s="104">
        <f>VLOOKUP(A173,[1]단품수량!$B$5:$P$27,13,FALSE)*K173</f>
        <v>480</v>
      </c>
      <c r="M173" s="104" t="s">
        <v>99</v>
      </c>
      <c r="N173" s="101" t="s">
        <v>91</v>
      </c>
      <c r="O173" s="105">
        <v>170000</v>
      </c>
      <c r="P173" s="105">
        <f t="shared" si="4"/>
        <v>170000</v>
      </c>
      <c r="Q173" s="104" t="s">
        <v>388</v>
      </c>
    </row>
    <row r="174" spans="1:17" ht="18" customHeight="1">
      <c r="A174" s="108">
        <v>10005989</v>
      </c>
      <c r="B174" s="104" t="str">
        <f>VLOOKUP(A174,[1]단품수량!$B$5:$E$27,4,FALSE)</f>
        <v>PID1</v>
      </c>
      <c r="C174" s="104">
        <v>171</v>
      </c>
      <c r="D174" s="104" t="s">
        <v>104</v>
      </c>
      <c r="E174" s="104">
        <v>30121671</v>
      </c>
      <c r="F174" s="104"/>
      <c r="G174" s="104"/>
      <c r="H174" s="104" t="s">
        <v>389</v>
      </c>
      <c r="I174" s="104" t="s">
        <v>390</v>
      </c>
      <c r="J174" s="104">
        <v>1</v>
      </c>
      <c r="K174" s="104">
        <v>1</v>
      </c>
      <c r="L174" s="104">
        <f>VLOOKUP(A174,[1]단품수량!$B$5:$P$27,13,FALSE)*K174</f>
        <v>480</v>
      </c>
      <c r="M174" s="104" t="s">
        <v>99</v>
      </c>
      <c r="N174" s="101" t="s">
        <v>91</v>
      </c>
      <c r="O174" s="105">
        <v>50000</v>
      </c>
      <c r="P174" s="105">
        <f t="shared" si="4"/>
        <v>50000</v>
      </c>
      <c r="Q174" s="104" t="s">
        <v>388</v>
      </c>
    </row>
    <row r="175" spans="1:17" ht="18" customHeight="1">
      <c r="A175" s="108">
        <v>10005989</v>
      </c>
      <c r="B175" s="104" t="str">
        <f>VLOOKUP(A175,[1]단품수량!$B$5:$E$27,4,FALSE)</f>
        <v>PID1</v>
      </c>
      <c r="C175" s="104">
        <v>172</v>
      </c>
      <c r="D175" s="104" t="s">
        <v>109</v>
      </c>
      <c r="E175" s="104">
        <v>30120705</v>
      </c>
      <c r="F175" s="104" t="s">
        <v>391</v>
      </c>
      <c r="G175" s="104"/>
      <c r="H175" s="104" t="s">
        <v>88</v>
      </c>
      <c r="I175" s="104" t="s">
        <v>385</v>
      </c>
      <c r="J175" s="104">
        <v>1</v>
      </c>
      <c r="K175" s="104">
        <v>1</v>
      </c>
      <c r="L175" s="104">
        <f>VLOOKUP(A175,[1]단품수량!$B$5:$P$27,13,FALSE)*K175</f>
        <v>480</v>
      </c>
      <c r="M175" s="104" t="s">
        <v>90</v>
      </c>
      <c r="N175" s="101" t="s">
        <v>91</v>
      </c>
      <c r="O175" s="105">
        <v>0</v>
      </c>
      <c r="P175" s="105">
        <f t="shared" si="4"/>
        <v>0</v>
      </c>
      <c r="Q175" s="104" t="s">
        <v>125</v>
      </c>
    </row>
    <row r="176" spans="1:17" ht="18" customHeight="1">
      <c r="A176" s="108">
        <v>10005989</v>
      </c>
      <c r="B176" s="104" t="str">
        <f>VLOOKUP(A176,[1]단품수량!$B$5:$E$27,4,FALSE)</f>
        <v>PID1</v>
      </c>
      <c r="C176" s="104">
        <v>173</v>
      </c>
      <c r="D176" s="104" t="s">
        <v>112</v>
      </c>
      <c r="E176" s="104">
        <v>30120526</v>
      </c>
      <c r="F176" s="104"/>
      <c r="G176" s="104"/>
      <c r="H176" s="104" t="s">
        <v>392</v>
      </c>
      <c r="I176" s="104" t="s">
        <v>393</v>
      </c>
      <c r="J176" s="104">
        <v>1</v>
      </c>
      <c r="K176" s="104">
        <v>1</v>
      </c>
      <c r="L176" s="104">
        <f>VLOOKUP(A176,[1]단품수량!$B$5:$P$27,13,FALSE)*K176</f>
        <v>480</v>
      </c>
      <c r="M176" s="104" t="s">
        <v>99</v>
      </c>
      <c r="N176" s="101" t="s">
        <v>91</v>
      </c>
      <c r="O176" s="105">
        <v>15600</v>
      </c>
      <c r="P176" s="105">
        <f t="shared" si="4"/>
        <v>15600</v>
      </c>
      <c r="Q176" s="104" t="s">
        <v>394</v>
      </c>
    </row>
    <row r="177" spans="1:17" ht="18" customHeight="1">
      <c r="A177" s="108">
        <v>10005989</v>
      </c>
      <c r="B177" s="104" t="str">
        <f>VLOOKUP(A177,[1]단품수량!$B$5:$E$27,4,FALSE)</f>
        <v>PID1</v>
      </c>
      <c r="C177" s="104">
        <v>174</v>
      </c>
      <c r="D177" s="104" t="s">
        <v>115</v>
      </c>
      <c r="E177" s="104">
        <v>30120764</v>
      </c>
      <c r="F177" s="104"/>
      <c r="G177" s="104"/>
      <c r="H177" s="104" t="s">
        <v>392</v>
      </c>
      <c r="I177" s="104" t="s">
        <v>395</v>
      </c>
      <c r="J177" s="104">
        <v>1</v>
      </c>
      <c r="K177" s="104">
        <v>1</v>
      </c>
      <c r="L177" s="104">
        <f>VLOOKUP(A177,[1]단품수량!$B$5:$P$27,13,FALSE)*K177</f>
        <v>480</v>
      </c>
      <c r="M177" s="104" t="s">
        <v>99</v>
      </c>
      <c r="N177" s="101" t="s">
        <v>91</v>
      </c>
      <c r="O177" s="105">
        <v>14700</v>
      </c>
      <c r="P177" s="105">
        <f t="shared" si="4"/>
        <v>14700</v>
      </c>
      <c r="Q177" s="104" t="s">
        <v>394</v>
      </c>
    </row>
    <row r="178" spans="1:17" ht="18" customHeight="1">
      <c r="A178" s="108">
        <v>10005989</v>
      </c>
      <c r="B178" s="104" t="str">
        <f>VLOOKUP(A178,[1]단품수량!$B$5:$E$27,4,FALSE)</f>
        <v>PID1</v>
      </c>
      <c r="C178" s="104">
        <v>175</v>
      </c>
      <c r="D178" s="104" t="s">
        <v>118</v>
      </c>
      <c r="E178" s="104">
        <v>30071734</v>
      </c>
      <c r="F178" s="104"/>
      <c r="G178" s="104"/>
      <c r="H178" s="104" t="s">
        <v>396</v>
      </c>
      <c r="I178" s="104" t="s">
        <v>397</v>
      </c>
      <c r="J178" s="104">
        <v>1</v>
      </c>
      <c r="K178" s="104">
        <v>1</v>
      </c>
      <c r="L178" s="104">
        <f>VLOOKUP(A178,[1]단품수량!$B$5:$P$27,13,FALSE)*K178</f>
        <v>480</v>
      </c>
      <c r="M178" s="104" t="s">
        <v>107</v>
      </c>
      <c r="N178" s="101" t="s">
        <v>91</v>
      </c>
      <c r="O178" s="105">
        <v>5180</v>
      </c>
      <c r="P178" s="105">
        <f t="shared" si="4"/>
        <v>5180</v>
      </c>
      <c r="Q178" s="104" t="s">
        <v>394</v>
      </c>
    </row>
    <row r="179" spans="1:17" ht="18" customHeight="1">
      <c r="A179" s="108">
        <v>10005989</v>
      </c>
      <c r="B179" s="104" t="str">
        <f>VLOOKUP(A179,[1]단품수량!$B$5:$E$27,4,FALSE)</f>
        <v>PID1</v>
      </c>
      <c r="C179" s="104">
        <v>176</v>
      </c>
      <c r="D179" s="104" t="s">
        <v>121</v>
      </c>
      <c r="E179" s="104">
        <v>30060777</v>
      </c>
      <c r="F179" s="104"/>
      <c r="G179" s="104"/>
      <c r="H179" s="104" t="s">
        <v>398</v>
      </c>
      <c r="I179" s="104" t="s">
        <v>399</v>
      </c>
      <c r="J179" s="104">
        <v>12</v>
      </c>
      <c r="K179" s="104">
        <v>12</v>
      </c>
      <c r="L179" s="104">
        <f>VLOOKUP(A179,[1]단품수량!$B$5:$P$27,13,FALSE)*K179</f>
        <v>5760</v>
      </c>
      <c r="M179" s="104" t="s">
        <v>107</v>
      </c>
      <c r="N179" s="101" t="s">
        <v>91</v>
      </c>
      <c r="O179" s="105">
        <v>630</v>
      </c>
      <c r="P179" s="105">
        <f t="shared" si="4"/>
        <v>7560</v>
      </c>
      <c r="Q179" s="104" t="s">
        <v>394</v>
      </c>
    </row>
    <row r="180" spans="1:17" ht="18" customHeight="1">
      <c r="A180" s="108">
        <v>10005989</v>
      </c>
      <c r="B180" s="104" t="str">
        <f>VLOOKUP(A180,[1]단품수량!$B$5:$E$27,4,FALSE)</f>
        <v>PID1</v>
      </c>
      <c r="C180" s="104">
        <v>177</v>
      </c>
      <c r="D180" s="104" t="s">
        <v>126</v>
      </c>
      <c r="E180" s="104">
        <v>30088566</v>
      </c>
      <c r="F180" s="104"/>
      <c r="G180" s="104"/>
      <c r="H180" s="104" t="s">
        <v>392</v>
      </c>
      <c r="I180" s="104" t="s">
        <v>400</v>
      </c>
      <c r="J180" s="104">
        <v>12</v>
      </c>
      <c r="K180" s="104">
        <v>12</v>
      </c>
      <c r="L180" s="104">
        <f>VLOOKUP(A180,[1]단품수량!$B$5:$P$27,13,FALSE)*K180</f>
        <v>5760</v>
      </c>
      <c r="M180" s="104" t="s">
        <v>99</v>
      </c>
      <c r="N180" s="101" t="s">
        <v>91</v>
      </c>
      <c r="O180" s="105">
        <v>630</v>
      </c>
      <c r="P180" s="105">
        <f t="shared" si="4"/>
        <v>7560</v>
      </c>
      <c r="Q180" s="104" t="s">
        <v>394</v>
      </c>
    </row>
    <row r="181" spans="1:17" ht="18" customHeight="1">
      <c r="A181" s="108">
        <v>10005989</v>
      </c>
      <c r="B181" s="104" t="str">
        <f>VLOOKUP(A181,[1]단품수량!$B$5:$E$27,4,FALSE)</f>
        <v>PID1</v>
      </c>
      <c r="C181" s="104">
        <v>178</v>
      </c>
      <c r="D181" s="104" t="s">
        <v>181</v>
      </c>
      <c r="E181" s="104">
        <v>30118569</v>
      </c>
      <c r="F181" s="104"/>
      <c r="G181" s="104"/>
      <c r="H181" s="104" t="s">
        <v>119</v>
      </c>
      <c r="I181" s="104" t="s">
        <v>120</v>
      </c>
      <c r="J181" s="104">
        <v>8</v>
      </c>
      <c r="K181" s="104">
        <v>8</v>
      </c>
      <c r="L181" s="104">
        <f>VLOOKUP(A181,[1]단품수량!$B$5:$P$27,13,FALSE)*K181</f>
        <v>3840</v>
      </c>
      <c r="M181" s="104" t="s">
        <v>107</v>
      </c>
      <c r="N181" s="101" t="s">
        <v>91</v>
      </c>
      <c r="O181" s="105">
        <v>400</v>
      </c>
      <c r="P181" s="105">
        <f t="shared" si="4"/>
        <v>3200</v>
      </c>
      <c r="Q181" s="104" t="s">
        <v>108</v>
      </c>
    </row>
    <row r="182" spans="1:17" ht="18" customHeight="1">
      <c r="A182" s="108">
        <v>10005989</v>
      </c>
      <c r="B182" s="104" t="str">
        <f>VLOOKUP(A182,[1]단품수량!$B$5:$E$27,4,FALSE)</f>
        <v>PID1</v>
      </c>
      <c r="C182" s="104">
        <v>179</v>
      </c>
      <c r="D182" s="104" t="s">
        <v>184</v>
      </c>
      <c r="E182" s="104">
        <v>30118570</v>
      </c>
      <c r="F182" s="104"/>
      <c r="G182" s="104"/>
      <c r="H182" s="104" t="s">
        <v>110</v>
      </c>
      <c r="I182" s="104" t="s">
        <v>111</v>
      </c>
      <c r="J182" s="104">
        <v>14</v>
      </c>
      <c r="K182" s="104">
        <v>14</v>
      </c>
      <c r="L182" s="104">
        <f>VLOOKUP(A182,[1]단품수량!$B$5:$P$27,13,FALSE)*K182</f>
        <v>6720</v>
      </c>
      <c r="M182" s="104" t="s">
        <v>107</v>
      </c>
      <c r="N182" s="101" t="s">
        <v>91</v>
      </c>
      <c r="O182" s="105">
        <v>900</v>
      </c>
      <c r="P182" s="105">
        <f t="shared" si="4"/>
        <v>12600</v>
      </c>
      <c r="Q182" s="104" t="s">
        <v>108</v>
      </c>
    </row>
    <row r="183" spans="1:17" ht="18" customHeight="1">
      <c r="A183" s="108">
        <v>10005989</v>
      </c>
      <c r="B183" s="104" t="str">
        <f>VLOOKUP(A183,[1]단품수량!$B$5:$E$27,4,FALSE)</f>
        <v>PID1</v>
      </c>
      <c r="C183" s="104">
        <v>180</v>
      </c>
      <c r="D183" s="104" t="s">
        <v>191</v>
      </c>
      <c r="E183" s="104">
        <v>30118572</v>
      </c>
      <c r="F183" s="104"/>
      <c r="G183" s="104"/>
      <c r="H183" s="104" t="s">
        <v>116</v>
      </c>
      <c r="I183" s="104" t="s">
        <v>117</v>
      </c>
      <c r="J183" s="104">
        <v>14</v>
      </c>
      <c r="K183" s="104">
        <v>14</v>
      </c>
      <c r="L183" s="104">
        <f>VLOOKUP(A183,[1]단품수량!$B$5:$P$27,13,FALSE)*K183</f>
        <v>6720</v>
      </c>
      <c r="M183" s="104" t="s">
        <v>107</v>
      </c>
      <c r="N183" s="101" t="s">
        <v>91</v>
      </c>
      <c r="O183" s="105">
        <v>400</v>
      </c>
      <c r="P183" s="105">
        <f t="shared" si="4"/>
        <v>5600</v>
      </c>
      <c r="Q183" s="104" t="s">
        <v>108</v>
      </c>
    </row>
    <row r="184" spans="1:17" ht="18" customHeight="1">
      <c r="A184" s="108">
        <v>10005989</v>
      </c>
      <c r="B184" s="104" t="str">
        <f>VLOOKUP(A184,[1]단품수량!$B$5:$E$27,4,FALSE)</f>
        <v>PID1</v>
      </c>
      <c r="C184" s="104">
        <v>181</v>
      </c>
      <c r="D184" s="104" t="s">
        <v>194</v>
      </c>
      <c r="E184" s="104">
        <v>30118550</v>
      </c>
      <c r="F184" s="104"/>
      <c r="G184" s="104"/>
      <c r="H184" s="104" t="s">
        <v>401</v>
      </c>
      <c r="I184" s="104" t="s">
        <v>402</v>
      </c>
      <c r="J184" s="104">
        <v>1</v>
      </c>
      <c r="K184" s="104">
        <v>1</v>
      </c>
      <c r="L184" s="104">
        <f>VLOOKUP(A184,[1]단품수량!$B$5:$P$27,13,FALSE)*K184</f>
        <v>480</v>
      </c>
      <c r="M184" s="104" t="s">
        <v>107</v>
      </c>
      <c r="N184" s="101" t="s">
        <v>91</v>
      </c>
      <c r="O184" s="105">
        <v>19400</v>
      </c>
      <c r="P184" s="105">
        <f t="shared" si="4"/>
        <v>19400</v>
      </c>
      <c r="Q184" s="104" t="s">
        <v>108</v>
      </c>
    </row>
    <row r="185" spans="1:17" ht="18" customHeight="1">
      <c r="A185" s="108">
        <v>10005989</v>
      </c>
      <c r="B185" s="104" t="str">
        <f>VLOOKUP(A185,[1]단품수량!$B$5:$E$27,4,FALSE)</f>
        <v>PID1</v>
      </c>
      <c r="C185" s="104">
        <v>182</v>
      </c>
      <c r="D185" s="104" t="s">
        <v>201</v>
      </c>
      <c r="E185" s="104">
        <v>30118557</v>
      </c>
      <c r="F185" s="104"/>
      <c r="G185" s="104"/>
      <c r="H185" s="104" t="s">
        <v>105</v>
      </c>
      <c r="I185" s="104" t="s">
        <v>106</v>
      </c>
      <c r="J185" s="104">
        <v>1</v>
      </c>
      <c r="K185" s="104">
        <v>1</v>
      </c>
      <c r="L185" s="104">
        <f>VLOOKUP(A185,[1]단품수량!$B$5:$P$27,13,FALSE)*K185</f>
        <v>480</v>
      </c>
      <c r="M185" s="104" t="s">
        <v>107</v>
      </c>
      <c r="N185" s="101" t="s">
        <v>91</v>
      </c>
      <c r="O185" s="105">
        <v>38900</v>
      </c>
      <c r="P185" s="105">
        <f t="shared" si="4"/>
        <v>38900</v>
      </c>
      <c r="Q185" s="104" t="s">
        <v>108</v>
      </c>
    </row>
    <row r="186" spans="1:17" ht="18" customHeight="1">
      <c r="A186" s="108">
        <v>10005989</v>
      </c>
      <c r="B186" s="104" t="str">
        <f>VLOOKUP(A186,[1]단품수량!$B$5:$E$27,4,FALSE)</f>
        <v>PID1</v>
      </c>
      <c r="C186" s="104">
        <v>183</v>
      </c>
      <c r="D186" s="104" t="s">
        <v>224</v>
      </c>
      <c r="E186" s="104">
        <v>30118552</v>
      </c>
      <c r="F186" s="104"/>
      <c r="G186" s="104"/>
      <c r="H186" s="104" t="s">
        <v>401</v>
      </c>
      <c r="I186" s="104" t="s">
        <v>403</v>
      </c>
      <c r="J186" s="104">
        <v>1</v>
      </c>
      <c r="K186" s="104">
        <v>1</v>
      </c>
      <c r="L186" s="104">
        <f>VLOOKUP(A186,[1]단품수량!$B$5:$P$27,13,FALSE)*K186</f>
        <v>480</v>
      </c>
      <c r="M186" s="104" t="s">
        <v>107</v>
      </c>
      <c r="N186" s="101" t="s">
        <v>91</v>
      </c>
      <c r="O186" s="105">
        <v>20900</v>
      </c>
      <c r="P186" s="105">
        <f t="shared" si="4"/>
        <v>20900</v>
      </c>
      <c r="Q186" s="104" t="s">
        <v>108</v>
      </c>
    </row>
    <row r="187" spans="1:17" ht="18" customHeight="1">
      <c r="A187" s="108">
        <v>10005989</v>
      </c>
      <c r="B187" s="104" t="str">
        <f>VLOOKUP(A187,[1]단품수량!$B$5:$E$27,4,FALSE)</f>
        <v>PID1</v>
      </c>
      <c r="C187" s="104">
        <v>184</v>
      </c>
      <c r="D187" s="104" t="s">
        <v>300</v>
      </c>
      <c r="E187" s="104">
        <v>30118558</v>
      </c>
      <c r="F187" s="104"/>
      <c r="G187" s="104"/>
      <c r="H187" s="104" t="s">
        <v>105</v>
      </c>
      <c r="I187" s="104" t="s">
        <v>404</v>
      </c>
      <c r="J187" s="104">
        <v>1</v>
      </c>
      <c r="K187" s="104">
        <v>1</v>
      </c>
      <c r="L187" s="104">
        <f>VLOOKUP(A187,[1]단품수량!$B$5:$P$27,13,FALSE)*K187</f>
        <v>480</v>
      </c>
      <c r="M187" s="104" t="s">
        <v>107</v>
      </c>
      <c r="N187" s="101" t="s">
        <v>91</v>
      </c>
      <c r="O187" s="105">
        <v>40300</v>
      </c>
      <c r="P187" s="105">
        <f t="shared" si="4"/>
        <v>40300</v>
      </c>
      <c r="Q187" s="104" t="s">
        <v>108</v>
      </c>
    </row>
    <row r="188" spans="1:17" ht="18" customHeight="1">
      <c r="A188" s="108">
        <v>10005989</v>
      </c>
      <c r="B188" s="104" t="str">
        <f>VLOOKUP(A188,[1]단품수량!$B$5:$E$27,4,FALSE)</f>
        <v>PID1</v>
      </c>
      <c r="C188" s="104">
        <v>185</v>
      </c>
      <c r="D188" s="104" t="s">
        <v>303</v>
      </c>
      <c r="E188" s="104">
        <v>30120649</v>
      </c>
      <c r="F188" s="104" t="s">
        <v>405</v>
      </c>
      <c r="G188" s="104"/>
      <c r="H188" s="104" t="s">
        <v>123</v>
      </c>
      <c r="I188" s="104" t="s">
        <v>406</v>
      </c>
      <c r="J188" s="104">
        <v>1</v>
      </c>
      <c r="K188" s="104">
        <v>1</v>
      </c>
      <c r="L188" s="104">
        <f>VLOOKUP(A188,[1]단품수량!$B$5:$P$27,13,FALSE)*K188</f>
        <v>480</v>
      </c>
      <c r="M188" s="104" t="s">
        <v>90</v>
      </c>
      <c r="N188" s="101" t="s">
        <v>91</v>
      </c>
      <c r="O188" s="105">
        <v>600</v>
      </c>
      <c r="P188" s="105">
        <f t="shared" si="4"/>
        <v>600</v>
      </c>
      <c r="Q188" s="104" t="s">
        <v>125</v>
      </c>
    </row>
    <row r="189" spans="1:17" ht="18" customHeight="1">
      <c r="A189" s="108">
        <v>10005989</v>
      </c>
      <c r="B189" s="104" t="str">
        <f>VLOOKUP(A189,[1]단품수량!$B$5:$E$27,4,FALSE)</f>
        <v>PID1</v>
      </c>
      <c r="C189" s="104">
        <v>186</v>
      </c>
      <c r="D189" s="104" t="s">
        <v>306</v>
      </c>
      <c r="E189" s="104">
        <v>30120825</v>
      </c>
      <c r="F189" s="104"/>
      <c r="G189" s="104"/>
      <c r="H189" s="104" t="s">
        <v>407</v>
      </c>
      <c r="I189" s="104" t="s">
        <v>408</v>
      </c>
      <c r="J189" s="104">
        <v>1</v>
      </c>
      <c r="K189" s="104">
        <v>1</v>
      </c>
      <c r="L189" s="104">
        <f>VLOOKUP(A189,[1]단품수량!$B$5:$P$27,13,FALSE)*K189</f>
        <v>480</v>
      </c>
      <c r="M189" s="104" t="s">
        <v>90</v>
      </c>
      <c r="N189" s="101" t="s">
        <v>409</v>
      </c>
      <c r="O189" s="105">
        <v>443480</v>
      </c>
      <c r="P189" s="105">
        <f>K189*O189</f>
        <v>443480</v>
      </c>
      <c r="Q189" s="104" t="s">
        <v>410</v>
      </c>
    </row>
    <row r="190" spans="1:17" ht="18" customHeight="1">
      <c r="A190" s="108">
        <v>10005989</v>
      </c>
      <c r="B190" s="104" t="str">
        <f>VLOOKUP(A190,[1]단품수량!$B$5:$E$27,4,FALSE)</f>
        <v>PID1</v>
      </c>
      <c r="C190" s="104">
        <v>187</v>
      </c>
      <c r="D190" s="104" t="s">
        <v>309</v>
      </c>
      <c r="E190" s="104">
        <v>30120826</v>
      </c>
      <c r="F190" s="104"/>
      <c r="G190" s="104"/>
      <c r="H190" s="104" t="s">
        <v>411</v>
      </c>
      <c r="I190" s="104" t="s">
        <v>412</v>
      </c>
      <c r="J190" s="104">
        <v>1</v>
      </c>
      <c r="K190" s="104">
        <v>1</v>
      </c>
      <c r="L190" s="104">
        <f>VLOOKUP(A190,[1]단품수량!$B$5:$P$27,13,FALSE)*K190</f>
        <v>480</v>
      </c>
      <c r="M190" s="104" t="s">
        <v>90</v>
      </c>
      <c r="N190" s="101" t="s">
        <v>91</v>
      </c>
      <c r="O190" s="105">
        <v>410000</v>
      </c>
      <c r="P190" s="105">
        <f t="shared" ref="P190:P222" si="5">K190*O190</f>
        <v>410000</v>
      </c>
      <c r="Q190" s="104" t="s">
        <v>291</v>
      </c>
    </row>
    <row r="191" spans="1:17" ht="18" customHeight="1">
      <c r="A191" s="108">
        <v>10005989</v>
      </c>
      <c r="B191" s="104" t="str">
        <f>VLOOKUP(A191,[1]단품수량!$B$5:$E$27,4,FALSE)</f>
        <v>PID1</v>
      </c>
      <c r="C191" s="104">
        <v>188</v>
      </c>
      <c r="D191" s="104" t="s">
        <v>149</v>
      </c>
      <c r="E191" s="104">
        <v>30120992</v>
      </c>
      <c r="F191" s="104"/>
      <c r="G191" s="104"/>
      <c r="H191" s="104" t="s">
        <v>186</v>
      </c>
      <c r="I191" s="104" t="s">
        <v>187</v>
      </c>
      <c r="J191" s="104">
        <v>1</v>
      </c>
      <c r="K191" s="104">
        <v>1</v>
      </c>
      <c r="L191" s="104">
        <f>VLOOKUP(A191,[1]단품수량!$B$5:$P$27,13,FALSE)*K191</f>
        <v>480</v>
      </c>
      <c r="M191" s="104" t="s">
        <v>107</v>
      </c>
      <c r="N191" s="101" t="s">
        <v>91</v>
      </c>
      <c r="O191" s="105">
        <v>24000</v>
      </c>
      <c r="P191" s="105">
        <f t="shared" si="5"/>
        <v>24000</v>
      </c>
      <c r="Q191" s="104" t="s">
        <v>188</v>
      </c>
    </row>
    <row r="192" spans="1:17" ht="18" customHeight="1">
      <c r="A192" s="108">
        <v>10005989</v>
      </c>
      <c r="B192" s="104" t="str">
        <f>VLOOKUP(A192,[1]단품수량!$B$5:$E$27,4,FALSE)</f>
        <v>PID1</v>
      </c>
      <c r="C192" s="104">
        <v>189</v>
      </c>
      <c r="D192" s="104" t="s">
        <v>152</v>
      </c>
      <c r="E192" s="104">
        <v>30121672</v>
      </c>
      <c r="F192" s="104"/>
      <c r="G192" s="104"/>
      <c r="H192" s="104" t="s">
        <v>189</v>
      </c>
      <c r="I192" s="104" t="s">
        <v>190</v>
      </c>
      <c r="J192" s="104">
        <v>1</v>
      </c>
      <c r="K192" s="104">
        <v>1</v>
      </c>
      <c r="L192" s="104">
        <f>VLOOKUP(A192,[1]단품수량!$B$5:$P$27,13,FALSE)*K192</f>
        <v>480</v>
      </c>
      <c r="M192" s="104" t="s">
        <v>99</v>
      </c>
      <c r="N192" s="101" t="s">
        <v>91</v>
      </c>
      <c r="O192" s="105">
        <v>320</v>
      </c>
      <c r="P192" s="105">
        <f t="shared" si="5"/>
        <v>320</v>
      </c>
      <c r="Q192" s="104" t="s">
        <v>188</v>
      </c>
    </row>
    <row r="193" spans="1:17" ht="18" customHeight="1">
      <c r="A193" s="108">
        <v>10005989</v>
      </c>
      <c r="B193" s="104" t="str">
        <f>VLOOKUP(A193,[1]단품수량!$B$5:$E$27,4,FALSE)</f>
        <v>PID1</v>
      </c>
      <c r="C193" s="104">
        <v>190</v>
      </c>
      <c r="D193" s="104" t="s">
        <v>312</v>
      </c>
      <c r="E193" s="104">
        <v>30120762</v>
      </c>
      <c r="F193" s="104"/>
      <c r="G193" s="104"/>
      <c r="H193" s="104" t="s">
        <v>270</v>
      </c>
      <c r="I193" s="104" t="s">
        <v>413</v>
      </c>
      <c r="J193" s="104">
        <v>1</v>
      </c>
      <c r="K193" s="104">
        <v>1</v>
      </c>
      <c r="L193" s="104">
        <f>VLOOKUP(A193,[1]단품수량!$B$5:$P$27,13,FALSE)*K193</f>
        <v>480</v>
      </c>
      <c r="M193" s="104" t="s">
        <v>99</v>
      </c>
      <c r="N193" s="101" t="s">
        <v>91</v>
      </c>
      <c r="O193" s="105">
        <v>300</v>
      </c>
      <c r="P193" s="105">
        <f t="shared" si="5"/>
        <v>300</v>
      </c>
      <c r="Q193" s="104" t="s">
        <v>133</v>
      </c>
    </row>
    <row r="194" spans="1:17" ht="18" customHeight="1">
      <c r="A194" s="108">
        <v>10005989</v>
      </c>
      <c r="B194" s="104" t="str">
        <f>VLOOKUP(A194,[1]단품수량!$B$5:$E$27,4,FALSE)</f>
        <v>PID1</v>
      </c>
      <c r="C194" s="104">
        <v>191</v>
      </c>
      <c r="D194" s="104" t="s">
        <v>315</v>
      </c>
      <c r="E194" s="104">
        <v>30120533</v>
      </c>
      <c r="F194" s="104"/>
      <c r="G194" s="104"/>
      <c r="H194" s="104" t="s">
        <v>304</v>
      </c>
      <c r="I194" s="104" t="s">
        <v>305</v>
      </c>
      <c r="J194" s="104">
        <v>2</v>
      </c>
      <c r="K194" s="104">
        <v>2</v>
      </c>
      <c r="L194" s="104">
        <f>VLOOKUP(A194,[1]단품수량!$B$5:$P$27,13,FALSE)*K194</f>
        <v>960</v>
      </c>
      <c r="M194" s="104" t="s">
        <v>107</v>
      </c>
      <c r="N194" s="101" t="s">
        <v>91</v>
      </c>
      <c r="O194" s="105">
        <v>71</v>
      </c>
      <c r="P194" s="105">
        <f t="shared" si="5"/>
        <v>142</v>
      </c>
      <c r="Q194" s="104" t="s">
        <v>299</v>
      </c>
    </row>
    <row r="195" spans="1:17" ht="18" customHeight="1">
      <c r="A195" s="108">
        <v>10005989</v>
      </c>
      <c r="B195" s="104" t="str">
        <f>VLOOKUP(A195,[1]단품수량!$B$5:$E$27,4,FALSE)</f>
        <v>PID1</v>
      </c>
      <c r="C195" s="104">
        <v>192</v>
      </c>
      <c r="D195" s="104" t="s">
        <v>414</v>
      </c>
      <c r="E195" s="104">
        <v>30120534</v>
      </c>
      <c r="F195" s="104"/>
      <c r="G195" s="104"/>
      <c r="H195" s="104" t="s">
        <v>307</v>
      </c>
      <c r="I195" s="104" t="s">
        <v>308</v>
      </c>
      <c r="J195" s="104">
        <v>2</v>
      </c>
      <c r="K195" s="104">
        <v>2</v>
      </c>
      <c r="L195" s="104">
        <f>VLOOKUP(A195,[1]단품수량!$B$5:$P$27,13,FALSE)*K195</f>
        <v>960</v>
      </c>
      <c r="M195" s="104" t="s">
        <v>107</v>
      </c>
      <c r="N195" s="101" t="s">
        <v>91</v>
      </c>
      <c r="O195" s="105">
        <v>155</v>
      </c>
      <c r="P195" s="105">
        <f t="shared" si="5"/>
        <v>310</v>
      </c>
      <c r="Q195" s="104" t="s">
        <v>299</v>
      </c>
    </row>
    <row r="196" spans="1:17" ht="18" customHeight="1">
      <c r="A196" s="108">
        <v>10005989</v>
      </c>
      <c r="B196" s="104" t="str">
        <f>VLOOKUP(A196,[1]단품수량!$B$5:$E$27,4,FALSE)</f>
        <v>PID1</v>
      </c>
      <c r="C196" s="104">
        <v>193</v>
      </c>
      <c r="D196" s="104" t="s">
        <v>415</v>
      </c>
      <c r="E196" s="104">
        <v>30120535</v>
      </c>
      <c r="F196" s="104"/>
      <c r="G196" s="104"/>
      <c r="H196" s="104" t="s">
        <v>310</v>
      </c>
      <c r="I196" s="104" t="s">
        <v>311</v>
      </c>
      <c r="J196" s="104">
        <v>2</v>
      </c>
      <c r="K196" s="104">
        <v>2</v>
      </c>
      <c r="L196" s="104">
        <f>VLOOKUP(A196,[1]단품수량!$B$5:$P$27,13,FALSE)*K196</f>
        <v>960</v>
      </c>
      <c r="M196" s="104" t="s">
        <v>107</v>
      </c>
      <c r="N196" s="101" t="s">
        <v>91</v>
      </c>
      <c r="O196" s="105">
        <v>87</v>
      </c>
      <c r="P196" s="105">
        <f t="shared" si="5"/>
        <v>174</v>
      </c>
      <c r="Q196" s="104" t="s">
        <v>299</v>
      </c>
    </row>
    <row r="197" spans="1:17" ht="18" customHeight="1">
      <c r="A197" s="108">
        <v>10005989</v>
      </c>
      <c r="B197" s="104" t="str">
        <f>VLOOKUP(A197,[1]단품수량!$B$5:$E$27,4,FALSE)</f>
        <v>PID1</v>
      </c>
      <c r="C197" s="104">
        <v>194</v>
      </c>
      <c r="D197" s="104" t="s">
        <v>416</v>
      </c>
      <c r="E197" s="104">
        <v>30120536</v>
      </c>
      <c r="F197" s="104"/>
      <c r="G197" s="104"/>
      <c r="H197" s="104" t="s">
        <v>417</v>
      </c>
      <c r="I197" s="104" t="s">
        <v>418</v>
      </c>
      <c r="J197" s="104">
        <v>2</v>
      </c>
      <c r="K197" s="104">
        <v>2</v>
      </c>
      <c r="L197" s="104">
        <f>VLOOKUP(A197,[1]단품수량!$B$5:$P$27,13,FALSE)*K197</f>
        <v>960</v>
      </c>
      <c r="M197" s="104" t="s">
        <v>107</v>
      </c>
      <c r="N197" s="101" t="s">
        <v>91</v>
      </c>
      <c r="O197" s="105">
        <v>483</v>
      </c>
      <c r="P197" s="105">
        <f t="shared" si="5"/>
        <v>966</v>
      </c>
      <c r="Q197" s="104" t="s">
        <v>299</v>
      </c>
    </row>
    <row r="198" spans="1:17" ht="18" customHeight="1">
      <c r="A198" s="108">
        <v>10005989</v>
      </c>
      <c r="B198" s="104" t="str">
        <f>VLOOKUP(A198,[1]단품수량!$B$5:$E$27,4,FALSE)</f>
        <v>PID1</v>
      </c>
      <c r="C198" s="104">
        <v>195</v>
      </c>
      <c r="D198" s="104" t="s">
        <v>419</v>
      </c>
      <c r="E198" s="104">
        <v>30120824</v>
      </c>
      <c r="F198" s="104"/>
      <c r="G198" s="104"/>
      <c r="H198" s="104" t="s">
        <v>420</v>
      </c>
      <c r="I198" s="104" t="s">
        <v>421</v>
      </c>
      <c r="J198" s="104">
        <v>2</v>
      </c>
      <c r="K198" s="104">
        <v>2</v>
      </c>
      <c r="L198" s="104">
        <f>VLOOKUP(A198,[1]단품수량!$B$5:$P$27,13,FALSE)*K198</f>
        <v>960</v>
      </c>
      <c r="M198" s="104" t="s">
        <v>107</v>
      </c>
      <c r="N198" s="101" t="s">
        <v>91</v>
      </c>
      <c r="O198" s="105">
        <v>918</v>
      </c>
      <c r="P198" s="105">
        <f t="shared" si="5"/>
        <v>1836</v>
      </c>
      <c r="Q198" s="104" t="s">
        <v>299</v>
      </c>
    </row>
    <row r="199" spans="1:17" ht="18" customHeight="1">
      <c r="A199" s="108">
        <v>10005989</v>
      </c>
      <c r="B199" s="104" t="str">
        <f>VLOOKUP(A199,[1]단품수량!$B$5:$E$27,4,FALSE)</f>
        <v>PID1</v>
      </c>
      <c r="C199" s="104">
        <v>196</v>
      </c>
      <c r="D199" s="104" t="s">
        <v>422</v>
      </c>
      <c r="E199" s="104">
        <v>30121673</v>
      </c>
      <c r="F199" s="104"/>
      <c r="G199" s="104"/>
      <c r="H199" s="104" t="s">
        <v>423</v>
      </c>
      <c r="I199" s="104" t="s">
        <v>238</v>
      </c>
      <c r="J199" s="104">
        <v>1</v>
      </c>
      <c r="K199" s="104">
        <v>1</v>
      </c>
      <c r="L199" s="104">
        <f>VLOOKUP(A199,[1]단품수량!$B$5:$P$27,13,FALSE)*K199</f>
        <v>480</v>
      </c>
      <c r="M199" s="104" t="s">
        <v>99</v>
      </c>
      <c r="N199" s="101"/>
      <c r="O199" s="105">
        <v>0</v>
      </c>
      <c r="P199" s="105">
        <f t="shared" si="5"/>
        <v>0</v>
      </c>
      <c r="Q199" s="104"/>
    </row>
    <row r="200" spans="1:17" ht="18" customHeight="1">
      <c r="A200" s="108">
        <v>10005989</v>
      </c>
      <c r="B200" s="104" t="str">
        <f>VLOOKUP(A200,[1]단품수량!$B$5:$E$27,4,FALSE)</f>
        <v>PID1</v>
      </c>
      <c r="C200" s="104">
        <v>197</v>
      </c>
      <c r="D200" s="104" t="s">
        <v>424</v>
      </c>
      <c r="E200" s="104">
        <v>20061694</v>
      </c>
      <c r="F200" s="104" t="s">
        <v>425</v>
      </c>
      <c r="G200" s="104"/>
      <c r="H200" s="104" t="s">
        <v>203</v>
      </c>
      <c r="I200" s="104" t="s">
        <v>426</v>
      </c>
      <c r="J200" s="104">
        <v>1</v>
      </c>
      <c r="K200" s="104">
        <v>1</v>
      </c>
      <c r="L200" s="104">
        <f>VLOOKUP(A200,[1]단품수량!$B$5:$P$27,13,FALSE)*K200</f>
        <v>480</v>
      </c>
      <c r="M200" s="104" t="s">
        <v>205</v>
      </c>
      <c r="N200" s="101"/>
      <c r="O200" s="105">
        <v>0</v>
      </c>
      <c r="P200" s="105">
        <f t="shared" si="5"/>
        <v>0</v>
      </c>
      <c r="Q200" s="104"/>
    </row>
    <row r="201" spans="1:17" ht="18" customHeight="1">
      <c r="A201" s="108">
        <v>10005989</v>
      </c>
      <c r="B201" s="104" t="str">
        <f>VLOOKUP(A201,[1]단품수량!$B$5:$E$27,4,FALSE)</f>
        <v>PID1</v>
      </c>
      <c r="C201" s="104">
        <v>198</v>
      </c>
      <c r="D201" s="104" t="s">
        <v>149</v>
      </c>
      <c r="E201" s="104">
        <v>30075140</v>
      </c>
      <c r="F201" s="104"/>
      <c r="G201" s="104"/>
      <c r="H201" s="104" t="s">
        <v>143</v>
      </c>
      <c r="I201" s="104" t="s">
        <v>206</v>
      </c>
      <c r="J201" s="104">
        <v>4</v>
      </c>
      <c r="K201" s="104">
        <v>4</v>
      </c>
      <c r="L201" s="104">
        <f>VLOOKUP(A201,[1]단품수량!$B$5:$P$27,13,FALSE)*K201</f>
        <v>1920</v>
      </c>
      <c r="M201" s="104" t="s">
        <v>107</v>
      </c>
      <c r="N201" s="101" t="s">
        <v>91</v>
      </c>
      <c r="O201" s="105">
        <v>380</v>
      </c>
      <c r="P201" s="105">
        <f t="shared" si="5"/>
        <v>1520</v>
      </c>
      <c r="Q201" s="104" t="s">
        <v>108</v>
      </c>
    </row>
    <row r="202" spans="1:17" ht="18" customHeight="1">
      <c r="A202" s="108">
        <v>10005989</v>
      </c>
      <c r="B202" s="104" t="str">
        <f>VLOOKUP(A202,[1]단품수량!$B$5:$E$27,4,FALSE)</f>
        <v>PID1</v>
      </c>
      <c r="C202" s="104">
        <v>199</v>
      </c>
      <c r="D202" s="104" t="s">
        <v>152</v>
      </c>
      <c r="E202" s="104">
        <v>30093304</v>
      </c>
      <c r="F202" s="104"/>
      <c r="G202" s="104"/>
      <c r="H202" s="104" t="s">
        <v>127</v>
      </c>
      <c r="I202" s="104" t="s">
        <v>128</v>
      </c>
      <c r="J202" s="104">
        <v>1</v>
      </c>
      <c r="K202" s="104">
        <v>1</v>
      </c>
      <c r="L202" s="104">
        <f>VLOOKUP(A202,[1]단품수량!$B$5:$P$27,13,FALSE)*K202</f>
        <v>480</v>
      </c>
      <c r="M202" s="104" t="s">
        <v>107</v>
      </c>
      <c r="N202" s="101" t="s">
        <v>91</v>
      </c>
      <c r="O202" s="105">
        <v>2510</v>
      </c>
      <c r="P202" s="105">
        <f t="shared" si="5"/>
        <v>2510</v>
      </c>
      <c r="Q202" s="104" t="s">
        <v>108</v>
      </c>
    </row>
    <row r="203" spans="1:17" ht="18" customHeight="1">
      <c r="A203" s="108">
        <v>10005989</v>
      </c>
      <c r="B203" s="104" t="str">
        <f>VLOOKUP(A203,[1]단품수량!$B$5:$E$27,4,FALSE)</f>
        <v>PID1</v>
      </c>
      <c r="C203" s="104">
        <v>200</v>
      </c>
      <c r="D203" s="104" t="s">
        <v>208</v>
      </c>
      <c r="E203" s="104">
        <v>30073369</v>
      </c>
      <c r="F203" s="104"/>
      <c r="G203" s="104"/>
      <c r="H203" s="104" t="s">
        <v>427</v>
      </c>
      <c r="I203" s="104" t="s">
        <v>428</v>
      </c>
      <c r="J203" s="104">
        <v>1</v>
      </c>
      <c r="K203" s="104">
        <v>1</v>
      </c>
      <c r="L203" s="104">
        <f>VLOOKUP(A203,[1]단품수량!$B$5:$P$27,13,FALSE)*K203</f>
        <v>480</v>
      </c>
      <c r="M203" s="104" t="s">
        <v>107</v>
      </c>
      <c r="N203" s="101" t="s">
        <v>91</v>
      </c>
      <c r="O203" s="105">
        <v>340</v>
      </c>
      <c r="P203" s="105">
        <f t="shared" si="5"/>
        <v>340</v>
      </c>
      <c r="Q203" s="104" t="s">
        <v>100</v>
      </c>
    </row>
    <row r="204" spans="1:17" ht="18" customHeight="1">
      <c r="A204" s="108">
        <v>10005989</v>
      </c>
      <c r="B204" s="104" t="str">
        <f>VLOOKUP(A204,[1]단품수량!$B$5:$E$27,4,FALSE)</f>
        <v>PID1</v>
      </c>
      <c r="C204" s="104">
        <v>201</v>
      </c>
      <c r="D204" s="104" t="s">
        <v>210</v>
      </c>
      <c r="E204" s="104">
        <v>30110820</v>
      </c>
      <c r="F204" s="104"/>
      <c r="G204" s="104"/>
      <c r="H204" s="104" t="s">
        <v>319</v>
      </c>
      <c r="I204" s="104" t="s">
        <v>320</v>
      </c>
      <c r="J204" s="104">
        <v>1</v>
      </c>
      <c r="K204" s="104">
        <v>1</v>
      </c>
      <c r="L204" s="104">
        <f>VLOOKUP(A204,[1]단품수량!$B$5:$P$27,13,FALSE)*K204</f>
        <v>480</v>
      </c>
      <c r="M204" s="104" t="s">
        <v>107</v>
      </c>
      <c r="N204" s="101" t="s">
        <v>91</v>
      </c>
      <c r="O204" s="105">
        <v>195</v>
      </c>
      <c r="P204" s="105">
        <f t="shared" si="5"/>
        <v>195</v>
      </c>
      <c r="Q204" s="104" t="s">
        <v>100</v>
      </c>
    </row>
    <row r="205" spans="1:17" ht="18" customHeight="1">
      <c r="A205" s="108">
        <v>10005989</v>
      </c>
      <c r="B205" s="104" t="str">
        <f>VLOOKUP(A205,[1]단품수량!$B$5:$E$27,4,FALSE)</f>
        <v>PID1</v>
      </c>
      <c r="C205" s="104">
        <v>202</v>
      </c>
      <c r="D205" s="104" t="s">
        <v>213</v>
      </c>
      <c r="E205" s="104">
        <v>30115073</v>
      </c>
      <c r="F205" s="104"/>
      <c r="G205" s="104"/>
      <c r="H205" s="104" t="s">
        <v>137</v>
      </c>
      <c r="I205" s="104" t="s">
        <v>214</v>
      </c>
      <c r="J205" s="104">
        <v>1</v>
      </c>
      <c r="K205" s="104">
        <v>1</v>
      </c>
      <c r="L205" s="104">
        <f>VLOOKUP(A205,[1]단품수량!$B$5:$P$27,13,FALSE)*K205</f>
        <v>480</v>
      </c>
      <c r="M205" s="104" t="s">
        <v>99</v>
      </c>
      <c r="N205" s="101" t="s">
        <v>91</v>
      </c>
      <c r="O205" s="105">
        <v>96</v>
      </c>
      <c r="P205" s="105">
        <f t="shared" si="5"/>
        <v>96</v>
      </c>
      <c r="Q205" s="104" t="s">
        <v>100</v>
      </c>
    </row>
    <row r="206" spans="1:17" ht="18" customHeight="1">
      <c r="A206" s="108">
        <v>10005989</v>
      </c>
      <c r="B206" s="104" t="str">
        <f>VLOOKUP(A206,[1]단품수량!$B$5:$E$27,4,FALSE)</f>
        <v>PID1</v>
      </c>
      <c r="C206" s="104">
        <v>203</v>
      </c>
      <c r="D206" s="104" t="s">
        <v>215</v>
      </c>
      <c r="E206" s="104">
        <v>30100325</v>
      </c>
      <c r="F206" s="104"/>
      <c r="G206" s="104"/>
      <c r="H206" s="104" t="s">
        <v>211</v>
      </c>
      <c r="I206" s="104" t="s">
        <v>212</v>
      </c>
      <c r="J206" s="104">
        <v>1</v>
      </c>
      <c r="K206" s="104">
        <v>1</v>
      </c>
      <c r="L206" s="104">
        <f>VLOOKUP(A206,[1]단품수량!$B$5:$P$27,13,FALSE)*K206</f>
        <v>480</v>
      </c>
      <c r="M206" s="104" t="s">
        <v>107</v>
      </c>
      <c r="N206" s="101" t="s">
        <v>91</v>
      </c>
      <c r="O206" s="105">
        <v>150</v>
      </c>
      <c r="P206" s="105">
        <f t="shared" si="5"/>
        <v>150</v>
      </c>
      <c r="Q206" s="104" t="s">
        <v>100</v>
      </c>
    </row>
    <row r="207" spans="1:17" ht="18" customHeight="1">
      <c r="A207" s="108">
        <v>10005989</v>
      </c>
      <c r="B207" s="104" t="str">
        <f>VLOOKUP(A207,[1]단품수량!$B$5:$E$27,4,FALSE)</f>
        <v>PID1</v>
      </c>
      <c r="C207" s="104">
        <v>204</v>
      </c>
      <c r="D207" s="104" t="s">
        <v>218</v>
      </c>
      <c r="E207" s="104">
        <v>30081231</v>
      </c>
      <c r="F207" s="104"/>
      <c r="G207" s="104"/>
      <c r="H207" s="104" t="s">
        <v>216</v>
      </c>
      <c r="I207" s="104" t="s">
        <v>217</v>
      </c>
      <c r="J207" s="104">
        <v>32</v>
      </c>
      <c r="K207" s="104">
        <v>32</v>
      </c>
      <c r="L207" s="104">
        <f>VLOOKUP(A207,[1]단품수량!$B$5:$P$27,13,FALSE)*K207</f>
        <v>15360</v>
      </c>
      <c r="M207" s="104" t="s">
        <v>107</v>
      </c>
      <c r="N207" s="101" t="s">
        <v>91</v>
      </c>
      <c r="O207" s="105">
        <v>18</v>
      </c>
      <c r="P207" s="105">
        <f t="shared" si="5"/>
        <v>576</v>
      </c>
      <c r="Q207" s="104" t="s">
        <v>100</v>
      </c>
    </row>
    <row r="208" spans="1:17" ht="18" customHeight="1">
      <c r="A208" s="109">
        <v>10005990</v>
      </c>
      <c r="B208" s="104" t="str">
        <f>VLOOKUP(A208,[1]단품수량!$B$5:$E$27,4,FALSE)</f>
        <v>PID2</v>
      </c>
      <c r="C208" s="104">
        <v>205</v>
      </c>
      <c r="D208" s="104"/>
      <c r="E208" s="104"/>
      <c r="F208" s="104"/>
      <c r="G208" s="104"/>
      <c r="H208" s="104" t="s">
        <v>379</v>
      </c>
      <c r="I208" s="104"/>
      <c r="J208" s="104">
        <v>1</v>
      </c>
      <c r="K208" s="104">
        <v>1</v>
      </c>
      <c r="L208" s="104">
        <f>VLOOKUP(A208,[1]단품수량!$B$5:$P$27,13,FALSE)*K208</f>
        <v>240</v>
      </c>
      <c r="M208" s="104" t="s">
        <v>157</v>
      </c>
      <c r="N208" s="101"/>
      <c r="O208" s="105"/>
      <c r="P208" s="105"/>
      <c r="Q208" s="104" t="s">
        <v>380</v>
      </c>
    </row>
    <row r="209" spans="1:17" ht="18" customHeight="1">
      <c r="A209" s="109">
        <v>10005990</v>
      </c>
      <c r="B209" s="104" t="str">
        <f>VLOOKUP(A209,[1]단품수량!$B$5:$E$27,4,FALSE)</f>
        <v>PID2</v>
      </c>
      <c r="C209" s="104">
        <v>205</v>
      </c>
      <c r="D209" s="104" t="s">
        <v>86</v>
      </c>
      <c r="E209" s="104">
        <v>30120706</v>
      </c>
      <c r="F209" s="104" t="s">
        <v>429</v>
      </c>
      <c r="G209" s="104"/>
      <c r="H209" s="104" t="s">
        <v>151</v>
      </c>
      <c r="I209" s="104" t="s">
        <v>89</v>
      </c>
      <c r="J209" s="104">
        <v>1</v>
      </c>
      <c r="K209" s="104">
        <v>1</v>
      </c>
      <c r="L209" s="104">
        <f>VLOOKUP(A209,[1]단품수량!$B$5:$P$27,13,FALSE)*K209</f>
        <v>240</v>
      </c>
      <c r="M209" s="104" t="s">
        <v>90</v>
      </c>
      <c r="N209" s="101" t="s">
        <v>91</v>
      </c>
      <c r="O209" s="105">
        <v>210000</v>
      </c>
      <c r="P209" s="105">
        <f t="shared" si="5"/>
        <v>210000</v>
      </c>
      <c r="Q209" s="104" t="s">
        <v>159</v>
      </c>
    </row>
    <row r="210" spans="1:17" ht="18" customHeight="1">
      <c r="A210" s="109">
        <v>10005990</v>
      </c>
      <c r="B210" s="104" t="str">
        <f>VLOOKUP(A210,[1]단품수량!$B$5:$E$27,4,FALSE)</f>
        <v>PID2</v>
      </c>
      <c r="C210" s="104">
        <v>206</v>
      </c>
      <c r="D210" s="104" t="s">
        <v>93</v>
      </c>
      <c r="E210" s="104">
        <v>30120707</v>
      </c>
      <c r="F210" s="104" t="s">
        <v>430</v>
      </c>
      <c r="G210" s="104"/>
      <c r="H210" s="104" t="s">
        <v>431</v>
      </c>
      <c r="I210" s="104" t="s">
        <v>89</v>
      </c>
      <c r="J210" s="104">
        <v>1</v>
      </c>
      <c r="K210" s="104">
        <v>1</v>
      </c>
      <c r="L210" s="104">
        <f>VLOOKUP(A210,[1]단품수량!$B$5:$P$27,13,FALSE)*K210</f>
        <v>240</v>
      </c>
      <c r="M210" s="104" t="s">
        <v>90</v>
      </c>
      <c r="N210" s="101" t="s">
        <v>91</v>
      </c>
      <c r="O210" s="105">
        <v>4000</v>
      </c>
      <c r="P210" s="105">
        <f t="shared" si="5"/>
        <v>4000</v>
      </c>
      <c r="Q210" s="104" t="s">
        <v>125</v>
      </c>
    </row>
    <row r="211" spans="1:17" ht="18" customHeight="1">
      <c r="A211" s="109">
        <v>10005990</v>
      </c>
      <c r="B211" s="104" t="str">
        <f>VLOOKUP(A211,[1]단품수량!$B$5:$E$27,4,FALSE)</f>
        <v>PID2</v>
      </c>
      <c r="C211" s="104">
        <v>207</v>
      </c>
      <c r="D211" s="104" t="s">
        <v>96</v>
      </c>
      <c r="E211" s="104">
        <v>30120708</v>
      </c>
      <c r="F211" s="104" t="s">
        <v>432</v>
      </c>
      <c r="G211" s="104"/>
      <c r="H211" s="104" t="s">
        <v>88</v>
      </c>
      <c r="I211" s="104" t="s">
        <v>89</v>
      </c>
      <c r="J211" s="104">
        <v>1</v>
      </c>
      <c r="K211" s="104">
        <v>1</v>
      </c>
      <c r="L211" s="104">
        <f>VLOOKUP(A211,[1]단품수량!$B$5:$P$27,13,FALSE)*K211</f>
        <v>240</v>
      </c>
      <c r="M211" s="104" t="s">
        <v>90</v>
      </c>
      <c r="N211" s="101" t="s">
        <v>91</v>
      </c>
      <c r="O211" s="105">
        <v>0</v>
      </c>
      <c r="P211" s="105">
        <f t="shared" si="5"/>
        <v>0</v>
      </c>
      <c r="Q211" s="104" t="s">
        <v>159</v>
      </c>
    </row>
    <row r="212" spans="1:17" ht="18" customHeight="1">
      <c r="A212" s="109">
        <v>10005990</v>
      </c>
      <c r="B212" s="104" t="str">
        <f>VLOOKUP(A212,[1]단품수량!$B$5:$E$27,4,FALSE)</f>
        <v>PID2</v>
      </c>
      <c r="C212" s="104">
        <v>208</v>
      </c>
      <c r="D212" s="104" t="s">
        <v>101</v>
      </c>
      <c r="E212" s="104">
        <v>30120709</v>
      </c>
      <c r="F212" s="104" t="s">
        <v>433</v>
      </c>
      <c r="G212" s="104"/>
      <c r="H212" s="104" t="s">
        <v>88</v>
      </c>
      <c r="I212" s="104" t="s">
        <v>89</v>
      </c>
      <c r="J212" s="104">
        <v>1</v>
      </c>
      <c r="K212" s="104">
        <v>1</v>
      </c>
      <c r="L212" s="104">
        <f>VLOOKUP(A212,[1]단품수량!$B$5:$P$27,13,FALSE)*K212</f>
        <v>240</v>
      </c>
      <c r="M212" s="104" t="s">
        <v>90</v>
      </c>
      <c r="N212" s="101" t="s">
        <v>91</v>
      </c>
      <c r="O212" s="105">
        <v>0</v>
      </c>
      <c r="P212" s="105">
        <f t="shared" si="5"/>
        <v>0</v>
      </c>
      <c r="Q212" s="104" t="s">
        <v>159</v>
      </c>
    </row>
    <row r="213" spans="1:17" ht="18" customHeight="1">
      <c r="A213" s="109">
        <v>10005990</v>
      </c>
      <c r="B213" s="104" t="str">
        <f>VLOOKUP(A213,[1]단품수량!$B$5:$E$27,4,FALSE)</f>
        <v>PID2</v>
      </c>
      <c r="C213" s="104">
        <v>209</v>
      </c>
      <c r="D213" s="104" t="s">
        <v>104</v>
      </c>
      <c r="E213" s="104">
        <v>30120710</v>
      </c>
      <c r="F213" s="104" t="s">
        <v>434</v>
      </c>
      <c r="G213" s="104"/>
      <c r="H213" s="104" t="s">
        <v>170</v>
      </c>
      <c r="I213" s="104" t="s">
        <v>89</v>
      </c>
      <c r="J213" s="104">
        <v>1</v>
      </c>
      <c r="K213" s="104">
        <v>1</v>
      </c>
      <c r="L213" s="104">
        <f>VLOOKUP(A213,[1]단품수량!$B$5:$P$27,13,FALSE)*K213</f>
        <v>240</v>
      </c>
      <c r="M213" s="104" t="s">
        <v>90</v>
      </c>
      <c r="N213" s="101" t="s">
        <v>91</v>
      </c>
      <c r="O213" s="105">
        <v>0</v>
      </c>
      <c r="P213" s="105">
        <f t="shared" si="5"/>
        <v>0</v>
      </c>
      <c r="Q213" s="104" t="s">
        <v>159</v>
      </c>
    </row>
    <row r="214" spans="1:17" ht="18" customHeight="1">
      <c r="A214" s="109">
        <v>10005990</v>
      </c>
      <c r="B214" s="104" t="str">
        <f>VLOOKUP(A214,[1]단품수량!$B$5:$E$27,4,FALSE)</f>
        <v>PID2</v>
      </c>
      <c r="C214" s="104">
        <v>210</v>
      </c>
      <c r="D214" s="104" t="s">
        <v>109</v>
      </c>
      <c r="E214" s="104">
        <v>30120713</v>
      </c>
      <c r="F214" s="104" t="s">
        <v>435</v>
      </c>
      <c r="G214" s="104"/>
      <c r="H214" s="104" t="s">
        <v>170</v>
      </c>
      <c r="I214" s="104" t="s">
        <v>89</v>
      </c>
      <c r="J214" s="104">
        <v>1</v>
      </c>
      <c r="K214" s="104">
        <v>1</v>
      </c>
      <c r="L214" s="104">
        <f>VLOOKUP(A214,[1]단품수량!$B$5:$P$27,13,FALSE)*K214</f>
        <v>240</v>
      </c>
      <c r="M214" s="104" t="s">
        <v>90</v>
      </c>
      <c r="N214" s="101" t="s">
        <v>91</v>
      </c>
      <c r="O214" s="105">
        <v>0</v>
      </c>
      <c r="P214" s="105">
        <f t="shared" si="5"/>
        <v>0</v>
      </c>
      <c r="Q214" s="104" t="s">
        <v>159</v>
      </c>
    </row>
    <row r="215" spans="1:17" ht="18" customHeight="1">
      <c r="A215" s="109">
        <v>10005990</v>
      </c>
      <c r="B215" s="104" t="str">
        <f>VLOOKUP(A215,[1]단품수량!$B$5:$E$27,4,FALSE)</f>
        <v>PID2</v>
      </c>
      <c r="C215" s="104">
        <v>211</v>
      </c>
      <c r="D215" s="104" t="s">
        <v>112</v>
      </c>
      <c r="E215" s="104">
        <v>30118138</v>
      </c>
      <c r="F215" s="104"/>
      <c r="G215" s="104"/>
      <c r="H215" s="104" t="s">
        <v>386</v>
      </c>
      <c r="I215" s="104" t="s">
        <v>387</v>
      </c>
      <c r="J215" s="104">
        <v>1</v>
      </c>
      <c r="K215" s="104">
        <v>1</v>
      </c>
      <c r="L215" s="104">
        <f>VLOOKUP(A215,[1]단품수량!$B$5:$P$27,13,FALSE)*K215</f>
        <v>240</v>
      </c>
      <c r="M215" s="104" t="s">
        <v>99</v>
      </c>
      <c r="N215" s="101" t="s">
        <v>91</v>
      </c>
      <c r="O215" s="105">
        <v>170000</v>
      </c>
      <c r="P215" s="105">
        <f t="shared" si="5"/>
        <v>170000</v>
      </c>
      <c r="Q215" s="104" t="s">
        <v>388</v>
      </c>
    </row>
    <row r="216" spans="1:17" ht="18" customHeight="1">
      <c r="A216" s="109">
        <v>10005990</v>
      </c>
      <c r="B216" s="104" t="str">
        <f>VLOOKUP(A216,[1]단품수량!$B$5:$E$27,4,FALSE)</f>
        <v>PID2</v>
      </c>
      <c r="C216" s="104">
        <v>212</v>
      </c>
      <c r="D216" s="104" t="s">
        <v>115</v>
      </c>
      <c r="E216" s="104">
        <v>30121671</v>
      </c>
      <c r="F216" s="104"/>
      <c r="G216" s="104"/>
      <c r="H216" s="104" t="s">
        <v>389</v>
      </c>
      <c r="I216" s="104" t="s">
        <v>390</v>
      </c>
      <c r="J216" s="104">
        <v>1</v>
      </c>
      <c r="K216" s="104">
        <v>1</v>
      </c>
      <c r="L216" s="104">
        <f>VLOOKUP(A216,[1]단품수량!$B$5:$P$27,13,FALSE)*K216</f>
        <v>240</v>
      </c>
      <c r="M216" s="104" t="s">
        <v>99</v>
      </c>
      <c r="N216" s="101" t="s">
        <v>91</v>
      </c>
      <c r="O216" s="105">
        <v>50000</v>
      </c>
      <c r="P216" s="105">
        <f t="shared" si="5"/>
        <v>50000</v>
      </c>
      <c r="Q216" s="104" t="s">
        <v>388</v>
      </c>
    </row>
    <row r="217" spans="1:17" ht="18" customHeight="1">
      <c r="A217" s="109">
        <v>10005990</v>
      </c>
      <c r="B217" s="104" t="str">
        <f>VLOOKUP(A217,[1]단품수량!$B$5:$E$27,4,FALSE)</f>
        <v>PID2</v>
      </c>
      <c r="C217" s="104">
        <v>213</v>
      </c>
      <c r="D217" s="104" t="s">
        <v>118</v>
      </c>
      <c r="E217" s="104">
        <v>30120663</v>
      </c>
      <c r="F217" s="104" t="s">
        <v>436</v>
      </c>
      <c r="G217" s="104"/>
      <c r="H217" s="104" t="s">
        <v>123</v>
      </c>
      <c r="I217" s="104" t="s">
        <v>437</v>
      </c>
      <c r="J217" s="104">
        <v>1</v>
      </c>
      <c r="K217" s="104">
        <v>1</v>
      </c>
      <c r="L217" s="104">
        <f>VLOOKUP(A217,[1]단품수량!$B$5:$P$27,13,FALSE)*K217</f>
        <v>240</v>
      </c>
      <c r="M217" s="104" t="s">
        <v>90</v>
      </c>
      <c r="N217" s="101" t="s">
        <v>91</v>
      </c>
      <c r="O217" s="105">
        <v>1400</v>
      </c>
      <c r="P217" s="105">
        <f t="shared" si="5"/>
        <v>1400</v>
      </c>
      <c r="Q217" s="104" t="s">
        <v>125</v>
      </c>
    </row>
    <row r="218" spans="1:17" ht="18" customHeight="1">
      <c r="A218" s="109">
        <v>10005990</v>
      </c>
      <c r="B218" s="104" t="str">
        <f>VLOOKUP(A218,[1]단품수량!$B$5:$E$27,4,FALSE)</f>
        <v>PID2</v>
      </c>
      <c r="C218" s="104">
        <v>214</v>
      </c>
      <c r="D218" s="104" t="s">
        <v>121</v>
      </c>
      <c r="E218" s="104">
        <v>30118569</v>
      </c>
      <c r="F218" s="104"/>
      <c r="G218" s="104"/>
      <c r="H218" s="104" t="s">
        <v>119</v>
      </c>
      <c r="I218" s="104" t="s">
        <v>120</v>
      </c>
      <c r="J218" s="104">
        <v>4</v>
      </c>
      <c r="K218" s="104">
        <v>4</v>
      </c>
      <c r="L218" s="104">
        <f>VLOOKUP(A218,[1]단품수량!$B$5:$P$27,13,FALSE)*K218</f>
        <v>960</v>
      </c>
      <c r="M218" s="104" t="s">
        <v>107</v>
      </c>
      <c r="N218" s="101" t="s">
        <v>91</v>
      </c>
      <c r="O218" s="105">
        <v>400</v>
      </c>
      <c r="P218" s="105">
        <f t="shared" si="5"/>
        <v>1600</v>
      </c>
      <c r="Q218" s="104" t="s">
        <v>108</v>
      </c>
    </row>
    <row r="219" spans="1:17" ht="18" customHeight="1">
      <c r="A219" s="109">
        <v>10005990</v>
      </c>
      <c r="B219" s="104" t="str">
        <f>VLOOKUP(A219,[1]단품수량!$B$5:$E$27,4,FALSE)</f>
        <v>PID2</v>
      </c>
      <c r="C219" s="104">
        <v>215</v>
      </c>
      <c r="D219" s="104" t="s">
        <v>126</v>
      </c>
      <c r="E219" s="104">
        <v>30118573</v>
      </c>
      <c r="F219" s="104"/>
      <c r="G219" s="104"/>
      <c r="H219" s="104" t="s">
        <v>177</v>
      </c>
      <c r="I219" s="104" t="s">
        <v>178</v>
      </c>
      <c r="J219" s="104">
        <v>17</v>
      </c>
      <c r="K219" s="104">
        <v>17</v>
      </c>
      <c r="L219" s="104">
        <f>VLOOKUP(A219,[1]단품수량!$B$5:$P$27,13,FALSE)*K219</f>
        <v>4080</v>
      </c>
      <c r="M219" s="104" t="s">
        <v>107</v>
      </c>
      <c r="N219" s="101" t="s">
        <v>91</v>
      </c>
      <c r="O219" s="105">
        <v>1000</v>
      </c>
      <c r="P219" s="105">
        <f t="shared" si="5"/>
        <v>17000</v>
      </c>
      <c r="Q219" s="104" t="s">
        <v>108</v>
      </c>
    </row>
    <row r="220" spans="1:17" ht="18" customHeight="1">
      <c r="A220" s="109">
        <v>10005990</v>
      </c>
      <c r="B220" s="104" t="str">
        <f>VLOOKUP(A220,[1]단품수량!$B$5:$E$27,4,FALSE)</f>
        <v>PID2</v>
      </c>
      <c r="C220" s="104">
        <v>216</v>
      </c>
      <c r="D220" s="104" t="s">
        <v>181</v>
      </c>
      <c r="E220" s="104">
        <v>30118582</v>
      </c>
      <c r="F220" s="104"/>
      <c r="G220" s="104"/>
      <c r="H220" s="104" t="s">
        <v>179</v>
      </c>
      <c r="I220" s="104" t="s">
        <v>180</v>
      </c>
      <c r="J220" s="104">
        <v>17</v>
      </c>
      <c r="K220" s="104">
        <v>17</v>
      </c>
      <c r="L220" s="104">
        <f>VLOOKUP(A220,[1]단품수량!$B$5:$P$27,13,FALSE)*K220</f>
        <v>4080</v>
      </c>
      <c r="M220" s="104" t="s">
        <v>107</v>
      </c>
      <c r="N220" s="101" t="s">
        <v>91</v>
      </c>
      <c r="O220" s="105">
        <v>500</v>
      </c>
      <c r="P220" s="105">
        <f t="shared" si="5"/>
        <v>8500</v>
      </c>
      <c r="Q220" s="104" t="s">
        <v>108</v>
      </c>
    </row>
    <row r="221" spans="1:17" ht="18" customHeight="1">
      <c r="A221" s="109">
        <v>10005990</v>
      </c>
      <c r="B221" s="104" t="str">
        <f>VLOOKUP(A221,[1]단품수량!$B$5:$E$27,4,FALSE)</f>
        <v>PID2</v>
      </c>
      <c r="C221" s="104">
        <v>217</v>
      </c>
      <c r="D221" s="104" t="s">
        <v>184</v>
      </c>
      <c r="E221" s="104">
        <v>30118554</v>
      </c>
      <c r="F221" s="104"/>
      <c r="G221" s="104"/>
      <c r="H221" s="104" t="s">
        <v>293</v>
      </c>
      <c r="I221" s="104" t="s">
        <v>438</v>
      </c>
      <c r="J221" s="104">
        <v>1</v>
      </c>
      <c r="K221" s="104">
        <v>1</v>
      </c>
      <c r="L221" s="104">
        <f>VLOOKUP(A221,[1]단품수량!$B$5:$P$27,13,FALSE)*K221</f>
        <v>240</v>
      </c>
      <c r="M221" s="104" t="s">
        <v>107</v>
      </c>
      <c r="N221" s="101" t="s">
        <v>91</v>
      </c>
      <c r="O221" s="105">
        <v>23900</v>
      </c>
      <c r="P221" s="105">
        <f t="shared" si="5"/>
        <v>23900</v>
      </c>
      <c r="Q221" s="104" t="s">
        <v>108</v>
      </c>
    </row>
    <row r="222" spans="1:17" ht="18" customHeight="1">
      <c r="A222" s="109">
        <v>10005990</v>
      </c>
      <c r="B222" s="104" t="str">
        <f>VLOOKUP(A222,[1]단품수량!$B$5:$E$27,4,FALSE)</f>
        <v>PID2</v>
      </c>
      <c r="C222" s="104">
        <v>218</v>
      </c>
      <c r="D222" s="104" t="s">
        <v>191</v>
      </c>
      <c r="E222" s="104">
        <v>30118561</v>
      </c>
      <c r="F222" s="104"/>
      <c r="G222" s="104"/>
      <c r="H222" s="104" t="s">
        <v>295</v>
      </c>
      <c r="I222" s="104" t="s">
        <v>296</v>
      </c>
      <c r="J222" s="104">
        <v>1</v>
      </c>
      <c r="K222" s="104">
        <v>1</v>
      </c>
      <c r="L222" s="104">
        <f>VLOOKUP(A222,[1]단품수량!$B$5:$P$27,13,FALSE)*K222</f>
        <v>240</v>
      </c>
      <c r="M222" s="104" t="s">
        <v>107</v>
      </c>
      <c r="N222" s="101" t="s">
        <v>91</v>
      </c>
      <c r="O222" s="105">
        <v>47800</v>
      </c>
      <c r="P222" s="105">
        <f t="shared" si="5"/>
        <v>47800</v>
      </c>
      <c r="Q222" s="104" t="s">
        <v>108</v>
      </c>
    </row>
    <row r="223" spans="1:17" ht="18" customHeight="1">
      <c r="A223" s="109">
        <v>10005990</v>
      </c>
      <c r="B223" s="104" t="str">
        <f>VLOOKUP(A223,[1]단품수량!$B$5:$E$27,4,FALSE)</f>
        <v>PID2</v>
      </c>
      <c r="C223" s="104">
        <v>219</v>
      </c>
      <c r="D223" s="104" t="s">
        <v>194</v>
      </c>
      <c r="E223" s="104">
        <v>30120825</v>
      </c>
      <c r="F223" s="104"/>
      <c r="G223" s="104"/>
      <c r="H223" s="104" t="s">
        <v>407</v>
      </c>
      <c r="I223" s="104" t="s">
        <v>408</v>
      </c>
      <c r="J223" s="104">
        <v>1</v>
      </c>
      <c r="K223" s="104">
        <v>1</v>
      </c>
      <c r="L223" s="104">
        <f>VLOOKUP(A223,[1]단품수량!$B$5:$P$27,13,FALSE)*K223</f>
        <v>240</v>
      </c>
      <c r="M223" s="104" t="s">
        <v>90</v>
      </c>
      <c r="N223" s="101" t="s">
        <v>197</v>
      </c>
      <c r="O223" s="105">
        <v>443480</v>
      </c>
      <c r="P223" s="105">
        <f>K223*O223</f>
        <v>443480</v>
      </c>
      <c r="Q223" s="104" t="s">
        <v>198</v>
      </c>
    </row>
    <row r="224" spans="1:17" ht="18" customHeight="1">
      <c r="A224" s="109">
        <v>10005990</v>
      </c>
      <c r="B224" s="104" t="str">
        <f>VLOOKUP(A224,[1]단품수량!$B$5:$E$27,4,FALSE)</f>
        <v>PID2</v>
      </c>
      <c r="C224" s="104">
        <v>220</v>
      </c>
      <c r="D224" s="104" t="s">
        <v>201</v>
      </c>
      <c r="E224" s="104">
        <v>30120826</v>
      </c>
      <c r="F224" s="104"/>
      <c r="G224" s="104"/>
      <c r="H224" s="104" t="s">
        <v>411</v>
      </c>
      <c r="I224" s="104" t="s">
        <v>412</v>
      </c>
      <c r="J224" s="104">
        <v>1</v>
      </c>
      <c r="K224" s="104">
        <v>1</v>
      </c>
      <c r="L224" s="104">
        <f>VLOOKUP(A224,[1]단품수량!$B$5:$P$27,13,FALSE)*K224</f>
        <v>240</v>
      </c>
      <c r="M224" s="104" t="s">
        <v>90</v>
      </c>
      <c r="N224" s="101" t="s">
        <v>91</v>
      </c>
      <c r="O224" s="105">
        <v>410000</v>
      </c>
      <c r="P224" s="105">
        <f t="shared" ref="P224:P244" si="6">K224*O224</f>
        <v>410000</v>
      </c>
      <c r="Q224" s="104" t="s">
        <v>291</v>
      </c>
    </row>
    <row r="225" spans="1:17" ht="18" customHeight="1">
      <c r="A225" s="109">
        <v>10005990</v>
      </c>
      <c r="B225" s="104" t="str">
        <f>VLOOKUP(A225,[1]단품수량!$B$5:$E$27,4,FALSE)</f>
        <v>PID2</v>
      </c>
      <c r="C225" s="104">
        <v>221</v>
      </c>
      <c r="D225" s="104" t="s">
        <v>149</v>
      </c>
      <c r="E225" s="104">
        <v>30120992</v>
      </c>
      <c r="F225" s="104"/>
      <c r="G225" s="104"/>
      <c r="H225" s="104" t="s">
        <v>186</v>
      </c>
      <c r="I225" s="104" t="s">
        <v>187</v>
      </c>
      <c r="J225" s="104">
        <v>1</v>
      </c>
      <c r="K225" s="104">
        <v>1</v>
      </c>
      <c r="L225" s="104">
        <f>VLOOKUP(A225,[1]단품수량!$B$5:$P$27,13,FALSE)*K225</f>
        <v>240</v>
      </c>
      <c r="M225" s="104" t="s">
        <v>107</v>
      </c>
      <c r="N225" s="101" t="s">
        <v>91</v>
      </c>
      <c r="O225" s="105">
        <v>24000</v>
      </c>
      <c r="P225" s="105">
        <f t="shared" si="6"/>
        <v>24000</v>
      </c>
      <c r="Q225" s="104" t="s">
        <v>188</v>
      </c>
    </row>
    <row r="226" spans="1:17" ht="18" customHeight="1">
      <c r="A226" s="109">
        <v>10005990</v>
      </c>
      <c r="B226" s="104" t="str">
        <f>VLOOKUP(A226,[1]단품수량!$B$5:$E$27,4,FALSE)</f>
        <v>PID2</v>
      </c>
      <c r="C226" s="104">
        <v>222</v>
      </c>
      <c r="D226" s="104" t="s">
        <v>152</v>
      </c>
      <c r="E226" s="104">
        <v>30121672</v>
      </c>
      <c r="F226" s="104"/>
      <c r="G226" s="104"/>
      <c r="H226" s="104" t="s">
        <v>189</v>
      </c>
      <c r="I226" s="104" t="s">
        <v>190</v>
      </c>
      <c r="J226" s="104">
        <v>1</v>
      </c>
      <c r="K226" s="104">
        <v>1</v>
      </c>
      <c r="L226" s="104">
        <f>VLOOKUP(A226,[1]단품수량!$B$5:$P$27,13,FALSE)*K226</f>
        <v>240</v>
      </c>
      <c r="M226" s="104" t="s">
        <v>99</v>
      </c>
      <c r="N226" s="101" t="s">
        <v>91</v>
      </c>
      <c r="O226" s="105">
        <v>320</v>
      </c>
      <c r="P226" s="105">
        <f t="shared" si="6"/>
        <v>320</v>
      </c>
      <c r="Q226" s="104" t="s">
        <v>188</v>
      </c>
    </row>
    <row r="227" spans="1:17" ht="18" customHeight="1">
      <c r="A227" s="109">
        <v>10005990</v>
      </c>
      <c r="B227" s="104" t="str">
        <f>VLOOKUP(A227,[1]단품수량!$B$5:$E$27,4,FALSE)</f>
        <v>PID2</v>
      </c>
      <c r="C227" s="104">
        <v>223</v>
      </c>
      <c r="D227" s="104" t="s">
        <v>224</v>
      </c>
      <c r="E227" s="104">
        <v>20061695</v>
      </c>
      <c r="F227" s="104" t="s">
        <v>439</v>
      </c>
      <c r="G227" s="104"/>
      <c r="H227" s="104" t="s">
        <v>203</v>
      </c>
      <c r="I227" s="104" t="s">
        <v>440</v>
      </c>
      <c r="J227" s="104">
        <v>1</v>
      </c>
      <c r="K227" s="104">
        <v>1</v>
      </c>
      <c r="L227" s="104">
        <f>VLOOKUP(A227,[1]단품수량!$B$5:$P$27,13,FALSE)*K227</f>
        <v>240</v>
      </c>
      <c r="M227" s="104" t="s">
        <v>205</v>
      </c>
      <c r="N227" s="101"/>
      <c r="O227" s="105">
        <v>0</v>
      </c>
      <c r="P227" s="105">
        <f t="shared" si="6"/>
        <v>0</v>
      </c>
      <c r="Q227" s="104"/>
    </row>
    <row r="228" spans="1:17" ht="18" customHeight="1">
      <c r="A228" s="109">
        <v>10005990</v>
      </c>
      <c r="B228" s="104" t="str">
        <f>VLOOKUP(A228,[1]단품수량!$B$5:$E$27,4,FALSE)</f>
        <v>PID2</v>
      </c>
      <c r="C228" s="104">
        <v>224</v>
      </c>
      <c r="D228" s="104" t="s">
        <v>149</v>
      </c>
      <c r="E228" s="104">
        <v>30075140</v>
      </c>
      <c r="F228" s="104"/>
      <c r="G228" s="104"/>
      <c r="H228" s="104" t="s">
        <v>143</v>
      </c>
      <c r="I228" s="104" t="s">
        <v>206</v>
      </c>
      <c r="J228" s="104">
        <v>4</v>
      </c>
      <c r="K228" s="104">
        <v>4</v>
      </c>
      <c r="L228" s="104">
        <f>VLOOKUP(A228,[1]단품수량!$B$5:$P$27,13,FALSE)*K228</f>
        <v>960</v>
      </c>
      <c r="M228" s="104" t="s">
        <v>107</v>
      </c>
      <c r="N228" s="101" t="s">
        <v>91</v>
      </c>
      <c r="O228" s="105">
        <v>380</v>
      </c>
      <c r="P228" s="105">
        <f t="shared" si="6"/>
        <v>1520</v>
      </c>
      <c r="Q228" s="104" t="s">
        <v>108</v>
      </c>
    </row>
    <row r="229" spans="1:17" ht="18" customHeight="1">
      <c r="A229" s="109">
        <v>10005990</v>
      </c>
      <c r="B229" s="104" t="str">
        <f>VLOOKUP(A229,[1]단품수량!$B$5:$E$27,4,FALSE)</f>
        <v>PID2</v>
      </c>
      <c r="C229" s="104">
        <v>225</v>
      </c>
      <c r="D229" s="104" t="s">
        <v>152</v>
      </c>
      <c r="E229" s="104">
        <v>30093304</v>
      </c>
      <c r="F229" s="104"/>
      <c r="G229" s="104"/>
      <c r="H229" s="104" t="s">
        <v>127</v>
      </c>
      <c r="I229" s="104" t="s">
        <v>128</v>
      </c>
      <c r="J229" s="104">
        <v>1</v>
      </c>
      <c r="K229" s="104">
        <v>1</v>
      </c>
      <c r="L229" s="104">
        <f>VLOOKUP(A229,[1]단품수량!$B$5:$P$27,13,FALSE)*K229</f>
        <v>240</v>
      </c>
      <c r="M229" s="104" t="s">
        <v>107</v>
      </c>
      <c r="N229" s="101" t="s">
        <v>91</v>
      </c>
      <c r="O229" s="105">
        <v>2510</v>
      </c>
      <c r="P229" s="105">
        <f t="shared" si="6"/>
        <v>2510</v>
      </c>
      <c r="Q229" s="104" t="s">
        <v>108</v>
      </c>
    </row>
    <row r="230" spans="1:17" ht="18" customHeight="1">
      <c r="A230" s="109">
        <v>10005990</v>
      </c>
      <c r="B230" s="104" t="str">
        <f>VLOOKUP(A230,[1]단품수량!$B$5:$E$27,4,FALSE)</f>
        <v>PID2</v>
      </c>
      <c r="C230" s="104">
        <v>226</v>
      </c>
      <c r="D230" s="104" t="s">
        <v>208</v>
      </c>
      <c r="E230" s="104">
        <v>30073369</v>
      </c>
      <c r="F230" s="104"/>
      <c r="G230" s="104"/>
      <c r="H230" s="104" t="s">
        <v>427</v>
      </c>
      <c r="I230" s="104" t="s">
        <v>428</v>
      </c>
      <c r="J230" s="104">
        <v>1</v>
      </c>
      <c r="K230" s="104">
        <v>1</v>
      </c>
      <c r="L230" s="104">
        <f>VLOOKUP(A230,[1]단품수량!$B$5:$P$27,13,FALSE)*K230</f>
        <v>240</v>
      </c>
      <c r="M230" s="104" t="s">
        <v>107</v>
      </c>
      <c r="N230" s="101" t="s">
        <v>91</v>
      </c>
      <c r="O230" s="105">
        <v>340</v>
      </c>
      <c r="P230" s="105">
        <f t="shared" si="6"/>
        <v>340</v>
      </c>
      <c r="Q230" s="104" t="s">
        <v>100</v>
      </c>
    </row>
    <row r="231" spans="1:17" ht="18" customHeight="1">
      <c r="A231" s="109">
        <v>10005990</v>
      </c>
      <c r="B231" s="104" t="str">
        <f>VLOOKUP(A231,[1]단품수량!$B$5:$E$27,4,FALSE)</f>
        <v>PID2</v>
      </c>
      <c r="C231" s="104">
        <v>227</v>
      </c>
      <c r="D231" s="104" t="s">
        <v>210</v>
      </c>
      <c r="E231" s="104">
        <v>30110820</v>
      </c>
      <c r="F231" s="104"/>
      <c r="G231" s="104"/>
      <c r="H231" s="104" t="s">
        <v>319</v>
      </c>
      <c r="I231" s="104" t="s">
        <v>320</v>
      </c>
      <c r="J231" s="104">
        <v>1</v>
      </c>
      <c r="K231" s="104">
        <v>1</v>
      </c>
      <c r="L231" s="104">
        <f>VLOOKUP(A231,[1]단품수량!$B$5:$P$27,13,FALSE)*K231</f>
        <v>240</v>
      </c>
      <c r="M231" s="104" t="s">
        <v>107</v>
      </c>
      <c r="N231" s="101" t="s">
        <v>91</v>
      </c>
      <c r="O231" s="105">
        <v>195</v>
      </c>
      <c r="P231" s="105">
        <f t="shared" si="6"/>
        <v>195</v>
      </c>
      <c r="Q231" s="104" t="s">
        <v>100</v>
      </c>
    </row>
    <row r="232" spans="1:17" ht="18" customHeight="1">
      <c r="A232" s="109">
        <v>10005990</v>
      </c>
      <c r="B232" s="104" t="str">
        <f>VLOOKUP(A232,[1]단품수량!$B$5:$E$27,4,FALSE)</f>
        <v>PID2</v>
      </c>
      <c r="C232" s="104">
        <v>228</v>
      </c>
      <c r="D232" s="104" t="s">
        <v>213</v>
      </c>
      <c r="E232" s="104">
        <v>30115073</v>
      </c>
      <c r="F232" s="104"/>
      <c r="G232" s="104"/>
      <c r="H232" s="104" t="s">
        <v>137</v>
      </c>
      <c r="I232" s="104" t="s">
        <v>214</v>
      </c>
      <c r="J232" s="104">
        <v>1</v>
      </c>
      <c r="K232" s="104">
        <v>1</v>
      </c>
      <c r="L232" s="104">
        <f>VLOOKUP(A232,[1]단품수량!$B$5:$P$27,13,FALSE)*K232</f>
        <v>240</v>
      </c>
      <c r="M232" s="104" t="s">
        <v>99</v>
      </c>
      <c r="N232" s="101" t="s">
        <v>91</v>
      </c>
      <c r="O232" s="105">
        <v>96</v>
      </c>
      <c r="P232" s="105">
        <f t="shared" si="6"/>
        <v>96</v>
      </c>
      <c r="Q232" s="104" t="s">
        <v>100</v>
      </c>
    </row>
    <row r="233" spans="1:17" ht="18" customHeight="1">
      <c r="A233" s="109">
        <v>10005990</v>
      </c>
      <c r="B233" s="104" t="str">
        <f>VLOOKUP(A233,[1]단품수량!$B$5:$E$27,4,FALSE)</f>
        <v>PID2</v>
      </c>
      <c r="C233" s="104">
        <v>229</v>
      </c>
      <c r="D233" s="104" t="s">
        <v>215</v>
      </c>
      <c r="E233" s="104">
        <v>30100325</v>
      </c>
      <c r="F233" s="104"/>
      <c r="G233" s="104"/>
      <c r="H233" s="104" t="s">
        <v>211</v>
      </c>
      <c r="I233" s="104" t="s">
        <v>212</v>
      </c>
      <c r="J233" s="104">
        <v>1</v>
      </c>
      <c r="K233" s="104">
        <v>1</v>
      </c>
      <c r="L233" s="104">
        <f>VLOOKUP(A233,[1]단품수량!$B$5:$P$27,13,FALSE)*K233</f>
        <v>240</v>
      </c>
      <c r="M233" s="104" t="s">
        <v>107</v>
      </c>
      <c r="N233" s="101" t="s">
        <v>91</v>
      </c>
      <c r="O233" s="105">
        <v>150</v>
      </c>
      <c r="P233" s="105">
        <f t="shared" si="6"/>
        <v>150</v>
      </c>
      <c r="Q233" s="104" t="s">
        <v>100</v>
      </c>
    </row>
    <row r="234" spans="1:17" ht="18" customHeight="1">
      <c r="A234" s="109">
        <v>10005990</v>
      </c>
      <c r="B234" s="104" t="str">
        <f>VLOOKUP(A234,[1]단품수량!$B$5:$E$27,4,FALSE)</f>
        <v>PID2</v>
      </c>
      <c r="C234" s="104">
        <v>230</v>
      </c>
      <c r="D234" s="104" t="s">
        <v>218</v>
      </c>
      <c r="E234" s="104">
        <v>30081231</v>
      </c>
      <c r="F234" s="104"/>
      <c r="G234" s="104"/>
      <c r="H234" s="104" t="s">
        <v>216</v>
      </c>
      <c r="I234" s="104" t="s">
        <v>217</v>
      </c>
      <c r="J234" s="104">
        <v>32</v>
      </c>
      <c r="K234" s="104">
        <v>32</v>
      </c>
      <c r="L234" s="104">
        <f>VLOOKUP(A234,[1]단품수량!$B$5:$P$27,13,FALSE)*K234</f>
        <v>7680</v>
      </c>
      <c r="M234" s="104" t="s">
        <v>107</v>
      </c>
      <c r="N234" s="101" t="s">
        <v>91</v>
      </c>
      <c r="O234" s="105">
        <v>18</v>
      </c>
      <c r="P234" s="105">
        <f t="shared" si="6"/>
        <v>576</v>
      </c>
      <c r="Q234" s="104" t="s">
        <v>100</v>
      </c>
    </row>
    <row r="235" spans="1:17" ht="18" customHeight="1">
      <c r="A235" s="109">
        <v>10005990</v>
      </c>
      <c r="B235" s="104" t="str">
        <f>VLOOKUP(A235,[1]단품수량!$B$5:$E$27,4,FALSE)</f>
        <v>PID2</v>
      </c>
      <c r="C235" s="104">
        <v>231</v>
      </c>
      <c r="D235" s="104" t="s">
        <v>300</v>
      </c>
      <c r="E235" s="104">
        <v>30124436</v>
      </c>
      <c r="F235" s="104"/>
      <c r="G235" s="104"/>
      <c r="H235" s="104" t="s">
        <v>441</v>
      </c>
      <c r="I235" s="104" t="s">
        <v>442</v>
      </c>
      <c r="J235" s="104">
        <v>2</v>
      </c>
      <c r="K235" s="104">
        <v>2</v>
      </c>
      <c r="L235" s="104">
        <f>VLOOKUP(A235,[1]단품수량!$B$5:$P$27,13,FALSE)*K235</f>
        <v>480</v>
      </c>
      <c r="M235" s="104" t="s">
        <v>99</v>
      </c>
      <c r="N235" s="101"/>
      <c r="O235" s="105">
        <v>0</v>
      </c>
      <c r="P235" s="105">
        <f t="shared" si="6"/>
        <v>0</v>
      </c>
      <c r="Q235" s="104"/>
    </row>
    <row r="236" spans="1:17" ht="18" customHeight="1">
      <c r="A236" s="108">
        <v>10005991</v>
      </c>
      <c r="B236" s="104" t="str">
        <f>VLOOKUP(A236,[1]단품수량!$B$5:$E$27,4,FALSE)</f>
        <v>PII</v>
      </c>
      <c r="C236" s="104">
        <v>232</v>
      </c>
      <c r="D236" s="104" t="s">
        <v>86</v>
      </c>
      <c r="E236" s="104">
        <v>30120691</v>
      </c>
      <c r="F236" s="104" t="s">
        <v>443</v>
      </c>
      <c r="G236" s="104"/>
      <c r="H236" s="104" t="s">
        <v>151</v>
      </c>
      <c r="I236" s="104" t="s">
        <v>89</v>
      </c>
      <c r="J236" s="104">
        <v>1</v>
      </c>
      <c r="K236" s="104">
        <v>1</v>
      </c>
      <c r="L236" s="104">
        <f>VLOOKUP(A236,[1]단품수량!$B$5:$P$27,13,FALSE)*K236</f>
        <v>240</v>
      </c>
      <c r="M236" s="104" t="s">
        <v>90</v>
      </c>
      <c r="N236" s="101" t="s">
        <v>91</v>
      </c>
      <c r="O236" s="105">
        <v>153000</v>
      </c>
      <c r="P236" s="105">
        <f t="shared" si="6"/>
        <v>153000</v>
      </c>
      <c r="Q236" s="104" t="s">
        <v>92</v>
      </c>
    </row>
    <row r="237" spans="1:17" ht="18" customHeight="1">
      <c r="A237" s="108">
        <v>10005991</v>
      </c>
      <c r="B237" s="104" t="str">
        <f>VLOOKUP(A237,[1]단품수량!$B$5:$E$27,4,FALSE)</f>
        <v>PII</v>
      </c>
      <c r="C237" s="104">
        <v>233</v>
      </c>
      <c r="D237" s="104" t="s">
        <v>93</v>
      </c>
      <c r="E237" s="104">
        <v>30120689</v>
      </c>
      <c r="F237" s="104" t="s">
        <v>444</v>
      </c>
      <c r="G237" s="104"/>
      <c r="H237" s="104" t="s">
        <v>161</v>
      </c>
      <c r="I237" s="104" t="s">
        <v>89</v>
      </c>
      <c r="J237" s="104">
        <v>1</v>
      </c>
      <c r="K237" s="104">
        <v>1</v>
      </c>
      <c r="L237" s="104">
        <f>VLOOKUP(A237,[1]단품수량!$B$5:$P$27,13,FALSE)*K237</f>
        <v>240</v>
      </c>
      <c r="M237" s="104" t="s">
        <v>90</v>
      </c>
      <c r="N237" s="101" t="s">
        <v>91</v>
      </c>
      <c r="O237" s="105">
        <v>0</v>
      </c>
      <c r="P237" s="105">
        <f t="shared" si="6"/>
        <v>0</v>
      </c>
      <c r="Q237" s="104" t="s">
        <v>92</v>
      </c>
    </row>
    <row r="238" spans="1:17" ht="18" customHeight="1">
      <c r="A238" s="108">
        <v>10005991</v>
      </c>
      <c r="B238" s="104" t="str">
        <f>VLOOKUP(A238,[1]단품수량!$B$5:$E$27,4,FALSE)</f>
        <v>PII</v>
      </c>
      <c r="C238" s="104">
        <v>234</v>
      </c>
      <c r="D238" s="104" t="s">
        <v>96</v>
      </c>
      <c r="E238" s="104">
        <v>30120692</v>
      </c>
      <c r="F238" s="104" t="s">
        <v>445</v>
      </c>
      <c r="G238" s="104"/>
      <c r="H238" s="104" t="s">
        <v>88</v>
      </c>
      <c r="I238" s="104" t="s">
        <v>89</v>
      </c>
      <c r="J238" s="104">
        <v>1</v>
      </c>
      <c r="K238" s="104">
        <v>1</v>
      </c>
      <c r="L238" s="104">
        <f>VLOOKUP(A238,[1]단품수량!$B$5:$P$27,13,FALSE)*K238</f>
        <v>240</v>
      </c>
      <c r="M238" s="104" t="s">
        <v>90</v>
      </c>
      <c r="N238" s="101" t="s">
        <v>91</v>
      </c>
      <c r="O238" s="105">
        <v>0</v>
      </c>
      <c r="P238" s="105">
        <f t="shared" si="6"/>
        <v>0</v>
      </c>
      <c r="Q238" s="104" t="s">
        <v>92</v>
      </c>
    </row>
    <row r="239" spans="1:17" ht="18" customHeight="1">
      <c r="A239" s="108">
        <v>10005991</v>
      </c>
      <c r="B239" s="104" t="str">
        <f>VLOOKUP(A239,[1]단품수량!$B$5:$E$27,4,FALSE)</f>
        <v>PII</v>
      </c>
      <c r="C239" s="104">
        <v>235</v>
      </c>
      <c r="D239" s="104" t="s">
        <v>101</v>
      </c>
      <c r="E239" s="104">
        <v>30120693</v>
      </c>
      <c r="F239" s="104" t="s">
        <v>446</v>
      </c>
      <c r="G239" s="104"/>
      <c r="H239" s="104" t="s">
        <v>447</v>
      </c>
      <c r="I239" s="104" t="s">
        <v>448</v>
      </c>
      <c r="J239" s="104">
        <v>1</v>
      </c>
      <c r="K239" s="104">
        <v>1</v>
      </c>
      <c r="L239" s="104">
        <f>VLOOKUP(A239,[1]단품수량!$B$5:$P$27,13,FALSE)*K239</f>
        <v>240</v>
      </c>
      <c r="M239" s="104" t="s">
        <v>90</v>
      </c>
      <c r="N239" s="101" t="s">
        <v>91</v>
      </c>
      <c r="O239" s="105">
        <v>0</v>
      </c>
      <c r="P239" s="105">
        <f t="shared" si="6"/>
        <v>0</v>
      </c>
      <c r="Q239" s="104" t="s">
        <v>125</v>
      </c>
    </row>
    <row r="240" spans="1:17" ht="18" customHeight="1">
      <c r="A240" s="108">
        <v>10005991</v>
      </c>
      <c r="B240" s="104" t="str">
        <f>VLOOKUP(A240,[1]단품수량!$B$5:$E$27,4,FALSE)</f>
        <v>PII</v>
      </c>
      <c r="C240" s="104">
        <v>236</v>
      </c>
      <c r="D240" s="104" t="s">
        <v>104</v>
      </c>
      <c r="E240" s="104">
        <v>30120694</v>
      </c>
      <c r="F240" s="104" t="s">
        <v>449</v>
      </c>
      <c r="G240" s="104"/>
      <c r="H240" s="104" t="s">
        <v>88</v>
      </c>
      <c r="I240" s="104" t="s">
        <v>89</v>
      </c>
      <c r="J240" s="104">
        <v>1</v>
      </c>
      <c r="K240" s="104">
        <v>1</v>
      </c>
      <c r="L240" s="104">
        <f>VLOOKUP(A240,[1]단품수량!$B$5:$P$27,13,FALSE)*K240</f>
        <v>240</v>
      </c>
      <c r="M240" s="104" t="s">
        <v>90</v>
      </c>
      <c r="N240" s="101" t="s">
        <v>91</v>
      </c>
      <c r="O240" s="105">
        <v>0</v>
      </c>
      <c r="P240" s="105">
        <f t="shared" si="6"/>
        <v>0</v>
      </c>
      <c r="Q240" s="104" t="s">
        <v>92</v>
      </c>
    </row>
    <row r="241" spans="1:17" ht="18" customHeight="1">
      <c r="A241" s="108">
        <v>10005991</v>
      </c>
      <c r="B241" s="104" t="str">
        <f>VLOOKUP(A241,[1]단품수량!$B$5:$E$27,4,FALSE)</f>
        <v>PII</v>
      </c>
      <c r="C241" s="104">
        <v>237</v>
      </c>
      <c r="D241" s="104" t="s">
        <v>109</v>
      </c>
      <c r="E241" s="104">
        <v>30120695</v>
      </c>
      <c r="F241" s="104" t="s">
        <v>450</v>
      </c>
      <c r="G241" s="104"/>
      <c r="H241" s="104" t="s">
        <v>170</v>
      </c>
      <c r="I241" s="104" t="s">
        <v>89</v>
      </c>
      <c r="J241" s="104">
        <v>1</v>
      </c>
      <c r="K241" s="104">
        <v>1</v>
      </c>
      <c r="L241" s="104">
        <f>VLOOKUP(A241,[1]단품수량!$B$5:$P$27,13,FALSE)*K241</f>
        <v>240</v>
      </c>
      <c r="M241" s="104" t="s">
        <v>90</v>
      </c>
      <c r="N241" s="101" t="s">
        <v>91</v>
      </c>
      <c r="O241" s="105">
        <v>0</v>
      </c>
      <c r="P241" s="105">
        <f t="shared" si="6"/>
        <v>0</v>
      </c>
      <c r="Q241" s="104" t="s">
        <v>92</v>
      </c>
    </row>
    <row r="242" spans="1:17" ht="18" customHeight="1">
      <c r="A242" s="108">
        <v>10005991</v>
      </c>
      <c r="B242" s="104" t="str">
        <f>VLOOKUP(A242,[1]단품수량!$B$5:$E$27,4,FALSE)</f>
        <v>PII</v>
      </c>
      <c r="C242" s="104">
        <v>238</v>
      </c>
      <c r="D242" s="104" t="s">
        <v>112</v>
      </c>
      <c r="E242" s="104">
        <v>30118098</v>
      </c>
      <c r="F242" s="104"/>
      <c r="G242" s="104"/>
      <c r="H242" s="104" t="s">
        <v>278</v>
      </c>
      <c r="I242" s="104" t="s">
        <v>279</v>
      </c>
      <c r="J242" s="104">
        <v>4</v>
      </c>
      <c r="K242" s="104">
        <v>4</v>
      </c>
      <c r="L242" s="104">
        <f>VLOOKUP(A242,[1]단품수량!$B$5:$P$27,13,FALSE)*K242</f>
        <v>960</v>
      </c>
      <c r="M242" s="104" t="s">
        <v>99</v>
      </c>
      <c r="N242" s="101" t="s">
        <v>91</v>
      </c>
      <c r="O242" s="105">
        <v>440</v>
      </c>
      <c r="P242" s="105">
        <f t="shared" si="6"/>
        <v>1760</v>
      </c>
      <c r="Q242" s="104" t="s">
        <v>280</v>
      </c>
    </row>
    <row r="243" spans="1:17" ht="18" customHeight="1">
      <c r="A243" s="108">
        <v>10005991</v>
      </c>
      <c r="B243" s="104" t="str">
        <f>VLOOKUP(A243,[1]단품수량!$B$5:$E$27,4,FALSE)</f>
        <v>PII</v>
      </c>
      <c r="C243" s="104">
        <v>239</v>
      </c>
      <c r="D243" s="104" t="s">
        <v>115</v>
      </c>
      <c r="E243" s="104">
        <v>30120754</v>
      </c>
      <c r="F243" s="104"/>
      <c r="G243" s="104"/>
      <c r="H243" s="104" t="s">
        <v>451</v>
      </c>
      <c r="I243" s="104" t="s">
        <v>452</v>
      </c>
      <c r="J243" s="104">
        <v>8</v>
      </c>
      <c r="K243" s="104">
        <v>8</v>
      </c>
      <c r="L243" s="104">
        <f>VLOOKUP(A243,[1]단품수량!$B$5:$P$27,13,FALSE)*K243</f>
        <v>1920</v>
      </c>
      <c r="M243" s="104" t="s">
        <v>99</v>
      </c>
      <c r="N243" s="101" t="s">
        <v>91</v>
      </c>
      <c r="O243" s="105">
        <v>45000</v>
      </c>
      <c r="P243" s="105">
        <f t="shared" si="6"/>
        <v>360000</v>
      </c>
      <c r="Q243" s="104" t="s">
        <v>283</v>
      </c>
    </row>
    <row r="244" spans="1:17" ht="18" customHeight="1">
      <c r="A244" s="108">
        <v>10005991</v>
      </c>
      <c r="B244" s="104" t="str">
        <f>VLOOKUP(A244,[1]단품수량!$B$5:$E$27,4,FALSE)</f>
        <v>PII</v>
      </c>
      <c r="C244" s="104">
        <v>240</v>
      </c>
      <c r="D244" s="104" t="s">
        <v>118</v>
      </c>
      <c r="E244" s="104">
        <v>30120838</v>
      </c>
      <c r="F244" s="104"/>
      <c r="G244" s="104"/>
      <c r="H244" s="104" t="s">
        <v>285</v>
      </c>
      <c r="I244" s="104" t="s">
        <v>286</v>
      </c>
      <c r="J244" s="104">
        <v>1</v>
      </c>
      <c r="K244" s="104">
        <v>1</v>
      </c>
      <c r="L244" s="104">
        <f>VLOOKUP(A244,[1]단품수량!$B$5:$P$27,13,FALSE)*K244</f>
        <v>240</v>
      </c>
      <c r="M244" s="104" t="s">
        <v>99</v>
      </c>
      <c r="N244" s="101" t="s">
        <v>91</v>
      </c>
      <c r="O244" s="105">
        <v>0</v>
      </c>
      <c r="P244" s="105">
        <f t="shared" si="6"/>
        <v>0</v>
      </c>
      <c r="Q244" s="104" t="s">
        <v>283</v>
      </c>
    </row>
    <row r="245" spans="1:17" ht="18" customHeight="1">
      <c r="A245" s="108">
        <v>10005991</v>
      </c>
      <c r="B245" s="104" t="str">
        <f>VLOOKUP(A245,[1]단품수량!$B$5:$E$27,4,FALSE)</f>
        <v>PII</v>
      </c>
      <c r="C245" s="104">
        <v>241</v>
      </c>
      <c r="D245" s="104" t="s">
        <v>121</v>
      </c>
      <c r="E245" s="104">
        <v>30120876</v>
      </c>
      <c r="F245" s="104"/>
      <c r="G245" s="104"/>
      <c r="H245" s="104" t="s">
        <v>453</v>
      </c>
      <c r="I245" s="104" t="s">
        <v>89</v>
      </c>
      <c r="J245" s="104">
        <v>1</v>
      </c>
      <c r="K245" s="104">
        <v>1</v>
      </c>
      <c r="L245" s="104">
        <f>VLOOKUP(A245,[1]단품수량!$B$5:$P$27,13,FALSE)*K245</f>
        <v>240</v>
      </c>
      <c r="M245" s="104" t="s">
        <v>90</v>
      </c>
      <c r="N245" s="101" t="s">
        <v>197</v>
      </c>
      <c r="O245" s="105">
        <v>495310</v>
      </c>
      <c r="P245" s="105">
        <f>K245*O245</f>
        <v>495310</v>
      </c>
      <c r="Q245" s="104" t="s">
        <v>198</v>
      </c>
    </row>
    <row r="246" spans="1:17" ht="18" customHeight="1">
      <c r="A246" s="108">
        <v>10005991</v>
      </c>
      <c r="B246" s="104" t="str">
        <f>VLOOKUP(A246,[1]단품수량!$B$5:$E$27,4,FALSE)</f>
        <v>PII</v>
      </c>
      <c r="C246" s="104">
        <v>242</v>
      </c>
      <c r="D246" s="104" t="s">
        <v>126</v>
      </c>
      <c r="E246" s="104">
        <v>30120751</v>
      </c>
      <c r="F246" s="104"/>
      <c r="G246" s="104"/>
      <c r="H246" s="104" t="s">
        <v>289</v>
      </c>
      <c r="I246" s="104" t="s">
        <v>290</v>
      </c>
      <c r="J246" s="104">
        <v>1</v>
      </c>
      <c r="K246" s="104">
        <v>1</v>
      </c>
      <c r="L246" s="104">
        <f>VLOOKUP(A246,[1]단품수량!$B$5:$P$27,13,FALSE)*K246</f>
        <v>240</v>
      </c>
      <c r="M246" s="104" t="s">
        <v>90</v>
      </c>
      <c r="N246" s="101" t="s">
        <v>91</v>
      </c>
      <c r="O246" s="105">
        <v>160000</v>
      </c>
      <c r="P246" s="105">
        <f t="shared" ref="P246:P277" si="7">K246*O246</f>
        <v>160000</v>
      </c>
      <c r="Q246" s="104" t="s">
        <v>291</v>
      </c>
    </row>
    <row r="247" spans="1:17" ht="18" customHeight="1">
      <c r="A247" s="108">
        <v>10005991</v>
      </c>
      <c r="B247" s="104" t="str">
        <f>VLOOKUP(A247,[1]단품수량!$B$5:$E$27,4,FALSE)</f>
        <v>PII</v>
      </c>
      <c r="C247" s="104">
        <v>243</v>
      </c>
      <c r="D247" s="104" t="s">
        <v>149</v>
      </c>
      <c r="E247" s="104">
        <v>30120992</v>
      </c>
      <c r="F247" s="104"/>
      <c r="G247" s="104"/>
      <c r="H247" s="104" t="s">
        <v>186</v>
      </c>
      <c r="I247" s="104" t="s">
        <v>187</v>
      </c>
      <c r="J247" s="104">
        <v>1</v>
      </c>
      <c r="K247" s="104">
        <v>1</v>
      </c>
      <c r="L247" s="104">
        <f>VLOOKUP(A247,[1]단품수량!$B$5:$P$27,13,FALSE)*K247</f>
        <v>240</v>
      </c>
      <c r="M247" s="104" t="s">
        <v>107</v>
      </c>
      <c r="N247" s="101" t="s">
        <v>91</v>
      </c>
      <c r="O247" s="105">
        <v>24000</v>
      </c>
      <c r="P247" s="105">
        <f t="shared" si="7"/>
        <v>24000</v>
      </c>
      <c r="Q247" s="104" t="s">
        <v>188</v>
      </c>
    </row>
    <row r="248" spans="1:17" ht="18" customHeight="1">
      <c r="A248" s="108">
        <v>10005991</v>
      </c>
      <c r="B248" s="104" t="str">
        <f>VLOOKUP(A248,[1]단품수량!$B$5:$E$27,4,FALSE)</f>
        <v>PII</v>
      </c>
      <c r="C248" s="104">
        <v>244</v>
      </c>
      <c r="D248" s="104" t="s">
        <v>152</v>
      </c>
      <c r="E248" s="104">
        <v>30121672</v>
      </c>
      <c r="F248" s="104"/>
      <c r="G248" s="104"/>
      <c r="H248" s="104" t="s">
        <v>189</v>
      </c>
      <c r="I248" s="104" t="s">
        <v>190</v>
      </c>
      <c r="J248" s="104">
        <v>1</v>
      </c>
      <c r="K248" s="104">
        <v>1</v>
      </c>
      <c r="L248" s="104">
        <f>VLOOKUP(A248,[1]단품수량!$B$5:$P$27,13,FALSE)*K248</f>
        <v>240</v>
      </c>
      <c r="M248" s="104" t="s">
        <v>99</v>
      </c>
      <c r="N248" s="101" t="s">
        <v>91</v>
      </c>
      <c r="O248" s="105">
        <v>320</v>
      </c>
      <c r="P248" s="105">
        <f t="shared" si="7"/>
        <v>320</v>
      </c>
      <c r="Q248" s="104" t="s">
        <v>188</v>
      </c>
    </row>
    <row r="249" spans="1:17" ht="18" customHeight="1">
      <c r="A249" s="108">
        <v>10005991</v>
      </c>
      <c r="B249" s="104" t="str">
        <f>VLOOKUP(A249,[1]단품수량!$B$5:$E$27,4,FALSE)</f>
        <v>PII</v>
      </c>
      <c r="C249" s="104">
        <v>245</v>
      </c>
      <c r="D249" s="104" t="s">
        <v>181</v>
      </c>
      <c r="E249" s="104">
        <v>30118546</v>
      </c>
      <c r="F249" s="104"/>
      <c r="G249" s="104"/>
      <c r="H249" s="104" t="s">
        <v>293</v>
      </c>
      <c r="I249" s="104" t="s">
        <v>294</v>
      </c>
      <c r="J249" s="104">
        <v>1</v>
      </c>
      <c r="K249" s="104">
        <v>1</v>
      </c>
      <c r="L249" s="104">
        <f>VLOOKUP(A249,[1]단품수량!$B$5:$P$27,13,FALSE)*K249</f>
        <v>240</v>
      </c>
      <c r="M249" s="104" t="s">
        <v>107</v>
      </c>
      <c r="N249" s="101" t="s">
        <v>91</v>
      </c>
      <c r="O249" s="105">
        <v>44800</v>
      </c>
      <c r="P249" s="105">
        <f t="shared" si="7"/>
        <v>44800</v>
      </c>
      <c r="Q249" s="104" t="s">
        <v>108</v>
      </c>
    </row>
    <row r="250" spans="1:17" ht="18" customHeight="1">
      <c r="A250" s="108">
        <v>10005991</v>
      </c>
      <c r="B250" s="104" t="str">
        <f>VLOOKUP(A250,[1]단품수량!$B$5:$E$27,4,FALSE)</f>
        <v>PII</v>
      </c>
      <c r="C250" s="104">
        <v>246</v>
      </c>
      <c r="D250" s="104" t="s">
        <v>184</v>
      </c>
      <c r="E250" s="104">
        <v>30118561</v>
      </c>
      <c r="F250" s="104"/>
      <c r="G250" s="104"/>
      <c r="H250" s="104" t="s">
        <v>295</v>
      </c>
      <c r="I250" s="104" t="s">
        <v>296</v>
      </c>
      <c r="J250" s="104">
        <v>1</v>
      </c>
      <c r="K250" s="104">
        <v>1</v>
      </c>
      <c r="L250" s="104">
        <f>VLOOKUP(A250,[1]단품수량!$B$5:$P$27,13,FALSE)*K250</f>
        <v>240</v>
      </c>
      <c r="M250" s="104" t="s">
        <v>107</v>
      </c>
      <c r="N250" s="101" t="s">
        <v>91</v>
      </c>
      <c r="O250" s="105">
        <v>47800</v>
      </c>
      <c r="P250" s="105">
        <f t="shared" si="7"/>
        <v>47800</v>
      </c>
      <c r="Q250" s="104" t="s">
        <v>108</v>
      </c>
    </row>
    <row r="251" spans="1:17" ht="18" customHeight="1">
      <c r="A251" s="108">
        <v>10005991</v>
      </c>
      <c r="B251" s="104" t="str">
        <f>VLOOKUP(A251,[1]단품수량!$B$5:$E$27,4,FALSE)</f>
        <v>PII</v>
      </c>
      <c r="C251" s="104">
        <v>247</v>
      </c>
      <c r="D251" s="104" t="s">
        <v>191</v>
      </c>
      <c r="E251" s="104">
        <v>30118569</v>
      </c>
      <c r="F251" s="104"/>
      <c r="G251" s="104"/>
      <c r="H251" s="104" t="s">
        <v>119</v>
      </c>
      <c r="I251" s="104" t="s">
        <v>120</v>
      </c>
      <c r="J251" s="104">
        <v>4</v>
      </c>
      <c r="K251" s="104">
        <v>4</v>
      </c>
      <c r="L251" s="104">
        <f>VLOOKUP(A251,[1]단품수량!$B$5:$P$27,13,FALSE)*K251</f>
        <v>960</v>
      </c>
      <c r="M251" s="104" t="s">
        <v>107</v>
      </c>
      <c r="N251" s="101" t="s">
        <v>91</v>
      </c>
      <c r="O251" s="105">
        <v>400</v>
      </c>
      <c r="P251" s="105">
        <f t="shared" si="7"/>
        <v>1600</v>
      </c>
      <c r="Q251" s="104" t="s">
        <v>108</v>
      </c>
    </row>
    <row r="252" spans="1:17" ht="18" customHeight="1">
      <c r="A252" s="108">
        <v>10005991</v>
      </c>
      <c r="B252" s="104" t="str">
        <f>VLOOKUP(A252,[1]단품수량!$B$5:$E$27,4,FALSE)</f>
        <v>PII</v>
      </c>
      <c r="C252" s="104">
        <v>248</v>
      </c>
      <c r="D252" s="104" t="s">
        <v>194</v>
      </c>
      <c r="E252" s="104">
        <v>30118573</v>
      </c>
      <c r="F252" s="104"/>
      <c r="G252" s="104"/>
      <c r="H252" s="104" t="s">
        <v>177</v>
      </c>
      <c r="I252" s="104" t="s">
        <v>178</v>
      </c>
      <c r="J252" s="104">
        <v>17</v>
      </c>
      <c r="K252" s="104">
        <v>17</v>
      </c>
      <c r="L252" s="104">
        <f>VLOOKUP(A252,[1]단품수량!$B$5:$P$27,13,FALSE)*K252</f>
        <v>4080</v>
      </c>
      <c r="M252" s="104" t="s">
        <v>107</v>
      </c>
      <c r="N252" s="101" t="s">
        <v>91</v>
      </c>
      <c r="O252" s="105">
        <v>1000</v>
      </c>
      <c r="P252" s="105">
        <f t="shared" si="7"/>
        <v>17000</v>
      </c>
      <c r="Q252" s="104" t="s">
        <v>108</v>
      </c>
    </row>
    <row r="253" spans="1:17" ht="18" customHeight="1">
      <c r="A253" s="108">
        <v>10005991</v>
      </c>
      <c r="B253" s="104" t="str">
        <f>VLOOKUP(A253,[1]단품수량!$B$5:$E$27,4,FALSE)</f>
        <v>PII</v>
      </c>
      <c r="C253" s="104">
        <v>249</v>
      </c>
      <c r="D253" s="104" t="s">
        <v>201</v>
      </c>
      <c r="E253" s="104">
        <v>30118582</v>
      </c>
      <c r="F253" s="104"/>
      <c r="G253" s="104"/>
      <c r="H253" s="104" t="s">
        <v>179</v>
      </c>
      <c r="I253" s="104" t="s">
        <v>180</v>
      </c>
      <c r="J253" s="104">
        <v>17</v>
      </c>
      <c r="K253" s="104">
        <v>17</v>
      </c>
      <c r="L253" s="104">
        <f>VLOOKUP(A253,[1]단품수량!$B$5:$P$27,13,FALSE)*K253</f>
        <v>4080</v>
      </c>
      <c r="M253" s="104" t="s">
        <v>107</v>
      </c>
      <c r="N253" s="101" t="s">
        <v>91</v>
      </c>
      <c r="O253" s="105">
        <v>500</v>
      </c>
      <c r="P253" s="105">
        <f t="shared" si="7"/>
        <v>8500</v>
      </c>
      <c r="Q253" s="104" t="s">
        <v>108</v>
      </c>
    </row>
    <row r="254" spans="1:17" ht="18" customHeight="1">
      <c r="A254" s="108">
        <v>10005991</v>
      </c>
      <c r="B254" s="104" t="str">
        <f>VLOOKUP(A254,[1]단품수량!$B$5:$E$27,4,FALSE)</f>
        <v>PII</v>
      </c>
      <c r="C254" s="104">
        <v>250</v>
      </c>
      <c r="D254" s="104" t="s">
        <v>224</v>
      </c>
      <c r="E254" s="104">
        <v>30120664</v>
      </c>
      <c r="F254" s="104" t="s">
        <v>454</v>
      </c>
      <c r="G254" s="104"/>
      <c r="H254" s="104" t="s">
        <v>123</v>
      </c>
      <c r="I254" s="104" t="s">
        <v>455</v>
      </c>
      <c r="J254" s="104">
        <v>1</v>
      </c>
      <c r="K254" s="104">
        <v>1</v>
      </c>
      <c r="L254" s="104">
        <f>VLOOKUP(A254,[1]단품수량!$B$5:$P$27,13,FALSE)*K254</f>
        <v>240</v>
      </c>
      <c r="M254" s="104" t="s">
        <v>90</v>
      </c>
      <c r="N254" s="101" t="s">
        <v>91</v>
      </c>
      <c r="O254" s="105">
        <v>1400</v>
      </c>
      <c r="P254" s="105">
        <f t="shared" si="7"/>
        <v>1400</v>
      </c>
      <c r="Q254" s="104" t="s">
        <v>125</v>
      </c>
    </row>
    <row r="255" spans="1:17" ht="18" customHeight="1">
      <c r="A255" s="108">
        <v>10005991</v>
      </c>
      <c r="B255" s="104" t="str">
        <f>VLOOKUP(A255,[1]단품수량!$B$5:$E$27,4,FALSE)</f>
        <v>PII</v>
      </c>
      <c r="C255" s="104">
        <v>251</v>
      </c>
      <c r="D255" s="104" t="s">
        <v>300</v>
      </c>
      <c r="E255" s="104">
        <v>30120840</v>
      </c>
      <c r="F255" s="104"/>
      <c r="G255" s="104"/>
      <c r="H255" s="104" t="s">
        <v>297</v>
      </c>
      <c r="I255" s="104" t="s">
        <v>298</v>
      </c>
      <c r="J255" s="104">
        <v>4</v>
      </c>
      <c r="K255" s="104">
        <v>4</v>
      </c>
      <c r="L255" s="104">
        <f>VLOOKUP(A255,[1]단품수량!$B$5:$P$27,13,FALSE)*K255</f>
        <v>960</v>
      </c>
      <c r="M255" s="104" t="s">
        <v>107</v>
      </c>
      <c r="N255" s="101" t="s">
        <v>91</v>
      </c>
      <c r="O255" s="105">
        <v>759</v>
      </c>
      <c r="P255" s="105">
        <f t="shared" si="7"/>
        <v>3036</v>
      </c>
      <c r="Q255" s="104" t="s">
        <v>299</v>
      </c>
    </row>
    <row r="256" spans="1:17" ht="18" customHeight="1">
      <c r="A256" s="108">
        <v>10005991</v>
      </c>
      <c r="B256" s="104" t="str">
        <f>VLOOKUP(A256,[1]단품수량!$B$5:$E$27,4,FALSE)</f>
        <v>PII</v>
      </c>
      <c r="C256" s="104">
        <v>252</v>
      </c>
      <c r="D256" s="104" t="s">
        <v>303</v>
      </c>
      <c r="E256" s="104">
        <v>30120532</v>
      </c>
      <c r="F256" s="104"/>
      <c r="G256" s="104"/>
      <c r="H256" s="104" t="s">
        <v>301</v>
      </c>
      <c r="I256" s="104" t="s">
        <v>302</v>
      </c>
      <c r="J256" s="104">
        <v>4</v>
      </c>
      <c r="K256" s="104">
        <v>4</v>
      </c>
      <c r="L256" s="104">
        <f>VLOOKUP(A256,[1]단품수량!$B$5:$P$27,13,FALSE)*K256</f>
        <v>960</v>
      </c>
      <c r="M256" s="104" t="s">
        <v>107</v>
      </c>
      <c r="N256" s="101" t="s">
        <v>91</v>
      </c>
      <c r="O256" s="105">
        <v>297</v>
      </c>
      <c r="P256" s="105">
        <f t="shared" si="7"/>
        <v>1188</v>
      </c>
      <c r="Q256" s="104" t="s">
        <v>299</v>
      </c>
    </row>
    <row r="257" spans="1:17" ht="18" customHeight="1">
      <c r="A257" s="108">
        <v>10005991</v>
      </c>
      <c r="B257" s="104" t="str">
        <f>VLOOKUP(A257,[1]단품수량!$B$5:$E$27,4,FALSE)</f>
        <v>PII</v>
      </c>
      <c r="C257" s="104">
        <v>253</v>
      </c>
      <c r="D257" s="104" t="s">
        <v>306</v>
      </c>
      <c r="E257" s="104">
        <v>30120533</v>
      </c>
      <c r="F257" s="104"/>
      <c r="G257" s="104"/>
      <c r="H257" s="104" t="s">
        <v>304</v>
      </c>
      <c r="I257" s="104" t="s">
        <v>305</v>
      </c>
      <c r="J257" s="104">
        <v>4</v>
      </c>
      <c r="K257" s="104">
        <v>4</v>
      </c>
      <c r="L257" s="104">
        <f>VLOOKUP(A257,[1]단품수량!$B$5:$P$27,13,FALSE)*K257</f>
        <v>960</v>
      </c>
      <c r="M257" s="104" t="s">
        <v>107</v>
      </c>
      <c r="N257" s="101" t="s">
        <v>91</v>
      </c>
      <c r="O257" s="105">
        <v>71</v>
      </c>
      <c r="P257" s="105">
        <f t="shared" si="7"/>
        <v>284</v>
      </c>
      <c r="Q257" s="104" t="s">
        <v>299</v>
      </c>
    </row>
    <row r="258" spans="1:17" ht="18" customHeight="1">
      <c r="A258" s="108">
        <v>10005991</v>
      </c>
      <c r="B258" s="104" t="str">
        <f>VLOOKUP(A258,[1]단품수량!$B$5:$E$27,4,FALSE)</f>
        <v>PII</v>
      </c>
      <c r="C258" s="104">
        <v>254</v>
      </c>
      <c r="D258" s="104" t="s">
        <v>309</v>
      </c>
      <c r="E258" s="104">
        <v>30120534</v>
      </c>
      <c r="F258" s="104"/>
      <c r="G258" s="104"/>
      <c r="H258" s="104" t="s">
        <v>307</v>
      </c>
      <c r="I258" s="104" t="s">
        <v>308</v>
      </c>
      <c r="J258" s="104">
        <v>4</v>
      </c>
      <c r="K258" s="104">
        <v>4</v>
      </c>
      <c r="L258" s="104">
        <f>VLOOKUP(A258,[1]단품수량!$B$5:$P$27,13,FALSE)*K258</f>
        <v>960</v>
      </c>
      <c r="M258" s="104" t="s">
        <v>107</v>
      </c>
      <c r="N258" s="101" t="s">
        <v>91</v>
      </c>
      <c r="O258" s="105">
        <v>155</v>
      </c>
      <c r="P258" s="105">
        <f t="shared" si="7"/>
        <v>620</v>
      </c>
      <c r="Q258" s="104" t="s">
        <v>299</v>
      </c>
    </row>
    <row r="259" spans="1:17" ht="18" customHeight="1">
      <c r="A259" s="108">
        <v>10005991</v>
      </c>
      <c r="B259" s="104" t="str">
        <f>VLOOKUP(A259,[1]단품수량!$B$5:$E$27,4,FALSE)</f>
        <v>PII</v>
      </c>
      <c r="C259" s="104">
        <v>255</v>
      </c>
      <c r="D259" s="104" t="s">
        <v>312</v>
      </c>
      <c r="E259" s="104">
        <v>30120535</v>
      </c>
      <c r="F259" s="104"/>
      <c r="G259" s="104"/>
      <c r="H259" s="104" t="s">
        <v>310</v>
      </c>
      <c r="I259" s="104" t="s">
        <v>311</v>
      </c>
      <c r="J259" s="104">
        <v>4</v>
      </c>
      <c r="K259" s="104">
        <v>4</v>
      </c>
      <c r="L259" s="104">
        <f>VLOOKUP(A259,[1]단품수량!$B$5:$P$27,13,FALSE)*K259</f>
        <v>960</v>
      </c>
      <c r="M259" s="104" t="s">
        <v>107</v>
      </c>
      <c r="N259" s="101" t="s">
        <v>91</v>
      </c>
      <c r="O259" s="105">
        <v>87</v>
      </c>
      <c r="P259" s="105">
        <f t="shared" si="7"/>
        <v>348</v>
      </c>
      <c r="Q259" s="104" t="s">
        <v>299</v>
      </c>
    </row>
    <row r="260" spans="1:17" ht="18" customHeight="1">
      <c r="A260" s="108">
        <v>10005991</v>
      </c>
      <c r="B260" s="104" t="str">
        <f>VLOOKUP(A260,[1]단품수량!$B$5:$E$27,4,FALSE)</f>
        <v>PII</v>
      </c>
      <c r="C260" s="104">
        <v>256</v>
      </c>
      <c r="D260" s="104" t="s">
        <v>315</v>
      </c>
      <c r="E260" s="104">
        <v>20061696</v>
      </c>
      <c r="F260" s="104" t="s">
        <v>456</v>
      </c>
      <c r="G260" s="104"/>
      <c r="H260" s="104" t="s">
        <v>203</v>
      </c>
      <c r="I260" s="104" t="s">
        <v>457</v>
      </c>
      <c r="J260" s="104">
        <v>1</v>
      </c>
      <c r="K260" s="104">
        <v>1</v>
      </c>
      <c r="L260" s="104">
        <f>VLOOKUP(A260,[1]단품수량!$B$5:$P$27,13,FALSE)*K260</f>
        <v>240</v>
      </c>
      <c r="M260" s="104" t="s">
        <v>205</v>
      </c>
      <c r="N260" s="101"/>
      <c r="O260" s="105">
        <v>0</v>
      </c>
      <c r="P260" s="105">
        <f t="shared" si="7"/>
        <v>0</v>
      </c>
      <c r="Q260" s="104"/>
    </row>
    <row r="261" spans="1:17" ht="18" customHeight="1">
      <c r="A261" s="108">
        <v>10005991</v>
      </c>
      <c r="B261" s="104" t="str">
        <f>VLOOKUP(A261,[1]단품수량!$B$5:$E$27,4,FALSE)</f>
        <v>PII</v>
      </c>
      <c r="C261" s="104">
        <v>257</v>
      </c>
      <c r="D261" s="104" t="s">
        <v>149</v>
      </c>
      <c r="E261" s="104">
        <v>30075140</v>
      </c>
      <c r="F261" s="104"/>
      <c r="G261" s="104"/>
      <c r="H261" s="104" t="s">
        <v>143</v>
      </c>
      <c r="I261" s="104" t="s">
        <v>206</v>
      </c>
      <c r="J261" s="104">
        <v>20</v>
      </c>
      <c r="K261" s="104">
        <v>20</v>
      </c>
      <c r="L261" s="104">
        <f>VLOOKUP(A261,[1]단품수량!$B$5:$P$27,13,FALSE)*K261</f>
        <v>4800</v>
      </c>
      <c r="M261" s="104" t="s">
        <v>107</v>
      </c>
      <c r="N261" s="101" t="s">
        <v>91</v>
      </c>
      <c r="O261" s="105">
        <v>380</v>
      </c>
      <c r="P261" s="105">
        <f t="shared" si="7"/>
        <v>7600</v>
      </c>
      <c r="Q261" s="104" t="s">
        <v>108</v>
      </c>
    </row>
    <row r="262" spans="1:17" ht="18" customHeight="1">
      <c r="A262" s="108">
        <v>10005991</v>
      </c>
      <c r="B262" s="104" t="str">
        <f>VLOOKUP(A262,[1]단품수량!$B$5:$E$27,4,FALSE)</f>
        <v>PII</v>
      </c>
      <c r="C262" s="104">
        <v>258</v>
      </c>
      <c r="D262" s="104" t="s">
        <v>152</v>
      </c>
      <c r="E262" s="104">
        <v>30093304</v>
      </c>
      <c r="F262" s="104"/>
      <c r="G262" s="104"/>
      <c r="H262" s="104" t="s">
        <v>127</v>
      </c>
      <c r="I262" s="104" t="s">
        <v>128</v>
      </c>
      <c r="J262" s="104">
        <v>4</v>
      </c>
      <c r="K262" s="104">
        <v>4</v>
      </c>
      <c r="L262" s="104">
        <f>VLOOKUP(A262,[1]단품수량!$B$5:$P$27,13,FALSE)*K262</f>
        <v>960</v>
      </c>
      <c r="M262" s="104" t="s">
        <v>107</v>
      </c>
      <c r="N262" s="101" t="s">
        <v>91</v>
      </c>
      <c r="O262" s="105">
        <v>2510</v>
      </c>
      <c r="P262" s="105">
        <f t="shared" si="7"/>
        <v>10040</v>
      </c>
      <c r="Q262" s="104" t="s">
        <v>108</v>
      </c>
    </row>
    <row r="263" spans="1:17" ht="18" customHeight="1">
      <c r="A263" s="108">
        <v>10005991</v>
      </c>
      <c r="B263" s="104" t="str">
        <f>VLOOKUP(A263,[1]단품수량!$B$5:$E$27,4,FALSE)</f>
        <v>PII</v>
      </c>
      <c r="C263" s="104">
        <v>259</v>
      </c>
      <c r="D263" s="104" t="s">
        <v>208</v>
      </c>
      <c r="E263" s="104">
        <v>30115145</v>
      </c>
      <c r="F263" s="104"/>
      <c r="G263" s="104"/>
      <c r="H263" s="104" t="s">
        <v>137</v>
      </c>
      <c r="I263" s="104" t="s">
        <v>458</v>
      </c>
      <c r="J263" s="104">
        <v>1</v>
      </c>
      <c r="K263" s="104">
        <v>1</v>
      </c>
      <c r="L263" s="104">
        <f>VLOOKUP(A263,[1]단품수량!$B$5:$P$27,13,FALSE)*K263</f>
        <v>240</v>
      </c>
      <c r="M263" s="104" t="s">
        <v>107</v>
      </c>
      <c r="N263" s="101" t="s">
        <v>91</v>
      </c>
      <c r="O263" s="105">
        <v>390</v>
      </c>
      <c r="P263" s="105">
        <f t="shared" si="7"/>
        <v>390</v>
      </c>
      <c r="Q263" s="104" t="s">
        <v>100</v>
      </c>
    </row>
    <row r="264" spans="1:17" ht="18" customHeight="1">
      <c r="A264" s="108">
        <v>10005991</v>
      </c>
      <c r="B264" s="104" t="str">
        <f>VLOOKUP(A264,[1]단품수량!$B$5:$E$27,4,FALSE)</f>
        <v>PII</v>
      </c>
      <c r="C264" s="104">
        <v>260</v>
      </c>
      <c r="D264" s="104" t="s">
        <v>210</v>
      </c>
      <c r="E264" s="104">
        <v>30110820</v>
      </c>
      <c r="F264" s="104"/>
      <c r="G264" s="104"/>
      <c r="H264" s="104" t="s">
        <v>319</v>
      </c>
      <c r="I264" s="104" t="s">
        <v>320</v>
      </c>
      <c r="J264" s="104">
        <v>1</v>
      </c>
      <c r="K264" s="104">
        <v>1</v>
      </c>
      <c r="L264" s="104">
        <f>VLOOKUP(A264,[1]단품수량!$B$5:$P$27,13,FALSE)*K264</f>
        <v>240</v>
      </c>
      <c r="M264" s="104" t="s">
        <v>107</v>
      </c>
      <c r="N264" s="101" t="s">
        <v>91</v>
      </c>
      <c r="O264" s="105">
        <v>195</v>
      </c>
      <c r="P264" s="105">
        <f t="shared" si="7"/>
        <v>195</v>
      </c>
      <c r="Q264" s="104" t="s">
        <v>100</v>
      </c>
    </row>
    <row r="265" spans="1:17" ht="18" customHeight="1">
      <c r="A265" s="108">
        <v>10005991</v>
      </c>
      <c r="B265" s="104" t="str">
        <f>VLOOKUP(A265,[1]단품수량!$B$5:$E$27,4,FALSE)</f>
        <v>PII</v>
      </c>
      <c r="C265" s="104">
        <v>261</v>
      </c>
      <c r="D265" s="104" t="s">
        <v>213</v>
      </c>
      <c r="E265" s="104">
        <v>30100325</v>
      </c>
      <c r="F265" s="104"/>
      <c r="G265" s="104"/>
      <c r="H265" s="104" t="s">
        <v>211</v>
      </c>
      <c r="I265" s="104" t="s">
        <v>212</v>
      </c>
      <c r="J265" s="104">
        <v>1</v>
      </c>
      <c r="K265" s="104">
        <v>1</v>
      </c>
      <c r="L265" s="104">
        <f>VLOOKUP(A265,[1]단품수량!$B$5:$P$27,13,FALSE)*K265</f>
        <v>240</v>
      </c>
      <c r="M265" s="104" t="s">
        <v>107</v>
      </c>
      <c r="N265" s="101" t="s">
        <v>91</v>
      </c>
      <c r="O265" s="105">
        <v>150</v>
      </c>
      <c r="P265" s="105">
        <f t="shared" si="7"/>
        <v>150</v>
      </c>
      <c r="Q265" s="104" t="s">
        <v>100</v>
      </c>
    </row>
    <row r="266" spans="1:17" ht="18" customHeight="1">
      <c r="A266" s="108">
        <v>10005991</v>
      </c>
      <c r="B266" s="104" t="str">
        <f>VLOOKUP(A266,[1]단품수량!$B$5:$E$27,4,FALSE)</f>
        <v>PII</v>
      </c>
      <c r="C266" s="104">
        <v>262</v>
      </c>
      <c r="D266" s="104" t="s">
        <v>215</v>
      </c>
      <c r="E266" s="104">
        <v>30111991</v>
      </c>
      <c r="F266" s="104"/>
      <c r="G266" s="104"/>
      <c r="H266" s="104" t="s">
        <v>137</v>
      </c>
      <c r="I266" s="104" t="s">
        <v>321</v>
      </c>
      <c r="J266" s="104">
        <v>1</v>
      </c>
      <c r="K266" s="104">
        <v>1</v>
      </c>
      <c r="L266" s="104">
        <f>VLOOKUP(A266,[1]단품수량!$B$5:$P$27,13,FALSE)*K266</f>
        <v>240</v>
      </c>
      <c r="M266" s="104" t="s">
        <v>99</v>
      </c>
      <c r="N266" s="101" t="s">
        <v>91</v>
      </c>
      <c r="O266" s="105">
        <v>240</v>
      </c>
      <c r="P266" s="105">
        <f t="shared" si="7"/>
        <v>240</v>
      </c>
      <c r="Q266" s="104" t="s">
        <v>100</v>
      </c>
    </row>
    <row r="267" spans="1:17" ht="18" customHeight="1">
      <c r="A267" s="108">
        <v>10005991</v>
      </c>
      <c r="B267" s="104" t="str">
        <f>VLOOKUP(A267,[1]단품수량!$B$5:$E$27,4,FALSE)</f>
        <v>PII</v>
      </c>
      <c r="C267" s="104">
        <v>263</v>
      </c>
      <c r="D267" s="104" t="s">
        <v>218</v>
      </c>
      <c r="E267" s="104">
        <v>30081231</v>
      </c>
      <c r="F267" s="104"/>
      <c r="G267" s="104"/>
      <c r="H267" s="104" t="s">
        <v>216</v>
      </c>
      <c r="I267" s="104" t="s">
        <v>217</v>
      </c>
      <c r="J267" s="104">
        <v>40</v>
      </c>
      <c r="K267" s="104">
        <v>40</v>
      </c>
      <c r="L267" s="104">
        <f>VLOOKUP(A267,[1]단품수량!$B$5:$P$27,13,FALSE)*K267</f>
        <v>9600</v>
      </c>
      <c r="M267" s="104" t="s">
        <v>107</v>
      </c>
      <c r="N267" s="101" t="s">
        <v>91</v>
      </c>
      <c r="O267" s="105">
        <v>18</v>
      </c>
      <c r="P267" s="105">
        <f t="shared" si="7"/>
        <v>720</v>
      </c>
      <c r="Q267" s="104" t="s">
        <v>100</v>
      </c>
    </row>
    <row r="268" spans="1:17" ht="18" customHeight="1">
      <c r="A268" s="108">
        <v>10005993</v>
      </c>
      <c r="B268" s="104" t="str">
        <f>VLOOKUP(A268,[1]단품수량!$B$5:$E$27,4,FALSE)</f>
        <v>SDI</v>
      </c>
      <c r="C268" s="104">
        <v>264</v>
      </c>
      <c r="D268" s="104" t="s">
        <v>86</v>
      </c>
      <c r="E268" s="104">
        <v>30120696</v>
      </c>
      <c r="F268" s="104" t="s">
        <v>459</v>
      </c>
      <c r="G268" s="104"/>
      <c r="H268" s="104" t="s">
        <v>151</v>
      </c>
      <c r="I268" s="104" t="s">
        <v>89</v>
      </c>
      <c r="J268" s="104">
        <v>1</v>
      </c>
      <c r="K268" s="104">
        <v>1</v>
      </c>
      <c r="L268" s="104">
        <f>VLOOKUP(A268,[1]단품수량!$B$5:$P$27,13,FALSE)*K268</f>
        <v>240</v>
      </c>
      <c r="M268" s="104" t="s">
        <v>90</v>
      </c>
      <c r="N268" s="101" t="s">
        <v>91</v>
      </c>
      <c r="O268" s="105">
        <v>115000</v>
      </c>
      <c r="P268" s="105">
        <f t="shared" si="7"/>
        <v>115000</v>
      </c>
      <c r="Q268" s="104" t="s">
        <v>92</v>
      </c>
    </row>
    <row r="269" spans="1:17" ht="18" customHeight="1">
      <c r="A269" s="108">
        <v>10005993</v>
      </c>
      <c r="B269" s="104" t="str">
        <f>VLOOKUP(A269,[1]단품수량!$B$5:$E$27,4,FALSE)</f>
        <v>SDI</v>
      </c>
      <c r="C269" s="104">
        <v>265</v>
      </c>
      <c r="D269" s="104" t="s">
        <v>93</v>
      </c>
      <c r="E269" s="104">
        <v>30120697</v>
      </c>
      <c r="F269" s="104" t="s">
        <v>460</v>
      </c>
      <c r="G269" s="104"/>
      <c r="H269" s="104" t="s">
        <v>88</v>
      </c>
      <c r="I269" s="104" t="s">
        <v>89</v>
      </c>
      <c r="J269" s="104">
        <v>1</v>
      </c>
      <c r="K269" s="104">
        <v>1</v>
      </c>
      <c r="L269" s="104">
        <f>VLOOKUP(A269,[1]단품수량!$B$5:$P$27,13,FALSE)*K269</f>
        <v>240</v>
      </c>
      <c r="M269" s="104" t="s">
        <v>90</v>
      </c>
      <c r="N269" s="101" t="s">
        <v>91</v>
      </c>
      <c r="O269" s="105">
        <v>0</v>
      </c>
      <c r="P269" s="105">
        <f t="shared" si="7"/>
        <v>0</v>
      </c>
      <c r="Q269" s="104" t="s">
        <v>92</v>
      </c>
    </row>
    <row r="270" spans="1:17" ht="18" customHeight="1">
      <c r="A270" s="108">
        <v>10005993</v>
      </c>
      <c r="B270" s="104" t="str">
        <f>VLOOKUP(A270,[1]단품수량!$B$5:$E$27,4,FALSE)</f>
        <v>SDI</v>
      </c>
      <c r="C270" s="104">
        <v>266</v>
      </c>
      <c r="D270" s="104" t="s">
        <v>96</v>
      </c>
      <c r="E270" s="104">
        <v>30120698</v>
      </c>
      <c r="F270" s="104" t="s">
        <v>461</v>
      </c>
      <c r="G270" s="104"/>
      <c r="H270" s="104" t="s">
        <v>88</v>
      </c>
      <c r="I270" s="104" t="s">
        <v>89</v>
      </c>
      <c r="J270" s="104">
        <v>1</v>
      </c>
      <c r="K270" s="104">
        <v>1</v>
      </c>
      <c r="L270" s="104">
        <f>VLOOKUP(A270,[1]단품수량!$B$5:$P$27,13,FALSE)*K270</f>
        <v>240</v>
      </c>
      <c r="M270" s="104" t="s">
        <v>90</v>
      </c>
      <c r="N270" s="101" t="s">
        <v>91</v>
      </c>
      <c r="O270" s="105">
        <v>0</v>
      </c>
      <c r="P270" s="105">
        <f t="shared" si="7"/>
        <v>0</v>
      </c>
      <c r="Q270" s="104" t="s">
        <v>92</v>
      </c>
    </row>
    <row r="271" spans="1:17" ht="18" customHeight="1">
      <c r="A271" s="108">
        <v>10005993</v>
      </c>
      <c r="B271" s="104" t="str">
        <f>VLOOKUP(A271,[1]단품수량!$B$5:$E$27,4,FALSE)</f>
        <v>SDI</v>
      </c>
      <c r="C271" s="104">
        <v>267</v>
      </c>
      <c r="D271" s="104" t="s">
        <v>101</v>
      </c>
      <c r="E271" s="104">
        <v>30120699</v>
      </c>
      <c r="F271" s="104" t="s">
        <v>462</v>
      </c>
      <c r="G271" s="104"/>
      <c r="H271" s="104" t="s">
        <v>170</v>
      </c>
      <c r="I271" s="104" t="s">
        <v>89</v>
      </c>
      <c r="J271" s="104">
        <v>1</v>
      </c>
      <c r="K271" s="104">
        <v>1</v>
      </c>
      <c r="L271" s="104">
        <f>VLOOKUP(A271,[1]단품수량!$B$5:$P$27,13,FALSE)*K271</f>
        <v>240</v>
      </c>
      <c r="M271" s="104" t="s">
        <v>90</v>
      </c>
      <c r="N271" s="101" t="s">
        <v>91</v>
      </c>
      <c r="O271" s="105">
        <v>0</v>
      </c>
      <c r="P271" s="105">
        <f t="shared" si="7"/>
        <v>0</v>
      </c>
      <c r="Q271" s="104" t="s">
        <v>92</v>
      </c>
    </row>
    <row r="272" spans="1:17" ht="18" customHeight="1">
      <c r="A272" s="108">
        <v>10005993</v>
      </c>
      <c r="B272" s="104" t="str">
        <f>VLOOKUP(A272,[1]단품수량!$B$5:$E$27,4,FALSE)</f>
        <v>SDI</v>
      </c>
      <c r="C272" s="104">
        <v>268</v>
      </c>
      <c r="D272" s="104" t="s">
        <v>104</v>
      </c>
      <c r="E272" s="104">
        <v>30118098</v>
      </c>
      <c r="F272" s="104"/>
      <c r="G272" s="104"/>
      <c r="H272" s="104" t="s">
        <v>278</v>
      </c>
      <c r="I272" s="104" t="s">
        <v>279</v>
      </c>
      <c r="J272" s="104">
        <v>4</v>
      </c>
      <c r="K272" s="104">
        <v>4</v>
      </c>
      <c r="L272" s="104">
        <f>VLOOKUP(A272,[1]단품수량!$B$5:$P$27,13,FALSE)*K272</f>
        <v>960</v>
      </c>
      <c r="M272" s="104" t="s">
        <v>99</v>
      </c>
      <c r="N272" s="101" t="s">
        <v>91</v>
      </c>
      <c r="O272" s="105">
        <v>440</v>
      </c>
      <c r="P272" s="105">
        <f t="shared" si="7"/>
        <v>1760</v>
      </c>
      <c r="Q272" s="104" t="s">
        <v>280</v>
      </c>
    </row>
    <row r="273" spans="1:17" ht="18" customHeight="1">
      <c r="A273" s="108">
        <v>10005993</v>
      </c>
      <c r="B273" s="104" t="str">
        <f>VLOOKUP(A273,[1]단품수량!$B$5:$E$27,4,FALSE)</f>
        <v>SDI</v>
      </c>
      <c r="C273" s="104">
        <v>269</v>
      </c>
      <c r="D273" s="104" t="s">
        <v>109</v>
      </c>
      <c r="E273" s="104">
        <v>30120700</v>
      </c>
      <c r="F273" s="104" t="s">
        <v>463</v>
      </c>
      <c r="G273" s="104"/>
      <c r="H273" s="104" t="s">
        <v>88</v>
      </c>
      <c r="I273" s="104" t="s">
        <v>89</v>
      </c>
      <c r="J273" s="104">
        <v>1</v>
      </c>
      <c r="K273" s="104">
        <v>1</v>
      </c>
      <c r="L273" s="104">
        <f>VLOOKUP(A273,[1]단품수량!$B$5:$P$27,13,FALSE)*K273</f>
        <v>240</v>
      </c>
      <c r="M273" s="104" t="s">
        <v>90</v>
      </c>
      <c r="N273" s="101" t="s">
        <v>91</v>
      </c>
      <c r="O273" s="105">
        <v>0</v>
      </c>
      <c r="P273" s="105">
        <f t="shared" si="7"/>
        <v>0</v>
      </c>
      <c r="Q273" s="104" t="s">
        <v>92</v>
      </c>
    </row>
    <row r="274" spans="1:17" ht="18" customHeight="1">
      <c r="A274" s="108">
        <v>10005993</v>
      </c>
      <c r="B274" s="104" t="str">
        <f>VLOOKUP(A274,[1]단품수량!$B$5:$E$27,4,FALSE)</f>
        <v>SDI</v>
      </c>
      <c r="C274" s="104">
        <v>270</v>
      </c>
      <c r="D274" s="104" t="s">
        <v>112</v>
      </c>
      <c r="E274" s="104">
        <v>30120694</v>
      </c>
      <c r="F274" s="104" t="s">
        <v>449</v>
      </c>
      <c r="G274" s="104"/>
      <c r="H274" s="104" t="s">
        <v>88</v>
      </c>
      <c r="I274" s="104" t="s">
        <v>89</v>
      </c>
      <c r="J274" s="104">
        <v>1</v>
      </c>
      <c r="K274" s="104">
        <v>1</v>
      </c>
      <c r="L274" s="104">
        <f>VLOOKUP(A274,[1]단품수량!$B$5:$P$27,13,FALSE)*K274</f>
        <v>240</v>
      </c>
      <c r="M274" s="104" t="s">
        <v>90</v>
      </c>
      <c r="N274" s="101" t="s">
        <v>91</v>
      </c>
      <c r="O274" s="105">
        <v>0</v>
      </c>
      <c r="P274" s="105">
        <f t="shared" si="7"/>
        <v>0</v>
      </c>
      <c r="Q274" s="104" t="s">
        <v>92</v>
      </c>
    </row>
    <row r="275" spans="1:17" ht="18" customHeight="1">
      <c r="A275" s="108">
        <v>10005993</v>
      </c>
      <c r="B275" s="104" t="str">
        <f>VLOOKUP(A275,[1]단품수량!$B$5:$E$27,4,FALSE)</f>
        <v>SDI</v>
      </c>
      <c r="C275" s="104">
        <v>271</v>
      </c>
      <c r="D275" s="104" t="s">
        <v>115</v>
      </c>
      <c r="E275" s="104">
        <v>30120749</v>
      </c>
      <c r="F275" s="104"/>
      <c r="G275" s="104"/>
      <c r="H275" s="104" t="s">
        <v>281</v>
      </c>
      <c r="I275" s="104" t="s">
        <v>282</v>
      </c>
      <c r="J275" s="104">
        <v>8</v>
      </c>
      <c r="K275" s="104">
        <v>8</v>
      </c>
      <c r="L275" s="104">
        <f>VLOOKUP(A275,[1]단품수량!$B$5:$P$27,13,FALSE)*K275</f>
        <v>1920</v>
      </c>
      <c r="M275" s="104" t="s">
        <v>99</v>
      </c>
      <c r="N275" s="101" t="s">
        <v>91</v>
      </c>
      <c r="O275" s="105">
        <v>40000</v>
      </c>
      <c r="P275" s="105">
        <f t="shared" si="7"/>
        <v>320000</v>
      </c>
      <c r="Q275" s="104" t="s">
        <v>283</v>
      </c>
    </row>
    <row r="276" spans="1:17" ht="18" customHeight="1">
      <c r="A276" s="108">
        <v>10005993</v>
      </c>
      <c r="B276" s="104" t="str">
        <f>VLOOKUP(A276,[1]단품수량!$B$5:$E$27,4,FALSE)</f>
        <v>SDI</v>
      </c>
      <c r="C276" s="104">
        <v>272</v>
      </c>
      <c r="D276" s="104" t="s">
        <v>118</v>
      </c>
      <c r="E276" s="104">
        <v>30120750</v>
      </c>
      <c r="F276" s="104"/>
      <c r="G276" s="104"/>
      <c r="H276" s="104" t="s">
        <v>281</v>
      </c>
      <c r="I276" s="104" t="s">
        <v>284</v>
      </c>
      <c r="J276" s="104">
        <v>1</v>
      </c>
      <c r="K276" s="104">
        <v>1</v>
      </c>
      <c r="L276" s="104">
        <f>VLOOKUP(A276,[1]단품수량!$B$5:$P$27,13,FALSE)*K276</f>
        <v>240</v>
      </c>
      <c r="M276" s="104" t="s">
        <v>99</v>
      </c>
      <c r="N276" s="101" t="s">
        <v>91</v>
      </c>
      <c r="O276" s="105">
        <v>170000</v>
      </c>
      <c r="P276" s="105">
        <f t="shared" si="7"/>
        <v>170000</v>
      </c>
      <c r="Q276" s="104" t="s">
        <v>283</v>
      </c>
    </row>
    <row r="277" spans="1:17" ht="18" customHeight="1">
      <c r="A277" s="108">
        <v>10005993</v>
      </c>
      <c r="B277" s="104" t="str">
        <f>VLOOKUP(A277,[1]단품수량!$B$5:$E$27,4,FALSE)</f>
        <v>SDI</v>
      </c>
      <c r="C277" s="104">
        <v>273</v>
      </c>
      <c r="D277" s="104" t="s">
        <v>121</v>
      </c>
      <c r="E277" s="104">
        <v>30120838</v>
      </c>
      <c r="F277" s="104"/>
      <c r="G277" s="104"/>
      <c r="H277" s="104" t="s">
        <v>285</v>
      </c>
      <c r="I277" s="104" t="s">
        <v>286</v>
      </c>
      <c r="J277" s="104">
        <v>1</v>
      </c>
      <c r="K277" s="104">
        <v>1</v>
      </c>
      <c r="L277" s="104">
        <f>VLOOKUP(A277,[1]단품수량!$B$5:$P$27,13,FALSE)*K277</f>
        <v>240</v>
      </c>
      <c r="M277" s="104" t="s">
        <v>99</v>
      </c>
      <c r="N277" s="101" t="s">
        <v>91</v>
      </c>
      <c r="O277" s="105">
        <v>0</v>
      </c>
      <c r="P277" s="105">
        <f t="shared" si="7"/>
        <v>0</v>
      </c>
      <c r="Q277" s="104" t="s">
        <v>283</v>
      </c>
    </row>
    <row r="278" spans="1:17" ht="18" customHeight="1">
      <c r="A278" s="108">
        <v>10005993</v>
      </c>
      <c r="B278" s="104" t="str">
        <f>VLOOKUP(A278,[1]단품수량!$B$5:$E$27,4,FALSE)</f>
        <v>SDI</v>
      </c>
      <c r="C278" s="104">
        <v>274</v>
      </c>
      <c r="D278" s="104" t="s">
        <v>126</v>
      </c>
      <c r="E278" s="104">
        <v>30120841</v>
      </c>
      <c r="F278" s="104"/>
      <c r="G278" s="104"/>
      <c r="H278" s="104" t="s">
        <v>464</v>
      </c>
      <c r="I278" s="104" t="s">
        <v>288</v>
      </c>
      <c r="J278" s="104">
        <v>1</v>
      </c>
      <c r="K278" s="104">
        <v>1</v>
      </c>
      <c r="L278" s="104">
        <f>VLOOKUP(A278,[1]단품수량!$B$5:$P$27,13,FALSE)*K278</f>
        <v>240</v>
      </c>
      <c r="M278" s="104" t="s">
        <v>90</v>
      </c>
      <c r="N278" s="101" t="s">
        <v>197</v>
      </c>
      <c r="O278" s="105">
        <v>666040</v>
      </c>
      <c r="P278" s="105">
        <f>K278*O278</f>
        <v>666040</v>
      </c>
      <c r="Q278" s="104" t="s">
        <v>198</v>
      </c>
    </row>
    <row r="279" spans="1:17" ht="18" customHeight="1">
      <c r="A279" s="108">
        <v>10005993</v>
      </c>
      <c r="B279" s="104" t="str">
        <f>VLOOKUP(A279,[1]단품수량!$B$5:$E$27,4,FALSE)</f>
        <v>SDI</v>
      </c>
      <c r="C279" s="104">
        <v>275</v>
      </c>
      <c r="D279" s="104" t="s">
        <v>181</v>
      </c>
      <c r="E279" s="104">
        <v>30120751</v>
      </c>
      <c r="F279" s="104"/>
      <c r="G279" s="104"/>
      <c r="H279" s="104" t="s">
        <v>289</v>
      </c>
      <c r="I279" s="104" t="s">
        <v>290</v>
      </c>
      <c r="J279" s="104">
        <v>1</v>
      </c>
      <c r="K279" s="104">
        <v>1</v>
      </c>
      <c r="L279" s="104">
        <f>VLOOKUP(A279,[1]단품수량!$B$5:$P$27,13,FALSE)*K279</f>
        <v>240</v>
      </c>
      <c r="M279" s="104" t="s">
        <v>90</v>
      </c>
      <c r="N279" s="101" t="s">
        <v>91</v>
      </c>
      <c r="O279" s="105">
        <v>160000</v>
      </c>
      <c r="P279" s="105">
        <f t="shared" ref="P279:P315" si="8">K279*O279</f>
        <v>160000</v>
      </c>
      <c r="Q279" s="104" t="s">
        <v>291</v>
      </c>
    </row>
    <row r="280" spans="1:17" ht="18" customHeight="1">
      <c r="A280" s="108">
        <v>10005993</v>
      </c>
      <c r="B280" s="104" t="str">
        <f>VLOOKUP(A280,[1]단품수량!$B$5:$E$27,4,FALSE)</f>
        <v>SDI</v>
      </c>
      <c r="C280" s="104">
        <v>276</v>
      </c>
      <c r="D280" s="104" t="s">
        <v>149</v>
      </c>
      <c r="E280" s="104">
        <v>30120992</v>
      </c>
      <c r="F280" s="104"/>
      <c r="G280" s="104"/>
      <c r="H280" s="104" t="s">
        <v>186</v>
      </c>
      <c r="I280" s="104" t="s">
        <v>187</v>
      </c>
      <c r="J280" s="104">
        <v>1</v>
      </c>
      <c r="K280" s="104">
        <v>1</v>
      </c>
      <c r="L280" s="104">
        <f>VLOOKUP(A280,[1]단품수량!$B$5:$P$27,13,FALSE)*K280</f>
        <v>240</v>
      </c>
      <c r="M280" s="104" t="s">
        <v>107</v>
      </c>
      <c r="N280" s="101" t="s">
        <v>91</v>
      </c>
      <c r="O280" s="105">
        <v>24000</v>
      </c>
      <c r="P280" s="105">
        <f t="shared" si="8"/>
        <v>24000</v>
      </c>
      <c r="Q280" s="104" t="s">
        <v>188</v>
      </c>
    </row>
    <row r="281" spans="1:17" ht="18" customHeight="1">
      <c r="A281" s="108">
        <v>10005993</v>
      </c>
      <c r="B281" s="104" t="str">
        <f>VLOOKUP(A281,[1]단품수량!$B$5:$E$27,4,FALSE)</f>
        <v>SDI</v>
      </c>
      <c r="C281" s="104">
        <v>277</v>
      </c>
      <c r="D281" s="104" t="s">
        <v>152</v>
      </c>
      <c r="E281" s="104">
        <v>30121672</v>
      </c>
      <c r="F281" s="104"/>
      <c r="G281" s="104"/>
      <c r="H281" s="104" t="s">
        <v>189</v>
      </c>
      <c r="I281" s="104" t="s">
        <v>190</v>
      </c>
      <c r="J281" s="104">
        <v>1</v>
      </c>
      <c r="K281" s="104">
        <v>1</v>
      </c>
      <c r="L281" s="104">
        <f>VLOOKUP(A281,[1]단품수량!$B$5:$P$27,13,FALSE)*K281</f>
        <v>240</v>
      </c>
      <c r="M281" s="104" t="s">
        <v>99</v>
      </c>
      <c r="N281" s="101" t="s">
        <v>91</v>
      </c>
      <c r="O281" s="105">
        <v>320</v>
      </c>
      <c r="P281" s="105">
        <f t="shared" si="8"/>
        <v>320</v>
      </c>
      <c r="Q281" s="104" t="s">
        <v>188</v>
      </c>
    </row>
    <row r="282" spans="1:17" ht="18" customHeight="1">
      <c r="A282" s="108">
        <v>10005993</v>
      </c>
      <c r="B282" s="104" t="str">
        <f>VLOOKUP(A282,[1]단품수량!$B$5:$E$27,4,FALSE)</f>
        <v>SDI</v>
      </c>
      <c r="C282" s="104">
        <v>278</v>
      </c>
      <c r="D282" s="104" t="s">
        <v>184</v>
      </c>
      <c r="E282" s="104">
        <v>30120752</v>
      </c>
      <c r="F282" s="104"/>
      <c r="G282" s="104"/>
      <c r="H282" s="104" t="s">
        <v>292</v>
      </c>
      <c r="I282" s="104" t="s">
        <v>89</v>
      </c>
      <c r="J282" s="104">
        <v>1</v>
      </c>
      <c r="K282" s="104">
        <v>1</v>
      </c>
      <c r="L282" s="104">
        <f>VLOOKUP(A282,[1]단품수량!$B$5:$P$27,13,FALSE)*K282</f>
        <v>240</v>
      </c>
      <c r="M282" s="104" t="s">
        <v>90</v>
      </c>
      <c r="N282" s="101" t="s">
        <v>91</v>
      </c>
      <c r="O282" s="105">
        <v>12000</v>
      </c>
      <c r="P282" s="105">
        <f t="shared" si="8"/>
        <v>12000</v>
      </c>
      <c r="Q282" s="104" t="s">
        <v>291</v>
      </c>
    </row>
    <row r="283" spans="1:17" ht="18" customHeight="1">
      <c r="A283" s="108">
        <v>10005993</v>
      </c>
      <c r="B283" s="104" t="str">
        <f>VLOOKUP(A283,[1]단품수량!$B$5:$E$27,4,FALSE)</f>
        <v>SDI</v>
      </c>
      <c r="C283" s="104">
        <v>279</v>
      </c>
      <c r="D283" s="104" t="s">
        <v>191</v>
      </c>
      <c r="E283" s="104">
        <v>30120665</v>
      </c>
      <c r="F283" s="104" t="s">
        <v>465</v>
      </c>
      <c r="G283" s="104"/>
      <c r="H283" s="104" t="s">
        <v>123</v>
      </c>
      <c r="I283" s="104" t="s">
        <v>466</v>
      </c>
      <c r="J283" s="104">
        <v>1</v>
      </c>
      <c r="K283" s="104">
        <v>1</v>
      </c>
      <c r="L283" s="104">
        <f>VLOOKUP(A283,[1]단품수량!$B$5:$P$27,13,FALSE)*K283</f>
        <v>240</v>
      </c>
      <c r="M283" s="104" t="s">
        <v>90</v>
      </c>
      <c r="N283" s="101" t="s">
        <v>91</v>
      </c>
      <c r="O283" s="105">
        <v>1400</v>
      </c>
      <c r="P283" s="105">
        <f t="shared" si="8"/>
        <v>1400</v>
      </c>
      <c r="Q283" s="104" t="s">
        <v>125</v>
      </c>
    </row>
    <row r="284" spans="1:17" ht="18" customHeight="1">
      <c r="A284" s="108">
        <v>10005993</v>
      </c>
      <c r="B284" s="104" t="str">
        <f>VLOOKUP(A284,[1]단품수량!$B$5:$E$27,4,FALSE)</f>
        <v>SDI</v>
      </c>
      <c r="C284" s="104">
        <v>280</v>
      </c>
      <c r="D284" s="104" t="s">
        <v>194</v>
      </c>
      <c r="E284" s="104">
        <v>30120762</v>
      </c>
      <c r="F284" s="104"/>
      <c r="G284" s="104"/>
      <c r="H284" s="104" t="s">
        <v>270</v>
      </c>
      <c r="I284" s="104" t="s">
        <v>413</v>
      </c>
      <c r="J284" s="104">
        <v>1</v>
      </c>
      <c r="K284" s="104">
        <v>1</v>
      </c>
      <c r="L284" s="104">
        <f>VLOOKUP(A284,[1]단품수량!$B$5:$P$27,13,FALSE)*K284</f>
        <v>240</v>
      </c>
      <c r="M284" s="104" t="s">
        <v>99</v>
      </c>
      <c r="N284" s="101" t="s">
        <v>91</v>
      </c>
      <c r="O284" s="105">
        <v>300</v>
      </c>
      <c r="P284" s="105">
        <f t="shared" si="8"/>
        <v>300</v>
      </c>
      <c r="Q284" s="104" t="s">
        <v>133</v>
      </c>
    </row>
    <row r="285" spans="1:17" ht="18" customHeight="1">
      <c r="A285" s="108">
        <v>10005993</v>
      </c>
      <c r="B285" s="104" t="str">
        <f>VLOOKUP(A285,[1]단품수량!$B$5:$E$27,4,FALSE)</f>
        <v>SDI</v>
      </c>
      <c r="C285" s="104">
        <v>281</v>
      </c>
      <c r="D285" s="104" t="s">
        <v>201</v>
      </c>
      <c r="E285" s="104">
        <v>30118573</v>
      </c>
      <c r="F285" s="104"/>
      <c r="G285" s="104"/>
      <c r="H285" s="104" t="s">
        <v>177</v>
      </c>
      <c r="I285" s="104" t="s">
        <v>178</v>
      </c>
      <c r="J285" s="104">
        <v>19</v>
      </c>
      <c r="K285" s="104">
        <v>19</v>
      </c>
      <c r="L285" s="104">
        <f>VLOOKUP(A285,[1]단품수량!$B$5:$P$27,13,FALSE)*K285</f>
        <v>4560</v>
      </c>
      <c r="M285" s="104" t="s">
        <v>107</v>
      </c>
      <c r="N285" s="101" t="s">
        <v>91</v>
      </c>
      <c r="O285" s="105">
        <v>1000</v>
      </c>
      <c r="P285" s="105">
        <f t="shared" si="8"/>
        <v>19000</v>
      </c>
      <c r="Q285" s="104" t="s">
        <v>108</v>
      </c>
    </row>
    <row r="286" spans="1:17" ht="18" customHeight="1">
      <c r="A286" s="108">
        <v>10005993</v>
      </c>
      <c r="B286" s="104" t="str">
        <f>VLOOKUP(A286,[1]단품수량!$B$5:$E$27,4,FALSE)</f>
        <v>SDI</v>
      </c>
      <c r="C286" s="104">
        <v>282</v>
      </c>
      <c r="D286" s="104" t="s">
        <v>224</v>
      </c>
      <c r="E286" s="104">
        <v>30118582</v>
      </c>
      <c r="F286" s="104"/>
      <c r="G286" s="104"/>
      <c r="H286" s="104" t="s">
        <v>179</v>
      </c>
      <c r="I286" s="104" t="s">
        <v>180</v>
      </c>
      <c r="J286" s="104">
        <v>19</v>
      </c>
      <c r="K286" s="104">
        <v>19</v>
      </c>
      <c r="L286" s="104">
        <f>VLOOKUP(A286,[1]단품수량!$B$5:$P$27,13,FALSE)*K286</f>
        <v>4560</v>
      </c>
      <c r="M286" s="104" t="s">
        <v>107</v>
      </c>
      <c r="N286" s="101" t="s">
        <v>91</v>
      </c>
      <c r="O286" s="105">
        <v>500</v>
      </c>
      <c r="P286" s="105">
        <f t="shared" si="8"/>
        <v>9500</v>
      </c>
      <c r="Q286" s="104" t="s">
        <v>108</v>
      </c>
    </row>
    <row r="287" spans="1:17" ht="18" customHeight="1">
      <c r="A287" s="108">
        <v>10005993</v>
      </c>
      <c r="B287" s="104" t="str">
        <f>VLOOKUP(A287,[1]단품수량!$B$5:$E$27,4,FALSE)</f>
        <v>SDI</v>
      </c>
      <c r="C287" s="104">
        <v>283</v>
      </c>
      <c r="D287" s="104" t="s">
        <v>300</v>
      </c>
      <c r="E287" s="104">
        <v>30118548</v>
      </c>
      <c r="F287" s="104"/>
      <c r="G287" s="104"/>
      <c r="H287" s="104" t="s">
        <v>171</v>
      </c>
      <c r="I287" s="104" t="s">
        <v>467</v>
      </c>
      <c r="J287" s="104">
        <v>1</v>
      </c>
      <c r="K287" s="104">
        <v>1</v>
      </c>
      <c r="L287" s="104">
        <f>VLOOKUP(A287,[1]단품수량!$B$5:$P$27,13,FALSE)*K287</f>
        <v>240</v>
      </c>
      <c r="M287" s="104" t="s">
        <v>107</v>
      </c>
      <c r="N287" s="101" t="s">
        <v>91</v>
      </c>
      <c r="O287" s="105">
        <v>47800</v>
      </c>
      <c r="P287" s="105">
        <f t="shared" si="8"/>
        <v>47800</v>
      </c>
      <c r="Q287" s="104" t="s">
        <v>108</v>
      </c>
    </row>
    <row r="288" spans="1:17" ht="18" customHeight="1">
      <c r="A288" s="108">
        <v>10005993</v>
      </c>
      <c r="B288" s="104" t="str">
        <f>VLOOKUP(A288,[1]단품수량!$B$5:$E$27,4,FALSE)</f>
        <v>SDI</v>
      </c>
      <c r="C288" s="104">
        <v>284</v>
      </c>
      <c r="D288" s="104" t="s">
        <v>303</v>
      </c>
      <c r="E288" s="104">
        <v>30118563</v>
      </c>
      <c r="F288" s="104"/>
      <c r="G288" s="104"/>
      <c r="H288" s="104" t="s">
        <v>468</v>
      </c>
      <c r="I288" s="104" t="s">
        <v>469</v>
      </c>
      <c r="J288" s="104">
        <v>1</v>
      </c>
      <c r="K288" s="104">
        <v>1</v>
      </c>
      <c r="L288" s="104">
        <f>VLOOKUP(A288,[1]단품수량!$B$5:$P$27,13,FALSE)*K288</f>
        <v>240</v>
      </c>
      <c r="M288" s="104" t="s">
        <v>107</v>
      </c>
      <c r="N288" s="101" t="s">
        <v>91</v>
      </c>
      <c r="O288" s="105">
        <v>50800</v>
      </c>
      <c r="P288" s="105">
        <f t="shared" si="8"/>
        <v>50800</v>
      </c>
      <c r="Q288" s="104" t="s">
        <v>108</v>
      </c>
    </row>
    <row r="289" spans="1:17" ht="18" customHeight="1">
      <c r="A289" s="108">
        <v>10005993</v>
      </c>
      <c r="B289" s="104" t="str">
        <f>VLOOKUP(A289,[1]단품수량!$B$5:$E$27,4,FALSE)</f>
        <v>SDI</v>
      </c>
      <c r="C289" s="104">
        <v>285</v>
      </c>
      <c r="D289" s="104" t="s">
        <v>306</v>
      </c>
      <c r="E289" s="104">
        <v>30120840</v>
      </c>
      <c r="F289" s="104"/>
      <c r="G289" s="104"/>
      <c r="H289" s="104" t="s">
        <v>297</v>
      </c>
      <c r="I289" s="104" t="s">
        <v>298</v>
      </c>
      <c r="J289" s="104">
        <v>4</v>
      </c>
      <c r="K289" s="104">
        <v>4</v>
      </c>
      <c r="L289" s="104">
        <f>VLOOKUP(A289,[1]단품수량!$B$5:$P$27,13,FALSE)*K289</f>
        <v>960</v>
      </c>
      <c r="M289" s="104" t="s">
        <v>107</v>
      </c>
      <c r="N289" s="101" t="s">
        <v>91</v>
      </c>
      <c r="O289" s="105">
        <v>759</v>
      </c>
      <c r="P289" s="105">
        <f t="shared" si="8"/>
        <v>3036</v>
      </c>
      <c r="Q289" s="104" t="s">
        <v>299</v>
      </c>
    </row>
    <row r="290" spans="1:17" ht="18" customHeight="1">
      <c r="A290" s="108">
        <v>10005993</v>
      </c>
      <c r="B290" s="104" t="str">
        <f>VLOOKUP(A290,[1]단품수량!$B$5:$E$27,4,FALSE)</f>
        <v>SDI</v>
      </c>
      <c r="C290" s="104">
        <v>286</v>
      </c>
      <c r="D290" s="104" t="s">
        <v>309</v>
      </c>
      <c r="E290" s="104">
        <v>30120532</v>
      </c>
      <c r="F290" s="104"/>
      <c r="G290" s="104"/>
      <c r="H290" s="104" t="s">
        <v>301</v>
      </c>
      <c r="I290" s="104" t="s">
        <v>302</v>
      </c>
      <c r="J290" s="104">
        <v>4</v>
      </c>
      <c r="K290" s="104">
        <v>4</v>
      </c>
      <c r="L290" s="104">
        <f>VLOOKUP(A290,[1]단품수량!$B$5:$P$27,13,FALSE)*K290</f>
        <v>960</v>
      </c>
      <c r="M290" s="104" t="s">
        <v>107</v>
      </c>
      <c r="N290" s="101" t="s">
        <v>91</v>
      </c>
      <c r="O290" s="105">
        <v>297</v>
      </c>
      <c r="P290" s="105">
        <f t="shared" si="8"/>
        <v>1188</v>
      </c>
      <c r="Q290" s="104" t="s">
        <v>299</v>
      </c>
    </row>
    <row r="291" spans="1:17" ht="18" customHeight="1">
      <c r="A291" s="108">
        <v>10005993</v>
      </c>
      <c r="B291" s="104" t="str">
        <f>VLOOKUP(A291,[1]단품수량!$B$5:$E$27,4,FALSE)</f>
        <v>SDI</v>
      </c>
      <c r="C291" s="104">
        <v>287</v>
      </c>
      <c r="D291" s="104" t="s">
        <v>312</v>
      </c>
      <c r="E291" s="104">
        <v>30120533</v>
      </c>
      <c r="F291" s="104"/>
      <c r="G291" s="104"/>
      <c r="H291" s="104" t="s">
        <v>304</v>
      </c>
      <c r="I291" s="104" t="s">
        <v>305</v>
      </c>
      <c r="J291" s="104">
        <v>4</v>
      </c>
      <c r="K291" s="104">
        <v>4</v>
      </c>
      <c r="L291" s="104">
        <f>VLOOKUP(A291,[1]단품수량!$B$5:$P$27,13,FALSE)*K291</f>
        <v>960</v>
      </c>
      <c r="M291" s="104" t="s">
        <v>107</v>
      </c>
      <c r="N291" s="101" t="s">
        <v>91</v>
      </c>
      <c r="O291" s="105">
        <v>71</v>
      </c>
      <c r="P291" s="105">
        <f t="shared" si="8"/>
        <v>284</v>
      </c>
      <c r="Q291" s="104" t="s">
        <v>299</v>
      </c>
    </row>
    <row r="292" spans="1:17" ht="18" customHeight="1">
      <c r="A292" s="108">
        <v>10005993</v>
      </c>
      <c r="B292" s="104" t="str">
        <f>VLOOKUP(A292,[1]단품수량!$B$5:$E$27,4,FALSE)</f>
        <v>SDI</v>
      </c>
      <c r="C292" s="104">
        <v>288</v>
      </c>
      <c r="D292" s="104" t="s">
        <v>315</v>
      </c>
      <c r="E292" s="104">
        <v>30120534</v>
      </c>
      <c r="F292" s="104"/>
      <c r="G292" s="104"/>
      <c r="H292" s="104" t="s">
        <v>307</v>
      </c>
      <c r="I292" s="104" t="s">
        <v>308</v>
      </c>
      <c r="J292" s="104">
        <v>4</v>
      </c>
      <c r="K292" s="104">
        <v>4</v>
      </c>
      <c r="L292" s="104">
        <f>VLOOKUP(A292,[1]단품수량!$B$5:$P$27,13,FALSE)*K292</f>
        <v>960</v>
      </c>
      <c r="M292" s="104" t="s">
        <v>107</v>
      </c>
      <c r="N292" s="101" t="s">
        <v>91</v>
      </c>
      <c r="O292" s="105">
        <v>155</v>
      </c>
      <c r="P292" s="105">
        <f t="shared" si="8"/>
        <v>620</v>
      </c>
      <c r="Q292" s="104" t="s">
        <v>299</v>
      </c>
    </row>
    <row r="293" spans="1:17" ht="18" customHeight="1">
      <c r="A293" s="108">
        <v>10005993</v>
      </c>
      <c r="B293" s="104" t="str">
        <f>VLOOKUP(A293,[1]단품수량!$B$5:$E$27,4,FALSE)</f>
        <v>SDI</v>
      </c>
      <c r="C293" s="104">
        <v>289</v>
      </c>
      <c r="D293" s="104" t="s">
        <v>414</v>
      </c>
      <c r="E293" s="104">
        <v>30120535</v>
      </c>
      <c r="F293" s="104"/>
      <c r="G293" s="104"/>
      <c r="H293" s="104" t="s">
        <v>310</v>
      </c>
      <c r="I293" s="104" t="s">
        <v>311</v>
      </c>
      <c r="J293" s="104">
        <v>4</v>
      </c>
      <c r="K293" s="104">
        <v>4</v>
      </c>
      <c r="L293" s="104">
        <f>VLOOKUP(A293,[1]단품수량!$B$5:$P$27,13,FALSE)*K293</f>
        <v>960</v>
      </c>
      <c r="M293" s="104" t="s">
        <v>107</v>
      </c>
      <c r="N293" s="101" t="s">
        <v>91</v>
      </c>
      <c r="O293" s="105">
        <v>87</v>
      </c>
      <c r="P293" s="105">
        <f t="shared" si="8"/>
        <v>348</v>
      </c>
      <c r="Q293" s="104" t="s">
        <v>299</v>
      </c>
    </row>
    <row r="294" spans="1:17" ht="18" customHeight="1">
      <c r="A294" s="108">
        <v>10005993</v>
      </c>
      <c r="B294" s="104" t="str">
        <f>VLOOKUP(A294,[1]단품수량!$B$5:$E$27,4,FALSE)</f>
        <v>SDI</v>
      </c>
      <c r="C294" s="104">
        <v>290</v>
      </c>
      <c r="D294" s="104" t="s">
        <v>415</v>
      </c>
      <c r="E294" s="104">
        <v>20061698</v>
      </c>
      <c r="F294" s="104" t="s">
        <v>470</v>
      </c>
      <c r="G294" s="104"/>
      <c r="H294" s="104" t="s">
        <v>203</v>
      </c>
      <c r="I294" s="104" t="s">
        <v>471</v>
      </c>
      <c r="J294" s="104">
        <v>1</v>
      </c>
      <c r="K294" s="104">
        <v>1</v>
      </c>
      <c r="L294" s="104">
        <f>VLOOKUP(A294,[1]단품수량!$B$5:$P$27,13,FALSE)*K294</f>
        <v>240</v>
      </c>
      <c r="M294" s="104" t="s">
        <v>205</v>
      </c>
      <c r="N294" s="101"/>
      <c r="O294" s="105">
        <v>0</v>
      </c>
      <c r="P294" s="105">
        <f t="shared" si="8"/>
        <v>0</v>
      </c>
      <c r="Q294" s="104"/>
    </row>
    <row r="295" spans="1:17" ht="18" customHeight="1">
      <c r="A295" s="108">
        <v>10005993</v>
      </c>
      <c r="B295" s="104" t="str">
        <f>VLOOKUP(A295,[1]단품수량!$B$5:$E$27,4,FALSE)</f>
        <v>SDI</v>
      </c>
      <c r="C295" s="104">
        <v>291</v>
      </c>
      <c r="D295" s="104" t="s">
        <v>149</v>
      </c>
      <c r="E295" s="104">
        <v>30075140</v>
      </c>
      <c r="F295" s="104"/>
      <c r="G295" s="104"/>
      <c r="H295" s="104" t="s">
        <v>143</v>
      </c>
      <c r="I295" s="104" t="s">
        <v>206</v>
      </c>
      <c r="J295" s="104">
        <v>50</v>
      </c>
      <c r="K295" s="104">
        <v>50</v>
      </c>
      <c r="L295" s="104">
        <f>VLOOKUP(A295,[1]단품수량!$B$5:$P$27,13,FALSE)*K295</f>
        <v>12000</v>
      </c>
      <c r="M295" s="104" t="s">
        <v>107</v>
      </c>
      <c r="N295" s="101" t="s">
        <v>91</v>
      </c>
      <c r="O295" s="105">
        <v>380</v>
      </c>
      <c r="P295" s="105">
        <f t="shared" si="8"/>
        <v>19000</v>
      </c>
      <c r="Q295" s="104" t="s">
        <v>108</v>
      </c>
    </row>
    <row r="296" spans="1:17" ht="18" customHeight="1">
      <c r="A296" s="108">
        <v>10005993</v>
      </c>
      <c r="B296" s="104" t="str">
        <f>VLOOKUP(A296,[1]단품수량!$B$5:$E$27,4,FALSE)</f>
        <v>SDI</v>
      </c>
      <c r="C296" s="104">
        <v>292</v>
      </c>
      <c r="D296" s="104" t="s">
        <v>152</v>
      </c>
      <c r="E296" s="104">
        <v>30093304</v>
      </c>
      <c r="F296" s="104"/>
      <c r="G296" s="104"/>
      <c r="H296" s="104" t="s">
        <v>127</v>
      </c>
      <c r="I296" s="104" t="s">
        <v>128</v>
      </c>
      <c r="J296" s="104">
        <v>4</v>
      </c>
      <c r="K296" s="104">
        <v>4</v>
      </c>
      <c r="L296" s="104">
        <f>VLOOKUP(A296,[1]단품수량!$B$5:$P$27,13,FALSE)*K296</f>
        <v>960</v>
      </c>
      <c r="M296" s="104" t="s">
        <v>107</v>
      </c>
      <c r="N296" s="101" t="s">
        <v>91</v>
      </c>
      <c r="O296" s="105">
        <v>2510</v>
      </c>
      <c r="P296" s="105">
        <f t="shared" si="8"/>
        <v>10040</v>
      </c>
      <c r="Q296" s="104" t="s">
        <v>108</v>
      </c>
    </row>
    <row r="297" spans="1:17" ht="18" customHeight="1">
      <c r="A297" s="108">
        <v>10005993</v>
      </c>
      <c r="B297" s="104" t="str">
        <f>VLOOKUP(A297,[1]단품수량!$B$5:$E$27,4,FALSE)</f>
        <v>SDI</v>
      </c>
      <c r="C297" s="104">
        <v>293</v>
      </c>
      <c r="D297" s="104" t="s">
        <v>208</v>
      </c>
      <c r="E297" s="104">
        <v>30115146</v>
      </c>
      <c r="F297" s="104"/>
      <c r="G297" s="104"/>
      <c r="H297" s="104" t="s">
        <v>137</v>
      </c>
      <c r="I297" s="104" t="s">
        <v>318</v>
      </c>
      <c r="J297" s="104">
        <v>1</v>
      </c>
      <c r="K297" s="104">
        <v>1</v>
      </c>
      <c r="L297" s="104">
        <f>VLOOKUP(A297,[1]단품수량!$B$5:$P$27,13,FALSE)*K297</f>
        <v>240</v>
      </c>
      <c r="M297" s="104" t="s">
        <v>107</v>
      </c>
      <c r="N297" s="101" t="s">
        <v>91</v>
      </c>
      <c r="O297" s="105">
        <v>440</v>
      </c>
      <c r="P297" s="105">
        <f t="shared" si="8"/>
        <v>440</v>
      </c>
      <c r="Q297" s="104" t="s">
        <v>100</v>
      </c>
    </row>
    <row r="298" spans="1:17" ht="18" customHeight="1">
      <c r="A298" s="108">
        <v>10005993</v>
      </c>
      <c r="B298" s="104" t="str">
        <f>VLOOKUP(A298,[1]단품수량!$B$5:$E$27,4,FALSE)</f>
        <v>SDI</v>
      </c>
      <c r="C298" s="104">
        <v>294</v>
      </c>
      <c r="D298" s="104" t="s">
        <v>210</v>
      </c>
      <c r="E298" s="104">
        <v>30110820</v>
      </c>
      <c r="F298" s="104"/>
      <c r="G298" s="104"/>
      <c r="H298" s="104" t="s">
        <v>319</v>
      </c>
      <c r="I298" s="104" t="s">
        <v>320</v>
      </c>
      <c r="J298" s="104">
        <v>1</v>
      </c>
      <c r="K298" s="104">
        <v>1</v>
      </c>
      <c r="L298" s="104">
        <f>VLOOKUP(A298,[1]단품수량!$B$5:$P$27,13,FALSE)*K298</f>
        <v>240</v>
      </c>
      <c r="M298" s="104" t="s">
        <v>107</v>
      </c>
      <c r="N298" s="101" t="s">
        <v>91</v>
      </c>
      <c r="O298" s="105">
        <v>195</v>
      </c>
      <c r="P298" s="105">
        <f t="shared" si="8"/>
        <v>195</v>
      </c>
      <c r="Q298" s="104" t="s">
        <v>100</v>
      </c>
    </row>
    <row r="299" spans="1:17" ht="18" customHeight="1">
      <c r="A299" s="108">
        <v>10005993</v>
      </c>
      <c r="B299" s="104" t="str">
        <f>VLOOKUP(A299,[1]단품수량!$B$5:$E$27,4,FALSE)</f>
        <v>SDI</v>
      </c>
      <c r="C299" s="104">
        <v>295</v>
      </c>
      <c r="D299" s="104" t="s">
        <v>213</v>
      </c>
      <c r="E299" s="104">
        <v>30100325</v>
      </c>
      <c r="F299" s="104"/>
      <c r="G299" s="104"/>
      <c r="H299" s="104" t="s">
        <v>211</v>
      </c>
      <c r="I299" s="104" t="s">
        <v>212</v>
      </c>
      <c r="J299" s="104">
        <v>1</v>
      </c>
      <c r="K299" s="104">
        <v>1</v>
      </c>
      <c r="L299" s="104">
        <f>VLOOKUP(A299,[1]단품수량!$B$5:$P$27,13,FALSE)*K299</f>
        <v>240</v>
      </c>
      <c r="M299" s="104" t="s">
        <v>107</v>
      </c>
      <c r="N299" s="101" t="s">
        <v>91</v>
      </c>
      <c r="O299" s="105">
        <v>150</v>
      </c>
      <c r="P299" s="105">
        <f t="shared" si="8"/>
        <v>150</v>
      </c>
      <c r="Q299" s="104" t="s">
        <v>100</v>
      </c>
    </row>
    <row r="300" spans="1:17" ht="18" customHeight="1">
      <c r="A300" s="108">
        <v>10005993</v>
      </c>
      <c r="B300" s="104" t="str">
        <f>VLOOKUP(A300,[1]단품수량!$B$5:$E$27,4,FALSE)</f>
        <v>SDI</v>
      </c>
      <c r="C300" s="104">
        <v>296</v>
      </c>
      <c r="D300" s="104" t="s">
        <v>215</v>
      </c>
      <c r="E300" s="104">
        <v>30111991</v>
      </c>
      <c r="F300" s="104"/>
      <c r="G300" s="104"/>
      <c r="H300" s="104" t="s">
        <v>137</v>
      </c>
      <c r="I300" s="104" t="s">
        <v>321</v>
      </c>
      <c r="J300" s="104">
        <v>1</v>
      </c>
      <c r="K300" s="104">
        <v>1</v>
      </c>
      <c r="L300" s="104">
        <f>VLOOKUP(A300,[1]단품수량!$B$5:$P$27,13,FALSE)*K300</f>
        <v>240</v>
      </c>
      <c r="M300" s="104" t="s">
        <v>99</v>
      </c>
      <c r="N300" s="101" t="s">
        <v>91</v>
      </c>
      <c r="O300" s="105">
        <v>240</v>
      </c>
      <c r="P300" s="105">
        <f t="shared" si="8"/>
        <v>240</v>
      </c>
      <c r="Q300" s="104" t="s">
        <v>100</v>
      </c>
    </row>
    <row r="301" spans="1:17" ht="18" customHeight="1">
      <c r="A301" s="108">
        <v>10005993</v>
      </c>
      <c r="B301" s="104" t="str">
        <f>VLOOKUP(A301,[1]단품수량!$B$5:$E$27,4,FALSE)</f>
        <v>SDI</v>
      </c>
      <c r="C301" s="104">
        <v>297</v>
      </c>
      <c r="D301" s="104" t="s">
        <v>218</v>
      </c>
      <c r="E301" s="104">
        <v>30081231</v>
      </c>
      <c r="F301" s="104"/>
      <c r="G301" s="104"/>
      <c r="H301" s="104" t="s">
        <v>216</v>
      </c>
      <c r="I301" s="104" t="s">
        <v>217</v>
      </c>
      <c r="J301" s="104">
        <v>42</v>
      </c>
      <c r="K301" s="104">
        <v>42</v>
      </c>
      <c r="L301" s="104">
        <f>VLOOKUP(A301,[1]단품수량!$B$5:$P$27,13,FALSE)*K301</f>
        <v>10080</v>
      </c>
      <c r="M301" s="104" t="s">
        <v>107</v>
      </c>
      <c r="N301" s="101" t="s">
        <v>91</v>
      </c>
      <c r="O301" s="105">
        <v>18</v>
      </c>
      <c r="P301" s="105">
        <f t="shared" si="8"/>
        <v>756</v>
      </c>
      <c r="Q301" s="104" t="s">
        <v>100</v>
      </c>
    </row>
    <row r="302" spans="1:17" ht="18" customHeight="1">
      <c r="A302" s="108">
        <v>10005996</v>
      </c>
      <c r="B302" s="104" t="str">
        <f>VLOOKUP(A302,[1]단품수량!$B$5:$E$27,4,FALSE)</f>
        <v>TMP</v>
      </c>
      <c r="C302" s="104">
        <v>298</v>
      </c>
      <c r="D302" s="104" t="s">
        <v>86</v>
      </c>
      <c r="E302" s="104">
        <v>30120719</v>
      </c>
      <c r="F302" s="104" t="s">
        <v>472</v>
      </c>
      <c r="G302" s="104"/>
      <c r="H302" s="104" t="s">
        <v>148</v>
      </c>
      <c r="I302" s="104" t="s">
        <v>89</v>
      </c>
      <c r="J302" s="104">
        <v>1</v>
      </c>
      <c r="K302" s="104">
        <v>1</v>
      </c>
      <c r="L302" s="104">
        <f>VLOOKUP(A302,[1]단품수량!$B$5:$P$27,13,FALSE)*K302</f>
        <v>158</v>
      </c>
      <c r="M302" s="104" t="s">
        <v>90</v>
      </c>
      <c r="N302" s="101" t="s">
        <v>91</v>
      </c>
      <c r="O302" s="105">
        <v>56320</v>
      </c>
      <c r="P302" s="105">
        <f t="shared" si="8"/>
        <v>56320</v>
      </c>
      <c r="Q302" s="104" t="s">
        <v>159</v>
      </c>
    </row>
    <row r="303" spans="1:17" ht="18" customHeight="1">
      <c r="A303" s="108">
        <v>10005996</v>
      </c>
      <c r="B303" s="104" t="str">
        <f>VLOOKUP(A303,[1]단품수량!$B$5:$E$27,4,FALSE)</f>
        <v>TMP</v>
      </c>
      <c r="C303" s="104">
        <v>299</v>
      </c>
      <c r="D303" s="104" t="s">
        <v>149</v>
      </c>
      <c r="E303" s="104">
        <v>30120720</v>
      </c>
      <c r="F303" s="104" t="s">
        <v>473</v>
      </c>
      <c r="G303" s="104"/>
      <c r="H303" s="104" t="s">
        <v>161</v>
      </c>
      <c r="I303" s="104" t="s">
        <v>89</v>
      </c>
      <c r="J303" s="104">
        <v>1</v>
      </c>
      <c r="K303" s="104">
        <v>1</v>
      </c>
      <c r="L303" s="104">
        <f>VLOOKUP(A303,[1]단품수량!$B$5:$P$27,13,FALSE)*K303</f>
        <v>158</v>
      </c>
      <c r="M303" s="104" t="s">
        <v>90</v>
      </c>
      <c r="N303" s="101" t="s">
        <v>91</v>
      </c>
      <c r="O303" s="105">
        <v>0</v>
      </c>
      <c r="P303" s="105">
        <f t="shared" si="8"/>
        <v>0</v>
      </c>
      <c r="Q303" s="104" t="s">
        <v>159</v>
      </c>
    </row>
    <row r="304" spans="1:17" ht="18" customHeight="1">
      <c r="A304" s="108">
        <v>10005996</v>
      </c>
      <c r="B304" s="104" t="str">
        <f>VLOOKUP(A304,[1]단품수량!$B$5:$E$27,4,FALSE)</f>
        <v>TMP</v>
      </c>
      <c r="C304" s="104">
        <v>300</v>
      </c>
      <c r="D304" s="104" t="s">
        <v>152</v>
      </c>
      <c r="E304" s="104">
        <v>30120722</v>
      </c>
      <c r="F304" s="104" t="s">
        <v>474</v>
      </c>
      <c r="G304" s="104"/>
      <c r="H304" s="104" t="s">
        <v>170</v>
      </c>
      <c r="I304" s="104" t="s">
        <v>89</v>
      </c>
      <c r="J304" s="104">
        <v>1</v>
      </c>
      <c r="K304" s="104">
        <v>1</v>
      </c>
      <c r="L304" s="104">
        <f>VLOOKUP(A304,[1]단품수량!$B$5:$P$27,13,FALSE)*K304</f>
        <v>158</v>
      </c>
      <c r="M304" s="104" t="s">
        <v>90</v>
      </c>
      <c r="N304" s="101" t="s">
        <v>91</v>
      </c>
      <c r="O304" s="105">
        <v>0</v>
      </c>
      <c r="P304" s="105">
        <f t="shared" si="8"/>
        <v>0</v>
      </c>
      <c r="Q304" s="104" t="s">
        <v>159</v>
      </c>
    </row>
    <row r="305" spans="1:17" ht="18" customHeight="1">
      <c r="A305" s="108">
        <v>10005996</v>
      </c>
      <c r="B305" s="104" t="str">
        <f>VLOOKUP(A305,[1]단품수량!$B$5:$E$27,4,FALSE)</f>
        <v>TMP</v>
      </c>
      <c r="C305" s="104">
        <v>301</v>
      </c>
      <c r="D305" s="104" t="s">
        <v>93</v>
      </c>
      <c r="E305" s="104">
        <v>30120620</v>
      </c>
      <c r="F305" s="104"/>
      <c r="G305" s="104"/>
      <c r="H305" s="104" t="s">
        <v>475</v>
      </c>
      <c r="I305" s="104" t="s">
        <v>476</v>
      </c>
      <c r="J305" s="104">
        <v>1</v>
      </c>
      <c r="K305" s="104">
        <v>1</v>
      </c>
      <c r="L305" s="104">
        <f>VLOOKUP(A305,[1]단품수량!$B$5:$P$27,13,FALSE)*K305</f>
        <v>158</v>
      </c>
      <c r="M305" s="104" t="s">
        <v>99</v>
      </c>
      <c r="N305" s="101" t="s">
        <v>91</v>
      </c>
      <c r="O305" s="105">
        <v>1100000</v>
      </c>
      <c r="P305" s="105">
        <f t="shared" si="8"/>
        <v>1100000</v>
      </c>
      <c r="Q305" s="104" t="s">
        <v>388</v>
      </c>
    </row>
    <row r="306" spans="1:17" ht="18" customHeight="1">
      <c r="A306" s="108">
        <v>10005996</v>
      </c>
      <c r="B306" s="104" t="str">
        <f>VLOOKUP(A306,[1]단품수량!$B$5:$E$27,4,FALSE)</f>
        <v>TMP</v>
      </c>
      <c r="C306" s="104">
        <v>302</v>
      </c>
      <c r="D306" s="104" t="s">
        <v>96</v>
      </c>
      <c r="E306" s="104">
        <v>30118556</v>
      </c>
      <c r="F306" s="104"/>
      <c r="G306" s="104"/>
      <c r="H306" s="104" t="s">
        <v>477</v>
      </c>
      <c r="I306" s="104" t="s">
        <v>478</v>
      </c>
      <c r="J306" s="104">
        <v>1</v>
      </c>
      <c r="K306" s="104">
        <v>1</v>
      </c>
      <c r="L306" s="104">
        <f>VLOOKUP(A306,[1]단품수량!$B$5:$P$27,13,FALSE)*K306</f>
        <v>158</v>
      </c>
      <c r="M306" s="104" t="s">
        <v>107</v>
      </c>
      <c r="N306" s="101" t="s">
        <v>91</v>
      </c>
      <c r="O306" s="105">
        <v>25400</v>
      </c>
      <c r="P306" s="105">
        <f t="shared" si="8"/>
        <v>25400</v>
      </c>
      <c r="Q306" s="104" t="s">
        <v>108</v>
      </c>
    </row>
    <row r="307" spans="1:17" ht="18" customHeight="1">
      <c r="A307" s="108">
        <v>10005996</v>
      </c>
      <c r="B307" s="104" t="str">
        <f>VLOOKUP(A307,[1]단품수량!$B$5:$E$27,4,FALSE)</f>
        <v>TMP</v>
      </c>
      <c r="C307" s="104">
        <v>303</v>
      </c>
      <c r="D307" s="104" t="s">
        <v>101</v>
      </c>
      <c r="E307" s="104">
        <v>30118568</v>
      </c>
      <c r="F307" s="104"/>
      <c r="G307" s="104"/>
      <c r="H307" s="104" t="s">
        <v>479</v>
      </c>
      <c r="I307" s="104" t="s">
        <v>480</v>
      </c>
      <c r="J307" s="104">
        <v>1</v>
      </c>
      <c r="K307" s="104">
        <v>1</v>
      </c>
      <c r="L307" s="104">
        <f>VLOOKUP(A307,[1]단품수량!$B$5:$P$27,13,FALSE)*K307</f>
        <v>158</v>
      </c>
      <c r="M307" s="104" t="s">
        <v>107</v>
      </c>
      <c r="N307" s="101" t="s">
        <v>91</v>
      </c>
      <c r="O307" s="105">
        <v>74700</v>
      </c>
      <c r="P307" s="105">
        <f t="shared" si="8"/>
        <v>74700</v>
      </c>
      <c r="Q307" s="104" t="s">
        <v>108</v>
      </c>
    </row>
    <row r="308" spans="1:17" ht="18" customHeight="1">
      <c r="A308" s="108">
        <v>10005996</v>
      </c>
      <c r="B308" s="104" t="str">
        <f>VLOOKUP(A308,[1]단품수량!$B$5:$E$27,4,FALSE)</f>
        <v>TMP</v>
      </c>
      <c r="C308" s="104">
        <v>304</v>
      </c>
      <c r="D308" s="104" t="s">
        <v>104</v>
      </c>
      <c r="E308" s="104">
        <v>30120722</v>
      </c>
      <c r="F308" s="104" t="s">
        <v>474</v>
      </c>
      <c r="G308" s="104"/>
      <c r="H308" s="104" t="s">
        <v>170</v>
      </c>
      <c r="I308" s="104" t="s">
        <v>89</v>
      </c>
      <c r="J308" s="104">
        <v>1</v>
      </c>
      <c r="K308" s="104">
        <v>1</v>
      </c>
      <c r="L308" s="104">
        <f>VLOOKUP(A308,[1]단품수량!$B$5:$P$27,13,FALSE)*K308</f>
        <v>158</v>
      </c>
      <c r="M308" s="104" t="s">
        <v>90</v>
      </c>
      <c r="N308" s="101" t="s">
        <v>91</v>
      </c>
      <c r="O308" s="105">
        <v>0</v>
      </c>
      <c r="P308" s="105">
        <f t="shared" si="8"/>
        <v>0</v>
      </c>
      <c r="Q308" s="104" t="s">
        <v>159</v>
      </c>
    </row>
    <row r="309" spans="1:17" ht="18" customHeight="1">
      <c r="A309" s="108">
        <v>10005996</v>
      </c>
      <c r="B309" s="104" t="str">
        <f>VLOOKUP(A309,[1]단품수량!$B$5:$E$27,4,FALSE)</f>
        <v>TMP</v>
      </c>
      <c r="C309" s="104">
        <v>305</v>
      </c>
      <c r="D309" s="104" t="s">
        <v>109</v>
      </c>
      <c r="E309" s="104">
        <v>30120659</v>
      </c>
      <c r="F309" s="104" t="s">
        <v>481</v>
      </c>
      <c r="G309" s="104"/>
      <c r="H309" s="104" t="s">
        <v>123</v>
      </c>
      <c r="I309" s="104" t="s">
        <v>482</v>
      </c>
      <c r="J309" s="104">
        <v>1</v>
      </c>
      <c r="K309" s="104">
        <v>1</v>
      </c>
      <c r="L309" s="104">
        <f>VLOOKUP(A309,[1]단품수량!$B$5:$P$27,13,FALSE)*K309</f>
        <v>158</v>
      </c>
      <c r="M309" s="104" t="s">
        <v>90</v>
      </c>
      <c r="N309" s="101" t="s">
        <v>91</v>
      </c>
      <c r="O309" s="105">
        <v>600</v>
      </c>
      <c r="P309" s="105">
        <f t="shared" si="8"/>
        <v>600</v>
      </c>
      <c r="Q309" s="104" t="s">
        <v>125</v>
      </c>
    </row>
    <row r="310" spans="1:17" ht="18" customHeight="1">
      <c r="A310" s="108">
        <v>10005996</v>
      </c>
      <c r="B310" s="104" t="str">
        <f>VLOOKUP(A310,[1]단품수량!$B$5:$E$27,4,FALSE)</f>
        <v>TMP</v>
      </c>
      <c r="C310" s="104">
        <v>306</v>
      </c>
      <c r="D310" s="104" t="s">
        <v>112</v>
      </c>
      <c r="E310" s="104">
        <v>30118569</v>
      </c>
      <c r="F310" s="104"/>
      <c r="G310" s="104"/>
      <c r="H310" s="104" t="s">
        <v>119</v>
      </c>
      <c r="I310" s="104" t="s">
        <v>120</v>
      </c>
      <c r="J310" s="104">
        <v>30</v>
      </c>
      <c r="K310" s="104">
        <v>30</v>
      </c>
      <c r="L310" s="104">
        <f>VLOOKUP(A310,[1]단품수량!$B$5:$P$27,13,FALSE)*K310</f>
        <v>4740</v>
      </c>
      <c r="M310" s="104" t="s">
        <v>107</v>
      </c>
      <c r="N310" s="101" t="s">
        <v>91</v>
      </c>
      <c r="O310" s="105">
        <v>400</v>
      </c>
      <c r="P310" s="105">
        <f t="shared" si="8"/>
        <v>12000</v>
      </c>
      <c r="Q310" s="104" t="s">
        <v>108</v>
      </c>
    </row>
    <row r="311" spans="1:17" ht="18" customHeight="1">
      <c r="A311" s="108">
        <v>10005996</v>
      </c>
      <c r="B311" s="104" t="str">
        <f>VLOOKUP(A311,[1]단품수량!$B$5:$E$27,4,FALSE)</f>
        <v>TMP</v>
      </c>
      <c r="C311" s="104">
        <v>307</v>
      </c>
      <c r="D311" s="104" t="s">
        <v>115</v>
      </c>
      <c r="E311" s="104">
        <v>30118573</v>
      </c>
      <c r="F311" s="104"/>
      <c r="G311" s="104"/>
      <c r="H311" s="104" t="s">
        <v>177</v>
      </c>
      <c r="I311" s="104" t="s">
        <v>178</v>
      </c>
      <c r="J311" s="104">
        <v>4</v>
      </c>
      <c r="K311" s="104">
        <v>4</v>
      </c>
      <c r="L311" s="104">
        <f>VLOOKUP(A311,[1]단품수량!$B$5:$P$27,13,FALSE)*K311</f>
        <v>632</v>
      </c>
      <c r="M311" s="104" t="s">
        <v>107</v>
      </c>
      <c r="N311" s="101" t="s">
        <v>91</v>
      </c>
      <c r="O311" s="105">
        <v>1000</v>
      </c>
      <c r="P311" s="105">
        <f t="shared" si="8"/>
        <v>4000</v>
      </c>
      <c r="Q311" s="104" t="s">
        <v>108</v>
      </c>
    </row>
    <row r="312" spans="1:17" ht="18" customHeight="1">
      <c r="A312" s="108">
        <v>10005996</v>
      </c>
      <c r="B312" s="104" t="str">
        <f>VLOOKUP(A312,[1]단품수량!$B$5:$E$27,4,FALSE)</f>
        <v>TMP</v>
      </c>
      <c r="C312" s="104">
        <v>308</v>
      </c>
      <c r="D312" s="104" t="s">
        <v>118</v>
      </c>
      <c r="E312" s="104">
        <v>30118582</v>
      </c>
      <c r="F312" s="104"/>
      <c r="G312" s="104"/>
      <c r="H312" s="104" t="s">
        <v>179</v>
      </c>
      <c r="I312" s="104" t="s">
        <v>180</v>
      </c>
      <c r="J312" s="104">
        <v>47</v>
      </c>
      <c r="K312" s="104">
        <v>47</v>
      </c>
      <c r="L312" s="104">
        <f>VLOOKUP(A312,[1]단품수량!$B$5:$P$27,13,FALSE)*K312</f>
        <v>7426</v>
      </c>
      <c r="M312" s="104" t="s">
        <v>107</v>
      </c>
      <c r="N312" s="101" t="s">
        <v>91</v>
      </c>
      <c r="O312" s="105">
        <v>500</v>
      </c>
      <c r="P312" s="105">
        <f t="shared" si="8"/>
        <v>23500</v>
      </c>
      <c r="Q312" s="104" t="s">
        <v>108</v>
      </c>
    </row>
    <row r="313" spans="1:17" ht="18" customHeight="1">
      <c r="A313" s="108">
        <v>10005996</v>
      </c>
      <c r="B313" s="104" t="str">
        <f>VLOOKUP(A313,[1]단품수량!$B$5:$E$27,4,FALSE)</f>
        <v>TMP</v>
      </c>
      <c r="C313" s="104">
        <v>309</v>
      </c>
      <c r="D313" s="104" t="s">
        <v>121</v>
      </c>
      <c r="E313" s="104">
        <v>30118581</v>
      </c>
      <c r="F313" s="104"/>
      <c r="G313" s="104"/>
      <c r="H313" s="104" t="s">
        <v>182</v>
      </c>
      <c r="I313" s="104" t="s">
        <v>183</v>
      </c>
      <c r="J313" s="104">
        <v>43</v>
      </c>
      <c r="K313" s="104">
        <v>43</v>
      </c>
      <c r="L313" s="104">
        <f>VLOOKUP(A313,[1]단품수량!$B$5:$P$27,13,FALSE)*K313</f>
        <v>6794</v>
      </c>
      <c r="M313" s="104" t="s">
        <v>107</v>
      </c>
      <c r="N313" s="101" t="s">
        <v>91</v>
      </c>
      <c r="O313" s="105">
        <v>900</v>
      </c>
      <c r="P313" s="105">
        <f t="shared" si="8"/>
        <v>38700</v>
      </c>
      <c r="Q313" s="104" t="s">
        <v>108</v>
      </c>
    </row>
    <row r="314" spans="1:17" ht="18" customHeight="1">
      <c r="A314" s="108">
        <v>10005996</v>
      </c>
      <c r="B314" s="104" t="str">
        <f>VLOOKUP(A314,[1]단품수량!$B$5:$E$27,4,FALSE)</f>
        <v>TMP</v>
      </c>
      <c r="C314" s="104">
        <v>310</v>
      </c>
      <c r="D314" s="104" t="s">
        <v>126</v>
      </c>
      <c r="E314" s="104">
        <v>30118553</v>
      </c>
      <c r="F314" s="104"/>
      <c r="G314" s="104"/>
      <c r="H314" s="104" t="s">
        <v>483</v>
      </c>
      <c r="I314" s="104" t="s">
        <v>484</v>
      </c>
      <c r="J314" s="104">
        <v>1</v>
      </c>
      <c r="K314" s="104">
        <v>1</v>
      </c>
      <c r="L314" s="104">
        <f>VLOOKUP(A314,[1]단품수량!$B$5:$P$27,13,FALSE)*K314</f>
        <v>158</v>
      </c>
      <c r="M314" s="104" t="s">
        <v>107</v>
      </c>
      <c r="N314" s="101" t="s">
        <v>91</v>
      </c>
      <c r="O314" s="105">
        <v>22400</v>
      </c>
      <c r="P314" s="105">
        <f t="shared" si="8"/>
        <v>22400</v>
      </c>
      <c r="Q314" s="104" t="s">
        <v>108</v>
      </c>
    </row>
    <row r="315" spans="1:17" ht="18" customHeight="1">
      <c r="A315" s="108">
        <v>10005996</v>
      </c>
      <c r="B315" s="104" t="str">
        <f>VLOOKUP(A315,[1]단품수량!$B$5:$E$27,4,FALSE)</f>
        <v>TMP</v>
      </c>
      <c r="C315" s="104">
        <v>311</v>
      </c>
      <c r="D315" s="104" t="s">
        <v>181</v>
      </c>
      <c r="E315" s="104">
        <v>30118567</v>
      </c>
      <c r="F315" s="104"/>
      <c r="G315" s="104"/>
      <c r="H315" s="104" t="s">
        <v>485</v>
      </c>
      <c r="I315" s="104" t="s">
        <v>486</v>
      </c>
      <c r="J315" s="104">
        <v>1</v>
      </c>
      <c r="K315" s="104">
        <v>1</v>
      </c>
      <c r="L315" s="104">
        <f>VLOOKUP(A315,[1]단품수량!$B$5:$P$27,13,FALSE)*K315</f>
        <v>158</v>
      </c>
      <c r="M315" s="104" t="s">
        <v>107</v>
      </c>
      <c r="N315" s="101" t="s">
        <v>91</v>
      </c>
      <c r="O315" s="105">
        <v>53800</v>
      </c>
      <c r="P315" s="105">
        <f t="shared" si="8"/>
        <v>53800</v>
      </c>
      <c r="Q315" s="104" t="s">
        <v>108</v>
      </c>
    </row>
    <row r="316" spans="1:17" ht="18" customHeight="1">
      <c r="A316" s="108">
        <v>10005996</v>
      </c>
      <c r="B316" s="104" t="str">
        <f>VLOOKUP(A316,[1]단품수량!$B$5:$E$27,4,FALSE)</f>
        <v>TMP</v>
      </c>
      <c r="C316" s="104">
        <v>312</v>
      </c>
      <c r="D316" s="104" t="s">
        <v>184</v>
      </c>
      <c r="E316" s="104">
        <v>30120829</v>
      </c>
      <c r="F316" s="104"/>
      <c r="G316" s="104"/>
      <c r="H316" s="104" t="s">
        <v>487</v>
      </c>
      <c r="I316" s="104" t="s">
        <v>488</v>
      </c>
      <c r="J316" s="104">
        <v>1</v>
      </c>
      <c r="K316" s="104">
        <v>1</v>
      </c>
      <c r="L316" s="104">
        <f>VLOOKUP(A316,[1]단품수량!$B$5:$P$27,13,FALSE)*K316</f>
        <v>158</v>
      </c>
      <c r="M316" s="104" t="s">
        <v>90</v>
      </c>
      <c r="N316" s="101" t="s">
        <v>197</v>
      </c>
      <c r="O316" s="105">
        <v>448070</v>
      </c>
      <c r="P316" s="105">
        <f>K316*O316</f>
        <v>448070</v>
      </c>
      <c r="Q316" s="104" t="s">
        <v>198</v>
      </c>
    </row>
    <row r="317" spans="1:17" ht="18" customHeight="1">
      <c r="A317" s="108">
        <v>10005996</v>
      </c>
      <c r="B317" s="104" t="str">
        <f>VLOOKUP(A317,[1]단품수량!$B$5:$E$27,4,FALSE)</f>
        <v>TMP</v>
      </c>
      <c r="C317" s="104">
        <v>313</v>
      </c>
      <c r="D317" s="104" t="s">
        <v>191</v>
      </c>
      <c r="E317" s="104">
        <v>30120830</v>
      </c>
      <c r="F317" s="104"/>
      <c r="G317" s="104"/>
      <c r="H317" s="104" t="s">
        <v>489</v>
      </c>
      <c r="I317" s="104" t="s">
        <v>490</v>
      </c>
      <c r="J317" s="104">
        <v>1</v>
      </c>
      <c r="K317" s="104">
        <v>1</v>
      </c>
      <c r="L317" s="104">
        <f>VLOOKUP(A317,[1]단품수량!$B$5:$P$27,13,FALSE)*K317</f>
        <v>158</v>
      </c>
      <c r="M317" s="104" t="s">
        <v>90</v>
      </c>
      <c r="N317" s="101" t="s">
        <v>91</v>
      </c>
      <c r="O317" s="105">
        <v>310000</v>
      </c>
      <c r="P317" s="105">
        <f t="shared" ref="P317:P355" si="9">K317*O317</f>
        <v>310000</v>
      </c>
      <c r="Q317" s="104" t="s">
        <v>291</v>
      </c>
    </row>
    <row r="318" spans="1:17" ht="18" customHeight="1">
      <c r="A318" s="108">
        <v>10005996</v>
      </c>
      <c r="B318" s="104" t="str">
        <f>VLOOKUP(A318,[1]단품수량!$B$5:$E$27,4,FALSE)</f>
        <v>TMP</v>
      </c>
      <c r="C318" s="104">
        <v>314</v>
      </c>
      <c r="D318" s="104" t="s">
        <v>149</v>
      </c>
      <c r="E318" s="104">
        <v>30120992</v>
      </c>
      <c r="F318" s="104"/>
      <c r="G318" s="104"/>
      <c r="H318" s="104" t="s">
        <v>186</v>
      </c>
      <c r="I318" s="104" t="s">
        <v>187</v>
      </c>
      <c r="J318" s="104">
        <v>2</v>
      </c>
      <c r="K318" s="104">
        <v>2</v>
      </c>
      <c r="L318" s="104">
        <f>VLOOKUP(A318,[1]단품수량!$B$5:$P$27,13,FALSE)*K318</f>
        <v>316</v>
      </c>
      <c r="M318" s="104" t="s">
        <v>107</v>
      </c>
      <c r="N318" s="101" t="s">
        <v>91</v>
      </c>
      <c r="O318" s="105">
        <v>24000</v>
      </c>
      <c r="P318" s="105">
        <f t="shared" si="9"/>
        <v>48000</v>
      </c>
      <c r="Q318" s="104" t="s">
        <v>188</v>
      </c>
    </row>
    <row r="319" spans="1:17" ht="18" customHeight="1">
      <c r="A319" s="108">
        <v>10005996</v>
      </c>
      <c r="B319" s="104" t="str">
        <f>VLOOKUP(A319,[1]단품수량!$B$5:$E$27,4,FALSE)</f>
        <v>TMP</v>
      </c>
      <c r="C319" s="104">
        <v>315</v>
      </c>
      <c r="D319" s="104" t="s">
        <v>152</v>
      </c>
      <c r="E319" s="104">
        <v>30121672</v>
      </c>
      <c r="F319" s="104"/>
      <c r="G319" s="104"/>
      <c r="H319" s="104" t="s">
        <v>189</v>
      </c>
      <c r="I319" s="104" t="s">
        <v>190</v>
      </c>
      <c r="J319" s="104">
        <v>2</v>
      </c>
      <c r="K319" s="104">
        <v>2</v>
      </c>
      <c r="L319" s="104">
        <f>VLOOKUP(A319,[1]단품수량!$B$5:$P$27,13,FALSE)*K319</f>
        <v>316</v>
      </c>
      <c r="M319" s="104" t="s">
        <v>99</v>
      </c>
      <c r="N319" s="101" t="s">
        <v>91</v>
      </c>
      <c r="O319" s="105">
        <v>320</v>
      </c>
      <c r="P319" s="105">
        <f t="shared" si="9"/>
        <v>640</v>
      </c>
      <c r="Q319" s="104" t="s">
        <v>188</v>
      </c>
    </row>
    <row r="320" spans="1:17" ht="18" customHeight="1">
      <c r="A320" s="108">
        <v>10005996</v>
      </c>
      <c r="B320" s="104" t="str">
        <f>VLOOKUP(A320,[1]단품수량!$B$5:$E$27,4,FALSE)</f>
        <v>TMP</v>
      </c>
      <c r="C320" s="104">
        <v>316</v>
      </c>
      <c r="D320" s="104" t="s">
        <v>194</v>
      </c>
      <c r="E320" s="104">
        <v>20061699</v>
      </c>
      <c r="F320" s="104" t="s">
        <v>491</v>
      </c>
      <c r="G320" s="104"/>
      <c r="H320" s="104" t="s">
        <v>203</v>
      </c>
      <c r="I320" s="104" t="s">
        <v>492</v>
      </c>
      <c r="J320" s="104">
        <v>1</v>
      </c>
      <c r="K320" s="104">
        <v>1</v>
      </c>
      <c r="L320" s="104">
        <f>VLOOKUP(A320,[1]단품수량!$B$5:$P$27,13,FALSE)*K320</f>
        <v>158</v>
      </c>
      <c r="M320" s="104" t="s">
        <v>205</v>
      </c>
      <c r="N320" s="101"/>
      <c r="O320" s="105">
        <v>0</v>
      </c>
      <c r="P320" s="105">
        <f t="shared" si="9"/>
        <v>0</v>
      </c>
      <c r="Q320" s="104"/>
    </row>
    <row r="321" spans="1:17" ht="18" customHeight="1">
      <c r="A321" s="108">
        <v>10005996</v>
      </c>
      <c r="B321" s="104" t="str">
        <f>VLOOKUP(A321,[1]단품수량!$B$5:$E$27,4,FALSE)</f>
        <v>TMP</v>
      </c>
      <c r="C321" s="104">
        <v>317</v>
      </c>
      <c r="D321" s="104" t="s">
        <v>149</v>
      </c>
      <c r="E321" s="104">
        <v>30075140</v>
      </c>
      <c r="F321" s="104"/>
      <c r="G321" s="104"/>
      <c r="H321" s="104" t="s">
        <v>143</v>
      </c>
      <c r="I321" s="104" t="s">
        <v>206</v>
      </c>
      <c r="J321" s="104">
        <v>1</v>
      </c>
      <c r="K321" s="104">
        <v>1</v>
      </c>
      <c r="L321" s="104">
        <f>VLOOKUP(A321,[1]단품수량!$B$5:$P$27,13,FALSE)*K321</f>
        <v>158</v>
      </c>
      <c r="M321" s="104" t="s">
        <v>107</v>
      </c>
      <c r="N321" s="101" t="s">
        <v>91</v>
      </c>
      <c r="O321" s="105">
        <v>380</v>
      </c>
      <c r="P321" s="105">
        <f t="shared" si="9"/>
        <v>380</v>
      </c>
      <c r="Q321" s="104" t="s">
        <v>108</v>
      </c>
    </row>
    <row r="322" spans="1:17" ht="18" customHeight="1">
      <c r="A322" s="108">
        <v>10005996</v>
      </c>
      <c r="B322" s="104" t="str">
        <f>VLOOKUP(A322,[1]단품수량!$B$5:$E$27,4,FALSE)</f>
        <v>TMP</v>
      </c>
      <c r="C322" s="104">
        <v>318</v>
      </c>
      <c r="D322" s="104" t="s">
        <v>152</v>
      </c>
      <c r="E322" s="104">
        <v>30054014</v>
      </c>
      <c r="F322" s="104"/>
      <c r="G322" s="104"/>
      <c r="H322" s="104" t="s">
        <v>143</v>
      </c>
      <c r="I322" s="104" t="s">
        <v>207</v>
      </c>
      <c r="J322" s="104">
        <v>6</v>
      </c>
      <c r="K322" s="104">
        <v>6</v>
      </c>
      <c r="L322" s="104">
        <f>VLOOKUP(A322,[1]단품수량!$B$5:$P$27,13,FALSE)*K322</f>
        <v>948</v>
      </c>
      <c r="M322" s="104" t="s">
        <v>99</v>
      </c>
      <c r="N322" s="101" t="s">
        <v>91</v>
      </c>
      <c r="O322" s="105">
        <v>330</v>
      </c>
      <c r="P322" s="105">
        <f t="shared" si="9"/>
        <v>1980</v>
      </c>
      <c r="Q322" s="104" t="s">
        <v>108</v>
      </c>
    </row>
    <row r="323" spans="1:17" ht="18" customHeight="1">
      <c r="A323" s="108">
        <v>10005996</v>
      </c>
      <c r="B323" s="104" t="str">
        <f>VLOOKUP(A323,[1]단품수량!$B$5:$E$27,4,FALSE)</f>
        <v>TMP</v>
      </c>
      <c r="C323" s="104">
        <v>319</v>
      </c>
      <c r="D323" s="104" t="s">
        <v>208</v>
      </c>
      <c r="E323" s="104">
        <v>30121474</v>
      </c>
      <c r="F323" s="104"/>
      <c r="G323" s="104"/>
      <c r="H323" s="104" t="s">
        <v>143</v>
      </c>
      <c r="I323" s="104" t="s">
        <v>209</v>
      </c>
      <c r="J323" s="104">
        <v>1</v>
      </c>
      <c r="K323" s="104">
        <v>1</v>
      </c>
      <c r="L323" s="104">
        <f>VLOOKUP(A323,[1]단품수량!$B$5:$P$27,13,FALSE)*K323</f>
        <v>158</v>
      </c>
      <c r="M323" s="104" t="s">
        <v>107</v>
      </c>
      <c r="N323" s="101" t="s">
        <v>91</v>
      </c>
      <c r="O323" s="105">
        <v>310</v>
      </c>
      <c r="P323" s="105">
        <f t="shared" si="9"/>
        <v>310</v>
      </c>
      <c r="Q323" s="104" t="s">
        <v>108</v>
      </c>
    </row>
    <row r="324" spans="1:17" ht="18" customHeight="1">
      <c r="A324" s="108">
        <v>10005996</v>
      </c>
      <c r="B324" s="104" t="str">
        <f>VLOOKUP(A324,[1]단품수량!$B$5:$E$27,4,FALSE)</f>
        <v>TMP</v>
      </c>
      <c r="C324" s="104">
        <v>320</v>
      </c>
      <c r="D324" s="104" t="s">
        <v>210</v>
      </c>
      <c r="E324" s="104">
        <v>30079934</v>
      </c>
      <c r="F324" s="104"/>
      <c r="G324" s="104"/>
      <c r="H324" s="104" t="s">
        <v>137</v>
      </c>
      <c r="I324" s="104" t="s">
        <v>493</v>
      </c>
      <c r="J324" s="104">
        <v>1</v>
      </c>
      <c r="K324" s="104">
        <v>1</v>
      </c>
      <c r="L324" s="104">
        <f>VLOOKUP(A324,[1]단품수량!$B$5:$P$27,13,FALSE)*K324</f>
        <v>158</v>
      </c>
      <c r="M324" s="104" t="s">
        <v>99</v>
      </c>
      <c r="N324" s="101" t="s">
        <v>91</v>
      </c>
      <c r="O324" s="105">
        <v>480</v>
      </c>
      <c r="P324" s="105">
        <f t="shared" si="9"/>
        <v>480</v>
      </c>
      <c r="Q324" s="104" t="s">
        <v>100</v>
      </c>
    </row>
    <row r="325" spans="1:17" ht="18" customHeight="1">
      <c r="A325" s="108">
        <v>10005996</v>
      </c>
      <c r="B325" s="104" t="str">
        <f>VLOOKUP(A325,[1]단품수량!$B$5:$E$27,4,FALSE)</f>
        <v>TMP</v>
      </c>
      <c r="C325" s="104">
        <v>321</v>
      </c>
      <c r="D325" s="104" t="s">
        <v>213</v>
      </c>
      <c r="E325" s="104">
        <v>30111991</v>
      </c>
      <c r="F325" s="104"/>
      <c r="G325" s="104"/>
      <c r="H325" s="104" t="s">
        <v>137</v>
      </c>
      <c r="I325" s="104" t="s">
        <v>321</v>
      </c>
      <c r="J325" s="104">
        <v>2</v>
      </c>
      <c r="K325" s="104">
        <v>2</v>
      </c>
      <c r="L325" s="104">
        <f>VLOOKUP(A325,[1]단품수량!$B$5:$P$27,13,FALSE)*K325</f>
        <v>316</v>
      </c>
      <c r="M325" s="104" t="s">
        <v>99</v>
      </c>
      <c r="N325" s="101" t="s">
        <v>91</v>
      </c>
      <c r="O325" s="105">
        <v>240</v>
      </c>
      <c r="P325" s="105">
        <f t="shared" si="9"/>
        <v>480</v>
      </c>
      <c r="Q325" s="104" t="s">
        <v>100</v>
      </c>
    </row>
    <row r="326" spans="1:17" ht="18" customHeight="1">
      <c r="A326" s="108">
        <v>10005996</v>
      </c>
      <c r="B326" s="104" t="str">
        <f>VLOOKUP(A326,[1]단품수량!$B$5:$E$27,4,FALSE)</f>
        <v>TMP</v>
      </c>
      <c r="C326" s="104">
        <v>322</v>
      </c>
      <c r="D326" s="104" t="s">
        <v>215</v>
      </c>
      <c r="E326" s="104">
        <v>30100325</v>
      </c>
      <c r="F326" s="104"/>
      <c r="G326" s="104"/>
      <c r="H326" s="104" t="s">
        <v>211</v>
      </c>
      <c r="I326" s="104" t="s">
        <v>212</v>
      </c>
      <c r="J326" s="104">
        <v>1</v>
      </c>
      <c r="K326" s="104">
        <v>1</v>
      </c>
      <c r="L326" s="104">
        <f>VLOOKUP(A326,[1]단품수량!$B$5:$P$27,13,FALSE)*K326</f>
        <v>158</v>
      </c>
      <c r="M326" s="104" t="s">
        <v>107</v>
      </c>
      <c r="N326" s="101" t="s">
        <v>91</v>
      </c>
      <c r="O326" s="105">
        <v>150</v>
      </c>
      <c r="P326" s="105">
        <f t="shared" si="9"/>
        <v>150</v>
      </c>
      <c r="Q326" s="104" t="s">
        <v>100</v>
      </c>
    </row>
    <row r="327" spans="1:17" ht="18" customHeight="1">
      <c r="A327" s="108">
        <v>10005996</v>
      </c>
      <c r="B327" s="104" t="str">
        <f>VLOOKUP(A327,[1]단품수량!$B$5:$E$27,4,FALSE)</f>
        <v>TMP</v>
      </c>
      <c r="C327" s="104">
        <v>323</v>
      </c>
      <c r="D327" s="104" t="s">
        <v>218</v>
      </c>
      <c r="E327" s="104">
        <v>30115073</v>
      </c>
      <c r="F327" s="104"/>
      <c r="G327" s="104"/>
      <c r="H327" s="104" t="s">
        <v>137</v>
      </c>
      <c r="I327" s="104" t="s">
        <v>214</v>
      </c>
      <c r="J327" s="104">
        <v>1</v>
      </c>
      <c r="K327" s="104">
        <v>1</v>
      </c>
      <c r="L327" s="104">
        <f>VLOOKUP(A327,[1]단품수량!$B$5:$P$27,13,FALSE)*K327</f>
        <v>158</v>
      </c>
      <c r="M327" s="104" t="s">
        <v>99</v>
      </c>
      <c r="N327" s="101" t="s">
        <v>91</v>
      </c>
      <c r="O327" s="105">
        <v>96</v>
      </c>
      <c r="P327" s="105">
        <f t="shared" si="9"/>
        <v>96</v>
      </c>
      <c r="Q327" s="104" t="s">
        <v>100</v>
      </c>
    </row>
    <row r="328" spans="1:17" ht="18" customHeight="1">
      <c r="A328" s="108">
        <v>10005996</v>
      </c>
      <c r="B328" s="104" t="str">
        <f>VLOOKUP(A328,[1]단품수량!$B$5:$E$27,4,FALSE)</f>
        <v>TMP</v>
      </c>
      <c r="C328" s="104">
        <v>324</v>
      </c>
      <c r="D328" s="104" t="s">
        <v>221</v>
      </c>
      <c r="E328" s="104">
        <v>30120775</v>
      </c>
      <c r="F328" s="104"/>
      <c r="G328" s="104"/>
      <c r="H328" s="104" t="s">
        <v>137</v>
      </c>
      <c r="I328" s="104" t="s">
        <v>337</v>
      </c>
      <c r="J328" s="104">
        <v>1</v>
      </c>
      <c r="K328" s="104">
        <v>1</v>
      </c>
      <c r="L328" s="104">
        <f>VLOOKUP(A328,[1]단품수량!$B$5:$P$27,13,FALSE)*K328</f>
        <v>158</v>
      </c>
      <c r="M328" s="104" t="s">
        <v>99</v>
      </c>
      <c r="N328" s="101" t="s">
        <v>91</v>
      </c>
      <c r="O328" s="105">
        <v>60</v>
      </c>
      <c r="P328" s="105">
        <f t="shared" si="9"/>
        <v>60</v>
      </c>
      <c r="Q328" s="104" t="s">
        <v>100</v>
      </c>
    </row>
    <row r="329" spans="1:17" ht="18" customHeight="1">
      <c r="A329" s="108">
        <v>10005996</v>
      </c>
      <c r="B329" s="104" t="str">
        <f>VLOOKUP(A329,[1]단품수량!$B$5:$E$27,4,FALSE)</f>
        <v>TMP</v>
      </c>
      <c r="C329" s="104">
        <v>325</v>
      </c>
      <c r="D329" s="104" t="s">
        <v>351</v>
      </c>
      <c r="E329" s="104">
        <v>30081231</v>
      </c>
      <c r="F329" s="104"/>
      <c r="G329" s="104"/>
      <c r="H329" s="104" t="s">
        <v>216</v>
      </c>
      <c r="I329" s="104" t="s">
        <v>217</v>
      </c>
      <c r="J329" s="104">
        <v>52</v>
      </c>
      <c r="K329" s="104">
        <v>52</v>
      </c>
      <c r="L329" s="104">
        <f>VLOOKUP(A329,[1]단품수량!$B$5:$P$27,13,FALSE)*K329</f>
        <v>8216</v>
      </c>
      <c r="M329" s="104" t="s">
        <v>107</v>
      </c>
      <c r="N329" s="101" t="s">
        <v>91</v>
      </c>
      <c r="O329" s="105">
        <v>18</v>
      </c>
      <c r="P329" s="105">
        <f t="shared" si="9"/>
        <v>936</v>
      </c>
      <c r="Q329" s="104" t="s">
        <v>100</v>
      </c>
    </row>
    <row r="330" spans="1:17" ht="18" customHeight="1">
      <c r="A330" s="108">
        <v>10005996</v>
      </c>
      <c r="B330" s="104" t="str">
        <f>VLOOKUP(A330,[1]단품수량!$B$5:$E$27,4,FALSE)</f>
        <v>TMP</v>
      </c>
      <c r="C330" s="104">
        <v>326</v>
      </c>
      <c r="D330" s="104" t="s">
        <v>353</v>
      </c>
      <c r="E330" s="104">
        <v>30118483</v>
      </c>
      <c r="F330" s="104"/>
      <c r="G330" s="104"/>
      <c r="H330" s="104" t="s">
        <v>219</v>
      </c>
      <c r="I330" s="104" t="s">
        <v>494</v>
      </c>
      <c r="J330" s="104">
        <v>1</v>
      </c>
      <c r="K330" s="104">
        <v>1</v>
      </c>
      <c r="L330" s="104">
        <f>VLOOKUP(A330,[1]단품수량!$B$5:$P$27,13,FALSE)*K330</f>
        <v>158</v>
      </c>
      <c r="M330" s="104" t="s">
        <v>99</v>
      </c>
      <c r="N330" s="101" t="s">
        <v>91</v>
      </c>
      <c r="O330" s="105">
        <v>630</v>
      </c>
      <c r="P330" s="105">
        <f t="shared" si="9"/>
        <v>630</v>
      </c>
      <c r="Q330" s="104" t="s">
        <v>100</v>
      </c>
    </row>
    <row r="331" spans="1:17" ht="18" customHeight="1">
      <c r="A331" s="108">
        <v>10005996</v>
      </c>
      <c r="B331" s="104" t="str">
        <f>VLOOKUP(A331,[1]단품수량!$B$5:$E$27,4,FALSE)</f>
        <v>TMP</v>
      </c>
      <c r="C331" s="104">
        <v>327</v>
      </c>
      <c r="D331" s="104" t="s">
        <v>355</v>
      </c>
      <c r="E331" s="104">
        <v>30118018</v>
      </c>
      <c r="F331" s="104"/>
      <c r="G331" s="104"/>
      <c r="H331" s="104" t="s">
        <v>216</v>
      </c>
      <c r="I331" s="104" t="s">
        <v>495</v>
      </c>
      <c r="J331" s="104">
        <v>9</v>
      </c>
      <c r="K331" s="104">
        <v>9</v>
      </c>
      <c r="L331" s="104">
        <f>VLOOKUP(A331,[1]단품수량!$B$5:$P$27,13,FALSE)*K331</f>
        <v>1422</v>
      </c>
      <c r="M331" s="104" t="s">
        <v>107</v>
      </c>
      <c r="N331" s="101" t="s">
        <v>91</v>
      </c>
      <c r="O331" s="105">
        <v>250</v>
      </c>
      <c r="P331" s="105">
        <f t="shared" si="9"/>
        <v>2250</v>
      </c>
      <c r="Q331" s="104" t="s">
        <v>496</v>
      </c>
    </row>
    <row r="332" spans="1:17" ht="18" customHeight="1">
      <c r="A332" s="108">
        <v>10005996</v>
      </c>
      <c r="B332" s="104" t="str">
        <f>VLOOKUP(A332,[1]단품수량!$B$5:$E$27,4,FALSE)</f>
        <v>TMP</v>
      </c>
      <c r="C332" s="104">
        <v>328</v>
      </c>
      <c r="D332" s="104" t="s">
        <v>357</v>
      </c>
      <c r="E332" s="104">
        <v>30080191</v>
      </c>
      <c r="F332" s="104"/>
      <c r="G332" s="104"/>
      <c r="H332" s="104" t="s">
        <v>219</v>
      </c>
      <c r="I332" s="104" t="s">
        <v>497</v>
      </c>
      <c r="J332" s="104">
        <v>1</v>
      </c>
      <c r="K332" s="104">
        <v>1</v>
      </c>
      <c r="L332" s="104">
        <f>VLOOKUP(A332,[1]단품수량!$B$5:$P$27,13,FALSE)*K332</f>
        <v>158</v>
      </c>
      <c r="M332" s="104" t="s">
        <v>99</v>
      </c>
      <c r="N332" s="101" t="s">
        <v>91</v>
      </c>
      <c r="O332" s="105">
        <v>60</v>
      </c>
      <c r="P332" s="105">
        <f t="shared" si="9"/>
        <v>60</v>
      </c>
      <c r="Q332" s="104" t="s">
        <v>100</v>
      </c>
    </row>
    <row r="333" spans="1:17" ht="18" customHeight="1">
      <c r="A333" s="108">
        <v>10005996</v>
      </c>
      <c r="B333" s="104" t="str">
        <f>VLOOKUP(A333,[1]단품수량!$B$5:$E$27,4,FALSE)</f>
        <v>TMP</v>
      </c>
      <c r="C333" s="104">
        <v>329</v>
      </c>
      <c r="D333" s="104" t="s">
        <v>359</v>
      </c>
      <c r="E333" s="104">
        <v>30118479</v>
      </c>
      <c r="F333" s="104"/>
      <c r="G333" s="104"/>
      <c r="H333" s="104" t="s">
        <v>498</v>
      </c>
      <c r="I333" s="104" t="s">
        <v>499</v>
      </c>
      <c r="J333" s="104">
        <v>5</v>
      </c>
      <c r="K333" s="104">
        <v>5</v>
      </c>
      <c r="L333" s="104">
        <f>VLOOKUP(A333,[1]단품수량!$B$5:$P$27,13,FALSE)*K333</f>
        <v>790</v>
      </c>
      <c r="M333" s="104" t="s">
        <v>99</v>
      </c>
      <c r="N333" s="101" t="s">
        <v>91</v>
      </c>
      <c r="O333" s="105">
        <v>12</v>
      </c>
      <c r="P333" s="105">
        <f t="shared" si="9"/>
        <v>60</v>
      </c>
      <c r="Q333" s="104" t="s">
        <v>100</v>
      </c>
    </row>
    <row r="334" spans="1:17" ht="18" customHeight="1">
      <c r="A334" s="108">
        <v>10005996</v>
      </c>
      <c r="B334" s="104" t="str">
        <f>VLOOKUP(A334,[1]단품수량!$B$5:$E$27,4,FALSE)</f>
        <v>TMP</v>
      </c>
      <c r="C334" s="104">
        <v>330</v>
      </c>
      <c r="D334" s="104" t="s">
        <v>361</v>
      </c>
      <c r="E334" s="104">
        <v>60006461</v>
      </c>
      <c r="F334" s="104"/>
      <c r="G334" s="104"/>
      <c r="H334" s="104" t="s">
        <v>500</v>
      </c>
      <c r="I334" s="104" t="s">
        <v>501</v>
      </c>
      <c r="J334" s="104">
        <v>2</v>
      </c>
      <c r="K334" s="104">
        <v>2</v>
      </c>
      <c r="L334" s="104">
        <f>VLOOKUP(A334,[1]단품수량!$B$5:$P$27,13,FALSE)*K334</f>
        <v>316</v>
      </c>
      <c r="M334" s="104" t="s">
        <v>107</v>
      </c>
      <c r="N334" s="101" t="s">
        <v>91</v>
      </c>
      <c r="O334" s="105">
        <v>50</v>
      </c>
      <c r="P334" s="105">
        <f t="shared" si="9"/>
        <v>100</v>
      </c>
      <c r="Q334" s="104" t="s">
        <v>100</v>
      </c>
    </row>
    <row r="335" spans="1:17" ht="18" customHeight="1">
      <c r="A335" s="108">
        <v>10005996</v>
      </c>
      <c r="B335" s="104" t="str">
        <f>VLOOKUP(A335,[1]단품수량!$B$5:$E$27,4,FALSE)</f>
        <v>TMP</v>
      </c>
      <c r="C335" s="104">
        <v>331</v>
      </c>
      <c r="D335" s="104" t="s">
        <v>201</v>
      </c>
      <c r="E335" s="104">
        <v>30125277</v>
      </c>
      <c r="F335" s="104" t="s">
        <v>502</v>
      </c>
      <c r="G335" s="104"/>
      <c r="H335" s="104" t="s">
        <v>503</v>
      </c>
      <c r="I335" s="104" t="s">
        <v>504</v>
      </c>
      <c r="J335" s="104">
        <v>2</v>
      </c>
      <c r="K335" s="104">
        <v>2</v>
      </c>
      <c r="L335" s="104">
        <f>VLOOKUP(A335,[1]단품수량!$B$5:$P$27,13,FALSE)*K335</f>
        <v>316</v>
      </c>
      <c r="M335" s="104" t="s">
        <v>90</v>
      </c>
      <c r="N335" s="101" t="s">
        <v>91</v>
      </c>
      <c r="O335" s="105">
        <v>100</v>
      </c>
      <c r="P335" s="105">
        <f t="shared" si="9"/>
        <v>200</v>
      </c>
      <c r="Q335" s="104" t="s">
        <v>125</v>
      </c>
    </row>
    <row r="336" spans="1:17" ht="18" customHeight="1">
      <c r="A336" s="108">
        <v>10005994</v>
      </c>
      <c r="B336" s="104" t="str">
        <f>VLOOKUP(A336,[1]단품수량!$B$5:$E$27,4,FALSE)</f>
        <v>TRA</v>
      </c>
      <c r="C336" s="104">
        <v>332</v>
      </c>
      <c r="D336" s="104" t="s">
        <v>86</v>
      </c>
      <c r="E336" s="104">
        <v>10005994</v>
      </c>
      <c r="F336" s="104"/>
      <c r="G336" s="104"/>
      <c r="H336" s="104" t="s">
        <v>41</v>
      </c>
      <c r="I336" s="104">
        <v>0</v>
      </c>
      <c r="J336" s="104">
        <v>1</v>
      </c>
      <c r="K336" s="104">
        <v>1</v>
      </c>
      <c r="L336" s="104">
        <f>VLOOKUP(A336,[1]단품수량!$B$5:$P$27,13,FALSE)*K336</f>
        <v>158</v>
      </c>
      <c r="M336" s="104" t="s">
        <v>90</v>
      </c>
      <c r="N336" s="101" t="s">
        <v>91</v>
      </c>
      <c r="O336" s="105">
        <v>668000</v>
      </c>
      <c r="P336" s="105">
        <f t="shared" si="9"/>
        <v>668000</v>
      </c>
      <c r="Q336" s="104" t="s">
        <v>108</v>
      </c>
    </row>
    <row r="337" spans="1:17" ht="18" customHeight="1">
      <c r="A337" s="108">
        <v>10006099</v>
      </c>
      <c r="B337" s="104" t="str">
        <f>VLOOKUP(A337,[1]단품수량!$B$5:$E$27,4,FALSE)</f>
        <v>TRB</v>
      </c>
      <c r="C337" s="104">
        <v>333</v>
      </c>
      <c r="D337" s="104" t="s">
        <v>86</v>
      </c>
      <c r="E337" s="104">
        <v>10006099</v>
      </c>
      <c r="F337" s="104" t="s">
        <v>505</v>
      </c>
      <c r="G337" s="104"/>
      <c r="H337" s="104" t="s">
        <v>48</v>
      </c>
      <c r="I337" s="104">
        <v>0</v>
      </c>
      <c r="J337" s="104">
        <v>1</v>
      </c>
      <c r="K337" s="104">
        <v>1</v>
      </c>
      <c r="L337" s="104">
        <f>VLOOKUP(A337,[1]단품수량!$B$5:$P$27,13,FALSE)*K337</f>
        <v>0</v>
      </c>
      <c r="M337" s="104" t="s">
        <v>90</v>
      </c>
      <c r="N337" s="101" t="s">
        <v>91</v>
      </c>
      <c r="O337" s="105">
        <v>18500</v>
      </c>
      <c r="P337" s="105">
        <f t="shared" si="9"/>
        <v>18500</v>
      </c>
      <c r="Q337" s="104" t="s">
        <v>159</v>
      </c>
    </row>
    <row r="338" spans="1:17" ht="18" customHeight="1">
      <c r="A338" s="108">
        <v>10005999</v>
      </c>
      <c r="B338" s="104" t="str">
        <f>VLOOKUP(A338,[1]단품수량!$B$5:$E$27,4,FALSE)</f>
        <v>TRF</v>
      </c>
      <c r="C338" s="104">
        <v>334</v>
      </c>
      <c r="D338" s="104" t="s">
        <v>86</v>
      </c>
      <c r="E338" s="104">
        <v>30120736</v>
      </c>
      <c r="F338" s="104" t="s">
        <v>506</v>
      </c>
      <c r="G338" s="104"/>
      <c r="H338" s="104" t="s">
        <v>151</v>
      </c>
      <c r="I338" s="104" t="s">
        <v>89</v>
      </c>
      <c r="J338" s="104">
        <v>1</v>
      </c>
      <c r="K338" s="104">
        <v>1</v>
      </c>
      <c r="L338" s="104">
        <f>VLOOKUP(A338,[1]단품수량!$B$5:$P$27,13,FALSE)*K338</f>
        <v>480</v>
      </c>
      <c r="M338" s="104" t="s">
        <v>90</v>
      </c>
      <c r="N338" s="101" t="s">
        <v>91</v>
      </c>
      <c r="O338" s="105">
        <v>11000</v>
      </c>
      <c r="P338" s="105">
        <f t="shared" si="9"/>
        <v>11000</v>
      </c>
      <c r="Q338" s="104" t="s">
        <v>159</v>
      </c>
    </row>
    <row r="339" spans="1:17" ht="18" customHeight="1">
      <c r="A339" s="108">
        <v>10005999</v>
      </c>
      <c r="B339" s="104" t="str">
        <f>VLOOKUP(A339,[1]단품수량!$B$5:$E$27,4,FALSE)</f>
        <v>TRF</v>
      </c>
      <c r="C339" s="104">
        <v>335</v>
      </c>
      <c r="D339" s="104" t="s">
        <v>93</v>
      </c>
      <c r="E339" s="104">
        <v>30120773</v>
      </c>
      <c r="F339" s="104" t="s">
        <v>326</v>
      </c>
      <c r="G339" s="104"/>
      <c r="H339" s="104" t="s">
        <v>327</v>
      </c>
      <c r="I339" s="104" t="s">
        <v>89</v>
      </c>
      <c r="J339" s="104">
        <v>1</v>
      </c>
      <c r="K339" s="104">
        <v>1</v>
      </c>
      <c r="L339" s="104">
        <f>VLOOKUP(A339,[1]단품수량!$B$5:$P$27,13,FALSE)*K339</f>
        <v>480</v>
      </c>
      <c r="M339" s="104" t="s">
        <v>99</v>
      </c>
      <c r="N339" s="101" t="s">
        <v>91</v>
      </c>
      <c r="O339" s="105">
        <v>19500</v>
      </c>
      <c r="P339" s="105">
        <f t="shared" si="9"/>
        <v>19500</v>
      </c>
      <c r="Q339" s="104" t="s">
        <v>328</v>
      </c>
    </row>
    <row r="340" spans="1:17" ht="18" customHeight="1">
      <c r="A340" s="108">
        <v>10005999</v>
      </c>
      <c r="B340" s="104" t="str">
        <f>VLOOKUP(A340,[1]단품수량!$B$5:$E$27,4,FALSE)</f>
        <v>TRF</v>
      </c>
      <c r="C340" s="104">
        <v>336</v>
      </c>
      <c r="D340" s="104" t="s">
        <v>96</v>
      </c>
      <c r="E340" s="104">
        <v>30120769</v>
      </c>
      <c r="F340" s="104" t="s">
        <v>324</v>
      </c>
      <c r="G340" s="104"/>
      <c r="H340" s="104" t="s">
        <v>289</v>
      </c>
      <c r="I340" s="104" t="s">
        <v>325</v>
      </c>
      <c r="J340" s="104">
        <v>1</v>
      </c>
      <c r="K340" s="104">
        <v>1</v>
      </c>
      <c r="L340" s="104">
        <f>VLOOKUP(A340,[1]단품수량!$B$5:$P$27,13,FALSE)*K340</f>
        <v>480</v>
      </c>
      <c r="M340" s="104" t="s">
        <v>90</v>
      </c>
      <c r="N340" s="101" t="s">
        <v>91</v>
      </c>
      <c r="O340" s="105">
        <v>35000</v>
      </c>
      <c r="P340" s="105">
        <f t="shared" si="9"/>
        <v>35000</v>
      </c>
      <c r="Q340" s="104" t="s">
        <v>291</v>
      </c>
    </row>
    <row r="341" spans="1:17" ht="18" customHeight="1">
      <c r="A341" s="108">
        <v>10005999</v>
      </c>
      <c r="B341" s="104" t="str">
        <f>VLOOKUP(A341,[1]단품수량!$B$5:$E$27,4,FALSE)</f>
        <v>TRF</v>
      </c>
      <c r="C341" s="104">
        <v>337</v>
      </c>
      <c r="D341" s="104" t="s">
        <v>101</v>
      </c>
      <c r="E341" s="104">
        <v>30120237</v>
      </c>
      <c r="F341" s="104"/>
      <c r="G341" s="104"/>
      <c r="H341" s="104" t="s">
        <v>137</v>
      </c>
      <c r="I341" s="104" t="s">
        <v>507</v>
      </c>
      <c r="J341" s="104">
        <v>1</v>
      </c>
      <c r="K341" s="104">
        <v>1</v>
      </c>
      <c r="L341" s="104">
        <f>VLOOKUP(A341,[1]단품수량!$B$5:$P$27,13,FALSE)*K341</f>
        <v>480</v>
      </c>
      <c r="M341" s="104" t="s">
        <v>99</v>
      </c>
      <c r="N341" s="101" t="s">
        <v>91</v>
      </c>
      <c r="O341" s="105">
        <v>4910</v>
      </c>
      <c r="P341" s="105">
        <f t="shared" si="9"/>
        <v>4910</v>
      </c>
      <c r="Q341" s="104" t="s">
        <v>139</v>
      </c>
    </row>
    <row r="342" spans="1:17" ht="18" customHeight="1">
      <c r="A342" s="108">
        <v>10005999</v>
      </c>
      <c r="B342" s="104" t="str">
        <f>VLOOKUP(A342,[1]단품수량!$B$5:$E$27,4,FALSE)</f>
        <v>TRF</v>
      </c>
      <c r="C342" s="104">
        <v>338</v>
      </c>
      <c r="D342" s="104" t="s">
        <v>104</v>
      </c>
      <c r="E342" s="104">
        <v>30120268</v>
      </c>
      <c r="F342" s="104"/>
      <c r="G342" s="104"/>
      <c r="H342" s="104" t="s">
        <v>137</v>
      </c>
      <c r="I342" s="104" t="s">
        <v>508</v>
      </c>
      <c r="J342" s="104">
        <v>1</v>
      </c>
      <c r="K342" s="104">
        <v>1</v>
      </c>
      <c r="L342" s="104">
        <f>VLOOKUP(A342,[1]단품수량!$B$5:$P$27,13,FALSE)*K342</f>
        <v>480</v>
      </c>
      <c r="M342" s="104" t="s">
        <v>99</v>
      </c>
      <c r="N342" s="101" t="s">
        <v>91</v>
      </c>
      <c r="O342" s="105">
        <v>5060</v>
      </c>
      <c r="P342" s="105">
        <f t="shared" si="9"/>
        <v>5060</v>
      </c>
      <c r="Q342" s="104" t="s">
        <v>139</v>
      </c>
    </row>
    <row r="343" spans="1:17" ht="18" customHeight="1">
      <c r="A343" s="108">
        <v>10005999</v>
      </c>
      <c r="B343" s="104" t="str">
        <f>VLOOKUP(A343,[1]단품수량!$B$5:$E$27,4,FALSE)</f>
        <v>TRF</v>
      </c>
      <c r="C343" s="104">
        <v>339</v>
      </c>
      <c r="D343" s="104" t="s">
        <v>109</v>
      </c>
      <c r="E343" s="104">
        <v>30118493</v>
      </c>
      <c r="F343" s="104"/>
      <c r="G343" s="104"/>
      <c r="H343" s="104" t="s">
        <v>137</v>
      </c>
      <c r="I343" s="104" t="s">
        <v>244</v>
      </c>
      <c r="J343" s="104">
        <v>1</v>
      </c>
      <c r="K343" s="104">
        <v>1</v>
      </c>
      <c r="L343" s="104">
        <f>VLOOKUP(A343,[1]단품수량!$B$5:$P$27,13,FALSE)*K343</f>
        <v>480</v>
      </c>
      <c r="M343" s="104" t="s">
        <v>99</v>
      </c>
      <c r="N343" s="101" t="s">
        <v>91</v>
      </c>
      <c r="O343" s="105">
        <v>2780</v>
      </c>
      <c r="P343" s="105">
        <f t="shared" si="9"/>
        <v>2780</v>
      </c>
      <c r="Q343" s="104" t="s">
        <v>139</v>
      </c>
    </row>
    <row r="344" spans="1:17" ht="18" customHeight="1">
      <c r="A344" s="108">
        <v>10005999</v>
      </c>
      <c r="B344" s="104" t="str">
        <f>VLOOKUP(A344,[1]단품수량!$B$5:$E$27,4,FALSE)</f>
        <v>TRF</v>
      </c>
      <c r="C344" s="104">
        <v>340</v>
      </c>
      <c r="D344" s="104" t="s">
        <v>112</v>
      </c>
      <c r="E344" s="104">
        <v>30118494</v>
      </c>
      <c r="F344" s="104"/>
      <c r="G344" s="104"/>
      <c r="H344" s="104" t="s">
        <v>137</v>
      </c>
      <c r="I344" s="104" t="s">
        <v>245</v>
      </c>
      <c r="J344" s="104">
        <v>1</v>
      </c>
      <c r="K344" s="104">
        <v>1</v>
      </c>
      <c r="L344" s="104">
        <f>VLOOKUP(A344,[1]단품수량!$B$5:$P$27,13,FALSE)*K344</f>
        <v>480</v>
      </c>
      <c r="M344" s="104" t="s">
        <v>99</v>
      </c>
      <c r="N344" s="101" t="s">
        <v>91</v>
      </c>
      <c r="O344" s="105">
        <v>3060</v>
      </c>
      <c r="P344" s="105">
        <f t="shared" si="9"/>
        <v>3060</v>
      </c>
      <c r="Q344" s="104" t="s">
        <v>139</v>
      </c>
    </row>
    <row r="345" spans="1:17" ht="18" customHeight="1">
      <c r="A345" s="108">
        <v>10005999</v>
      </c>
      <c r="B345" s="104" t="str">
        <f>VLOOKUP(A345,[1]단품수량!$B$5:$E$27,4,FALSE)</f>
        <v>TRF</v>
      </c>
      <c r="C345" s="104">
        <v>341</v>
      </c>
      <c r="D345" s="104" t="s">
        <v>115</v>
      </c>
      <c r="E345" s="104">
        <v>20061635</v>
      </c>
      <c r="F345" s="104" t="s">
        <v>334</v>
      </c>
      <c r="G345" s="104"/>
      <c r="H345" s="104" t="s">
        <v>335</v>
      </c>
      <c r="I345" s="104" t="s">
        <v>89</v>
      </c>
      <c r="J345" s="104">
        <v>1</v>
      </c>
      <c r="K345" s="104">
        <v>1</v>
      </c>
      <c r="L345" s="104">
        <f>VLOOKUP(A345,[1]단품수량!$B$5:$P$27,13,FALSE)*K345</f>
        <v>480</v>
      </c>
      <c r="M345" s="104" t="s">
        <v>205</v>
      </c>
      <c r="N345" s="101" t="s">
        <v>91</v>
      </c>
      <c r="O345" s="105">
        <v>0</v>
      </c>
      <c r="P345" s="105">
        <f t="shared" si="9"/>
        <v>0</v>
      </c>
      <c r="Q345" s="104" t="s">
        <v>336</v>
      </c>
    </row>
    <row r="346" spans="1:17" ht="18" customHeight="1">
      <c r="A346" s="108">
        <v>10005999</v>
      </c>
      <c r="B346" s="104" t="str">
        <f>VLOOKUP(A346,[1]단품수량!$B$5:$E$27,4,FALSE)</f>
        <v>TRF</v>
      </c>
      <c r="C346" s="104">
        <v>342</v>
      </c>
      <c r="D346" s="104" t="s">
        <v>149</v>
      </c>
      <c r="E346" s="104">
        <v>30075140</v>
      </c>
      <c r="F346" s="104"/>
      <c r="G346" s="104"/>
      <c r="H346" s="104" t="s">
        <v>143</v>
      </c>
      <c r="I346" s="104" t="s">
        <v>206</v>
      </c>
      <c r="J346" s="104">
        <v>2</v>
      </c>
      <c r="K346" s="104">
        <v>2</v>
      </c>
      <c r="L346" s="104">
        <f>VLOOKUP(A346,[1]단품수량!$B$5:$P$27,13,FALSE)*K346</f>
        <v>960</v>
      </c>
      <c r="M346" s="104" t="s">
        <v>107</v>
      </c>
      <c r="N346" s="101" t="s">
        <v>91</v>
      </c>
      <c r="O346" s="105">
        <v>380</v>
      </c>
      <c r="P346" s="105">
        <f t="shared" si="9"/>
        <v>760</v>
      </c>
      <c r="Q346" s="104" t="s">
        <v>108</v>
      </c>
    </row>
    <row r="347" spans="1:17" ht="18" customHeight="1">
      <c r="A347" s="108">
        <v>10005999</v>
      </c>
      <c r="B347" s="104" t="str">
        <f>VLOOKUP(A347,[1]단품수량!$B$5:$E$27,4,FALSE)</f>
        <v>TRF</v>
      </c>
      <c r="C347" s="104">
        <v>343</v>
      </c>
      <c r="D347" s="104" t="s">
        <v>152</v>
      </c>
      <c r="E347" s="104">
        <v>30111991</v>
      </c>
      <c r="F347" s="104"/>
      <c r="G347" s="104"/>
      <c r="H347" s="104" t="s">
        <v>137</v>
      </c>
      <c r="I347" s="104" t="s">
        <v>321</v>
      </c>
      <c r="J347" s="104">
        <v>2</v>
      </c>
      <c r="K347" s="104">
        <v>2</v>
      </c>
      <c r="L347" s="104">
        <f>VLOOKUP(A347,[1]단품수량!$B$5:$P$27,13,FALSE)*K347</f>
        <v>960</v>
      </c>
      <c r="M347" s="104" t="s">
        <v>99</v>
      </c>
      <c r="N347" s="101" t="s">
        <v>91</v>
      </c>
      <c r="O347" s="105">
        <v>240</v>
      </c>
      <c r="P347" s="105">
        <f t="shared" si="9"/>
        <v>480</v>
      </c>
      <c r="Q347" s="104" t="s">
        <v>100</v>
      </c>
    </row>
    <row r="348" spans="1:17" ht="18" customHeight="1">
      <c r="A348" s="108">
        <v>10005999</v>
      </c>
      <c r="B348" s="104" t="str">
        <f>VLOOKUP(A348,[1]단품수량!$B$5:$E$27,4,FALSE)</f>
        <v>TRF</v>
      </c>
      <c r="C348" s="104">
        <v>344</v>
      </c>
      <c r="D348" s="104" t="s">
        <v>208</v>
      </c>
      <c r="E348" s="104">
        <v>30120775</v>
      </c>
      <c r="F348" s="104"/>
      <c r="G348" s="104"/>
      <c r="H348" s="104" t="s">
        <v>137</v>
      </c>
      <c r="I348" s="104" t="s">
        <v>337</v>
      </c>
      <c r="J348" s="104">
        <v>1</v>
      </c>
      <c r="K348" s="104">
        <v>1</v>
      </c>
      <c r="L348" s="104">
        <f>VLOOKUP(A348,[1]단품수량!$B$5:$P$27,13,FALSE)*K348</f>
        <v>480</v>
      </c>
      <c r="M348" s="104" t="s">
        <v>99</v>
      </c>
      <c r="N348" s="101" t="s">
        <v>91</v>
      </c>
      <c r="O348" s="105">
        <v>60</v>
      </c>
      <c r="P348" s="105">
        <f t="shared" si="9"/>
        <v>60</v>
      </c>
      <c r="Q348" s="104" t="s">
        <v>100</v>
      </c>
    </row>
    <row r="349" spans="1:17" ht="18" customHeight="1">
      <c r="A349" s="108">
        <v>10005999</v>
      </c>
      <c r="B349" s="104" t="str">
        <f>VLOOKUP(A349,[1]단품수량!$B$5:$E$27,4,FALSE)</f>
        <v>TRF</v>
      </c>
      <c r="C349" s="104">
        <v>345</v>
      </c>
      <c r="D349" s="104" t="s">
        <v>210</v>
      </c>
      <c r="E349" s="104">
        <v>30115073</v>
      </c>
      <c r="F349" s="104"/>
      <c r="G349" s="104"/>
      <c r="H349" s="104" t="s">
        <v>137</v>
      </c>
      <c r="I349" s="104" t="s">
        <v>214</v>
      </c>
      <c r="J349" s="104">
        <v>1</v>
      </c>
      <c r="K349" s="104">
        <v>1</v>
      </c>
      <c r="L349" s="104">
        <f>VLOOKUP(A349,[1]단품수량!$B$5:$P$27,13,FALSE)*K349</f>
        <v>480</v>
      </c>
      <c r="M349" s="104" t="s">
        <v>99</v>
      </c>
      <c r="N349" s="101" t="s">
        <v>91</v>
      </c>
      <c r="O349" s="105">
        <v>96</v>
      </c>
      <c r="P349" s="105">
        <f t="shared" si="9"/>
        <v>96</v>
      </c>
      <c r="Q349" s="104" t="s">
        <v>100</v>
      </c>
    </row>
    <row r="350" spans="1:17" ht="18" customHeight="1">
      <c r="A350" s="108">
        <v>10005999</v>
      </c>
      <c r="B350" s="104" t="str">
        <f>VLOOKUP(A350,[1]단품수량!$B$5:$E$27,4,FALSE)</f>
        <v>TRF</v>
      </c>
      <c r="C350" s="104">
        <v>346</v>
      </c>
      <c r="D350" s="104" t="s">
        <v>213</v>
      </c>
      <c r="E350" s="104">
        <v>30081231</v>
      </c>
      <c r="F350" s="104"/>
      <c r="G350" s="104"/>
      <c r="H350" s="104" t="s">
        <v>216</v>
      </c>
      <c r="I350" s="104" t="s">
        <v>217</v>
      </c>
      <c r="J350" s="104">
        <v>16</v>
      </c>
      <c r="K350" s="104">
        <v>16</v>
      </c>
      <c r="L350" s="104">
        <f>VLOOKUP(A350,[1]단품수량!$B$5:$P$27,13,FALSE)*K350</f>
        <v>7680</v>
      </c>
      <c r="M350" s="104" t="s">
        <v>107</v>
      </c>
      <c r="N350" s="101" t="s">
        <v>91</v>
      </c>
      <c r="O350" s="105">
        <v>18</v>
      </c>
      <c r="P350" s="105">
        <f t="shared" si="9"/>
        <v>288</v>
      </c>
      <c r="Q350" s="104" t="s">
        <v>100</v>
      </c>
    </row>
    <row r="351" spans="1:17" ht="18" customHeight="1">
      <c r="A351" s="108">
        <v>10005999</v>
      </c>
      <c r="B351" s="104" t="str">
        <f>VLOOKUP(A351,[1]단품수량!$B$5:$E$27,4,FALSE)</f>
        <v>TRF</v>
      </c>
      <c r="C351" s="104">
        <v>347</v>
      </c>
      <c r="D351" s="104" t="s">
        <v>118</v>
      </c>
      <c r="E351" s="104">
        <v>30124437</v>
      </c>
      <c r="F351" s="104"/>
      <c r="G351" s="104"/>
      <c r="H351" s="104" t="s">
        <v>272</v>
      </c>
      <c r="I351" s="104" t="s">
        <v>273</v>
      </c>
      <c r="J351" s="104">
        <v>8</v>
      </c>
      <c r="K351" s="104">
        <v>8</v>
      </c>
      <c r="L351" s="104">
        <f>VLOOKUP(A351,[1]단품수량!$B$5:$P$27,13,FALSE)*K351</f>
        <v>3840</v>
      </c>
      <c r="M351" s="104" t="s">
        <v>99</v>
      </c>
      <c r="N351" s="101"/>
      <c r="O351" s="105">
        <v>0</v>
      </c>
      <c r="P351" s="105">
        <f t="shared" si="9"/>
        <v>0</v>
      </c>
      <c r="Q351" s="104"/>
    </row>
    <row r="352" spans="1:17" ht="18" customHeight="1">
      <c r="A352" s="107">
        <v>10005995</v>
      </c>
      <c r="B352" s="104" t="str">
        <f>VLOOKUP(A352,[1]단품수량!$B$5:$E$27,4,FALSE)</f>
        <v>WGA</v>
      </c>
      <c r="C352" s="104">
        <v>348</v>
      </c>
      <c r="D352" s="104" t="s">
        <v>86</v>
      </c>
      <c r="E352" s="104">
        <v>30118188</v>
      </c>
      <c r="F352" s="104"/>
      <c r="G352" s="104"/>
      <c r="H352" s="104" t="s">
        <v>509</v>
      </c>
      <c r="I352" s="104" t="s">
        <v>510</v>
      </c>
      <c r="J352" s="104">
        <v>1</v>
      </c>
      <c r="K352" s="104">
        <v>1</v>
      </c>
      <c r="L352" s="104">
        <f>VLOOKUP(A352,[1]단품수량!$B$5:$P$27,13,FALSE)*K352</f>
        <v>79</v>
      </c>
      <c r="M352" s="104" t="s">
        <v>107</v>
      </c>
      <c r="N352" s="101" t="s">
        <v>91</v>
      </c>
      <c r="O352" s="105">
        <v>950000</v>
      </c>
      <c r="P352" s="105">
        <f t="shared" si="9"/>
        <v>950000</v>
      </c>
      <c r="Q352" s="104" t="s">
        <v>108</v>
      </c>
    </row>
    <row r="353" spans="1:17" ht="18" customHeight="1">
      <c r="A353" s="107">
        <v>10005995</v>
      </c>
      <c r="B353" s="104" t="str">
        <f>VLOOKUP(A353,[1]단품수량!$B$5:$E$27,4,FALSE)</f>
        <v>WGA</v>
      </c>
      <c r="C353" s="104">
        <v>349</v>
      </c>
      <c r="D353" s="104" t="s">
        <v>93</v>
      </c>
      <c r="E353" s="104">
        <v>30079237</v>
      </c>
      <c r="F353" s="104"/>
      <c r="G353" s="104"/>
      <c r="H353" s="104" t="s">
        <v>127</v>
      </c>
      <c r="I353" s="104" t="s">
        <v>511</v>
      </c>
      <c r="J353" s="104">
        <v>28</v>
      </c>
      <c r="K353" s="104">
        <v>28</v>
      </c>
      <c r="L353" s="104">
        <f>VLOOKUP(A353,[1]단품수량!$B$5:$P$27,13,FALSE)*K353</f>
        <v>2212</v>
      </c>
      <c r="M353" s="104" t="s">
        <v>90</v>
      </c>
      <c r="N353" s="101" t="s">
        <v>91</v>
      </c>
      <c r="O353" s="105">
        <v>9200</v>
      </c>
      <c r="P353" s="105">
        <f t="shared" si="9"/>
        <v>257600</v>
      </c>
      <c r="Q353" s="104" t="s">
        <v>108</v>
      </c>
    </row>
    <row r="354" spans="1:17" ht="18" customHeight="1">
      <c r="A354" s="107">
        <v>10005995</v>
      </c>
      <c r="B354" s="104" t="str">
        <f>VLOOKUP(A354,[1]단품수량!$B$5:$E$27,4,FALSE)</f>
        <v>WGA</v>
      </c>
      <c r="C354" s="104">
        <v>350</v>
      </c>
      <c r="D354" s="104" t="s">
        <v>96</v>
      </c>
      <c r="E354" s="104">
        <v>30120833</v>
      </c>
      <c r="F354" s="104"/>
      <c r="G354" s="104"/>
      <c r="H354" s="104" t="s">
        <v>512</v>
      </c>
      <c r="I354" s="104" t="s">
        <v>513</v>
      </c>
      <c r="J354" s="104">
        <v>4</v>
      </c>
      <c r="K354" s="104">
        <v>4</v>
      </c>
      <c r="L354" s="104">
        <f>VLOOKUP(A354,[1]단품수량!$B$5:$P$27,13,FALSE)*K354</f>
        <v>316</v>
      </c>
      <c r="M354" s="104" t="s">
        <v>99</v>
      </c>
      <c r="N354" s="101" t="s">
        <v>91</v>
      </c>
      <c r="O354" s="105">
        <v>42360</v>
      </c>
      <c r="P354" s="105">
        <f t="shared" si="9"/>
        <v>169440</v>
      </c>
      <c r="Q354" s="104" t="s">
        <v>108</v>
      </c>
    </row>
    <row r="355" spans="1:17" ht="18" customHeight="1">
      <c r="A355" s="107">
        <v>10005995</v>
      </c>
      <c r="B355" s="104" t="str">
        <f>VLOOKUP(A355,[1]단품수량!$B$5:$E$27,4,FALSE)</f>
        <v>WGA</v>
      </c>
      <c r="C355" s="104">
        <v>351</v>
      </c>
      <c r="D355" s="104" t="s">
        <v>101</v>
      </c>
      <c r="E355" s="104">
        <v>30120834</v>
      </c>
      <c r="F355" s="104"/>
      <c r="G355" s="104"/>
      <c r="H355" s="104" t="s">
        <v>514</v>
      </c>
      <c r="I355" s="104" t="s">
        <v>515</v>
      </c>
      <c r="J355" s="104">
        <v>4</v>
      </c>
      <c r="K355" s="104">
        <v>4</v>
      </c>
      <c r="L355" s="104">
        <f>VLOOKUP(A355,[1]단품수량!$B$5:$P$27,13,FALSE)*K355</f>
        <v>316</v>
      </c>
      <c r="M355" s="104" t="s">
        <v>99</v>
      </c>
      <c r="N355" s="101" t="s">
        <v>91</v>
      </c>
      <c r="O355" s="105">
        <v>0</v>
      </c>
      <c r="P355" s="105">
        <f t="shared" si="9"/>
        <v>0</v>
      </c>
      <c r="Q355" s="104" t="s">
        <v>108</v>
      </c>
    </row>
    <row r="356" spans="1:17" ht="18" customHeight="1">
      <c r="A356" s="107">
        <v>10005986</v>
      </c>
      <c r="B356" s="104" t="str">
        <f>VLOOKUP(A356,[1]단품수량!$B$5:$E$27,4,FALSE)</f>
        <v>CRA</v>
      </c>
      <c r="C356" s="104">
        <v>352</v>
      </c>
      <c r="D356" s="104" t="s">
        <v>86</v>
      </c>
      <c r="E356" s="104">
        <v>10006237</v>
      </c>
      <c r="F356" s="104" t="s">
        <v>516</v>
      </c>
      <c r="G356" s="104"/>
      <c r="H356" s="110" t="s">
        <v>517</v>
      </c>
      <c r="I356" s="104" t="s">
        <v>89</v>
      </c>
      <c r="J356" s="104">
        <v>1</v>
      </c>
      <c r="K356" s="104">
        <v>1</v>
      </c>
      <c r="L356" s="104">
        <f>VLOOKUP(A356,[1]단품수량!$B$5:$P$27,13,FALSE)*K356</f>
        <v>41</v>
      </c>
      <c r="M356" s="104" t="s">
        <v>205</v>
      </c>
      <c r="N356" s="101" t="s">
        <v>199</v>
      </c>
      <c r="O356" s="106">
        <v>1250</v>
      </c>
      <c r="P356" s="106">
        <f>K356*O356*1186*1.08</f>
        <v>1601100</v>
      </c>
      <c r="Q356" s="104" t="s">
        <v>200</v>
      </c>
    </row>
    <row r="357" spans="1:17" ht="18" customHeight="1">
      <c r="A357" s="107">
        <v>10005986</v>
      </c>
      <c r="B357" s="104" t="str">
        <f>VLOOKUP(A357,[1]단품수량!$B$5:$E$27,4,FALSE)</f>
        <v>CRA</v>
      </c>
      <c r="C357" s="104">
        <v>353</v>
      </c>
      <c r="D357" s="104" t="s">
        <v>93</v>
      </c>
      <c r="E357" s="104">
        <v>30120956</v>
      </c>
      <c r="F357" s="104" t="s">
        <v>518</v>
      </c>
      <c r="G357" s="104"/>
      <c r="H357" s="104" t="s">
        <v>519</v>
      </c>
      <c r="I357" s="104" t="s">
        <v>520</v>
      </c>
      <c r="J357" s="104">
        <v>1</v>
      </c>
      <c r="K357" s="104">
        <v>1</v>
      </c>
      <c r="L357" s="104">
        <f>VLOOKUP(A357,[1]단품수량!$B$5:$P$27,13,FALSE)*K357</f>
        <v>41</v>
      </c>
      <c r="M357" s="104" t="s">
        <v>90</v>
      </c>
      <c r="N357" s="101" t="s">
        <v>91</v>
      </c>
      <c r="O357" s="105">
        <v>320000</v>
      </c>
      <c r="P357" s="105">
        <f t="shared" ref="P357:P362" si="10">K357*O357</f>
        <v>320000</v>
      </c>
      <c r="Q357" s="104" t="s">
        <v>291</v>
      </c>
    </row>
    <row r="358" spans="1:17" ht="18" customHeight="1">
      <c r="A358" s="107">
        <v>10005986</v>
      </c>
      <c r="B358" s="104" t="str">
        <f>VLOOKUP(A358,[1]단품수량!$B$5:$E$27,4,FALSE)</f>
        <v>CRA</v>
      </c>
      <c r="C358" s="104">
        <v>354</v>
      </c>
      <c r="D358" s="104" t="s">
        <v>149</v>
      </c>
      <c r="E358" s="104">
        <v>30125255</v>
      </c>
      <c r="F358" s="104"/>
      <c r="G358" s="104"/>
      <c r="H358" s="104" t="s">
        <v>521</v>
      </c>
      <c r="I358" s="104" t="s">
        <v>522</v>
      </c>
      <c r="J358" s="104">
        <v>10</v>
      </c>
      <c r="K358" s="104">
        <v>10</v>
      </c>
      <c r="L358" s="104">
        <f>VLOOKUP(A358,[1]단품수량!$B$5:$P$27,13,FALSE)*K358</f>
        <v>410</v>
      </c>
      <c r="M358" s="104" t="s">
        <v>107</v>
      </c>
      <c r="N358" s="101" t="s">
        <v>91</v>
      </c>
      <c r="O358" s="105">
        <v>1200</v>
      </c>
      <c r="P358" s="105">
        <f t="shared" si="10"/>
        <v>12000</v>
      </c>
      <c r="Q358" s="104" t="s">
        <v>100</v>
      </c>
    </row>
    <row r="359" spans="1:17" ht="18" customHeight="1">
      <c r="A359" s="107">
        <v>10005986</v>
      </c>
      <c r="B359" s="104" t="str">
        <f>VLOOKUP(A359,[1]단품수량!$B$5:$E$27,4,FALSE)</f>
        <v>CRA</v>
      </c>
      <c r="C359" s="104">
        <v>355</v>
      </c>
      <c r="D359" s="104" t="s">
        <v>96</v>
      </c>
      <c r="E359" s="104">
        <v>30120670</v>
      </c>
      <c r="F359" s="104" t="s">
        <v>523</v>
      </c>
      <c r="G359" s="104"/>
      <c r="H359" s="104" t="s">
        <v>524</v>
      </c>
      <c r="I359" s="104" t="s">
        <v>525</v>
      </c>
      <c r="J359" s="104">
        <v>1</v>
      </c>
      <c r="K359" s="104">
        <v>1</v>
      </c>
      <c r="L359" s="104">
        <f>VLOOKUP(A359,[1]단품수량!$B$5:$P$27,13,FALSE)*K359</f>
        <v>41</v>
      </c>
      <c r="M359" s="104" t="s">
        <v>205</v>
      </c>
      <c r="N359" s="101" t="s">
        <v>91</v>
      </c>
      <c r="O359" s="105">
        <v>897300</v>
      </c>
      <c r="P359" s="105">
        <f t="shared" si="10"/>
        <v>897300</v>
      </c>
      <c r="Q359" s="104" t="s">
        <v>136</v>
      </c>
    </row>
    <row r="360" spans="1:17" ht="18" customHeight="1">
      <c r="A360" s="107">
        <v>10005986</v>
      </c>
      <c r="B360" s="104" t="str">
        <f>VLOOKUP(A360,[1]단품수량!$B$5:$E$27,4,FALSE)</f>
        <v>CRA</v>
      </c>
      <c r="C360" s="104">
        <v>356</v>
      </c>
      <c r="D360" s="104" t="s">
        <v>149</v>
      </c>
      <c r="E360" s="104">
        <v>20061603</v>
      </c>
      <c r="F360" s="104" t="s">
        <v>526</v>
      </c>
      <c r="G360" s="104"/>
      <c r="H360" s="104" t="s">
        <v>527</v>
      </c>
      <c r="I360" s="104" t="s">
        <v>528</v>
      </c>
      <c r="J360" s="104">
        <v>1</v>
      </c>
      <c r="K360" s="104">
        <v>1</v>
      </c>
      <c r="L360" s="104">
        <f>VLOOKUP(A360,[1]단품수량!$B$5:$P$27,13,FALSE)*K360</f>
        <v>41</v>
      </c>
      <c r="M360" s="104" t="s">
        <v>90</v>
      </c>
      <c r="N360" s="101" t="s">
        <v>91</v>
      </c>
      <c r="O360" s="105">
        <v>0</v>
      </c>
      <c r="P360" s="105">
        <f t="shared" si="10"/>
        <v>0</v>
      </c>
      <c r="Q360" s="104" t="s">
        <v>136</v>
      </c>
    </row>
    <row r="361" spans="1:17" ht="18" customHeight="1">
      <c r="A361" s="107">
        <v>10005986</v>
      </c>
      <c r="B361" s="104" t="str">
        <f>VLOOKUP(A361,[1]단품수량!$B$5:$E$27,4,FALSE)</f>
        <v>CRA</v>
      </c>
      <c r="C361" s="104">
        <v>357</v>
      </c>
      <c r="D361" s="104" t="s">
        <v>529</v>
      </c>
      <c r="E361" s="104">
        <v>30120759</v>
      </c>
      <c r="F361" s="104"/>
      <c r="G361" s="104"/>
      <c r="H361" s="104" t="s">
        <v>530</v>
      </c>
      <c r="I361" s="104" t="s">
        <v>531</v>
      </c>
      <c r="J361" s="104">
        <v>1</v>
      </c>
      <c r="K361" s="104">
        <v>1</v>
      </c>
      <c r="L361" s="104">
        <f>VLOOKUP(A361,[1]단품수량!$B$5:$P$27,13,FALSE)*K361</f>
        <v>41</v>
      </c>
      <c r="M361" s="104" t="s">
        <v>99</v>
      </c>
      <c r="N361" s="101" t="s">
        <v>91</v>
      </c>
      <c r="O361" s="105">
        <v>0</v>
      </c>
      <c r="P361" s="105">
        <f t="shared" si="10"/>
        <v>0</v>
      </c>
      <c r="Q361" s="104" t="s">
        <v>136</v>
      </c>
    </row>
    <row r="362" spans="1:17" ht="18" customHeight="1">
      <c r="A362" s="107">
        <v>10005986</v>
      </c>
      <c r="B362" s="104" t="str">
        <f>VLOOKUP(A362,[1]단품수량!$B$5:$E$27,4,FALSE)</f>
        <v>CRA</v>
      </c>
      <c r="C362" s="104">
        <v>358</v>
      </c>
      <c r="D362" s="104" t="s">
        <v>532</v>
      </c>
      <c r="E362" s="104">
        <v>30120760</v>
      </c>
      <c r="F362" s="104"/>
      <c r="G362" s="104"/>
      <c r="H362" s="104" t="s">
        <v>533</v>
      </c>
      <c r="I362" s="104" t="s">
        <v>534</v>
      </c>
      <c r="J362" s="104">
        <v>2</v>
      </c>
      <c r="K362" s="104">
        <v>2</v>
      </c>
      <c r="L362" s="104">
        <f>VLOOKUP(A362,[1]단품수량!$B$5:$P$27,13,FALSE)*K362</f>
        <v>82</v>
      </c>
      <c r="M362" s="104" t="s">
        <v>99</v>
      </c>
      <c r="N362" s="101" t="s">
        <v>91</v>
      </c>
      <c r="O362" s="105">
        <v>0</v>
      </c>
      <c r="P362" s="105">
        <f t="shared" si="10"/>
        <v>0</v>
      </c>
      <c r="Q362" s="104" t="s">
        <v>336</v>
      </c>
    </row>
    <row r="363" spans="1:17" ht="18" customHeight="1">
      <c r="A363" s="107">
        <v>10005986</v>
      </c>
      <c r="B363" s="104" t="str">
        <f>VLOOKUP(A363,[1]단품수량!$B$5:$E$27,4,FALSE)</f>
        <v>CRA</v>
      </c>
      <c r="C363" s="104">
        <v>359</v>
      </c>
      <c r="D363" s="104" t="s">
        <v>152</v>
      </c>
      <c r="E363" s="104">
        <v>30120971</v>
      </c>
      <c r="F363" s="104"/>
      <c r="G363" s="104"/>
      <c r="H363" s="104" t="s">
        <v>535</v>
      </c>
      <c r="I363" s="104" t="s">
        <v>89</v>
      </c>
      <c r="J363" s="104">
        <v>1</v>
      </c>
      <c r="K363" s="104">
        <v>1</v>
      </c>
      <c r="L363" s="104">
        <f>VLOOKUP(A363,[1]단품수량!$B$5:$P$27,13,FALSE)*K363</f>
        <v>41</v>
      </c>
      <c r="M363" s="104" t="s">
        <v>205</v>
      </c>
      <c r="N363" s="101" t="s">
        <v>197</v>
      </c>
      <c r="O363" s="105">
        <v>897300</v>
      </c>
      <c r="P363" s="105">
        <f>K363*O363</f>
        <v>897300</v>
      </c>
      <c r="Q363" s="104" t="s">
        <v>198</v>
      </c>
    </row>
    <row r="364" spans="1:17" ht="18" customHeight="1">
      <c r="A364" s="107">
        <v>10005986</v>
      </c>
      <c r="B364" s="104" t="str">
        <f>VLOOKUP(A364,[1]단품수량!$B$5:$E$27,4,FALSE)</f>
        <v>CRA</v>
      </c>
      <c r="C364" s="104">
        <v>360</v>
      </c>
      <c r="D364" s="104" t="s">
        <v>208</v>
      </c>
      <c r="E364" s="104">
        <v>20061619</v>
      </c>
      <c r="F364" s="104" t="s">
        <v>536</v>
      </c>
      <c r="G364" s="104"/>
      <c r="H364" s="104" t="s">
        <v>537</v>
      </c>
      <c r="I364" s="104" t="s">
        <v>89</v>
      </c>
      <c r="J364" s="104">
        <v>1</v>
      </c>
      <c r="K364" s="104">
        <v>1</v>
      </c>
      <c r="L364" s="104">
        <f>VLOOKUP(A364,[1]단품수량!$B$5:$P$27,13,FALSE)*K364</f>
        <v>41</v>
      </c>
      <c r="M364" s="104" t="s">
        <v>205</v>
      </c>
      <c r="N364" s="101" t="s">
        <v>91</v>
      </c>
      <c r="O364" s="105">
        <v>0</v>
      </c>
      <c r="P364" s="105">
        <f t="shared" ref="P364:P427" si="11">K364*O364</f>
        <v>0</v>
      </c>
      <c r="Q364" s="104" t="s">
        <v>336</v>
      </c>
    </row>
    <row r="365" spans="1:17" ht="18" customHeight="1">
      <c r="A365" s="107">
        <v>10005986</v>
      </c>
      <c r="B365" s="104" t="str">
        <f>VLOOKUP(A365,[1]단품수량!$B$5:$E$27,4,FALSE)</f>
        <v>CRA</v>
      </c>
      <c r="C365" s="104">
        <v>361</v>
      </c>
      <c r="D365" s="104" t="s">
        <v>101</v>
      </c>
      <c r="E365" s="104">
        <v>30120671</v>
      </c>
      <c r="F365" s="104" t="s">
        <v>538</v>
      </c>
      <c r="G365" s="104"/>
      <c r="H365" s="104" t="s">
        <v>539</v>
      </c>
      <c r="I365" s="104" t="s">
        <v>89</v>
      </c>
      <c r="J365" s="104">
        <v>1</v>
      </c>
      <c r="K365" s="104">
        <v>1</v>
      </c>
      <c r="L365" s="104">
        <f>VLOOKUP(A365,[1]단품수량!$B$5:$P$27,13,FALSE)*K365</f>
        <v>41</v>
      </c>
      <c r="M365" s="104" t="s">
        <v>205</v>
      </c>
      <c r="N365" s="101" t="s">
        <v>91</v>
      </c>
      <c r="O365" s="105">
        <v>0</v>
      </c>
      <c r="P365" s="105">
        <f t="shared" si="11"/>
        <v>0</v>
      </c>
      <c r="Q365" s="104" t="s">
        <v>336</v>
      </c>
    </row>
    <row r="366" spans="1:17" ht="18" customHeight="1">
      <c r="A366" s="107">
        <v>10005986</v>
      </c>
      <c r="B366" s="104" t="str">
        <f>VLOOKUP(A366,[1]단품수량!$B$5:$E$27,4,FALSE)</f>
        <v>CRA</v>
      </c>
      <c r="C366" s="104">
        <v>362</v>
      </c>
      <c r="D366" s="104" t="s">
        <v>149</v>
      </c>
      <c r="E366" s="104">
        <v>20061604</v>
      </c>
      <c r="F366" s="104" t="s">
        <v>540</v>
      </c>
      <c r="G366" s="104"/>
      <c r="H366" s="104" t="s">
        <v>541</v>
      </c>
      <c r="I366" s="104" t="s">
        <v>528</v>
      </c>
      <c r="J366" s="104">
        <v>1</v>
      </c>
      <c r="K366" s="104">
        <v>1</v>
      </c>
      <c r="L366" s="104">
        <f>VLOOKUP(A366,[1]단품수량!$B$5:$P$27,13,FALSE)*K366</f>
        <v>41</v>
      </c>
      <c r="M366" s="104" t="s">
        <v>90</v>
      </c>
      <c r="N366" s="101" t="s">
        <v>91</v>
      </c>
      <c r="O366" s="105">
        <v>0</v>
      </c>
      <c r="P366" s="105">
        <f t="shared" si="11"/>
        <v>0</v>
      </c>
      <c r="Q366" s="104" t="s">
        <v>136</v>
      </c>
    </row>
    <row r="367" spans="1:17" ht="18" customHeight="1">
      <c r="A367" s="107">
        <v>10005986</v>
      </c>
      <c r="B367" s="104" t="str">
        <f>VLOOKUP(A367,[1]단품수량!$B$5:$E$27,4,FALSE)</f>
        <v>CRA</v>
      </c>
      <c r="C367" s="104">
        <v>363</v>
      </c>
      <c r="D367" s="104" t="s">
        <v>529</v>
      </c>
      <c r="E367" s="104">
        <v>30120759</v>
      </c>
      <c r="F367" s="104"/>
      <c r="G367" s="104"/>
      <c r="H367" s="104" t="s">
        <v>530</v>
      </c>
      <c r="I367" s="104" t="s">
        <v>531</v>
      </c>
      <c r="J367" s="104">
        <v>1</v>
      </c>
      <c r="K367" s="104">
        <v>1</v>
      </c>
      <c r="L367" s="104">
        <f>VLOOKUP(A367,[1]단품수량!$B$5:$P$27,13,FALSE)*K367</f>
        <v>41</v>
      </c>
      <c r="M367" s="104" t="s">
        <v>99</v>
      </c>
      <c r="N367" s="101" t="s">
        <v>91</v>
      </c>
      <c r="O367" s="105">
        <v>0</v>
      </c>
      <c r="P367" s="105">
        <f t="shared" si="11"/>
        <v>0</v>
      </c>
      <c r="Q367" s="104" t="s">
        <v>136</v>
      </c>
    </row>
    <row r="368" spans="1:17" ht="18" customHeight="1">
      <c r="A368" s="107">
        <v>10005986</v>
      </c>
      <c r="B368" s="104" t="str">
        <f>VLOOKUP(A368,[1]단품수량!$B$5:$E$27,4,FALSE)</f>
        <v>CRA</v>
      </c>
      <c r="C368" s="104">
        <v>364</v>
      </c>
      <c r="D368" s="104" t="s">
        <v>532</v>
      </c>
      <c r="E368" s="104">
        <v>30120760</v>
      </c>
      <c r="F368" s="104"/>
      <c r="G368" s="104"/>
      <c r="H368" s="104" t="s">
        <v>533</v>
      </c>
      <c r="I368" s="104" t="s">
        <v>534</v>
      </c>
      <c r="J368" s="104">
        <v>1</v>
      </c>
      <c r="K368" s="104">
        <v>1</v>
      </c>
      <c r="L368" s="104">
        <f>VLOOKUP(A368,[1]단품수량!$B$5:$P$27,13,FALSE)*K368</f>
        <v>41</v>
      </c>
      <c r="M368" s="104" t="s">
        <v>99</v>
      </c>
      <c r="N368" s="101" t="s">
        <v>91</v>
      </c>
      <c r="O368" s="105">
        <v>0</v>
      </c>
      <c r="P368" s="105">
        <f t="shared" si="11"/>
        <v>0</v>
      </c>
      <c r="Q368" s="104" t="s">
        <v>336</v>
      </c>
    </row>
    <row r="369" spans="1:17" ht="18" customHeight="1">
      <c r="A369" s="107">
        <v>10005986</v>
      </c>
      <c r="B369" s="104" t="str">
        <f>VLOOKUP(A369,[1]단품수량!$B$5:$E$27,4,FALSE)</f>
        <v>CRA</v>
      </c>
      <c r="C369" s="104">
        <v>365</v>
      </c>
      <c r="D369" s="104" t="s">
        <v>152</v>
      </c>
      <c r="E369" s="104">
        <v>30120972</v>
      </c>
      <c r="F369" s="104"/>
      <c r="G369" s="104"/>
      <c r="H369" s="104" t="s">
        <v>542</v>
      </c>
      <c r="I369" s="104" t="s">
        <v>525</v>
      </c>
      <c r="J369" s="104">
        <v>1</v>
      </c>
      <c r="K369" s="104">
        <v>1</v>
      </c>
      <c r="L369" s="104">
        <f>VLOOKUP(A369,[1]단품수량!$B$5:$P$27,13,FALSE)*K369</f>
        <v>41</v>
      </c>
      <c r="M369" s="104" t="s">
        <v>205</v>
      </c>
      <c r="N369" s="101" t="s">
        <v>91</v>
      </c>
      <c r="O369" s="105">
        <v>167000</v>
      </c>
      <c r="P369" s="105">
        <f t="shared" si="11"/>
        <v>167000</v>
      </c>
      <c r="Q369" s="104" t="s">
        <v>543</v>
      </c>
    </row>
    <row r="370" spans="1:17" ht="18" customHeight="1">
      <c r="A370" s="107">
        <v>10005986</v>
      </c>
      <c r="B370" s="104" t="str">
        <f>VLOOKUP(A370,[1]단품수량!$B$5:$E$27,4,FALSE)</f>
        <v>CRA</v>
      </c>
      <c r="C370" s="104">
        <v>366</v>
      </c>
      <c r="D370" s="104" t="s">
        <v>208</v>
      </c>
      <c r="E370" s="104">
        <v>20061620</v>
      </c>
      <c r="F370" s="104" t="s">
        <v>544</v>
      </c>
      <c r="G370" s="104"/>
      <c r="H370" s="104" t="s">
        <v>545</v>
      </c>
      <c r="I370" s="104" t="s">
        <v>89</v>
      </c>
      <c r="J370" s="104">
        <v>1</v>
      </c>
      <c r="K370" s="104">
        <v>1</v>
      </c>
      <c r="L370" s="104">
        <f>VLOOKUP(A370,[1]단품수량!$B$5:$P$27,13,FALSE)*K370</f>
        <v>41</v>
      </c>
      <c r="M370" s="104" t="s">
        <v>205</v>
      </c>
      <c r="N370" s="101" t="s">
        <v>91</v>
      </c>
      <c r="O370" s="105">
        <v>0</v>
      </c>
      <c r="P370" s="105">
        <f t="shared" si="11"/>
        <v>0</v>
      </c>
      <c r="Q370" s="104" t="s">
        <v>336</v>
      </c>
    </row>
    <row r="371" spans="1:17" ht="18" customHeight="1">
      <c r="A371" s="107">
        <v>10005986</v>
      </c>
      <c r="B371" s="104" t="str">
        <f>VLOOKUP(A371,[1]단품수량!$B$5:$E$27,4,FALSE)</f>
        <v>CRA</v>
      </c>
      <c r="C371" s="104">
        <v>367</v>
      </c>
      <c r="D371" s="104" t="s">
        <v>210</v>
      </c>
      <c r="E371" s="104">
        <v>30118552</v>
      </c>
      <c r="F371" s="104"/>
      <c r="G371" s="104"/>
      <c r="H371" s="104" t="s">
        <v>401</v>
      </c>
      <c r="I371" s="104" t="s">
        <v>403</v>
      </c>
      <c r="J371" s="104">
        <v>1</v>
      </c>
      <c r="K371" s="104">
        <v>1</v>
      </c>
      <c r="L371" s="104">
        <f>VLOOKUP(A371,[1]단품수량!$B$5:$P$27,13,FALSE)*K371</f>
        <v>41</v>
      </c>
      <c r="M371" s="104" t="s">
        <v>107</v>
      </c>
      <c r="N371" s="101" t="s">
        <v>91</v>
      </c>
      <c r="O371" s="105">
        <v>20900</v>
      </c>
      <c r="P371" s="105">
        <f t="shared" si="11"/>
        <v>20900</v>
      </c>
      <c r="Q371" s="104" t="s">
        <v>108</v>
      </c>
    </row>
    <row r="372" spans="1:17" ht="18" customHeight="1">
      <c r="A372" s="107">
        <v>10005986</v>
      </c>
      <c r="B372" s="104" t="str">
        <f>VLOOKUP(A372,[1]단품수량!$B$5:$E$27,4,FALSE)</f>
        <v>CRA</v>
      </c>
      <c r="C372" s="104">
        <v>368</v>
      </c>
      <c r="D372" s="104" t="s">
        <v>213</v>
      </c>
      <c r="E372" s="104">
        <v>30118572</v>
      </c>
      <c r="F372" s="104"/>
      <c r="G372" s="104"/>
      <c r="H372" s="104" t="s">
        <v>116</v>
      </c>
      <c r="I372" s="104" t="s">
        <v>117</v>
      </c>
      <c r="J372" s="104">
        <v>4</v>
      </c>
      <c r="K372" s="104">
        <v>4</v>
      </c>
      <c r="L372" s="104">
        <f>VLOOKUP(A372,[1]단품수량!$B$5:$P$27,13,FALSE)*K372</f>
        <v>164</v>
      </c>
      <c r="M372" s="104" t="s">
        <v>107</v>
      </c>
      <c r="N372" s="101" t="s">
        <v>91</v>
      </c>
      <c r="O372" s="105">
        <v>400</v>
      </c>
      <c r="P372" s="105">
        <f t="shared" si="11"/>
        <v>1600</v>
      </c>
      <c r="Q372" s="104" t="s">
        <v>108</v>
      </c>
    </row>
    <row r="373" spans="1:17" ht="18" customHeight="1">
      <c r="A373" s="107">
        <v>10005986</v>
      </c>
      <c r="B373" s="104" t="str">
        <f>VLOOKUP(A373,[1]단품수량!$B$5:$E$27,4,FALSE)</f>
        <v>CRA</v>
      </c>
      <c r="C373" s="104">
        <v>369</v>
      </c>
      <c r="D373" s="104" t="s">
        <v>215</v>
      </c>
      <c r="E373" s="104">
        <v>30118571</v>
      </c>
      <c r="F373" s="104"/>
      <c r="G373" s="104"/>
      <c r="H373" s="104" t="s">
        <v>546</v>
      </c>
      <c r="I373" s="104" t="s">
        <v>547</v>
      </c>
      <c r="J373" s="104">
        <v>3</v>
      </c>
      <c r="K373" s="104">
        <v>3</v>
      </c>
      <c r="L373" s="104">
        <f>VLOOKUP(A373,[1]단품수량!$B$5:$P$27,13,FALSE)*K373</f>
        <v>123</v>
      </c>
      <c r="M373" s="104" t="s">
        <v>107</v>
      </c>
      <c r="N373" s="101" t="s">
        <v>91</v>
      </c>
      <c r="O373" s="105">
        <v>1000</v>
      </c>
      <c r="P373" s="105">
        <f t="shared" si="11"/>
        <v>3000</v>
      </c>
      <c r="Q373" s="104" t="s">
        <v>108</v>
      </c>
    </row>
    <row r="374" spans="1:17" ht="18" customHeight="1">
      <c r="A374" s="107">
        <v>10005986</v>
      </c>
      <c r="B374" s="104" t="str">
        <f>VLOOKUP(A374,[1]단품수량!$B$5:$E$27,4,FALSE)</f>
        <v>CRA</v>
      </c>
      <c r="C374" s="104">
        <v>370</v>
      </c>
      <c r="D374" s="104" t="s">
        <v>218</v>
      </c>
      <c r="E374" s="104">
        <v>30118558</v>
      </c>
      <c r="F374" s="104"/>
      <c r="G374" s="104"/>
      <c r="H374" s="104" t="s">
        <v>105</v>
      </c>
      <c r="I374" s="104" t="s">
        <v>404</v>
      </c>
      <c r="J374" s="104">
        <v>1</v>
      </c>
      <c r="K374" s="104">
        <v>1</v>
      </c>
      <c r="L374" s="104">
        <f>VLOOKUP(A374,[1]단품수량!$B$5:$P$27,13,FALSE)*K374</f>
        <v>41</v>
      </c>
      <c r="M374" s="104" t="s">
        <v>107</v>
      </c>
      <c r="N374" s="101" t="s">
        <v>91</v>
      </c>
      <c r="O374" s="105">
        <v>40300</v>
      </c>
      <c r="P374" s="105">
        <f t="shared" si="11"/>
        <v>40300</v>
      </c>
      <c r="Q374" s="104" t="s">
        <v>108</v>
      </c>
    </row>
    <row r="375" spans="1:17" ht="18" customHeight="1">
      <c r="A375" s="107">
        <v>10005986</v>
      </c>
      <c r="B375" s="104" t="str">
        <f>VLOOKUP(A375,[1]단품수량!$B$5:$E$27,4,FALSE)</f>
        <v>CRA</v>
      </c>
      <c r="C375" s="104">
        <v>371</v>
      </c>
      <c r="D375" s="104" t="s">
        <v>221</v>
      </c>
      <c r="E375" s="104">
        <v>30118570</v>
      </c>
      <c r="F375" s="104"/>
      <c r="G375" s="104"/>
      <c r="H375" s="104" t="s">
        <v>110</v>
      </c>
      <c r="I375" s="104" t="s">
        <v>111</v>
      </c>
      <c r="J375" s="104">
        <v>7</v>
      </c>
      <c r="K375" s="104">
        <v>7</v>
      </c>
      <c r="L375" s="104">
        <f>VLOOKUP(A375,[1]단품수량!$B$5:$P$27,13,FALSE)*K375</f>
        <v>287</v>
      </c>
      <c r="M375" s="104" t="s">
        <v>107</v>
      </c>
      <c r="N375" s="101" t="s">
        <v>91</v>
      </c>
      <c r="O375" s="105">
        <v>900</v>
      </c>
      <c r="P375" s="105">
        <f t="shared" si="11"/>
        <v>6300</v>
      </c>
      <c r="Q375" s="104" t="s">
        <v>108</v>
      </c>
    </row>
    <row r="376" spans="1:17" ht="18" customHeight="1">
      <c r="A376" s="107">
        <v>10005986</v>
      </c>
      <c r="B376" s="104" t="str">
        <f>VLOOKUP(A376,[1]단품수량!$B$5:$E$27,4,FALSE)</f>
        <v>CRA</v>
      </c>
      <c r="C376" s="104">
        <v>372</v>
      </c>
      <c r="D376" s="104" t="s">
        <v>351</v>
      </c>
      <c r="E376" s="104">
        <v>30118554</v>
      </c>
      <c r="F376" s="104"/>
      <c r="G376" s="104"/>
      <c r="H376" s="104" t="s">
        <v>293</v>
      </c>
      <c r="I376" s="104" t="s">
        <v>438</v>
      </c>
      <c r="J376" s="104">
        <v>1</v>
      </c>
      <c r="K376" s="104">
        <v>1</v>
      </c>
      <c r="L376" s="104">
        <f>VLOOKUP(A376,[1]단품수량!$B$5:$P$27,13,FALSE)*K376</f>
        <v>41</v>
      </c>
      <c r="M376" s="104" t="s">
        <v>107</v>
      </c>
      <c r="N376" s="101" t="s">
        <v>91</v>
      </c>
      <c r="O376" s="105">
        <v>23900</v>
      </c>
      <c r="P376" s="105">
        <f t="shared" si="11"/>
        <v>23900</v>
      </c>
      <c r="Q376" s="104" t="s">
        <v>108</v>
      </c>
    </row>
    <row r="377" spans="1:17" ht="18" customHeight="1">
      <c r="A377" s="107">
        <v>10005986</v>
      </c>
      <c r="B377" s="104" t="str">
        <f>VLOOKUP(A377,[1]단품수량!$B$5:$E$27,4,FALSE)</f>
        <v>CRA</v>
      </c>
      <c r="C377" s="104">
        <v>373</v>
      </c>
      <c r="D377" s="104" t="s">
        <v>353</v>
      </c>
      <c r="E377" s="104">
        <v>30118581</v>
      </c>
      <c r="F377" s="104"/>
      <c r="G377" s="104"/>
      <c r="H377" s="104" t="s">
        <v>182</v>
      </c>
      <c r="I377" s="104" t="s">
        <v>183</v>
      </c>
      <c r="J377" s="104">
        <v>17</v>
      </c>
      <c r="K377" s="104">
        <v>17</v>
      </c>
      <c r="L377" s="104">
        <f>VLOOKUP(A377,[1]단품수량!$B$5:$P$27,13,FALSE)*K377</f>
        <v>697</v>
      </c>
      <c r="M377" s="104" t="s">
        <v>107</v>
      </c>
      <c r="N377" s="101" t="s">
        <v>91</v>
      </c>
      <c r="O377" s="105">
        <v>900</v>
      </c>
      <c r="P377" s="105">
        <f t="shared" si="11"/>
        <v>15300</v>
      </c>
      <c r="Q377" s="104" t="s">
        <v>108</v>
      </c>
    </row>
    <row r="378" spans="1:17" ht="18" customHeight="1">
      <c r="A378" s="107">
        <v>10005986</v>
      </c>
      <c r="B378" s="104" t="str">
        <f>VLOOKUP(A378,[1]단품수량!$B$5:$E$27,4,FALSE)</f>
        <v>CRA</v>
      </c>
      <c r="C378" s="104">
        <v>374</v>
      </c>
      <c r="D378" s="104" t="s">
        <v>355</v>
      </c>
      <c r="E378" s="104">
        <v>30118561</v>
      </c>
      <c r="F378" s="104"/>
      <c r="G378" s="104"/>
      <c r="H378" s="104" t="s">
        <v>295</v>
      </c>
      <c r="I378" s="104" t="s">
        <v>296</v>
      </c>
      <c r="J378" s="104">
        <v>1</v>
      </c>
      <c r="K378" s="104">
        <v>1</v>
      </c>
      <c r="L378" s="104">
        <f>VLOOKUP(A378,[1]단품수량!$B$5:$P$27,13,FALSE)*K378</f>
        <v>41</v>
      </c>
      <c r="M378" s="104" t="s">
        <v>107</v>
      </c>
      <c r="N378" s="101" t="s">
        <v>91</v>
      </c>
      <c r="O378" s="105">
        <v>47800</v>
      </c>
      <c r="P378" s="105">
        <f t="shared" si="11"/>
        <v>47800</v>
      </c>
      <c r="Q378" s="104" t="s">
        <v>108</v>
      </c>
    </row>
    <row r="379" spans="1:17" ht="18" customHeight="1">
      <c r="A379" s="107">
        <v>10005986</v>
      </c>
      <c r="B379" s="104" t="str">
        <f>VLOOKUP(A379,[1]단품수량!$B$5:$E$27,4,FALSE)</f>
        <v>CRA</v>
      </c>
      <c r="C379" s="104">
        <v>375</v>
      </c>
      <c r="D379" s="104" t="s">
        <v>357</v>
      </c>
      <c r="E379" s="104">
        <v>30118573</v>
      </c>
      <c r="F379" s="104"/>
      <c r="G379" s="104"/>
      <c r="H379" s="104" t="s">
        <v>177</v>
      </c>
      <c r="I379" s="104" t="s">
        <v>178</v>
      </c>
      <c r="J379" s="104">
        <v>17</v>
      </c>
      <c r="K379" s="104">
        <v>17</v>
      </c>
      <c r="L379" s="104">
        <f>VLOOKUP(A379,[1]단품수량!$B$5:$P$27,13,FALSE)*K379</f>
        <v>697</v>
      </c>
      <c r="M379" s="104" t="s">
        <v>107</v>
      </c>
      <c r="N379" s="101" t="s">
        <v>91</v>
      </c>
      <c r="O379" s="105">
        <v>1000</v>
      </c>
      <c r="P379" s="105">
        <f t="shared" si="11"/>
        <v>17000</v>
      </c>
      <c r="Q379" s="104" t="s">
        <v>108</v>
      </c>
    </row>
    <row r="380" spans="1:17" ht="18" customHeight="1">
      <c r="A380" s="107">
        <v>10005986</v>
      </c>
      <c r="B380" s="104" t="str">
        <f>VLOOKUP(A380,[1]단품수량!$B$5:$E$27,4,FALSE)</f>
        <v>CRA</v>
      </c>
      <c r="C380" s="104">
        <v>376</v>
      </c>
      <c r="D380" s="104" t="s">
        <v>359</v>
      </c>
      <c r="E380" s="104">
        <v>30118569</v>
      </c>
      <c r="F380" s="104"/>
      <c r="G380" s="104"/>
      <c r="H380" s="104" t="s">
        <v>119</v>
      </c>
      <c r="I380" s="104" t="s">
        <v>120</v>
      </c>
      <c r="J380" s="104">
        <v>4</v>
      </c>
      <c r="K380" s="104">
        <v>4</v>
      </c>
      <c r="L380" s="104">
        <f>VLOOKUP(A380,[1]단품수량!$B$5:$P$27,13,FALSE)*K380</f>
        <v>164</v>
      </c>
      <c r="M380" s="104" t="s">
        <v>107</v>
      </c>
      <c r="N380" s="101" t="s">
        <v>91</v>
      </c>
      <c r="O380" s="105">
        <v>400</v>
      </c>
      <c r="P380" s="105">
        <f t="shared" si="11"/>
        <v>1600</v>
      </c>
      <c r="Q380" s="104" t="s">
        <v>108</v>
      </c>
    </row>
    <row r="381" spans="1:17" ht="18" customHeight="1">
      <c r="A381" s="107">
        <v>10005986</v>
      </c>
      <c r="B381" s="104" t="str">
        <f>VLOOKUP(A381,[1]단품수량!$B$5:$E$27,4,FALSE)</f>
        <v>CRA</v>
      </c>
      <c r="C381" s="104">
        <v>377</v>
      </c>
      <c r="D381" s="104" t="s">
        <v>361</v>
      </c>
      <c r="E381" s="104">
        <v>20061691</v>
      </c>
      <c r="F381" s="104" t="s">
        <v>548</v>
      </c>
      <c r="G381" s="104"/>
      <c r="H381" s="104" t="s">
        <v>203</v>
      </c>
      <c r="I381" s="104" t="s">
        <v>549</v>
      </c>
      <c r="J381" s="104">
        <v>1</v>
      </c>
      <c r="K381" s="104">
        <v>1</v>
      </c>
      <c r="L381" s="104">
        <f>VLOOKUP(A381,[1]단품수량!$B$5:$P$27,13,FALSE)*K381</f>
        <v>41</v>
      </c>
      <c r="M381" s="104" t="s">
        <v>205</v>
      </c>
      <c r="N381" s="101"/>
      <c r="O381" s="105">
        <v>0</v>
      </c>
      <c r="P381" s="105">
        <f t="shared" si="11"/>
        <v>0</v>
      </c>
      <c r="Q381" s="104"/>
    </row>
    <row r="382" spans="1:17" ht="18" customHeight="1">
      <c r="A382" s="107">
        <v>10005986</v>
      </c>
      <c r="B382" s="104" t="str">
        <f>VLOOKUP(A382,[1]단품수량!$B$5:$E$27,4,FALSE)</f>
        <v>CRA</v>
      </c>
      <c r="C382" s="104">
        <v>378</v>
      </c>
      <c r="D382" s="104" t="s">
        <v>529</v>
      </c>
      <c r="E382" s="104">
        <v>30075140</v>
      </c>
      <c r="F382" s="104"/>
      <c r="G382" s="104"/>
      <c r="H382" s="104" t="s">
        <v>143</v>
      </c>
      <c r="I382" s="104" t="s">
        <v>206</v>
      </c>
      <c r="J382" s="104">
        <v>1</v>
      </c>
      <c r="K382" s="104">
        <v>1</v>
      </c>
      <c r="L382" s="104">
        <f>VLOOKUP(A382,[1]단품수량!$B$5:$P$27,13,FALSE)*K382</f>
        <v>41</v>
      </c>
      <c r="M382" s="104" t="s">
        <v>107</v>
      </c>
      <c r="N382" s="101" t="s">
        <v>91</v>
      </c>
      <c r="O382" s="105">
        <v>380</v>
      </c>
      <c r="P382" s="105">
        <f t="shared" si="11"/>
        <v>380</v>
      </c>
      <c r="Q382" s="104" t="s">
        <v>108</v>
      </c>
    </row>
    <row r="383" spans="1:17" ht="18" customHeight="1">
      <c r="A383" s="107">
        <v>10005986</v>
      </c>
      <c r="B383" s="104" t="str">
        <f>VLOOKUP(A383,[1]단품수량!$B$5:$E$27,4,FALSE)</f>
        <v>CRA</v>
      </c>
      <c r="C383" s="104">
        <v>379</v>
      </c>
      <c r="D383" s="104" t="s">
        <v>532</v>
      </c>
      <c r="E383" s="104">
        <v>30054014</v>
      </c>
      <c r="F383" s="104"/>
      <c r="G383" s="104"/>
      <c r="H383" s="104" t="s">
        <v>143</v>
      </c>
      <c r="I383" s="104" t="s">
        <v>207</v>
      </c>
      <c r="J383" s="104">
        <v>2</v>
      </c>
      <c r="K383" s="104">
        <v>2</v>
      </c>
      <c r="L383" s="104">
        <f>VLOOKUP(A383,[1]단품수량!$B$5:$P$27,13,FALSE)*K383</f>
        <v>82</v>
      </c>
      <c r="M383" s="104" t="s">
        <v>99</v>
      </c>
      <c r="N383" s="101" t="s">
        <v>91</v>
      </c>
      <c r="O383" s="105">
        <v>330</v>
      </c>
      <c r="P383" s="105">
        <f t="shared" si="11"/>
        <v>660</v>
      </c>
      <c r="Q383" s="104" t="s">
        <v>108</v>
      </c>
    </row>
    <row r="384" spans="1:17" ht="18" customHeight="1">
      <c r="A384" s="107">
        <v>10005986</v>
      </c>
      <c r="B384" s="104" t="str">
        <f>VLOOKUP(A384,[1]단품수량!$B$5:$E$27,4,FALSE)</f>
        <v>CRA</v>
      </c>
      <c r="C384" s="104">
        <v>380</v>
      </c>
      <c r="D384" s="104" t="s">
        <v>550</v>
      </c>
      <c r="E384" s="104">
        <v>30118492</v>
      </c>
      <c r="F384" s="104"/>
      <c r="G384" s="104"/>
      <c r="H384" s="104" t="s">
        <v>137</v>
      </c>
      <c r="I384" s="104" t="s">
        <v>551</v>
      </c>
      <c r="J384" s="104">
        <v>1</v>
      </c>
      <c r="K384" s="104">
        <v>1</v>
      </c>
      <c r="L384" s="104">
        <f>VLOOKUP(A384,[1]단품수량!$B$5:$P$27,13,FALSE)*K384</f>
        <v>41</v>
      </c>
      <c r="M384" s="104" t="s">
        <v>99</v>
      </c>
      <c r="N384" s="101" t="s">
        <v>91</v>
      </c>
      <c r="O384" s="105">
        <v>120</v>
      </c>
      <c r="P384" s="105">
        <f t="shared" si="11"/>
        <v>120</v>
      </c>
      <c r="Q384" s="104" t="s">
        <v>100</v>
      </c>
    </row>
    <row r="385" spans="1:17" ht="18" customHeight="1">
      <c r="A385" s="107">
        <v>10005986</v>
      </c>
      <c r="B385" s="104" t="str">
        <f>VLOOKUP(A385,[1]단품수량!$B$5:$E$27,4,FALSE)</f>
        <v>CRA</v>
      </c>
      <c r="C385" s="104">
        <v>381</v>
      </c>
      <c r="D385" s="104" t="s">
        <v>552</v>
      </c>
      <c r="E385" s="104">
        <v>30118529</v>
      </c>
      <c r="F385" s="104"/>
      <c r="G385" s="104"/>
      <c r="H385" s="104" t="s">
        <v>219</v>
      </c>
      <c r="I385" s="104" t="s">
        <v>553</v>
      </c>
      <c r="J385" s="104">
        <v>1</v>
      </c>
      <c r="K385" s="104">
        <v>1</v>
      </c>
      <c r="L385" s="104">
        <f>VLOOKUP(A385,[1]단품수량!$B$5:$P$27,13,FALSE)*K385</f>
        <v>41</v>
      </c>
      <c r="M385" s="104" t="s">
        <v>99</v>
      </c>
      <c r="N385" s="101" t="s">
        <v>91</v>
      </c>
      <c r="O385" s="105">
        <v>110</v>
      </c>
      <c r="P385" s="105">
        <f t="shared" si="11"/>
        <v>110</v>
      </c>
      <c r="Q385" s="104" t="s">
        <v>100</v>
      </c>
    </row>
    <row r="386" spans="1:17" ht="18" customHeight="1">
      <c r="A386" s="107">
        <v>10005986</v>
      </c>
      <c r="B386" s="104" t="str">
        <f>VLOOKUP(A386,[1]단품수량!$B$5:$E$27,4,FALSE)</f>
        <v>CRA</v>
      </c>
      <c r="C386" s="104">
        <v>382</v>
      </c>
      <c r="D386" s="104" t="s">
        <v>554</v>
      </c>
      <c r="E386" s="104">
        <v>30118479</v>
      </c>
      <c r="F386" s="104"/>
      <c r="G386" s="104"/>
      <c r="H386" s="104" t="s">
        <v>498</v>
      </c>
      <c r="I386" s="104" t="s">
        <v>499</v>
      </c>
      <c r="J386" s="104">
        <v>19</v>
      </c>
      <c r="K386" s="104">
        <v>19</v>
      </c>
      <c r="L386" s="104">
        <f>VLOOKUP(A386,[1]단품수량!$B$5:$P$27,13,FALSE)*K386</f>
        <v>779</v>
      </c>
      <c r="M386" s="104" t="s">
        <v>99</v>
      </c>
      <c r="N386" s="101" t="s">
        <v>91</v>
      </c>
      <c r="O386" s="105">
        <v>12</v>
      </c>
      <c r="P386" s="105">
        <f t="shared" si="11"/>
        <v>228</v>
      </c>
      <c r="Q386" s="104" t="s">
        <v>100</v>
      </c>
    </row>
    <row r="387" spans="1:17" ht="18" customHeight="1">
      <c r="A387" s="107">
        <v>10005986</v>
      </c>
      <c r="B387" s="104" t="str">
        <f>VLOOKUP(A387,[1]단품수량!$B$5:$E$27,4,FALSE)</f>
        <v>CRA</v>
      </c>
      <c r="C387" s="104">
        <v>383</v>
      </c>
      <c r="D387" s="104" t="s">
        <v>555</v>
      </c>
      <c r="E387" s="104">
        <v>30115073</v>
      </c>
      <c r="F387" s="104"/>
      <c r="G387" s="104"/>
      <c r="H387" s="104" t="s">
        <v>137</v>
      </c>
      <c r="I387" s="104" t="s">
        <v>214</v>
      </c>
      <c r="J387" s="104">
        <v>1</v>
      </c>
      <c r="K387" s="104">
        <v>1</v>
      </c>
      <c r="L387" s="104">
        <f>VLOOKUP(A387,[1]단품수량!$B$5:$P$27,13,FALSE)*K387</f>
        <v>41</v>
      </c>
      <c r="M387" s="104" t="s">
        <v>99</v>
      </c>
      <c r="N387" s="101" t="s">
        <v>91</v>
      </c>
      <c r="O387" s="105">
        <v>96</v>
      </c>
      <c r="P387" s="105">
        <f t="shared" si="11"/>
        <v>96</v>
      </c>
      <c r="Q387" s="104" t="s">
        <v>100</v>
      </c>
    </row>
    <row r="388" spans="1:17" ht="18" customHeight="1">
      <c r="A388" s="107">
        <v>10005986</v>
      </c>
      <c r="B388" s="104" t="str">
        <f>VLOOKUP(A388,[1]단품수량!$B$5:$E$27,4,FALSE)</f>
        <v>CRA</v>
      </c>
      <c r="C388" s="104">
        <v>384</v>
      </c>
      <c r="D388" s="104" t="s">
        <v>556</v>
      </c>
      <c r="E388" s="104">
        <v>30081231</v>
      </c>
      <c r="F388" s="104"/>
      <c r="G388" s="104"/>
      <c r="H388" s="104" t="s">
        <v>216</v>
      </c>
      <c r="I388" s="104" t="s">
        <v>217</v>
      </c>
      <c r="J388" s="104">
        <v>4</v>
      </c>
      <c r="K388" s="104">
        <v>4</v>
      </c>
      <c r="L388" s="104">
        <f>VLOOKUP(A388,[1]단품수량!$B$5:$P$27,13,FALSE)*K388</f>
        <v>164</v>
      </c>
      <c r="M388" s="104" t="s">
        <v>107</v>
      </c>
      <c r="N388" s="101" t="s">
        <v>91</v>
      </c>
      <c r="O388" s="105">
        <v>18</v>
      </c>
      <c r="P388" s="105">
        <f t="shared" si="11"/>
        <v>72</v>
      </c>
      <c r="Q388" s="104" t="s">
        <v>100</v>
      </c>
    </row>
    <row r="389" spans="1:17" ht="18" customHeight="1">
      <c r="A389" s="107">
        <v>10005986</v>
      </c>
      <c r="B389" s="104" t="str">
        <f>VLOOKUP(A389,[1]단품수량!$B$5:$E$27,4,FALSE)</f>
        <v>CRA</v>
      </c>
      <c r="C389" s="104">
        <v>385</v>
      </c>
      <c r="D389" s="104" t="s">
        <v>104</v>
      </c>
      <c r="E389" s="104">
        <v>30120672</v>
      </c>
      <c r="F389" s="104" t="s">
        <v>557</v>
      </c>
      <c r="G389" s="104"/>
      <c r="H389" s="104" t="s">
        <v>558</v>
      </c>
      <c r="I389" s="104" t="s">
        <v>89</v>
      </c>
      <c r="J389" s="104">
        <v>1</v>
      </c>
      <c r="K389" s="104">
        <v>1</v>
      </c>
      <c r="L389" s="104">
        <f>VLOOKUP(A389,[1]단품수량!$B$5:$P$27,13,FALSE)*K389</f>
        <v>41</v>
      </c>
      <c r="M389" s="104" t="s">
        <v>205</v>
      </c>
      <c r="N389" s="101" t="s">
        <v>91</v>
      </c>
      <c r="O389" s="105">
        <v>0</v>
      </c>
      <c r="P389" s="105">
        <f t="shared" si="11"/>
        <v>0</v>
      </c>
      <c r="Q389" s="104" t="s">
        <v>336</v>
      </c>
    </row>
    <row r="390" spans="1:17" ht="18" customHeight="1">
      <c r="A390" s="107">
        <v>10005986</v>
      </c>
      <c r="B390" s="104" t="str">
        <f>VLOOKUP(A390,[1]단품수량!$B$5:$E$27,4,FALSE)</f>
        <v>CRA</v>
      </c>
      <c r="C390" s="104">
        <v>386</v>
      </c>
      <c r="D390" s="104" t="s">
        <v>149</v>
      </c>
      <c r="E390" s="104">
        <v>20061605</v>
      </c>
      <c r="F390" s="104" t="s">
        <v>559</v>
      </c>
      <c r="G390" s="104"/>
      <c r="H390" s="104" t="s">
        <v>560</v>
      </c>
      <c r="I390" s="104" t="s">
        <v>528</v>
      </c>
      <c r="J390" s="104">
        <v>1</v>
      </c>
      <c r="K390" s="104">
        <v>1</v>
      </c>
      <c r="L390" s="104">
        <f>VLOOKUP(A390,[1]단품수량!$B$5:$P$27,13,FALSE)*K390</f>
        <v>41</v>
      </c>
      <c r="M390" s="104" t="s">
        <v>90</v>
      </c>
      <c r="N390" s="101" t="s">
        <v>91</v>
      </c>
      <c r="O390" s="105">
        <v>0</v>
      </c>
      <c r="P390" s="105">
        <f t="shared" si="11"/>
        <v>0</v>
      </c>
      <c r="Q390" s="104" t="s">
        <v>136</v>
      </c>
    </row>
    <row r="391" spans="1:17" ht="18" customHeight="1">
      <c r="A391" s="107">
        <v>10005986</v>
      </c>
      <c r="B391" s="104" t="str">
        <f>VLOOKUP(A391,[1]단품수량!$B$5:$E$27,4,FALSE)</f>
        <v>CRA</v>
      </c>
      <c r="C391" s="104">
        <v>387</v>
      </c>
      <c r="D391" s="104" t="s">
        <v>529</v>
      </c>
      <c r="E391" s="104">
        <v>30120759</v>
      </c>
      <c r="F391" s="104"/>
      <c r="G391" s="104"/>
      <c r="H391" s="104" t="s">
        <v>530</v>
      </c>
      <c r="I391" s="104" t="s">
        <v>531</v>
      </c>
      <c r="J391" s="104">
        <v>1</v>
      </c>
      <c r="K391" s="104">
        <v>1</v>
      </c>
      <c r="L391" s="104">
        <f>VLOOKUP(A391,[1]단품수량!$B$5:$P$27,13,FALSE)*K391</f>
        <v>41</v>
      </c>
      <c r="M391" s="104" t="s">
        <v>99</v>
      </c>
      <c r="N391" s="101" t="s">
        <v>91</v>
      </c>
      <c r="O391" s="105">
        <v>0</v>
      </c>
      <c r="P391" s="105">
        <f t="shared" si="11"/>
        <v>0</v>
      </c>
      <c r="Q391" s="104" t="s">
        <v>136</v>
      </c>
    </row>
    <row r="392" spans="1:17" ht="18" customHeight="1">
      <c r="A392" s="107">
        <v>10005986</v>
      </c>
      <c r="B392" s="104" t="str">
        <f>VLOOKUP(A392,[1]단품수량!$B$5:$E$27,4,FALSE)</f>
        <v>CRA</v>
      </c>
      <c r="C392" s="104">
        <v>388</v>
      </c>
      <c r="D392" s="104" t="s">
        <v>532</v>
      </c>
      <c r="E392" s="104">
        <v>30120760</v>
      </c>
      <c r="F392" s="104"/>
      <c r="G392" s="104"/>
      <c r="H392" s="104" t="s">
        <v>533</v>
      </c>
      <c r="I392" s="104" t="s">
        <v>534</v>
      </c>
      <c r="J392" s="104">
        <v>1</v>
      </c>
      <c r="K392" s="104">
        <v>1</v>
      </c>
      <c r="L392" s="104">
        <f>VLOOKUP(A392,[1]단품수량!$B$5:$P$27,13,FALSE)*K392</f>
        <v>41</v>
      </c>
      <c r="M392" s="104" t="s">
        <v>99</v>
      </c>
      <c r="N392" s="101" t="s">
        <v>91</v>
      </c>
      <c r="O392" s="105">
        <v>0</v>
      </c>
      <c r="P392" s="105">
        <f t="shared" si="11"/>
        <v>0</v>
      </c>
      <c r="Q392" s="104" t="s">
        <v>336</v>
      </c>
    </row>
    <row r="393" spans="1:17" ht="18" customHeight="1">
      <c r="A393" s="107">
        <v>10005986</v>
      </c>
      <c r="B393" s="104" t="str">
        <f>VLOOKUP(A393,[1]단품수량!$B$5:$E$27,4,FALSE)</f>
        <v>CRA</v>
      </c>
      <c r="C393" s="104">
        <v>389</v>
      </c>
      <c r="D393" s="104" t="s">
        <v>152</v>
      </c>
      <c r="E393" s="104">
        <v>30120974</v>
      </c>
      <c r="F393" s="104"/>
      <c r="G393" s="104"/>
      <c r="H393" s="104" t="s">
        <v>561</v>
      </c>
      <c r="I393" s="104" t="s">
        <v>89</v>
      </c>
      <c r="J393" s="104">
        <v>1</v>
      </c>
      <c r="K393" s="104">
        <v>1</v>
      </c>
      <c r="L393" s="104">
        <f>VLOOKUP(A393,[1]단품수량!$B$5:$P$27,13,FALSE)*K393</f>
        <v>41</v>
      </c>
      <c r="M393" s="104" t="s">
        <v>205</v>
      </c>
      <c r="N393" s="101" t="s">
        <v>91</v>
      </c>
      <c r="O393" s="105">
        <v>0</v>
      </c>
      <c r="P393" s="105">
        <f t="shared" si="11"/>
        <v>0</v>
      </c>
      <c r="Q393" s="104" t="s">
        <v>336</v>
      </c>
    </row>
    <row r="394" spans="1:17" ht="18" customHeight="1">
      <c r="A394" s="107">
        <v>10005986</v>
      </c>
      <c r="B394" s="104" t="str">
        <f>VLOOKUP(A394,[1]단품수량!$B$5:$E$27,4,FALSE)</f>
        <v>CRA</v>
      </c>
      <c r="C394" s="104">
        <v>390</v>
      </c>
      <c r="D394" s="104" t="s">
        <v>208</v>
      </c>
      <c r="E394" s="104">
        <v>20061605</v>
      </c>
      <c r="F394" s="104" t="s">
        <v>559</v>
      </c>
      <c r="G394" s="104"/>
      <c r="H394" s="104" t="s">
        <v>560</v>
      </c>
      <c r="I394" s="104" t="s">
        <v>528</v>
      </c>
      <c r="J394" s="104">
        <v>1</v>
      </c>
      <c r="K394" s="104">
        <v>1</v>
      </c>
      <c r="L394" s="104">
        <f>VLOOKUP(A394,[1]단품수량!$B$5:$P$27,13,FALSE)*K394</f>
        <v>41</v>
      </c>
      <c r="M394" s="104" t="s">
        <v>90</v>
      </c>
      <c r="N394" s="101" t="s">
        <v>91</v>
      </c>
      <c r="O394" s="105">
        <v>0</v>
      </c>
      <c r="P394" s="105">
        <f t="shared" si="11"/>
        <v>0</v>
      </c>
      <c r="Q394" s="104" t="s">
        <v>136</v>
      </c>
    </row>
    <row r="395" spans="1:17" ht="18" customHeight="1">
      <c r="A395" s="107">
        <v>10005986</v>
      </c>
      <c r="B395" s="104" t="str">
        <f>VLOOKUP(A395,[1]단품수량!$B$5:$E$27,4,FALSE)</f>
        <v>CRA</v>
      </c>
      <c r="C395" s="104">
        <v>391</v>
      </c>
      <c r="D395" s="104" t="s">
        <v>210</v>
      </c>
      <c r="E395" s="104">
        <v>30118550</v>
      </c>
      <c r="F395" s="104"/>
      <c r="G395" s="104"/>
      <c r="H395" s="104" t="s">
        <v>401</v>
      </c>
      <c r="I395" s="104" t="s">
        <v>402</v>
      </c>
      <c r="J395" s="104">
        <v>1</v>
      </c>
      <c r="K395" s="104">
        <v>1</v>
      </c>
      <c r="L395" s="104">
        <f>VLOOKUP(A395,[1]단품수량!$B$5:$P$27,13,FALSE)*K395</f>
        <v>41</v>
      </c>
      <c r="M395" s="104" t="s">
        <v>107</v>
      </c>
      <c r="N395" s="101" t="s">
        <v>91</v>
      </c>
      <c r="O395" s="105">
        <v>19400</v>
      </c>
      <c r="P395" s="105">
        <f t="shared" si="11"/>
        <v>19400</v>
      </c>
      <c r="Q395" s="104" t="s">
        <v>108</v>
      </c>
    </row>
    <row r="396" spans="1:17" ht="18" customHeight="1">
      <c r="A396" s="107">
        <v>10005986</v>
      </c>
      <c r="B396" s="104" t="str">
        <f>VLOOKUP(A396,[1]단품수량!$B$5:$E$27,4,FALSE)</f>
        <v>CRA</v>
      </c>
      <c r="C396" s="104">
        <v>392</v>
      </c>
      <c r="D396" s="104" t="s">
        <v>213</v>
      </c>
      <c r="E396" s="104">
        <v>30118572</v>
      </c>
      <c r="F396" s="104"/>
      <c r="G396" s="104"/>
      <c r="H396" s="104" t="s">
        <v>116</v>
      </c>
      <c r="I396" s="104" t="s">
        <v>117</v>
      </c>
      <c r="J396" s="104">
        <v>7</v>
      </c>
      <c r="K396" s="104">
        <v>7</v>
      </c>
      <c r="L396" s="104">
        <f>VLOOKUP(A396,[1]단품수량!$B$5:$P$27,13,FALSE)*K396</f>
        <v>287</v>
      </c>
      <c r="M396" s="104" t="s">
        <v>107</v>
      </c>
      <c r="N396" s="101" t="s">
        <v>91</v>
      </c>
      <c r="O396" s="105">
        <v>400</v>
      </c>
      <c r="P396" s="105">
        <f t="shared" si="11"/>
        <v>2800</v>
      </c>
      <c r="Q396" s="104" t="s">
        <v>108</v>
      </c>
    </row>
    <row r="397" spans="1:17" ht="18" customHeight="1">
      <c r="A397" s="107">
        <v>10005986</v>
      </c>
      <c r="B397" s="104" t="str">
        <f>VLOOKUP(A397,[1]단품수량!$B$5:$E$27,4,FALSE)</f>
        <v>CRA</v>
      </c>
      <c r="C397" s="104">
        <v>393</v>
      </c>
      <c r="D397" s="104" t="s">
        <v>215</v>
      </c>
      <c r="E397" s="104">
        <v>30118557</v>
      </c>
      <c r="F397" s="104"/>
      <c r="G397" s="104"/>
      <c r="H397" s="104" t="s">
        <v>105</v>
      </c>
      <c r="I397" s="104" t="s">
        <v>106</v>
      </c>
      <c r="J397" s="104">
        <v>1</v>
      </c>
      <c r="K397" s="104">
        <v>1</v>
      </c>
      <c r="L397" s="104">
        <f>VLOOKUP(A397,[1]단품수량!$B$5:$P$27,13,FALSE)*K397</f>
        <v>41</v>
      </c>
      <c r="M397" s="104" t="s">
        <v>107</v>
      </c>
      <c r="N397" s="101" t="s">
        <v>91</v>
      </c>
      <c r="O397" s="105">
        <v>38900</v>
      </c>
      <c r="P397" s="105">
        <f t="shared" si="11"/>
        <v>38900</v>
      </c>
      <c r="Q397" s="104" t="s">
        <v>108</v>
      </c>
    </row>
    <row r="398" spans="1:17" ht="18" customHeight="1">
      <c r="A398" s="107">
        <v>10005986</v>
      </c>
      <c r="B398" s="104" t="str">
        <f>VLOOKUP(A398,[1]단품수량!$B$5:$E$27,4,FALSE)</f>
        <v>CRA</v>
      </c>
      <c r="C398" s="104">
        <v>394</v>
      </c>
      <c r="D398" s="104" t="s">
        <v>218</v>
      </c>
      <c r="E398" s="104">
        <v>30118573</v>
      </c>
      <c r="F398" s="104"/>
      <c r="G398" s="104"/>
      <c r="H398" s="104" t="s">
        <v>177</v>
      </c>
      <c r="I398" s="104" t="s">
        <v>178</v>
      </c>
      <c r="J398" s="104">
        <v>7</v>
      </c>
      <c r="K398" s="104">
        <v>7</v>
      </c>
      <c r="L398" s="104">
        <f>VLOOKUP(A398,[1]단품수량!$B$5:$P$27,13,FALSE)*K398</f>
        <v>287</v>
      </c>
      <c r="M398" s="104" t="s">
        <v>107</v>
      </c>
      <c r="N398" s="101" t="s">
        <v>91</v>
      </c>
      <c r="O398" s="105">
        <v>1000</v>
      </c>
      <c r="P398" s="105">
        <f t="shared" si="11"/>
        <v>7000</v>
      </c>
      <c r="Q398" s="104" t="s">
        <v>108</v>
      </c>
    </row>
    <row r="399" spans="1:17" ht="18" customHeight="1">
      <c r="A399" s="107">
        <v>10005986</v>
      </c>
      <c r="B399" s="104" t="str">
        <f>VLOOKUP(A399,[1]단품수량!$B$5:$E$27,4,FALSE)</f>
        <v>CRA</v>
      </c>
      <c r="C399" s="104">
        <v>395</v>
      </c>
      <c r="D399" s="104" t="s">
        <v>221</v>
      </c>
      <c r="E399" s="104">
        <v>30118569</v>
      </c>
      <c r="F399" s="104"/>
      <c r="G399" s="104"/>
      <c r="H399" s="104" t="s">
        <v>119</v>
      </c>
      <c r="I399" s="104" t="s">
        <v>120</v>
      </c>
      <c r="J399" s="104">
        <v>2</v>
      </c>
      <c r="K399" s="104">
        <v>2</v>
      </c>
      <c r="L399" s="104">
        <f>VLOOKUP(A399,[1]단품수량!$B$5:$P$27,13,FALSE)*K399</f>
        <v>82</v>
      </c>
      <c r="M399" s="104" t="s">
        <v>107</v>
      </c>
      <c r="N399" s="101" t="s">
        <v>91</v>
      </c>
      <c r="O399" s="105">
        <v>400</v>
      </c>
      <c r="P399" s="105">
        <f t="shared" si="11"/>
        <v>800</v>
      </c>
      <c r="Q399" s="104" t="s">
        <v>108</v>
      </c>
    </row>
    <row r="400" spans="1:17" ht="18" customHeight="1">
      <c r="A400" s="107">
        <v>10005986</v>
      </c>
      <c r="B400" s="104" t="str">
        <f>VLOOKUP(A400,[1]단품수량!$B$5:$E$27,4,FALSE)</f>
        <v>CRA</v>
      </c>
      <c r="C400" s="104">
        <v>396</v>
      </c>
      <c r="D400" s="104" t="s">
        <v>351</v>
      </c>
      <c r="E400" s="104">
        <v>30120234</v>
      </c>
      <c r="F400" s="104"/>
      <c r="G400" s="104"/>
      <c r="H400" s="104" t="s">
        <v>562</v>
      </c>
      <c r="I400" s="104" t="s">
        <v>563</v>
      </c>
      <c r="J400" s="104">
        <v>4</v>
      </c>
      <c r="K400" s="104">
        <v>4</v>
      </c>
      <c r="L400" s="104">
        <f>VLOOKUP(A400,[1]단품수량!$B$5:$P$27,13,FALSE)*K400</f>
        <v>164</v>
      </c>
      <c r="M400" s="104" t="s">
        <v>99</v>
      </c>
      <c r="N400" s="101" t="s">
        <v>91</v>
      </c>
      <c r="O400" s="105">
        <v>650</v>
      </c>
      <c r="P400" s="105">
        <f t="shared" si="11"/>
        <v>2600</v>
      </c>
      <c r="Q400" s="104" t="s">
        <v>100</v>
      </c>
    </row>
    <row r="401" spans="1:17" ht="18" customHeight="1">
      <c r="A401" s="107">
        <v>10005986</v>
      </c>
      <c r="B401" s="104" t="str">
        <f>VLOOKUP(A401,[1]단품수량!$B$5:$E$27,4,FALSE)</f>
        <v>CRA</v>
      </c>
      <c r="C401" s="104">
        <v>397</v>
      </c>
      <c r="D401" s="104" t="s">
        <v>353</v>
      </c>
      <c r="E401" s="104">
        <v>20061692</v>
      </c>
      <c r="F401" s="104" t="s">
        <v>564</v>
      </c>
      <c r="G401" s="104"/>
      <c r="H401" s="104" t="s">
        <v>203</v>
      </c>
      <c r="I401" s="104" t="s">
        <v>565</v>
      </c>
      <c r="J401" s="104">
        <v>1</v>
      </c>
      <c r="K401" s="104">
        <v>1</v>
      </c>
      <c r="L401" s="104">
        <f>VLOOKUP(A401,[1]단품수량!$B$5:$P$27,13,FALSE)*K401</f>
        <v>41</v>
      </c>
      <c r="M401" s="104" t="s">
        <v>205</v>
      </c>
      <c r="N401" s="101"/>
      <c r="O401" s="105">
        <v>0</v>
      </c>
      <c r="P401" s="105">
        <f t="shared" si="11"/>
        <v>0</v>
      </c>
      <c r="Q401" s="104"/>
    </row>
    <row r="402" spans="1:17" ht="18" customHeight="1">
      <c r="A402" s="107">
        <v>10005986</v>
      </c>
      <c r="B402" s="104" t="str">
        <f>VLOOKUP(A402,[1]단품수량!$B$5:$E$27,4,FALSE)</f>
        <v>CRA</v>
      </c>
      <c r="C402" s="104">
        <v>398</v>
      </c>
      <c r="D402" s="104" t="s">
        <v>529</v>
      </c>
      <c r="E402" s="104">
        <v>30075140</v>
      </c>
      <c r="F402" s="104"/>
      <c r="G402" s="104"/>
      <c r="H402" s="104" t="s">
        <v>143</v>
      </c>
      <c r="I402" s="104" t="s">
        <v>206</v>
      </c>
      <c r="J402" s="104">
        <v>1</v>
      </c>
      <c r="K402" s="104">
        <v>1</v>
      </c>
      <c r="L402" s="104">
        <f>VLOOKUP(A402,[1]단품수량!$B$5:$P$27,13,FALSE)*K402</f>
        <v>41</v>
      </c>
      <c r="M402" s="104" t="s">
        <v>107</v>
      </c>
      <c r="N402" s="101" t="s">
        <v>91</v>
      </c>
      <c r="O402" s="105">
        <v>380</v>
      </c>
      <c r="P402" s="105">
        <f t="shared" si="11"/>
        <v>380</v>
      </c>
      <c r="Q402" s="104" t="s">
        <v>108</v>
      </c>
    </row>
    <row r="403" spans="1:17" ht="18" customHeight="1">
      <c r="A403" s="107">
        <v>10005986</v>
      </c>
      <c r="B403" s="104" t="str">
        <f>VLOOKUP(A403,[1]단품수량!$B$5:$E$27,4,FALSE)</f>
        <v>CRA</v>
      </c>
      <c r="C403" s="104">
        <v>399</v>
      </c>
      <c r="D403" s="104" t="s">
        <v>532</v>
      </c>
      <c r="E403" s="104">
        <v>30100325</v>
      </c>
      <c r="F403" s="104"/>
      <c r="G403" s="104"/>
      <c r="H403" s="104" t="s">
        <v>211</v>
      </c>
      <c r="I403" s="104" t="s">
        <v>212</v>
      </c>
      <c r="J403" s="104">
        <v>1</v>
      </c>
      <c r="K403" s="104">
        <v>1</v>
      </c>
      <c r="L403" s="104">
        <f>VLOOKUP(A403,[1]단품수량!$B$5:$P$27,13,FALSE)*K403</f>
        <v>41</v>
      </c>
      <c r="M403" s="104" t="s">
        <v>107</v>
      </c>
      <c r="N403" s="101" t="s">
        <v>91</v>
      </c>
      <c r="O403" s="105">
        <v>150</v>
      </c>
      <c r="P403" s="105">
        <f t="shared" si="11"/>
        <v>150</v>
      </c>
      <c r="Q403" s="104" t="s">
        <v>100</v>
      </c>
    </row>
    <row r="404" spans="1:17" ht="18" customHeight="1">
      <c r="A404" s="107">
        <v>10005986</v>
      </c>
      <c r="B404" s="104" t="str">
        <f>VLOOKUP(A404,[1]단품수량!$B$5:$E$27,4,FALSE)</f>
        <v>CRA</v>
      </c>
      <c r="C404" s="104">
        <v>400</v>
      </c>
      <c r="D404" s="104" t="s">
        <v>550</v>
      </c>
      <c r="E404" s="104">
        <v>30081231</v>
      </c>
      <c r="F404" s="104"/>
      <c r="G404" s="104"/>
      <c r="H404" s="104" t="s">
        <v>216</v>
      </c>
      <c r="I404" s="104" t="s">
        <v>217</v>
      </c>
      <c r="J404" s="104">
        <v>6</v>
      </c>
      <c r="K404" s="104">
        <v>6</v>
      </c>
      <c r="L404" s="104">
        <f>VLOOKUP(A404,[1]단품수량!$B$5:$P$27,13,FALSE)*K404</f>
        <v>246</v>
      </c>
      <c r="M404" s="104" t="s">
        <v>107</v>
      </c>
      <c r="N404" s="101" t="s">
        <v>91</v>
      </c>
      <c r="O404" s="105">
        <v>18</v>
      </c>
      <c r="P404" s="105">
        <f t="shared" si="11"/>
        <v>108</v>
      </c>
      <c r="Q404" s="104" t="s">
        <v>100</v>
      </c>
    </row>
    <row r="405" spans="1:17" ht="18" customHeight="1">
      <c r="A405" s="107">
        <v>10005986</v>
      </c>
      <c r="B405" s="104" t="str">
        <f>VLOOKUP(A405,[1]단품수량!$B$5:$E$27,4,FALSE)</f>
        <v>CRA</v>
      </c>
      <c r="C405" s="104">
        <v>401</v>
      </c>
      <c r="D405" s="104" t="s">
        <v>109</v>
      </c>
      <c r="E405" s="104">
        <v>30120673</v>
      </c>
      <c r="F405" s="104" t="s">
        <v>566</v>
      </c>
      <c r="G405" s="104"/>
      <c r="H405" s="104" t="s">
        <v>567</v>
      </c>
      <c r="I405" s="104" t="s">
        <v>89</v>
      </c>
      <c r="J405" s="104">
        <v>1</v>
      </c>
      <c r="K405" s="104">
        <v>1</v>
      </c>
      <c r="L405" s="104">
        <f>VLOOKUP(A405,[1]단품수량!$B$5:$P$27,13,FALSE)*K405</f>
        <v>41</v>
      </c>
      <c r="M405" s="104" t="s">
        <v>205</v>
      </c>
      <c r="N405" s="101" t="s">
        <v>91</v>
      </c>
      <c r="O405" s="105">
        <v>0</v>
      </c>
      <c r="P405" s="105">
        <f t="shared" si="11"/>
        <v>0</v>
      </c>
      <c r="Q405" s="104" t="s">
        <v>336</v>
      </c>
    </row>
    <row r="406" spans="1:17" ht="18" customHeight="1">
      <c r="A406" s="107">
        <v>10005986</v>
      </c>
      <c r="B406" s="104" t="str">
        <f>VLOOKUP(A406,[1]단품수량!$B$5:$E$27,4,FALSE)</f>
        <v>CRA</v>
      </c>
      <c r="C406" s="104">
        <v>402</v>
      </c>
      <c r="D406" s="104" t="s">
        <v>149</v>
      </c>
      <c r="E406" s="104">
        <v>20061606</v>
      </c>
      <c r="F406" s="104" t="s">
        <v>568</v>
      </c>
      <c r="G406" s="104"/>
      <c r="H406" s="104" t="s">
        <v>569</v>
      </c>
      <c r="I406" s="104" t="s">
        <v>528</v>
      </c>
      <c r="J406" s="104">
        <v>1</v>
      </c>
      <c r="K406" s="104">
        <v>1</v>
      </c>
      <c r="L406" s="104">
        <f>VLOOKUP(A406,[1]단품수량!$B$5:$P$27,13,FALSE)*K406</f>
        <v>41</v>
      </c>
      <c r="M406" s="104" t="s">
        <v>90</v>
      </c>
      <c r="N406" s="101" t="s">
        <v>91</v>
      </c>
      <c r="O406" s="105">
        <v>0</v>
      </c>
      <c r="P406" s="105">
        <f t="shared" si="11"/>
        <v>0</v>
      </c>
      <c r="Q406" s="104" t="s">
        <v>136</v>
      </c>
    </row>
    <row r="407" spans="1:17" ht="18" customHeight="1">
      <c r="A407" s="107">
        <v>10005986</v>
      </c>
      <c r="B407" s="104" t="str">
        <f>VLOOKUP(A407,[1]단품수량!$B$5:$E$27,4,FALSE)</f>
        <v>CRA</v>
      </c>
      <c r="C407" s="104">
        <v>403</v>
      </c>
      <c r="D407" s="104" t="s">
        <v>529</v>
      </c>
      <c r="E407" s="104">
        <v>30120759</v>
      </c>
      <c r="F407" s="104"/>
      <c r="G407" s="104"/>
      <c r="H407" s="104" t="s">
        <v>530</v>
      </c>
      <c r="I407" s="104" t="s">
        <v>531</v>
      </c>
      <c r="J407" s="104">
        <v>1</v>
      </c>
      <c r="K407" s="104">
        <v>1</v>
      </c>
      <c r="L407" s="104">
        <f>VLOOKUP(A407,[1]단품수량!$B$5:$P$27,13,FALSE)*K407</f>
        <v>41</v>
      </c>
      <c r="M407" s="104" t="s">
        <v>99</v>
      </c>
      <c r="N407" s="101" t="s">
        <v>91</v>
      </c>
      <c r="O407" s="105">
        <v>0</v>
      </c>
      <c r="P407" s="105">
        <f t="shared" si="11"/>
        <v>0</v>
      </c>
      <c r="Q407" s="104" t="s">
        <v>136</v>
      </c>
    </row>
    <row r="408" spans="1:17" ht="18" customHeight="1">
      <c r="A408" s="107">
        <v>10005986</v>
      </c>
      <c r="B408" s="104" t="str">
        <f>VLOOKUP(A408,[1]단품수량!$B$5:$E$27,4,FALSE)</f>
        <v>CRA</v>
      </c>
      <c r="C408" s="104">
        <v>404</v>
      </c>
      <c r="D408" s="104" t="s">
        <v>532</v>
      </c>
      <c r="E408" s="104">
        <v>30120760</v>
      </c>
      <c r="F408" s="104"/>
      <c r="G408" s="104"/>
      <c r="H408" s="104" t="s">
        <v>533</v>
      </c>
      <c r="I408" s="104" t="s">
        <v>534</v>
      </c>
      <c r="J408" s="104">
        <v>1</v>
      </c>
      <c r="K408" s="104">
        <v>1</v>
      </c>
      <c r="L408" s="104">
        <f>VLOOKUP(A408,[1]단품수량!$B$5:$P$27,13,FALSE)*K408</f>
        <v>41</v>
      </c>
      <c r="M408" s="104" t="s">
        <v>99</v>
      </c>
      <c r="N408" s="101" t="s">
        <v>91</v>
      </c>
      <c r="O408" s="105">
        <v>0</v>
      </c>
      <c r="P408" s="105">
        <f t="shared" si="11"/>
        <v>0</v>
      </c>
      <c r="Q408" s="104" t="s">
        <v>336</v>
      </c>
    </row>
    <row r="409" spans="1:17" ht="18" customHeight="1">
      <c r="A409" s="107">
        <v>10005986</v>
      </c>
      <c r="B409" s="104" t="str">
        <f>VLOOKUP(A409,[1]단품수량!$B$5:$E$27,4,FALSE)</f>
        <v>CRA</v>
      </c>
      <c r="C409" s="104">
        <v>405</v>
      </c>
      <c r="D409" s="104" t="s">
        <v>152</v>
      </c>
      <c r="E409" s="104">
        <v>30120975</v>
      </c>
      <c r="F409" s="104"/>
      <c r="G409" s="104"/>
      <c r="H409" s="104" t="s">
        <v>570</v>
      </c>
      <c r="I409" s="104" t="s">
        <v>89</v>
      </c>
      <c r="J409" s="104">
        <v>1</v>
      </c>
      <c r="K409" s="104">
        <v>1</v>
      </c>
      <c r="L409" s="104">
        <f>VLOOKUP(A409,[1]단품수량!$B$5:$P$27,13,FALSE)*K409</f>
        <v>41</v>
      </c>
      <c r="M409" s="104" t="s">
        <v>90</v>
      </c>
      <c r="N409" s="101" t="s">
        <v>91</v>
      </c>
      <c r="O409" s="105">
        <v>220000</v>
      </c>
      <c r="P409" s="105">
        <f t="shared" si="11"/>
        <v>220000</v>
      </c>
      <c r="Q409" s="104" t="s">
        <v>291</v>
      </c>
    </row>
    <row r="410" spans="1:17" ht="18" customHeight="1">
      <c r="A410" s="107">
        <v>10005986</v>
      </c>
      <c r="B410" s="104" t="str">
        <f>VLOOKUP(A410,[1]단품수량!$B$5:$E$27,4,FALSE)</f>
        <v>CRA</v>
      </c>
      <c r="C410" s="104">
        <v>406</v>
      </c>
      <c r="D410" s="104" t="s">
        <v>529</v>
      </c>
      <c r="E410" s="104">
        <v>30118487</v>
      </c>
      <c r="F410" s="104"/>
      <c r="G410" s="104"/>
      <c r="H410" s="104" t="s">
        <v>571</v>
      </c>
      <c r="I410" s="104" t="s">
        <v>572</v>
      </c>
      <c r="J410" s="104">
        <v>1</v>
      </c>
      <c r="K410" s="104">
        <v>1</v>
      </c>
      <c r="L410" s="104">
        <f>VLOOKUP(A410,[1]단품수량!$B$5:$P$27,13,FALSE)*K410</f>
        <v>41</v>
      </c>
      <c r="M410" s="104" t="s">
        <v>99</v>
      </c>
      <c r="N410" s="101" t="s">
        <v>91</v>
      </c>
      <c r="O410" s="105">
        <v>750000</v>
      </c>
      <c r="P410" s="105">
        <f t="shared" si="11"/>
        <v>750000</v>
      </c>
      <c r="Q410" s="104" t="s">
        <v>388</v>
      </c>
    </row>
    <row r="411" spans="1:17" ht="18" customHeight="1">
      <c r="A411" s="107">
        <v>10005986</v>
      </c>
      <c r="B411" s="104" t="str">
        <f>VLOOKUP(A411,[1]단품수량!$B$5:$E$27,4,FALSE)</f>
        <v>CRA</v>
      </c>
      <c r="C411" s="104">
        <v>407</v>
      </c>
      <c r="D411" s="104" t="s">
        <v>208</v>
      </c>
      <c r="E411" s="104">
        <v>30099795</v>
      </c>
      <c r="F411" s="104"/>
      <c r="G411" s="104"/>
      <c r="H411" s="104" t="s">
        <v>137</v>
      </c>
      <c r="I411" s="104" t="s">
        <v>573</v>
      </c>
      <c r="J411" s="104">
        <v>1</v>
      </c>
      <c r="K411" s="104">
        <v>1</v>
      </c>
      <c r="L411" s="104">
        <f>VLOOKUP(A411,[1]단품수량!$B$5:$P$27,13,FALSE)*K411</f>
        <v>41</v>
      </c>
      <c r="M411" s="104" t="s">
        <v>99</v>
      </c>
      <c r="N411" s="101" t="s">
        <v>91</v>
      </c>
      <c r="O411" s="105">
        <v>3550</v>
      </c>
      <c r="P411" s="105">
        <f t="shared" si="11"/>
        <v>3550</v>
      </c>
      <c r="Q411" s="104" t="s">
        <v>100</v>
      </c>
    </row>
    <row r="412" spans="1:17" ht="18" customHeight="1">
      <c r="A412" s="107">
        <v>10005986</v>
      </c>
      <c r="B412" s="104" t="str">
        <f>VLOOKUP(A412,[1]단품수량!$B$5:$E$27,4,FALSE)</f>
        <v>CRA</v>
      </c>
      <c r="C412" s="104">
        <v>408</v>
      </c>
      <c r="D412" s="104" t="s">
        <v>210</v>
      </c>
      <c r="E412" s="104">
        <v>30121676</v>
      </c>
      <c r="F412" s="104"/>
      <c r="G412" s="104"/>
      <c r="H412" s="104" t="s">
        <v>574</v>
      </c>
      <c r="I412" s="104" t="s">
        <v>238</v>
      </c>
      <c r="J412" s="104">
        <v>1</v>
      </c>
      <c r="K412" s="104">
        <v>1</v>
      </c>
      <c r="L412" s="104">
        <f>VLOOKUP(A412,[1]단품수량!$B$5:$P$27,13,FALSE)*K412</f>
        <v>41</v>
      </c>
      <c r="M412" s="104" t="s">
        <v>90</v>
      </c>
      <c r="N412" s="101"/>
      <c r="O412" s="105">
        <v>0</v>
      </c>
      <c r="P412" s="105">
        <f t="shared" si="11"/>
        <v>0</v>
      </c>
      <c r="Q412" s="104"/>
    </row>
    <row r="413" spans="1:17" ht="18" customHeight="1">
      <c r="A413" s="107">
        <v>10005986</v>
      </c>
      <c r="B413" s="104" t="str">
        <f>VLOOKUP(A413,[1]단품수량!$B$5:$E$27,4,FALSE)</f>
        <v>CRA</v>
      </c>
      <c r="C413" s="104">
        <v>409</v>
      </c>
      <c r="D413" s="104" t="s">
        <v>529</v>
      </c>
      <c r="E413" s="104">
        <v>30121027</v>
      </c>
      <c r="F413" s="104"/>
      <c r="G413" s="104"/>
      <c r="H413" s="104" t="s">
        <v>137</v>
      </c>
      <c r="I413" s="104" t="s">
        <v>575</v>
      </c>
      <c r="J413" s="104">
        <v>1</v>
      </c>
      <c r="K413" s="104">
        <v>1</v>
      </c>
      <c r="L413" s="104">
        <f>VLOOKUP(A413,[1]단품수량!$B$5:$P$27,13,FALSE)*K413</f>
        <v>41</v>
      </c>
      <c r="M413" s="104" t="s">
        <v>99</v>
      </c>
      <c r="N413" s="101" t="s">
        <v>91</v>
      </c>
      <c r="O413" s="105">
        <v>1200</v>
      </c>
      <c r="P413" s="105">
        <f t="shared" si="11"/>
        <v>1200</v>
      </c>
      <c r="Q413" s="104" t="s">
        <v>100</v>
      </c>
    </row>
    <row r="414" spans="1:17" ht="18" customHeight="1">
      <c r="A414" s="107">
        <v>10005986</v>
      </c>
      <c r="B414" s="104" t="str">
        <f>VLOOKUP(A414,[1]단품수량!$B$5:$E$27,4,FALSE)</f>
        <v>CRA</v>
      </c>
      <c r="C414" s="104">
        <v>410</v>
      </c>
      <c r="D414" s="104" t="s">
        <v>532</v>
      </c>
      <c r="E414" s="104">
        <v>30095141</v>
      </c>
      <c r="F414" s="104"/>
      <c r="G414" s="104"/>
      <c r="H414" s="104" t="s">
        <v>576</v>
      </c>
      <c r="I414" s="104" t="s">
        <v>577</v>
      </c>
      <c r="J414" s="104">
        <v>1</v>
      </c>
      <c r="K414" s="104">
        <v>1</v>
      </c>
      <c r="L414" s="104">
        <f>VLOOKUP(A414,[1]단품수량!$B$5:$P$27,13,FALSE)*K414</f>
        <v>41</v>
      </c>
      <c r="M414" s="104" t="s">
        <v>99</v>
      </c>
      <c r="N414" s="101" t="s">
        <v>91</v>
      </c>
      <c r="O414" s="105">
        <v>1500</v>
      </c>
      <c r="P414" s="105">
        <f t="shared" si="11"/>
        <v>1500</v>
      </c>
      <c r="Q414" s="104" t="s">
        <v>100</v>
      </c>
    </row>
    <row r="415" spans="1:17" ht="18" customHeight="1">
      <c r="A415" s="107">
        <v>10005986</v>
      </c>
      <c r="B415" s="104" t="str">
        <f>VLOOKUP(A415,[1]단품수량!$B$5:$E$27,4,FALSE)</f>
        <v>CRA</v>
      </c>
      <c r="C415" s="104">
        <v>411</v>
      </c>
      <c r="D415" s="104" t="s">
        <v>550</v>
      </c>
      <c r="E415" s="104">
        <v>30117319</v>
      </c>
      <c r="F415" s="104"/>
      <c r="G415" s="104"/>
      <c r="H415" s="104" t="s">
        <v>578</v>
      </c>
      <c r="I415" s="104" t="s">
        <v>579</v>
      </c>
      <c r="J415" s="104">
        <v>1</v>
      </c>
      <c r="K415" s="104">
        <v>1</v>
      </c>
      <c r="L415" s="104">
        <f>VLOOKUP(A415,[1]단품수량!$B$5:$P$27,13,FALSE)*K415</f>
        <v>41</v>
      </c>
      <c r="M415" s="104" t="s">
        <v>99</v>
      </c>
      <c r="N415" s="101" t="s">
        <v>91</v>
      </c>
      <c r="O415" s="105">
        <v>10000</v>
      </c>
      <c r="P415" s="105">
        <f t="shared" si="11"/>
        <v>10000</v>
      </c>
      <c r="Q415" s="104" t="s">
        <v>580</v>
      </c>
    </row>
    <row r="416" spans="1:17" ht="18" customHeight="1">
      <c r="A416" s="107">
        <v>10005986</v>
      </c>
      <c r="B416" s="104" t="str">
        <f>VLOOKUP(A416,[1]단품수량!$B$5:$E$27,4,FALSE)</f>
        <v>CRA</v>
      </c>
      <c r="C416" s="104">
        <v>412</v>
      </c>
      <c r="D416" s="104" t="s">
        <v>213</v>
      </c>
      <c r="E416" s="104">
        <v>30121677</v>
      </c>
      <c r="F416" s="104"/>
      <c r="G416" s="104"/>
      <c r="H416" s="104" t="s">
        <v>137</v>
      </c>
      <c r="I416" s="104" t="s">
        <v>581</v>
      </c>
      <c r="J416" s="104">
        <v>3</v>
      </c>
      <c r="K416" s="104">
        <v>3</v>
      </c>
      <c r="L416" s="104">
        <f>VLOOKUP(A416,[1]단품수량!$B$5:$P$27,13,FALSE)*K416</f>
        <v>123</v>
      </c>
      <c r="M416" s="104" t="s">
        <v>99</v>
      </c>
      <c r="N416" s="101" t="s">
        <v>91</v>
      </c>
      <c r="O416" s="105">
        <v>20000</v>
      </c>
      <c r="P416" s="105">
        <f t="shared" si="11"/>
        <v>60000</v>
      </c>
      <c r="Q416" s="104" t="s">
        <v>496</v>
      </c>
    </row>
    <row r="417" spans="1:17" ht="18" customHeight="1">
      <c r="A417" s="107">
        <v>10005986</v>
      </c>
      <c r="B417" s="104" t="str">
        <f>VLOOKUP(A417,[1]단품수량!$B$5:$E$27,4,FALSE)</f>
        <v>CRA</v>
      </c>
      <c r="C417" s="104">
        <v>413</v>
      </c>
      <c r="D417" s="104" t="s">
        <v>215</v>
      </c>
      <c r="E417" s="104">
        <v>10006272</v>
      </c>
      <c r="F417" s="104"/>
      <c r="G417" s="104"/>
      <c r="H417" s="104" t="s">
        <v>582</v>
      </c>
      <c r="I417" s="104" t="s">
        <v>238</v>
      </c>
      <c r="J417" s="104">
        <v>1</v>
      </c>
      <c r="K417" s="104">
        <v>1</v>
      </c>
      <c r="L417" s="104">
        <f>VLOOKUP(A417,[1]단품수량!$B$5:$P$27,13,FALSE)*K417</f>
        <v>41</v>
      </c>
      <c r="M417" s="104" t="s">
        <v>99</v>
      </c>
      <c r="N417" s="101"/>
      <c r="O417" s="105">
        <v>0</v>
      </c>
      <c r="P417" s="105">
        <f t="shared" si="11"/>
        <v>0</v>
      </c>
      <c r="Q417" s="104"/>
    </row>
    <row r="418" spans="1:17" ht="18" customHeight="1">
      <c r="A418" s="107">
        <v>10005986</v>
      </c>
      <c r="B418" s="104" t="str">
        <f>VLOOKUP(A418,[1]단품수량!$B$5:$E$27,4,FALSE)</f>
        <v>CRA</v>
      </c>
      <c r="C418" s="104">
        <v>414</v>
      </c>
      <c r="D418" s="104" t="s">
        <v>529</v>
      </c>
      <c r="E418" s="104">
        <v>30120276</v>
      </c>
      <c r="F418" s="104"/>
      <c r="G418" s="104"/>
      <c r="H418" s="104" t="s">
        <v>137</v>
      </c>
      <c r="I418" s="104" t="s">
        <v>583</v>
      </c>
      <c r="J418" s="104">
        <v>3</v>
      </c>
      <c r="K418" s="104">
        <v>3</v>
      </c>
      <c r="L418" s="104">
        <f>VLOOKUP(A418,[1]단품수량!$B$5:$P$27,13,FALSE)*K418</f>
        <v>123</v>
      </c>
      <c r="M418" s="104" t="s">
        <v>99</v>
      </c>
      <c r="N418" s="101" t="s">
        <v>91</v>
      </c>
      <c r="O418" s="105">
        <v>48</v>
      </c>
      <c r="P418" s="105">
        <f t="shared" si="11"/>
        <v>144</v>
      </c>
      <c r="Q418" s="104" t="s">
        <v>100</v>
      </c>
    </row>
    <row r="419" spans="1:17" ht="18" customHeight="1">
      <c r="A419" s="107">
        <v>10005986</v>
      </c>
      <c r="B419" s="104" t="str">
        <f>VLOOKUP(A419,[1]단품수량!$B$5:$E$27,4,FALSE)</f>
        <v>CRA</v>
      </c>
      <c r="C419" s="104">
        <v>415</v>
      </c>
      <c r="D419" s="104" t="s">
        <v>532</v>
      </c>
      <c r="E419" s="104">
        <v>30118479</v>
      </c>
      <c r="F419" s="104"/>
      <c r="G419" s="104"/>
      <c r="H419" s="104" t="s">
        <v>498</v>
      </c>
      <c r="I419" s="104" t="s">
        <v>499</v>
      </c>
      <c r="J419" s="104">
        <v>12</v>
      </c>
      <c r="K419" s="104">
        <v>12</v>
      </c>
      <c r="L419" s="104">
        <f>VLOOKUP(A419,[1]단품수량!$B$5:$P$27,13,FALSE)*K419</f>
        <v>492</v>
      </c>
      <c r="M419" s="104" t="s">
        <v>99</v>
      </c>
      <c r="N419" s="101" t="s">
        <v>91</v>
      </c>
      <c r="O419" s="105">
        <v>12</v>
      </c>
      <c r="P419" s="105">
        <f t="shared" si="11"/>
        <v>144</v>
      </c>
      <c r="Q419" s="104" t="s">
        <v>100</v>
      </c>
    </row>
    <row r="420" spans="1:17" ht="18" customHeight="1">
      <c r="A420" s="107">
        <v>10005986</v>
      </c>
      <c r="B420" s="104" t="str">
        <f>VLOOKUP(A420,[1]단품수량!$B$5:$E$27,4,FALSE)</f>
        <v>CRA</v>
      </c>
      <c r="C420" s="104">
        <v>416</v>
      </c>
      <c r="D420" s="104" t="s">
        <v>218</v>
      </c>
      <c r="E420" s="104">
        <v>30118489</v>
      </c>
      <c r="F420" s="104"/>
      <c r="G420" s="104"/>
      <c r="H420" s="104" t="s">
        <v>137</v>
      </c>
      <c r="I420" s="104" t="s">
        <v>584</v>
      </c>
      <c r="J420" s="104">
        <v>1</v>
      </c>
      <c r="K420" s="104">
        <v>1</v>
      </c>
      <c r="L420" s="104">
        <f>VLOOKUP(A420,[1]단품수량!$B$5:$P$27,13,FALSE)*K420</f>
        <v>41</v>
      </c>
      <c r="M420" s="104" t="s">
        <v>99</v>
      </c>
      <c r="N420" s="101" t="s">
        <v>91</v>
      </c>
      <c r="O420" s="105">
        <v>4500</v>
      </c>
      <c r="P420" s="105">
        <f t="shared" si="11"/>
        <v>4500</v>
      </c>
      <c r="Q420" s="104" t="s">
        <v>108</v>
      </c>
    </row>
    <row r="421" spans="1:17" ht="18" customHeight="1">
      <c r="A421" s="107">
        <v>10005986</v>
      </c>
      <c r="B421" s="104" t="str">
        <f>VLOOKUP(A421,[1]단품수량!$B$5:$E$27,4,FALSE)</f>
        <v>CRA</v>
      </c>
      <c r="C421" s="104">
        <v>417</v>
      </c>
      <c r="D421" s="104" t="s">
        <v>221</v>
      </c>
      <c r="E421" s="104">
        <v>30125248</v>
      </c>
      <c r="F421" s="104"/>
      <c r="G421" s="104"/>
      <c r="H421" s="104" t="s">
        <v>143</v>
      </c>
      <c r="I421" s="104" t="s">
        <v>585</v>
      </c>
      <c r="J421" s="104">
        <v>1</v>
      </c>
      <c r="K421" s="104">
        <v>1</v>
      </c>
      <c r="L421" s="104">
        <f>VLOOKUP(A421,[1]단품수량!$B$5:$P$27,13,FALSE)*K421</f>
        <v>41</v>
      </c>
      <c r="M421" s="104" t="s">
        <v>99</v>
      </c>
      <c r="N421" s="101" t="s">
        <v>91</v>
      </c>
      <c r="O421" s="105">
        <v>3620</v>
      </c>
      <c r="P421" s="105">
        <f t="shared" si="11"/>
        <v>3620</v>
      </c>
      <c r="Q421" s="104" t="s">
        <v>108</v>
      </c>
    </row>
    <row r="422" spans="1:17" ht="18" customHeight="1">
      <c r="A422" s="107">
        <v>10005986</v>
      </c>
      <c r="B422" s="104" t="str">
        <f>VLOOKUP(A422,[1]단품수량!$B$5:$E$27,4,FALSE)</f>
        <v>CRA</v>
      </c>
      <c r="C422" s="104">
        <v>418</v>
      </c>
      <c r="D422" s="104" t="s">
        <v>112</v>
      </c>
      <c r="E422" s="104">
        <v>30120674</v>
      </c>
      <c r="F422" s="104" t="s">
        <v>586</v>
      </c>
      <c r="G422" s="104"/>
      <c r="H422" s="104" t="s">
        <v>587</v>
      </c>
      <c r="I422" s="104" t="s">
        <v>89</v>
      </c>
      <c r="J422" s="104">
        <v>1</v>
      </c>
      <c r="K422" s="104">
        <v>1</v>
      </c>
      <c r="L422" s="104">
        <f>VLOOKUP(A422,[1]단품수량!$B$5:$P$27,13,FALSE)*K422</f>
        <v>41</v>
      </c>
      <c r="M422" s="104" t="s">
        <v>205</v>
      </c>
      <c r="N422" s="101" t="s">
        <v>91</v>
      </c>
      <c r="O422" s="105">
        <v>0</v>
      </c>
      <c r="P422" s="105">
        <f t="shared" si="11"/>
        <v>0</v>
      </c>
      <c r="Q422" s="104" t="s">
        <v>336</v>
      </c>
    </row>
    <row r="423" spans="1:17" ht="18" customHeight="1">
      <c r="A423" s="107">
        <v>10005986</v>
      </c>
      <c r="B423" s="104" t="str">
        <f>VLOOKUP(A423,[1]단품수량!$B$5:$E$27,4,FALSE)</f>
        <v>CRA</v>
      </c>
      <c r="C423" s="104">
        <v>419</v>
      </c>
      <c r="D423" s="104" t="s">
        <v>149</v>
      </c>
      <c r="E423" s="104">
        <v>20061607</v>
      </c>
      <c r="F423" s="104" t="s">
        <v>588</v>
      </c>
      <c r="G423" s="104"/>
      <c r="H423" s="104" t="s">
        <v>589</v>
      </c>
      <c r="I423" s="104" t="s">
        <v>528</v>
      </c>
      <c r="J423" s="104">
        <v>1</v>
      </c>
      <c r="K423" s="104">
        <v>1</v>
      </c>
      <c r="L423" s="104">
        <f>VLOOKUP(A423,[1]단품수량!$B$5:$P$27,13,FALSE)*K423</f>
        <v>41</v>
      </c>
      <c r="M423" s="104" t="s">
        <v>90</v>
      </c>
      <c r="N423" s="101" t="s">
        <v>91</v>
      </c>
      <c r="O423" s="105">
        <v>0</v>
      </c>
      <c r="P423" s="105">
        <f t="shared" si="11"/>
        <v>0</v>
      </c>
      <c r="Q423" s="104" t="s">
        <v>136</v>
      </c>
    </row>
    <row r="424" spans="1:17" ht="18" customHeight="1">
      <c r="A424" s="107">
        <v>10005986</v>
      </c>
      <c r="B424" s="104" t="str">
        <f>VLOOKUP(A424,[1]단품수량!$B$5:$E$27,4,FALSE)</f>
        <v>CRA</v>
      </c>
      <c r="C424" s="104">
        <v>420</v>
      </c>
      <c r="D424" s="104" t="s">
        <v>529</v>
      </c>
      <c r="E424" s="104">
        <v>30120759</v>
      </c>
      <c r="F424" s="104"/>
      <c r="G424" s="104"/>
      <c r="H424" s="104" t="s">
        <v>530</v>
      </c>
      <c r="I424" s="104" t="s">
        <v>531</v>
      </c>
      <c r="J424" s="104">
        <v>1</v>
      </c>
      <c r="K424" s="104">
        <v>1</v>
      </c>
      <c r="L424" s="104">
        <f>VLOOKUP(A424,[1]단품수량!$B$5:$P$27,13,FALSE)*K424</f>
        <v>41</v>
      </c>
      <c r="M424" s="104" t="s">
        <v>99</v>
      </c>
      <c r="N424" s="101" t="s">
        <v>91</v>
      </c>
      <c r="O424" s="105">
        <v>0</v>
      </c>
      <c r="P424" s="105">
        <f t="shared" si="11"/>
        <v>0</v>
      </c>
      <c r="Q424" s="104" t="s">
        <v>136</v>
      </c>
    </row>
    <row r="425" spans="1:17" ht="18" customHeight="1">
      <c r="A425" s="107">
        <v>10005986</v>
      </c>
      <c r="B425" s="104" t="str">
        <f>VLOOKUP(A425,[1]단품수량!$B$5:$E$27,4,FALSE)</f>
        <v>CRA</v>
      </c>
      <c r="C425" s="104">
        <v>421</v>
      </c>
      <c r="D425" s="104" t="s">
        <v>532</v>
      </c>
      <c r="E425" s="104">
        <v>30120760</v>
      </c>
      <c r="F425" s="104"/>
      <c r="G425" s="104"/>
      <c r="H425" s="104" t="s">
        <v>533</v>
      </c>
      <c r="I425" s="104" t="s">
        <v>534</v>
      </c>
      <c r="J425" s="104">
        <v>1</v>
      </c>
      <c r="K425" s="104">
        <v>1</v>
      </c>
      <c r="L425" s="104">
        <f>VLOOKUP(A425,[1]단품수량!$B$5:$P$27,13,FALSE)*K425</f>
        <v>41</v>
      </c>
      <c r="M425" s="104" t="s">
        <v>99</v>
      </c>
      <c r="N425" s="101" t="s">
        <v>91</v>
      </c>
      <c r="O425" s="105">
        <v>0</v>
      </c>
      <c r="P425" s="105">
        <f t="shared" si="11"/>
        <v>0</v>
      </c>
      <c r="Q425" s="104" t="s">
        <v>336</v>
      </c>
    </row>
    <row r="426" spans="1:17" ht="18" customHeight="1">
      <c r="A426" s="107">
        <v>10005986</v>
      </c>
      <c r="B426" s="104" t="str">
        <f>VLOOKUP(A426,[1]단품수량!$B$5:$E$27,4,FALSE)</f>
        <v>CRA</v>
      </c>
      <c r="C426" s="104">
        <v>422</v>
      </c>
      <c r="D426" s="104" t="s">
        <v>152</v>
      </c>
      <c r="E426" s="104">
        <v>30120976</v>
      </c>
      <c r="F426" s="104"/>
      <c r="G426" s="104"/>
      <c r="H426" s="104" t="s">
        <v>590</v>
      </c>
      <c r="I426" s="104" t="s">
        <v>89</v>
      </c>
      <c r="J426" s="104">
        <v>1</v>
      </c>
      <c r="K426" s="104">
        <v>1</v>
      </c>
      <c r="L426" s="104">
        <f>VLOOKUP(A426,[1]단품수량!$B$5:$P$27,13,FALSE)*K426</f>
        <v>41</v>
      </c>
      <c r="M426" s="104" t="s">
        <v>90</v>
      </c>
      <c r="N426" s="101" t="s">
        <v>91</v>
      </c>
      <c r="O426" s="105">
        <v>750000</v>
      </c>
      <c r="P426" s="105">
        <f t="shared" si="11"/>
        <v>750000</v>
      </c>
      <c r="Q426" s="104" t="s">
        <v>591</v>
      </c>
    </row>
    <row r="427" spans="1:17" ht="18" customHeight="1">
      <c r="A427" s="107">
        <v>10005986</v>
      </c>
      <c r="B427" s="104" t="str">
        <f>VLOOKUP(A427,[1]단품수량!$B$5:$E$27,4,FALSE)</f>
        <v>CRA</v>
      </c>
      <c r="C427" s="104">
        <v>423</v>
      </c>
      <c r="D427" s="104" t="s">
        <v>529</v>
      </c>
      <c r="E427" s="104">
        <v>30121690</v>
      </c>
      <c r="F427" s="104"/>
      <c r="G427" s="104"/>
      <c r="H427" s="104" t="s">
        <v>186</v>
      </c>
      <c r="I427" s="104" t="s">
        <v>592</v>
      </c>
      <c r="J427" s="104">
        <v>2</v>
      </c>
      <c r="K427" s="104">
        <v>2</v>
      </c>
      <c r="L427" s="104">
        <f>VLOOKUP(A427,[1]단품수량!$B$5:$P$27,13,FALSE)*K427</f>
        <v>82</v>
      </c>
      <c r="M427" s="104" t="s">
        <v>107</v>
      </c>
      <c r="N427" s="101" t="s">
        <v>91</v>
      </c>
      <c r="O427" s="105">
        <v>34000</v>
      </c>
      <c r="P427" s="105">
        <f t="shared" si="11"/>
        <v>68000</v>
      </c>
      <c r="Q427" s="104" t="s">
        <v>188</v>
      </c>
    </row>
    <row r="428" spans="1:17" ht="18" customHeight="1">
      <c r="A428" s="107">
        <v>10005986</v>
      </c>
      <c r="B428" s="104" t="str">
        <f>VLOOKUP(A428,[1]단품수량!$B$5:$E$27,4,FALSE)</f>
        <v>CRA</v>
      </c>
      <c r="C428" s="104">
        <v>424</v>
      </c>
      <c r="D428" s="104" t="s">
        <v>532</v>
      </c>
      <c r="E428" s="104">
        <v>30121672</v>
      </c>
      <c r="F428" s="104"/>
      <c r="G428" s="104"/>
      <c r="H428" s="104" t="s">
        <v>189</v>
      </c>
      <c r="I428" s="104" t="s">
        <v>190</v>
      </c>
      <c r="J428" s="104">
        <v>2</v>
      </c>
      <c r="K428" s="104">
        <v>2</v>
      </c>
      <c r="L428" s="104">
        <f>VLOOKUP(A428,[1]단품수량!$B$5:$P$27,13,FALSE)*K428</f>
        <v>82</v>
      </c>
      <c r="M428" s="104" t="s">
        <v>99</v>
      </c>
      <c r="N428" s="101" t="s">
        <v>91</v>
      </c>
      <c r="O428" s="105">
        <v>320</v>
      </c>
      <c r="P428" s="105">
        <f t="shared" ref="P428:P491" si="12">K428*O428</f>
        <v>640</v>
      </c>
      <c r="Q428" s="104" t="s">
        <v>188</v>
      </c>
    </row>
    <row r="429" spans="1:17" ht="18" customHeight="1">
      <c r="A429" s="107">
        <v>10005986</v>
      </c>
      <c r="B429" s="104" t="str">
        <f>VLOOKUP(A429,[1]단품수량!$B$5:$E$27,4,FALSE)</f>
        <v>CRA</v>
      </c>
      <c r="C429" s="104">
        <v>425</v>
      </c>
      <c r="D429" s="104" t="s">
        <v>550</v>
      </c>
      <c r="E429" s="104">
        <v>30118248</v>
      </c>
      <c r="F429" s="104"/>
      <c r="G429" s="104"/>
      <c r="H429" s="104" t="s">
        <v>137</v>
      </c>
      <c r="I429" s="104" t="s">
        <v>593</v>
      </c>
      <c r="J429" s="104">
        <v>1</v>
      </c>
      <c r="K429" s="104">
        <v>1</v>
      </c>
      <c r="L429" s="104">
        <f>VLOOKUP(A429,[1]단품수량!$B$5:$P$27,13,FALSE)*K429</f>
        <v>41</v>
      </c>
      <c r="M429" s="104" t="s">
        <v>99</v>
      </c>
      <c r="N429" s="101" t="s">
        <v>91</v>
      </c>
      <c r="O429" s="105">
        <v>6000</v>
      </c>
      <c r="P429" s="105">
        <f t="shared" si="12"/>
        <v>6000</v>
      </c>
      <c r="Q429" s="104" t="s">
        <v>108</v>
      </c>
    </row>
    <row r="430" spans="1:17" ht="18" customHeight="1">
      <c r="A430" s="107">
        <v>10005986</v>
      </c>
      <c r="B430" s="104" t="str">
        <f>VLOOKUP(A430,[1]단품수량!$B$5:$E$27,4,FALSE)</f>
        <v>CRA</v>
      </c>
      <c r="C430" s="104">
        <v>426</v>
      </c>
      <c r="D430" s="104" t="s">
        <v>208</v>
      </c>
      <c r="E430" s="104">
        <v>30099795</v>
      </c>
      <c r="F430" s="104"/>
      <c r="G430" s="104"/>
      <c r="H430" s="104" t="s">
        <v>137</v>
      </c>
      <c r="I430" s="104" t="s">
        <v>573</v>
      </c>
      <c r="J430" s="104">
        <v>1</v>
      </c>
      <c r="K430" s="104">
        <v>1</v>
      </c>
      <c r="L430" s="104">
        <f>VLOOKUP(A430,[1]단품수량!$B$5:$P$27,13,FALSE)*K430</f>
        <v>41</v>
      </c>
      <c r="M430" s="104" t="s">
        <v>99</v>
      </c>
      <c r="N430" s="101" t="s">
        <v>91</v>
      </c>
      <c r="O430" s="105">
        <v>3550</v>
      </c>
      <c r="P430" s="105">
        <f t="shared" si="12"/>
        <v>3550</v>
      </c>
      <c r="Q430" s="104" t="s">
        <v>100</v>
      </c>
    </row>
    <row r="431" spans="1:17" ht="18" customHeight="1">
      <c r="A431" s="107">
        <v>10005986</v>
      </c>
      <c r="B431" s="104" t="str">
        <f>VLOOKUP(A431,[1]단품수량!$B$5:$E$27,4,FALSE)</f>
        <v>CRA</v>
      </c>
      <c r="C431" s="104">
        <v>427</v>
      </c>
      <c r="D431" s="104" t="s">
        <v>115</v>
      </c>
      <c r="E431" s="104">
        <v>30120675</v>
      </c>
      <c r="F431" s="104" t="s">
        <v>594</v>
      </c>
      <c r="G431" s="104"/>
      <c r="H431" s="104" t="s">
        <v>595</v>
      </c>
      <c r="I431" s="104" t="s">
        <v>89</v>
      </c>
      <c r="J431" s="104">
        <v>1</v>
      </c>
      <c r="K431" s="104">
        <v>1</v>
      </c>
      <c r="L431" s="104">
        <f>VLOOKUP(A431,[1]단품수량!$B$5:$P$27,13,FALSE)*K431</f>
        <v>41</v>
      </c>
      <c r="M431" s="104" t="s">
        <v>205</v>
      </c>
      <c r="N431" s="101" t="s">
        <v>91</v>
      </c>
      <c r="O431" s="105">
        <v>0</v>
      </c>
      <c r="P431" s="105">
        <f t="shared" si="12"/>
        <v>0</v>
      </c>
      <c r="Q431" s="104" t="s">
        <v>336</v>
      </c>
    </row>
    <row r="432" spans="1:17" ht="18" customHeight="1">
      <c r="A432" s="107">
        <v>10005986</v>
      </c>
      <c r="B432" s="104" t="str">
        <f>VLOOKUP(A432,[1]단품수량!$B$5:$E$27,4,FALSE)</f>
        <v>CRA</v>
      </c>
      <c r="C432" s="104">
        <v>428</v>
      </c>
      <c r="D432" s="104" t="s">
        <v>149</v>
      </c>
      <c r="E432" s="104">
        <v>20061608</v>
      </c>
      <c r="F432" s="104" t="s">
        <v>596</v>
      </c>
      <c r="G432" s="104"/>
      <c r="H432" s="104" t="s">
        <v>597</v>
      </c>
      <c r="I432" s="104" t="s">
        <v>528</v>
      </c>
      <c r="J432" s="104">
        <v>1</v>
      </c>
      <c r="K432" s="104">
        <v>1</v>
      </c>
      <c r="L432" s="104">
        <f>VLOOKUP(A432,[1]단품수량!$B$5:$P$27,13,FALSE)*K432</f>
        <v>41</v>
      </c>
      <c r="M432" s="104" t="s">
        <v>90</v>
      </c>
      <c r="N432" s="101" t="s">
        <v>91</v>
      </c>
      <c r="O432" s="105">
        <v>0</v>
      </c>
      <c r="P432" s="105">
        <f t="shared" si="12"/>
        <v>0</v>
      </c>
      <c r="Q432" s="104" t="s">
        <v>136</v>
      </c>
    </row>
    <row r="433" spans="1:17" ht="18" customHeight="1">
      <c r="A433" s="107">
        <v>10005986</v>
      </c>
      <c r="B433" s="104" t="str">
        <f>VLOOKUP(A433,[1]단품수량!$B$5:$E$27,4,FALSE)</f>
        <v>CRA</v>
      </c>
      <c r="C433" s="104">
        <v>429</v>
      </c>
      <c r="D433" s="104" t="s">
        <v>529</v>
      </c>
      <c r="E433" s="104">
        <v>30120759</v>
      </c>
      <c r="F433" s="104"/>
      <c r="G433" s="104"/>
      <c r="H433" s="104" t="s">
        <v>530</v>
      </c>
      <c r="I433" s="104" t="s">
        <v>531</v>
      </c>
      <c r="J433" s="104">
        <v>1</v>
      </c>
      <c r="K433" s="104">
        <v>1</v>
      </c>
      <c r="L433" s="104">
        <f>VLOOKUP(A433,[1]단품수량!$B$5:$P$27,13,FALSE)*K433</f>
        <v>41</v>
      </c>
      <c r="M433" s="104" t="s">
        <v>99</v>
      </c>
      <c r="N433" s="101" t="s">
        <v>91</v>
      </c>
      <c r="O433" s="105">
        <v>0</v>
      </c>
      <c r="P433" s="105">
        <f t="shared" si="12"/>
        <v>0</v>
      </c>
      <c r="Q433" s="104" t="s">
        <v>136</v>
      </c>
    </row>
    <row r="434" spans="1:17" ht="18" customHeight="1">
      <c r="A434" s="107">
        <v>10005986</v>
      </c>
      <c r="B434" s="104" t="str">
        <f>VLOOKUP(A434,[1]단품수량!$B$5:$E$27,4,FALSE)</f>
        <v>CRA</v>
      </c>
      <c r="C434" s="104">
        <v>430</v>
      </c>
      <c r="D434" s="104" t="s">
        <v>532</v>
      </c>
      <c r="E434" s="104">
        <v>30120760</v>
      </c>
      <c r="F434" s="104"/>
      <c r="G434" s="104"/>
      <c r="H434" s="104" t="s">
        <v>533</v>
      </c>
      <c r="I434" s="104" t="s">
        <v>534</v>
      </c>
      <c r="J434" s="104">
        <v>1</v>
      </c>
      <c r="K434" s="104">
        <v>1</v>
      </c>
      <c r="L434" s="104">
        <f>VLOOKUP(A434,[1]단품수량!$B$5:$P$27,13,FALSE)*K434</f>
        <v>41</v>
      </c>
      <c r="M434" s="104" t="s">
        <v>99</v>
      </c>
      <c r="N434" s="101" t="s">
        <v>91</v>
      </c>
      <c r="O434" s="105">
        <v>0</v>
      </c>
      <c r="P434" s="105">
        <f t="shared" si="12"/>
        <v>0</v>
      </c>
      <c r="Q434" s="104" t="s">
        <v>336</v>
      </c>
    </row>
    <row r="435" spans="1:17" ht="18" customHeight="1">
      <c r="A435" s="107">
        <v>10005986</v>
      </c>
      <c r="B435" s="104" t="str">
        <f>VLOOKUP(A435,[1]단품수량!$B$5:$E$27,4,FALSE)</f>
        <v>CRA</v>
      </c>
      <c r="C435" s="104">
        <v>431</v>
      </c>
      <c r="D435" s="104" t="s">
        <v>152</v>
      </c>
      <c r="E435" s="104">
        <v>30120977</v>
      </c>
      <c r="F435" s="104"/>
      <c r="G435" s="104"/>
      <c r="H435" s="104" t="s">
        <v>598</v>
      </c>
      <c r="I435" s="104" t="s">
        <v>89</v>
      </c>
      <c r="J435" s="104">
        <v>1</v>
      </c>
      <c r="K435" s="104">
        <v>1</v>
      </c>
      <c r="L435" s="104">
        <f>VLOOKUP(A435,[1]단품수량!$B$5:$P$27,13,FALSE)*K435</f>
        <v>41</v>
      </c>
      <c r="M435" s="104" t="s">
        <v>90</v>
      </c>
      <c r="N435" s="101" t="s">
        <v>91</v>
      </c>
      <c r="O435" s="105">
        <v>480000</v>
      </c>
      <c r="P435" s="105">
        <f t="shared" si="12"/>
        <v>480000</v>
      </c>
      <c r="Q435" s="104" t="s">
        <v>291</v>
      </c>
    </row>
    <row r="436" spans="1:17" ht="18" customHeight="1">
      <c r="A436" s="107">
        <v>10005986</v>
      </c>
      <c r="B436" s="104" t="str">
        <f>VLOOKUP(A436,[1]단품수량!$B$5:$E$27,4,FALSE)</f>
        <v>CRA</v>
      </c>
      <c r="C436" s="104">
        <v>432</v>
      </c>
      <c r="D436" s="104" t="s">
        <v>529</v>
      </c>
      <c r="E436" s="104">
        <v>30120992</v>
      </c>
      <c r="F436" s="104"/>
      <c r="G436" s="104"/>
      <c r="H436" s="104" t="s">
        <v>186</v>
      </c>
      <c r="I436" s="104" t="s">
        <v>187</v>
      </c>
      <c r="J436" s="104">
        <v>1</v>
      </c>
      <c r="K436" s="104">
        <v>1</v>
      </c>
      <c r="L436" s="104">
        <f>VLOOKUP(A436,[1]단품수량!$B$5:$P$27,13,FALSE)*K436</f>
        <v>41</v>
      </c>
      <c r="M436" s="104" t="s">
        <v>107</v>
      </c>
      <c r="N436" s="101" t="s">
        <v>91</v>
      </c>
      <c r="O436" s="105">
        <v>24000</v>
      </c>
      <c r="P436" s="105">
        <f t="shared" si="12"/>
        <v>24000</v>
      </c>
      <c r="Q436" s="104" t="s">
        <v>188</v>
      </c>
    </row>
    <row r="437" spans="1:17" ht="18" customHeight="1">
      <c r="A437" s="107">
        <v>10005986</v>
      </c>
      <c r="B437" s="104" t="str">
        <f>VLOOKUP(A437,[1]단품수량!$B$5:$E$27,4,FALSE)</f>
        <v>CRA</v>
      </c>
      <c r="C437" s="104">
        <v>433</v>
      </c>
      <c r="D437" s="104" t="s">
        <v>532</v>
      </c>
      <c r="E437" s="104">
        <v>30121672</v>
      </c>
      <c r="F437" s="104"/>
      <c r="G437" s="104"/>
      <c r="H437" s="104" t="s">
        <v>189</v>
      </c>
      <c r="I437" s="104" t="s">
        <v>190</v>
      </c>
      <c r="J437" s="104">
        <v>1</v>
      </c>
      <c r="K437" s="104">
        <v>1</v>
      </c>
      <c r="L437" s="104">
        <f>VLOOKUP(A437,[1]단품수량!$B$5:$P$27,13,FALSE)*K437</f>
        <v>41</v>
      </c>
      <c r="M437" s="104" t="s">
        <v>99</v>
      </c>
      <c r="N437" s="101" t="s">
        <v>91</v>
      </c>
      <c r="O437" s="105">
        <v>320</v>
      </c>
      <c r="P437" s="105">
        <f t="shared" si="12"/>
        <v>320</v>
      </c>
      <c r="Q437" s="104" t="s">
        <v>188</v>
      </c>
    </row>
    <row r="438" spans="1:17" ht="18" customHeight="1">
      <c r="A438" s="107">
        <v>10005986</v>
      </c>
      <c r="B438" s="104" t="str">
        <f>VLOOKUP(A438,[1]단품수량!$B$5:$E$27,4,FALSE)</f>
        <v>CRA</v>
      </c>
      <c r="C438" s="104">
        <v>434</v>
      </c>
      <c r="D438" s="104" t="s">
        <v>208</v>
      </c>
      <c r="E438" s="104">
        <v>30120234</v>
      </c>
      <c r="F438" s="104"/>
      <c r="G438" s="104"/>
      <c r="H438" s="104" t="s">
        <v>562</v>
      </c>
      <c r="I438" s="104" t="s">
        <v>563</v>
      </c>
      <c r="J438" s="104">
        <v>6</v>
      </c>
      <c r="K438" s="104">
        <v>6</v>
      </c>
      <c r="L438" s="104">
        <f>VLOOKUP(A438,[1]단품수량!$B$5:$P$27,13,FALSE)*K438</f>
        <v>246</v>
      </c>
      <c r="M438" s="104" t="s">
        <v>99</v>
      </c>
      <c r="N438" s="101" t="s">
        <v>91</v>
      </c>
      <c r="O438" s="105">
        <v>650</v>
      </c>
      <c r="P438" s="105">
        <f t="shared" si="12"/>
        <v>3900</v>
      </c>
      <c r="Q438" s="104" t="s">
        <v>100</v>
      </c>
    </row>
    <row r="439" spans="1:17" ht="18" customHeight="1">
      <c r="A439" s="107">
        <v>10005986</v>
      </c>
      <c r="B439" s="104" t="str">
        <f>VLOOKUP(A439,[1]단품수량!$B$5:$E$27,4,FALSE)</f>
        <v>CRA</v>
      </c>
      <c r="C439" s="104">
        <v>435</v>
      </c>
      <c r="D439" s="104" t="s">
        <v>118</v>
      </c>
      <c r="E439" s="104">
        <v>30120676</v>
      </c>
      <c r="F439" s="104" t="s">
        <v>599</v>
      </c>
      <c r="G439" s="104"/>
      <c r="H439" s="104" t="s">
        <v>600</v>
      </c>
      <c r="I439" s="104" t="s">
        <v>89</v>
      </c>
      <c r="J439" s="104">
        <v>1</v>
      </c>
      <c r="K439" s="104">
        <v>1</v>
      </c>
      <c r="L439" s="104">
        <f>VLOOKUP(A439,[1]단품수량!$B$5:$P$27,13,FALSE)*K439</f>
        <v>41</v>
      </c>
      <c r="M439" s="104" t="s">
        <v>205</v>
      </c>
      <c r="N439" s="101" t="s">
        <v>91</v>
      </c>
      <c r="O439" s="105">
        <v>0</v>
      </c>
      <c r="P439" s="105">
        <f t="shared" si="12"/>
        <v>0</v>
      </c>
      <c r="Q439" s="104" t="s">
        <v>336</v>
      </c>
    </row>
    <row r="440" spans="1:17" ht="18" customHeight="1">
      <c r="A440" s="107">
        <v>10005986</v>
      </c>
      <c r="B440" s="104" t="str">
        <f>VLOOKUP(A440,[1]단품수량!$B$5:$E$27,4,FALSE)</f>
        <v>CRA</v>
      </c>
      <c r="C440" s="104">
        <v>436</v>
      </c>
      <c r="D440" s="104" t="s">
        <v>149</v>
      </c>
      <c r="E440" s="104">
        <v>20061609</v>
      </c>
      <c r="F440" s="104" t="s">
        <v>601</v>
      </c>
      <c r="G440" s="104"/>
      <c r="H440" s="104" t="s">
        <v>602</v>
      </c>
      <c r="I440" s="104" t="s">
        <v>528</v>
      </c>
      <c r="J440" s="104">
        <v>1</v>
      </c>
      <c r="K440" s="104">
        <v>1</v>
      </c>
      <c r="L440" s="104">
        <f>VLOOKUP(A440,[1]단품수량!$B$5:$P$27,13,FALSE)*K440</f>
        <v>41</v>
      </c>
      <c r="M440" s="104" t="s">
        <v>90</v>
      </c>
      <c r="N440" s="101" t="s">
        <v>91</v>
      </c>
      <c r="O440" s="105">
        <v>0</v>
      </c>
      <c r="P440" s="105">
        <f t="shared" si="12"/>
        <v>0</v>
      </c>
      <c r="Q440" s="104" t="s">
        <v>136</v>
      </c>
    </row>
    <row r="441" spans="1:17" ht="18" customHeight="1">
      <c r="A441" s="107">
        <v>10005986</v>
      </c>
      <c r="B441" s="104" t="str">
        <f>VLOOKUP(A441,[1]단품수량!$B$5:$E$27,4,FALSE)</f>
        <v>CRA</v>
      </c>
      <c r="C441" s="104">
        <v>437</v>
      </c>
      <c r="D441" s="104" t="s">
        <v>529</v>
      </c>
      <c r="E441" s="104">
        <v>30120759</v>
      </c>
      <c r="F441" s="104"/>
      <c r="G441" s="104"/>
      <c r="H441" s="104" t="s">
        <v>530</v>
      </c>
      <c r="I441" s="104" t="s">
        <v>531</v>
      </c>
      <c r="J441" s="104">
        <v>1</v>
      </c>
      <c r="K441" s="104">
        <v>1</v>
      </c>
      <c r="L441" s="104">
        <f>VLOOKUP(A441,[1]단품수량!$B$5:$P$27,13,FALSE)*K441</f>
        <v>41</v>
      </c>
      <c r="M441" s="104" t="s">
        <v>99</v>
      </c>
      <c r="N441" s="101" t="s">
        <v>91</v>
      </c>
      <c r="O441" s="105">
        <v>0</v>
      </c>
      <c r="P441" s="105">
        <f t="shared" si="12"/>
        <v>0</v>
      </c>
      <c r="Q441" s="104" t="s">
        <v>136</v>
      </c>
    </row>
    <row r="442" spans="1:17" ht="18" customHeight="1">
      <c r="A442" s="107">
        <v>10005986</v>
      </c>
      <c r="B442" s="104" t="str">
        <f>VLOOKUP(A442,[1]단품수량!$B$5:$E$27,4,FALSE)</f>
        <v>CRA</v>
      </c>
      <c r="C442" s="104">
        <v>438</v>
      </c>
      <c r="D442" s="104" t="s">
        <v>532</v>
      </c>
      <c r="E442" s="104">
        <v>30120760</v>
      </c>
      <c r="F442" s="104"/>
      <c r="G442" s="104"/>
      <c r="H442" s="104" t="s">
        <v>533</v>
      </c>
      <c r="I442" s="104" t="s">
        <v>534</v>
      </c>
      <c r="J442" s="104">
        <v>1</v>
      </c>
      <c r="K442" s="104">
        <v>1</v>
      </c>
      <c r="L442" s="104">
        <f>VLOOKUP(A442,[1]단품수량!$B$5:$P$27,13,FALSE)*K442</f>
        <v>41</v>
      </c>
      <c r="M442" s="104" t="s">
        <v>99</v>
      </c>
      <c r="N442" s="101" t="s">
        <v>91</v>
      </c>
      <c r="O442" s="105">
        <v>0</v>
      </c>
      <c r="P442" s="105">
        <f t="shared" si="12"/>
        <v>0</v>
      </c>
      <c r="Q442" s="104" t="s">
        <v>336</v>
      </c>
    </row>
    <row r="443" spans="1:17" ht="18" customHeight="1">
      <c r="A443" s="107">
        <v>10005986</v>
      </c>
      <c r="B443" s="104" t="str">
        <f>VLOOKUP(A443,[1]단품수량!$B$5:$E$27,4,FALSE)</f>
        <v>CRA</v>
      </c>
      <c r="C443" s="104">
        <v>439</v>
      </c>
      <c r="D443" s="104" t="s">
        <v>152</v>
      </c>
      <c r="E443" s="104">
        <v>30120978</v>
      </c>
      <c r="F443" s="104"/>
      <c r="G443" s="104"/>
      <c r="H443" s="104" t="s">
        <v>603</v>
      </c>
      <c r="I443" s="104" t="s">
        <v>89</v>
      </c>
      <c r="J443" s="104">
        <v>1</v>
      </c>
      <c r="K443" s="104">
        <v>1</v>
      </c>
      <c r="L443" s="104">
        <f>VLOOKUP(A443,[1]단품수량!$B$5:$P$27,13,FALSE)*K443</f>
        <v>41</v>
      </c>
      <c r="M443" s="104" t="s">
        <v>90</v>
      </c>
      <c r="N443" s="101" t="s">
        <v>91</v>
      </c>
      <c r="O443" s="105">
        <v>560000</v>
      </c>
      <c r="P443" s="105">
        <f t="shared" si="12"/>
        <v>560000</v>
      </c>
      <c r="Q443" s="104" t="s">
        <v>291</v>
      </c>
    </row>
    <row r="444" spans="1:17" ht="18" customHeight="1">
      <c r="A444" s="107">
        <v>10005986</v>
      </c>
      <c r="B444" s="104" t="str">
        <f>VLOOKUP(A444,[1]단품수량!$B$5:$E$27,4,FALSE)</f>
        <v>CRA</v>
      </c>
      <c r="C444" s="104">
        <v>440</v>
      </c>
      <c r="D444" s="104" t="s">
        <v>208</v>
      </c>
      <c r="E444" s="104">
        <v>30120234</v>
      </c>
      <c r="F444" s="104"/>
      <c r="G444" s="104"/>
      <c r="H444" s="104" t="s">
        <v>562</v>
      </c>
      <c r="I444" s="104" t="s">
        <v>563</v>
      </c>
      <c r="J444" s="104">
        <v>1</v>
      </c>
      <c r="K444" s="104">
        <v>1</v>
      </c>
      <c r="L444" s="104">
        <f>VLOOKUP(A444,[1]단품수량!$B$5:$P$27,13,FALSE)*K444</f>
        <v>41</v>
      </c>
      <c r="M444" s="104" t="s">
        <v>99</v>
      </c>
      <c r="N444" s="101" t="s">
        <v>91</v>
      </c>
      <c r="O444" s="105">
        <v>650</v>
      </c>
      <c r="P444" s="105">
        <f t="shared" si="12"/>
        <v>650</v>
      </c>
      <c r="Q444" s="104" t="s">
        <v>100</v>
      </c>
    </row>
    <row r="445" spans="1:17" ht="18" customHeight="1">
      <c r="A445" s="107">
        <v>10005986</v>
      </c>
      <c r="B445" s="104" t="str">
        <f>VLOOKUP(A445,[1]단품수량!$B$5:$E$27,4,FALSE)</f>
        <v>CRA</v>
      </c>
      <c r="C445" s="104">
        <v>441</v>
      </c>
      <c r="D445" s="104" t="s">
        <v>121</v>
      </c>
      <c r="E445" s="104">
        <v>30120677</v>
      </c>
      <c r="F445" s="104" t="s">
        <v>604</v>
      </c>
      <c r="G445" s="104"/>
      <c r="H445" s="104" t="s">
        <v>605</v>
      </c>
      <c r="I445" s="104" t="s">
        <v>89</v>
      </c>
      <c r="J445" s="104">
        <v>1</v>
      </c>
      <c r="K445" s="104">
        <v>1</v>
      </c>
      <c r="L445" s="104">
        <f>VLOOKUP(A445,[1]단품수량!$B$5:$P$27,13,FALSE)*K445</f>
        <v>41</v>
      </c>
      <c r="M445" s="104" t="s">
        <v>205</v>
      </c>
      <c r="N445" s="101" t="s">
        <v>91</v>
      </c>
      <c r="O445" s="105">
        <v>0</v>
      </c>
      <c r="P445" s="105">
        <f t="shared" si="12"/>
        <v>0</v>
      </c>
      <c r="Q445" s="104" t="s">
        <v>336</v>
      </c>
    </row>
    <row r="446" spans="1:17" ht="18" customHeight="1">
      <c r="A446" s="107">
        <v>10005986</v>
      </c>
      <c r="B446" s="104" t="str">
        <f>VLOOKUP(A446,[1]단품수량!$B$5:$E$27,4,FALSE)</f>
        <v>CRA</v>
      </c>
      <c r="C446" s="104">
        <v>442</v>
      </c>
      <c r="D446" s="104" t="s">
        <v>149</v>
      </c>
      <c r="E446" s="104">
        <v>20061610</v>
      </c>
      <c r="F446" s="104" t="s">
        <v>606</v>
      </c>
      <c r="G446" s="104"/>
      <c r="H446" s="104" t="s">
        <v>607</v>
      </c>
      <c r="I446" s="104" t="s">
        <v>528</v>
      </c>
      <c r="J446" s="104">
        <v>1</v>
      </c>
      <c r="K446" s="104">
        <v>1</v>
      </c>
      <c r="L446" s="104">
        <f>VLOOKUP(A446,[1]단품수량!$B$5:$P$27,13,FALSE)*K446</f>
        <v>41</v>
      </c>
      <c r="M446" s="104" t="s">
        <v>90</v>
      </c>
      <c r="N446" s="101" t="s">
        <v>91</v>
      </c>
      <c r="O446" s="105">
        <v>0</v>
      </c>
      <c r="P446" s="105">
        <f t="shared" si="12"/>
        <v>0</v>
      </c>
      <c r="Q446" s="104" t="s">
        <v>136</v>
      </c>
    </row>
    <row r="447" spans="1:17" ht="18" customHeight="1">
      <c r="A447" s="107">
        <v>10005986</v>
      </c>
      <c r="B447" s="104" t="str">
        <f>VLOOKUP(A447,[1]단품수량!$B$5:$E$27,4,FALSE)</f>
        <v>CRA</v>
      </c>
      <c r="C447" s="104">
        <v>443</v>
      </c>
      <c r="D447" s="104" t="s">
        <v>529</v>
      </c>
      <c r="E447" s="104">
        <v>30120759</v>
      </c>
      <c r="F447" s="104"/>
      <c r="G447" s="104"/>
      <c r="H447" s="104" t="s">
        <v>530</v>
      </c>
      <c r="I447" s="104" t="s">
        <v>531</v>
      </c>
      <c r="J447" s="104">
        <v>1</v>
      </c>
      <c r="K447" s="104">
        <v>1</v>
      </c>
      <c r="L447" s="104">
        <f>VLOOKUP(A447,[1]단품수량!$B$5:$P$27,13,FALSE)*K447</f>
        <v>41</v>
      </c>
      <c r="M447" s="104" t="s">
        <v>99</v>
      </c>
      <c r="N447" s="101" t="s">
        <v>91</v>
      </c>
      <c r="O447" s="105">
        <v>0</v>
      </c>
      <c r="P447" s="105">
        <f t="shared" si="12"/>
        <v>0</v>
      </c>
      <c r="Q447" s="104" t="s">
        <v>136</v>
      </c>
    </row>
    <row r="448" spans="1:17" ht="18" customHeight="1">
      <c r="A448" s="107">
        <v>10005986</v>
      </c>
      <c r="B448" s="104" t="str">
        <f>VLOOKUP(A448,[1]단품수량!$B$5:$E$27,4,FALSE)</f>
        <v>CRA</v>
      </c>
      <c r="C448" s="104">
        <v>444</v>
      </c>
      <c r="D448" s="104" t="s">
        <v>532</v>
      </c>
      <c r="E448" s="104">
        <v>30120760</v>
      </c>
      <c r="F448" s="104"/>
      <c r="G448" s="104"/>
      <c r="H448" s="104" t="s">
        <v>533</v>
      </c>
      <c r="I448" s="104" t="s">
        <v>534</v>
      </c>
      <c r="J448" s="104">
        <v>1</v>
      </c>
      <c r="K448" s="104">
        <v>1</v>
      </c>
      <c r="L448" s="104">
        <f>VLOOKUP(A448,[1]단품수량!$B$5:$P$27,13,FALSE)*K448</f>
        <v>41</v>
      </c>
      <c r="M448" s="104" t="s">
        <v>99</v>
      </c>
      <c r="N448" s="101" t="s">
        <v>91</v>
      </c>
      <c r="O448" s="105">
        <v>0</v>
      </c>
      <c r="P448" s="105">
        <f t="shared" si="12"/>
        <v>0</v>
      </c>
      <c r="Q448" s="104" t="s">
        <v>336</v>
      </c>
    </row>
    <row r="449" spans="1:17" ht="18" customHeight="1">
      <c r="A449" s="107">
        <v>10005986</v>
      </c>
      <c r="B449" s="104" t="str">
        <f>VLOOKUP(A449,[1]단품수량!$B$5:$E$27,4,FALSE)</f>
        <v>CRA</v>
      </c>
      <c r="C449" s="104">
        <v>445</v>
      </c>
      <c r="D449" s="104" t="s">
        <v>152</v>
      </c>
      <c r="E449" s="104">
        <v>30120993</v>
      </c>
      <c r="F449" s="104"/>
      <c r="G449" s="104"/>
      <c r="H449" s="104" t="s">
        <v>608</v>
      </c>
      <c r="I449" s="104" t="s">
        <v>89</v>
      </c>
      <c r="J449" s="104">
        <v>1</v>
      </c>
      <c r="K449" s="104">
        <v>1</v>
      </c>
      <c r="L449" s="104">
        <f>VLOOKUP(A449,[1]단품수량!$B$5:$P$27,13,FALSE)*K449</f>
        <v>41</v>
      </c>
      <c r="M449" s="104" t="s">
        <v>90</v>
      </c>
      <c r="N449" s="101" t="s">
        <v>91</v>
      </c>
      <c r="O449" s="105">
        <v>370000</v>
      </c>
      <c r="P449" s="105">
        <f t="shared" si="12"/>
        <v>370000</v>
      </c>
      <c r="Q449" s="104" t="s">
        <v>291</v>
      </c>
    </row>
    <row r="450" spans="1:17" ht="18" customHeight="1">
      <c r="A450" s="107">
        <v>10005986</v>
      </c>
      <c r="B450" s="104" t="str">
        <f>VLOOKUP(A450,[1]단품수량!$B$5:$E$27,4,FALSE)</f>
        <v>CRA</v>
      </c>
      <c r="C450" s="104">
        <v>446</v>
      </c>
      <c r="D450" s="104" t="s">
        <v>529</v>
      </c>
      <c r="E450" s="104">
        <v>30118520</v>
      </c>
      <c r="F450" s="104"/>
      <c r="G450" s="104"/>
      <c r="H450" s="104" t="s">
        <v>609</v>
      </c>
      <c r="I450" s="104" t="s">
        <v>610</v>
      </c>
      <c r="J450" s="104">
        <v>1</v>
      </c>
      <c r="K450" s="104">
        <v>1</v>
      </c>
      <c r="L450" s="104">
        <f>VLOOKUP(A450,[1]단품수량!$B$5:$P$27,13,FALSE)*K450</f>
        <v>41</v>
      </c>
      <c r="M450" s="104" t="s">
        <v>99</v>
      </c>
      <c r="N450" s="101" t="s">
        <v>91</v>
      </c>
      <c r="O450" s="105">
        <v>1480000</v>
      </c>
      <c r="P450" s="105">
        <f t="shared" si="12"/>
        <v>1480000</v>
      </c>
      <c r="Q450" s="104" t="s">
        <v>388</v>
      </c>
    </row>
    <row r="451" spans="1:17" ht="18" customHeight="1">
      <c r="A451" s="107">
        <v>10005986</v>
      </c>
      <c r="B451" s="104" t="str">
        <f>VLOOKUP(A451,[1]단품수량!$B$5:$E$27,4,FALSE)</f>
        <v>CRA</v>
      </c>
      <c r="C451" s="104">
        <v>447</v>
      </c>
      <c r="D451" s="104" t="s">
        <v>611</v>
      </c>
      <c r="E451" s="104">
        <v>30125123</v>
      </c>
      <c r="F451" s="104"/>
      <c r="G451" s="104"/>
      <c r="H451" s="104" t="s">
        <v>612</v>
      </c>
      <c r="I451" s="104" t="s">
        <v>613</v>
      </c>
      <c r="J451" s="104">
        <v>1</v>
      </c>
      <c r="K451" s="104">
        <v>1</v>
      </c>
      <c r="L451" s="104">
        <f>VLOOKUP(A451,[1]단품수량!$B$5:$P$27,13,FALSE)*K451</f>
        <v>41</v>
      </c>
      <c r="M451" s="104" t="s">
        <v>99</v>
      </c>
      <c r="N451" s="101" t="s">
        <v>91</v>
      </c>
      <c r="O451" s="105">
        <v>77000</v>
      </c>
      <c r="P451" s="105">
        <f t="shared" si="12"/>
        <v>77000</v>
      </c>
      <c r="Q451" s="104" t="s">
        <v>388</v>
      </c>
    </row>
    <row r="452" spans="1:17" ht="18" customHeight="1">
      <c r="A452" s="107">
        <v>10005986</v>
      </c>
      <c r="B452" s="104" t="str">
        <f>VLOOKUP(A452,[1]단품수량!$B$5:$E$27,4,FALSE)</f>
        <v>CRA</v>
      </c>
      <c r="C452" s="104">
        <v>448</v>
      </c>
      <c r="D452" s="104" t="s">
        <v>532</v>
      </c>
      <c r="E452" s="104">
        <v>30120992</v>
      </c>
      <c r="F452" s="104"/>
      <c r="G452" s="104"/>
      <c r="H452" s="104" t="s">
        <v>186</v>
      </c>
      <c r="I452" s="104" t="s">
        <v>187</v>
      </c>
      <c r="J452" s="104">
        <v>1</v>
      </c>
      <c r="K452" s="104">
        <v>1</v>
      </c>
      <c r="L452" s="104">
        <f>VLOOKUP(A452,[1]단품수량!$B$5:$P$27,13,FALSE)*K452</f>
        <v>41</v>
      </c>
      <c r="M452" s="104" t="s">
        <v>107</v>
      </c>
      <c r="N452" s="101" t="s">
        <v>91</v>
      </c>
      <c r="O452" s="105">
        <v>24000</v>
      </c>
      <c r="P452" s="105">
        <f t="shared" si="12"/>
        <v>24000</v>
      </c>
      <c r="Q452" s="104" t="s">
        <v>188</v>
      </c>
    </row>
    <row r="453" spans="1:17" ht="18" customHeight="1">
      <c r="A453" s="107">
        <v>10005986</v>
      </c>
      <c r="B453" s="104" t="str">
        <f>VLOOKUP(A453,[1]단품수량!$B$5:$E$27,4,FALSE)</f>
        <v>CRA</v>
      </c>
      <c r="C453" s="104">
        <v>449</v>
      </c>
      <c r="D453" s="104" t="s">
        <v>550</v>
      </c>
      <c r="E453" s="104">
        <v>30121672</v>
      </c>
      <c r="F453" s="104"/>
      <c r="G453" s="104"/>
      <c r="H453" s="104" t="s">
        <v>189</v>
      </c>
      <c r="I453" s="104" t="s">
        <v>190</v>
      </c>
      <c r="J453" s="104">
        <v>1</v>
      </c>
      <c r="K453" s="104">
        <v>1</v>
      </c>
      <c r="L453" s="104">
        <f>VLOOKUP(A453,[1]단품수량!$B$5:$P$27,13,FALSE)*K453</f>
        <v>41</v>
      </c>
      <c r="M453" s="104" t="s">
        <v>99</v>
      </c>
      <c r="N453" s="101" t="s">
        <v>91</v>
      </c>
      <c r="O453" s="105">
        <v>320</v>
      </c>
      <c r="P453" s="105">
        <f t="shared" si="12"/>
        <v>320</v>
      </c>
      <c r="Q453" s="104" t="s">
        <v>188</v>
      </c>
    </row>
    <row r="454" spans="1:17" ht="18" customHeight="1">
      <c r="A454" s="107">
        <v>10005986</v>
      </c>
      <c r="B454" s="104" t="str">
        <f>VLOOKUP(A454,[1]단품수량!$B$5:$E$27,4,FALSE)</f>
        <v>CRA</v>
      </c>
      <c r="C454" s="104">
        <v>450</v>
      </c>
      <c r="D454" s="104" t="s">
        <v>208</v>
      </c>
      <c r="E454" s="104">
        <v>30118550</v>
      </c>
      <c r="F454" s="104"/>
      <c r="G454" s="104"/>
      <c r="H454" s="104" t="s">
        <v>401</v>
      </c>
      <c r="I454" s="104" t="s">
        <v>402</v>
      </c>
      <c r="J454" s="104">
        <v>1</v>
      </c>
      <c r="K454" s="104">
        <v>1</v>
      </c>
      <c r="L454" s="104">
        <f>VLOOKUP(A454,[1]단품수량!$B$5:$P$27,13,FALSE)*K454</f>
        <v>41</v>
      </c>
      <c r="M454" s="104" t="s">
        <v>107</v>
      </c>
      <c r="N454" s="101" t="s">
        <v>91</v>
      </c>
      <c r="O454" s="105">
        <v>19400</v>
      </c>
      <c r="P454" s="105">
        <f t="shared" si="12"/>
        <v>19400</v>
      </c>
      <c r="Q454" s="104" t="s">
        <v>108</v>
      </c>
    </row>
    <row r="455" spans="1:17" ht="18" customHeight="1">
      <c r="A455" s="107">
        <v>10005986</v>
      </c>
      <c r="B455" s="104" t="str">
        <f>VLOOKUP(A455,[1]단품수량!$B$5:$E$27,4,FALSE)</f>
        <v>CRA</v>
      </c>
      <c r="C455" s="104">
        <v>451</v>
      </c>
      <c r="D455" s="104" t="s">
        <v>210</v>
      </c>
      <c r="E455" s="104">
        <v>30118571</v>
      </c>
      <c r="F455" s="104"/>
      <c r="G455" s="104"/>
      <c r="H455" s="104" t="s">
        <v>546</v>
      </c>
      <c r="I455" s="104" t="s">
        <v>547</v>
      </c>
      <c r="J455" s="104">
        <v>1</v>
      </c>
      <c r="K455" s="104">
        <v>1</v>
      </c>
      <c r="L455" s="104">
        <f>VLOOKUP(A455,[1]단품수량!$B$5:$P$27,13,FALSE)*K455</f>
        <v>41</v>
      </c>
      <c r="M455" s="104" t="s">
        <v>107</v>
      </c>
      <c r="N455" s="101" t="s">
        <v>91</v>
      </c>
      <c r="O455" s="105">
        <v>1000</v>
      </c>
      <c r="P455" s="105">
        <f t="shared" si="12"/>
        <v>1000</v>
      </c>
      <c r="Q455" s="104" t="s">
        <v>108</v>
      </c>
    </row>
    <row r="456" spans="1:17" ht="18" customHeight="1">
      <c r="A456" s="107">
        <v>10005986</v>
      </c>
      <c r="B456" s="104" t="str">
        <f>VLOOKUP(A456,[1]단품수량!$B$5:$E$27,4,FALSE)</f>
        <v>CRA</v>
      </c>
      <c r="C456" s="104">
        <v>452</v>
      </c>
      <c r="D456" s="104" t="s">
        <v>213</v>
      </c>
      <c r="E456" s="104">
        <v>30118557</v>
      </c>
      <c r="F456" s="104"/>
      <c r="G456" s="104"/>
      <c r="H456" s="104" t="s">
        <v>105</v>
      </c>
      <c r="I456" s="104" t="s">
        <v>106</v>
      </c>
      <c r="J456" s="104">
        <v>1</v>
      </c>
      <c r="K456" s="104">
        <v>1</v>
      </c>
      <c r="L456" s="104">
        <f>VLOOKUP(A456,[1]단품수량!$B$5:$P$27,13,FALSE)*K456</f>
        <v>41</v>
      </c>
      <c r="M456" s="104" t="s">
        <v>107</v>
      </c>
      <c r="N456" s="101" t="s">
        <v>91</v>
      </c>
      <c r="O456" s="105">
        <v>38900</v>
      </c>
      <c r="P456" s="105">
        <f t="shared" si="12"/>
        <v>38900</v>
      </c>
      <c r="Q456" s="104" t="s">
        <v>108</v>
      </c>
    </row>
    <row r="457" spans="1:17" ht="18" customHeight="1">
      <c r="A457" s="107">
        <v>10005986</v>
      </c>
      <c r="B457" s="104" t="str">
        <f>VLOOKUP(A457,[1]단품수량!$B$5:$E$27,4,FALSE)</f>
        <v>CRA</v>
      </c>
      <c r="C457" s="104">
        <v>453</v>
      </c>
      <c r="D457" s="104" t="s">
        <v>215</v>
      </c>
      <c r="E457" s="104">
        <v>30118570</v>
      </c>
      <c r="F457" s="104"/>
      <c r="G457" s="104"/>
      <c r="H457" s="104" t="s">
        <v>110</v>
      </c>
      <c r="I457" s="104" t="s">
        <v>111</v>
      </c>
      <c r="J457" s="104">
        <v>7</v>
      </c>
      <c r="K457" s="104">
        <v>7</v>
      </c>
      <c r="L457" s="104">
        <f>VLOOKUP(A457,[1]단품수량!$B$5:$P$27,13,FALSE)*K457</f>
        <v>287</v>
      </c>
      <c r="M457" s="104" t="s">
        <v>107</v>
      </c>
      <c r="N457" s="101" t="s">
        <v>91</v>
      </c>
      <c r="O457" s="105">
        <v>900</v>
      </c>
      <c r="P457" s="105">
        <f t="shared" si="12"/>
        <v>6300</v>
      </c>
      <c r="Q457" s="104" t="s">
        <v>108</v>
      </c>
    </row>
    <row r="458" spans="1:17" ht="18" customHeight="1">
      <c r="A458" s="107">
        <v>10005986</v>
      </c>
      <c r="B458" s="104" t="str">
        <f>VLOOKUP(A458,[1]단품수량!$B$5:$E$27,4,FALSE)</f>
        <v>CRA</v>
      </c>
      <c r="C458" s="104">
        <v>454</v>
      </c>
      <c r="D458" s="104" t="s">
        <v>218</v>
      </c>
      <c r="E458" s="104">
        <v>30118553</v>
      </c>
      <c r="F458" s="104"/>
      <c r="G458" s="104"/>
      <c r="H458" s="104" t="s">
        <v>483</v>
      </c>
      <c r="I458" s="104" t="s">
        <v>484</v>
      </c>
      <c r="J458" s="104">
        <v>1</v>
      </c>
      <c r="K458" s="104">
        <v>1</v>
      </c>
      <c r="L458" s="104">
        <f>VLOOKUP(A458,[1]단품수량!$B$5:$P$27,13,FALSE)*K458</f>
        <v>41</v>
      </c>
      <c r="M458" s="104" t="s">
        <v>107</v>
      </c>
      <c r="N458" s="101" t="s">
        <v>91</v>
      </c>
      <c r="O458" s="105">
        <v>22400</v>
      </c>
      <c r="P458" s="105">
        <f t="shared" si="12"/>
        <v>22400</v>
      </c>
      <c r="Q458" s="104" t="s">
        <v>108</v>
      </c>
    </row>
    <row r="459" spans="1:17" ht="18" customHeight="1">
      <c r="A459" s="107">
        <v>10005986</v>
      </c>
      <c r="B459" s="104" t="str">
        <f>VLOOKUP(A459,[1]단품수량!$B$5:$E$27,4,FALSE)</f>
        <v>CRA</v>
      </c>
      <c r="C459" s="104">
        <v>455</v>
      </c>
      <c r="D459" s="104" t="s">
        <v>221</v>
      </c>
      <c r="E459" s="104">
        <v>30118581</v>
      </c>
      <c r="F459" s="104"/>
      <c r="G459" s="104"/>
      <c r="H459" s="104" t="s">
        <v>182</v>
      </c>
      <c r="I459" s="104" t="s">
        <v>183</v>
      </c>
      <c r="J459" s="104">
        <v>10</v>
      </c>
      <c r="K459" s="104">
        <v>10</v>
      </c>
      <c r="L459" s="104">
        <f>VLOOKUP(A459,[1]단품수량!$B$5:$P$27,13,FALSE)*K459</f>
        <v>410</v>
      </c>
      <c r="M459" s="104" t="s">
        <v>107</v>
      </c>
      <c r="N459" s="101" t="s">
        <v>91</v>
      </c>
      <c r="O459" s="105">
        <v>900</v>
      </c>
      <c r="P459" s="105">
        <f t="shared" si="12"/>
        <v>9000</v>
      </c>
      <c r="Q459" s="104" t="s">
        <v>108</v>
      </c>
    </row>
    <row r="460" spans="1:17" ht="18" customHeight="1">
      <c r="A460" s="107">
        <v>10005986</v>
      </c>
      <c r="B460" s="104" t="str">
        <f>VLOOKUP(A460,[1]단품수량!$B$5:$E$27,4,FALSE)</f>
        <v>CRA</v>
      </c>
      <c r="C460" s="104">
        <v>456</v>
      </c>
      <c r="D460" s="104" t="s">
        <v>351</v>
      </c>
      <c r="E460" s="104">
        <v>30118559</v>
      </c>
      <c r="F460" s="104"/>
      <c r="G460" s="104"/>
      <c r="H460" s="104" t="s">
        <v>614</v>
      </c>
      <c r="I460" s="104" t="s">
        <v>615</v>
      </c>
      <c r="J460" s="104">
        <v>1</v>
      </c>
      <c r="K460" s="104">
        <v>1</v>
      </c>
      <c r="L460" s="104">
        <f>VLOOKUP(A460,[1]단품수량!$B$5:$P$27,13,FALSE)*K460</f>
        <v>41</v>
      </c>
      <c r="M460" s="104" t="s">
        <v>107</v>
      </c>
      <c r="N460" s="101" t="s">
        <v>91</v>
      </c>
      <c r="O460" s="105">
        <v>44800</v>
      </c>
      <c r="P460" s="105">
        <f t="shared" si="12"/>
        <v>44800</v>
      </c>
      <c r="Q460" s="104" t="s">
        <v>108</v>
      </c>
    </row>
    <row r="461" spans="1:17" ht="18" customHeight="1">
      <c r="A461" s="107">
        <v>10005986</v>
      </c>
      <c r="B461" s="104" t="str">
        <f>VLOOKUP(A461,[1]단품수량!$B$5:$E$27,4,FALSE)</f>
        <v>CRA</v>
      </c>
      <c r="C461" s="104">
        <v>457</v>
      </c>
      <c r="D461" s="104" t="s">
        <v>353</v>
      </c>
      <c r="E461" s="104">
        <v>30118573</v>
      </c>
      <c r="F461" s="104"/>
      <c r="G461" s="104"/>
      <c r="H461" s="104" t="s">
        <v>177</v>
      </c>
      <c r="I461" s="104" t="s">
        <v>178</v>
      </c>
      <c r="J461" s="104">
        <v>10</v>
      </c>
      <c r="K461" s="104">
        <v>10</v>
      </c>
      <c r="L461" s="104">
        <f>VLOOKUP(A461,[1]단품수량!$B$5:$P$27,13,FALSE)*K461</f>
        <v>410</v>
      </c>
      <c r="M461" s="104" t="s">
        <v>107</v>
      </c>
      <c r="N461" s="101" t="s">
        <v>91</v>
      </c>
      <c r="O461" s="105">
        <v>1000</v>
      </c>
      <c r="P461" s="105">
        <f t="shared" si="12"/>
        <v>10000</v>
      </c>
      <c r="Q461" s="104" t="s">
        <v>108</v>
      </c>
    </row>
    <row r="462" spans="1:17" ht="18" customHeight="1">
      <c r="A462" s="107">
        <v>10005986</v>
      </c>
      <c r="B462" s="104" t="str">
        <f>VLOOKUP(A462,[1]단품수량!$B$5:$E$27,4,FALSE)</f>
        <v>CRA</v>
      </c>
      <c r="C462" s="104">
        <v>458</v>
      </c>
      <c r="D462" s="104" t="s">
        <v>355</v>
      </c>
      <c r="E462" s="104">
        <v>30118569</v>
      </c>
      <c r="F462" s="104"/>
      <c r="G462" s="104"/>
      <c r="H462" s="104" t="s">
        <v>119</v>
      </c>
      <c r="I462" s="104" t="s">
        <v>120</v>
      </c>
      <c r="J462" s="104">
        <v>14</v>
      </c>
      <c r="K462" s="104">
        <v>14</v>
      </c>
      <c r="L462" s="104">
        <f>VLOOKUP(A462,[1]단품수량!$B$5:$P$27,13,FALSE)*K462</f>
        <v>574</v>
      </c>
      <c r="M462" s="104" t="s">
        <v>107</v>
      </c>
      <c r="N462" s="101" t="s">
        <v>91</v>
      </c>
      <c r="O462" s="105">
        <v>400</v>
      </c>
      <c r="P462" s="105">
        <f t="shared" si="12"/>
        <v>5600</v>
      </c>
      <c r="Q462" s="104" t="s">
        <v>108</v>
      </c>
    </row>
    <row r="463" spans="1:17" ht="18" customHeight="1">
      <c r="A463" s="107">
        <v>10005986</v>
      </c>
      <c r="B463" s="104" t="str">
        <f>VLOOKUP(A463,[1]단품수량!$B$5:$E$27,4,FALSE)</f>
        <v>CRA</v>
      </c>
      <c r="C463" s="104">
        <v>459</v>
      </c>
      <c r="D463" s="104" t="s">
        <v>357</v>
      </c>
      <c r="E463" s="104">
        <v>20061701</v>
      </c>
      <c r="F463" s="104" t="s">
        <v>616</v>
      </c>
      <c r="G463" s="104"/>
      <c r="H463" s="104" t="s">
        <v>617</v>
      </c>
      <c r="I463" s="104" t="s">
        <v>238</v>
      </c>
      <c r="J463" s="104">
        <v>1</v>
      </c>
      <c r="K463" s="104">
        <v>1</v>
      </c>
      <c r="L463" s="104">
        <f>VLOOKUP(A463,[1]단품수량!$B$5:$P$27,13,FALSE)*K463</f>
        <v>41</v>
      </c>
      <c r="M463" s="104" t="s">
        <v>99</v>
      </c>
      <c r="N463" s="101"/>
      <c r="O463" s="105">
        <v>0</v>
      </c>
      <c r="P463" s="105">
        <f t="shared" si="12"/>
        <v>0</v>
      </c>
      <c r="Q463" s="104"/>
    </row>
    <row r="464" spans="1:17" ht="18" customHeight="1">
      <c r="A464" s="107">
        <v>10005986</v>
      </c>
      <c r="B464" s="104" t="str">
        <f>VLOOKUP(A464,[1]단품수량!$B$5:$E$27,4,FALSE)</f>
        <v>CRA</v>
      </c>
      <c r="C464" s="104">
        <v>460</v>
      </c>
      <c r="D464" s="104" t="s">
        <v>529</v>
      </c>
      <c r="E464" s="104">
        <v>30054014</v>
      </c>
      <c r="F464" s="104"/>
      <c r="G464" s="104"/>
      <c r="H464" s="104" t="s">
        <v>143</v>
      </c>
      <c r="I464" s="104" t="s">
        <v>207</v>
      </c>
      <c r="J464" s="104">
        <v>2</v>
      </c>
      <c r="K464" s="104">
        <v>2</v>
      </c>
      <c r="L464" s="104">
        <f>VLOOKUP(A464,[1]단품수량!$B$5:$P$27,13,FALSE)*K464</f>
        <v>82</v>
      </c>
      <c r="M464" s="104" t="s">
        <v>99</v>
      </c>
      <c r="N464" s="101" t="s">
        <v>91</v>
      </c>
      <c r="O464" s="105">
        <v>330</v>
      </c>
      <c r="P464" s="105">
        <f t="shared" si="12"/>
        <v>660</v>
      </c>
      <c r="Q464" s="104" t="s">
        <v>108</v>
      </c>
    </row>
    <row r="465" spans="1:17" ht="18" customHeight="1">
      <c r="A465" s="107">
        <v>10005986</v>
      </c>
      <c r="B465" s="104" t="str">
        <f>VLOOKUP(A465,[1]단품수량!$B$5:$E$27,4,FALSE)</f>
        <v>CRA</v>
      </c>
      <c r="C465" s="104">
        <v>461</v>
      </c>
      <c r="D465" s="104" t="s">
        <v>532</v>
      </c>
      <c r="E465" s="104">
        <v>30118492</v>
      </c>
      <c r="F465" s="104"/>
      <c r="G465" s="104"/>
      <c r="H465" s="104" t="s">
        <v>137</v>
      </c>
      <c r="I465" s="104" t="s">
        <v>551</v>
      </c>
      <c r="J465" s="104">
        <v>1</v>
      </c>
      <c r="K465" s="104">
        <v>1</v>
      </c>
      <c r="L465" s="104">
        <f>VLOOKUP(A465,[1]단품수량!$B$5:$P$27,13,FALSE)*K465</f>
        <v>41</v>
      </c>
      <c r="M465" s="104" t="s">
        <v>99</v>
      </c>
      <c r="N465" s="101" t="s">
        <v>91</v>
      </c>
      <c r="O465" s="105">
        <v>120</v>
      </c>
      <c r="P465" s="105">
        <f t="shared" si="12"/>
        <v>120</v>
      </c>
      <c r="Q465" s="104" t="s">
        <v>100</v>
      </c>
    </row>
    <row r="466" spans="1:17" ht="18" customHeight="1">
      <c r="A466" s="107">
        <v>10005986</v>
      </c>
      <c r="B466" s="104" t="str">
        <f>VLOOKUP(A466,[1]단품수량!$B$5:$E$27,4,FALSE)</f>
        <v>CRA</v>
      </c>
      <c r="C466" s="104">
        <v>462</v>
      </c>
      <c r="D466" s="104" t="s">
        <v>550</v>
      </c>
      <c r="E466" s="104">
        <v>30118491</v>
      </c>
      <c r="F466" s="104"/>
      <c r="G466" s="104"/>
      <c r="H466" s="104" t="s">
        <v>137</v>
      </c>
      <c r="I466" s="104" t="s">
        <v>618</v>
      </c>
      <c r="J466" s="104">
        <v>1</v>
      </c>
      <c r="K466" s="104">
        <v>1</v>
      </c>
      <c r="L466" s="104">
        <f>VLOOKUP(A466,[1]단품수량!$B$5:$P$27,13,FALSE)*K466</f>
        <v>41</v>
      </c>
      <c r="M466" s="104" t="s">
        <v>99</v>
      </c>
      <c r="N466" s="101" t="s">
        <v>91</v>
      </c>
      <c r="O466" s="105">
        <v>72</v>
      </c>
      <c r="P466" s="105">
        <f t="shared" si="12"/>
        <v>72</v>
      </c>
      <c r="Q466" s="104" t="s">
        <v>100</v>
      </c>
    </row>
    <row r="467" spans="1:17" ht="18" customHeight="1">
      <c r="A467" s="107">
        <v>10005986</v>
      </c>
      <c r="B467" s="104" t="str">
        <f>VLOOKUP(A467,[1]단품수량!$B$5:$E$27,4,FALSE)</f>
        <v>CRA</v>
      </c>
      <c r="C467" s="104">
        <v>463</v>
      </c>
      <c r="D467" s="104" t="s">
        <v>552</v>
      </c>
      <c r="E467" s="104">
        <v>30118479</v>
      </c>
      <c r="F467" s="104"/>
      <c r="G467" s="104"/>
      <c r="H467" s="104" t="s">
        <v>498</v>
      </c>
      <c r="I467" s="104" t="s">
        <v>499</v>
      </c>
      <c r="J467" s="104">
        <v>16</v>
      </c>
      <c r="K467" s="104">
        <v>16</v>
      </c>
      <c r="L467" s="104">
        <f>VLOOKUP(A467,[1]단품수량!$B$5:$P$27,13,FALSE)*K467</f>
        <v>656</v>
      </c>
      <c r="M467" s="104" t="s">
        <v>99</v>
      </c>
      <c r="N467" s="101" t="s">
        <v>91</v>
      </c>
      <c r="O467" s="105">
        <v>12</v>
      </c>
      <c r="P467" s="105">
        <f t="shared" si="12"/>
        <v>192</v>
      </c>
      <c r="Q467" s="104" t="s">
        <v>100</v>
      </c>
    </row>
    <row r="468" spans="1:17" ht="18" customHeight="1">
      <c r="A468" s="107">
        <v>10005986</v>
      </c>
      <c r="B468" s="104" t="str">
        <f>VLOOKUP(A468,[1]단품수량!$B$5:$E$27,4,FALSE)</f>
        <v>CRA</v>
      </c>
      <c r="C468" s="104">
        <v>464</v>
      </c>
      <c r="D468" s="104" t="s">
        <v>359</v>
      </c>
      <c r="E468" s="104">
        <v>30118520</v>
      </c>
      <c r="F468" s="104"/>
      <c r="G468" s="104"/>
      <c r="H468" s="104" t="s">
        <v>609</v>
      </c>
      <c r="I468" s="104" t="s">
        <v>610</v>
      </c>
      <c r="J468" s="104">
        <v>1</v>
      </c>
      <c r="K468" s="104">
        <v>1</v>
      </c>
      <c r="L468" s="104">
        <f>VLOOKUP(A468,[1]단품수량!$B$5:$P$27,13,FALSE)*K468</f>
        <v>41</v>
      </c>
      <c r="M468" s="104" t="s">
        <v>99</v>
      </c>
      <c r="N468" s="101" t="s">
        <v>91</v>
      </c>
      <c r="O468" s="105">
        <v>1480000</v>
      </c>
      <c r="P468" s="105">
        <f t="shared" si="12"/>
        <v>1480000</v>
      </c>
      <c r="Q468" s="104" t="s">
        <v>388</v>
      </c>
    </row>
    <row r="469" spans="1:17" ht="18" customHeight="1">
      <c r="A469" s="107">
        <v>10005986</v>
      </c>
      <c r="B469" s="104" t="str">
        <f>VLOOKUP(A469,[1]단품수량!$B$5:$E$27,4,FALSE)</f>
        <v>CRA</v>
      </c>
      <c r="C469" s="104">
        <v>465</v>
      </c>
      <c r="D469" s="104" t="s">
        <v>361</v>
      </c>
      <c r="E469" s="104">
        <v>30124019</v>
      </c>
      <c r="F469" s="104" t="s">
        <v>619</v>
      </c>
      <c r="G469" s="104"/>
      <c r="H469" s="104" t="s">
        <v>500</v>
      </c>
      <c r="I469" s="104" t="s">
        <v>620</v>
      </c>
      <c r="J469" s="104">
        <v>4</v>
      </c>
      <c r="K469" s="104">
        <v>4</v>
      </c>
      <c r="L469" s="104">
        <f>VLOOKUP(A469,[1]단품수량!$B$5:$P$27,13,FALSE)*K469</f>
        <v>164</v>
      </c>
      <c r="M469" s="104" t="s">
        <v>90</v>
      </c>
      <c r="N469" s="101" t="s">
        <v>91</v>
      </c>
      <c r="O469" s="105">
        <v>500</v>
      </c>
      <c r="P469" s="105">
        <f t="shared" si="12"/>
        <v>2000</v>
      </c>
      <c r="Q469" s="104" t="s">
        <v>621</v>
      </c>
    </row>
    <row r="470" spans="1:17" ht="18" customHeight="1">
      <c r="A470" s="107">
        <v>10005986</v>
      </c>
      <c r="B470" s="104" t="str">
        <f>VLOOKUP(A470,[1]단품수량!$B$5:$E$27,4,FALSE)</f>
        <v>CRA</v>
      </c>
      <c r="C470" s="104">
        <v>466</v>
      </c>
      <c r="D470" s="104" t="s">
        <v>126</v>
      </c>
      <c r="E470" s="104">
        <v>30120678</v>
      </c>
      <c r="F470" s="104" t="s">
        <v>622</v>
      </c>
      <c r="G470" s="104"/>
      <c r="H470" s="104" t="s">
        <v>623</v>
      </c>
      <c r="I470" s="104" t="s">
        <v>89</v>
      </c>
      <c r="J470" s="104">
        <v>1</v>
      </c>
      <c r="K470" s="104">
        <v>1</v>
      </c>
      <c r="L470" s="104">
        <f>VLOOKUP(A470,[1]단품수량!$B$5:$P$27,13,FALSE)*K470</f>
        <v>41</v>
      </c>
      <c r="M470" s="104" t="s">
        <v>205</v>
      </c>
      <c r="N470" s="101" t="s">
        <v>91</v>
      </c>
      <c r="O470" s="105">
        <v>0</v>
      </c>
      <c r="P470" s="105">
        <f t="shared" si="12"/>
        <v>0</v>
      </c>
      <c r="Q470" s="104" t="s">
        <v>336</v>
      </c>
    </row>
    <row r="471" spans="1:17" ht="18" customHeight="1">
      <c r="A471" s="107">
        <v>10005986</v>
      </c>
      <c r="B471" s="104" t="str">
        <f>VLOOKUP(A471,[1]단품수량!$B$5:$E$27,4,FALSE)</f>
        <v>CRA</v>
      </c>
      <c r="C471" s="104">
        <v>467</v>
      </c>
      <c r="D471" s="104" t="s">
        <v>149</v>
      </c>
      <c r="E471" s="104">
        <v>20061611</v>
      </c>
      <c r="F471" s="104" t="s">
        <v>624</v>
      </c>
      <c r="G471" s="104"/>
      <c r="H471" s="104" t="s">
        <v>625</v>
      </c>
      <c r="I471" s="104" t="s">
        <v>528</v>
      </c>
      <c r="J471" s="104">
        <v>1</v>
      </c>
      <c r="K471" s="104">
        <v>1</v>
      </c>
      <c r="L471" s="104">
        <f>VLOOKUP(A471,[1]단품수량!$B$5:$P$27,13,FALSE)*K471</f>
        <v>41</v>
      </c>
      <c r="M471" s="104" t="s">
        <v>90</v>
      </c>
      <c r="N471" s="101" t="s">
        <v>91</v>
      </c>
      <c r="O471" s="105">
        <v>0</v>
      </c>
      <c r="P471" s="105">
        <f t="shared" si="12"/>
        <v>0</v>
      </c>
      <c r="Q471" s="104" t="s">
        <v>136</v>
      </c>
    </row>
    <row r="472" spans="1:17" ht="18" customHeight="1">
      <c r="A472" s="107">
        <v>10005986</v>
      </c>
      <c r="B472" s="104" t="str">
        <f>VLOOKUP(A472,[1]단품수량!$B$5:$E$27,4,FALSE)</f>
        <v>CRA</v>
      </c>
      <c r="C472" s="104">
        <v>468</v>
      </c>
      <c r="D472" s="104" t="s">
        <v>529</v>
      </c>
      <c r="E472" s="104">
        <v>30120759</v>
      </c>
      <c r="F472" s="104"/>
      <c r="G472" s="104"/>
      <c r="H472" s="104" t="s">
        <v>530</v>
      </c>
      <c r="I472" s="104" t="s">
        <v>531</v>
      </c>
      <c r="J472" s="104">
        <v>1</v>
      </c>
      <c r="K472" s="104">
        <v>1</v>
      </c>
      <c r="L472" s="104">
        <f>VLOOKUP(A472,[1]단품수량!$B$5:$P$27,13,FALSE)*K472</f>
        <v>41</v>
      </c>
      <c r="M472" s="104" t="s">
        <v>99</v>
      </c>
      <c r="N472" s="101" t="s">
        <v>91</v>
      </c>
      <c r="O472" s="105">
        <v>0</v>
      </c>
      <c r="P472" s="105">
        <f t="shared" si="12"/>
        <v>0</v>
      </c>
      <c r="Q472" s="104" t="s">
        <v>136</v>
      </c>
    </row>
    <row r="473" spans="1:17" ht="18" customHeight="1">
      <c r="A473" s="107">
        <v>10005986</v>
      </c>
      <c r="B473" s="104" t="str">
        <f>VLOOKUP(A473,[1]단품수량!$B$5:$E$27,4,FALSE)</f>
        <v>CRA</v>
      </c>
      <c r="C473" s="104">
        <v>469</v>
      </c>
      <c r="D473" s="104" t="s">
        <v>532</v>
      </c>
      <c r="E473" s="104">
        <v>30120760</v>
      </c>
      <c r="F473" s="104"/>
      <c r="G473" s="104"/>
      <c r="H473" s="104" t="s">
        <v>533</v>
      </c>
      <c r="I473" s="104" t="s">
        <v>534</v>
      </c>
      <c r="J473" s="104">
        <v>1</v>
      </c>
      <c r="K473" s="104">
        <v>1</v>
      </c>
      <c r="L473" s="104">
        <f>VLOOKUP(A473,[1]단품수량!$B$5:$P$27,13,FALSE)*K473</f>
        <v>41</v>
      </c>
      <c r="M473" s="104" t="s">
        <v>99</v>
      </c>
      <c r="N473" s="101" t="s">
        <v>91</v>
      </c>
      <c r="O473" s="105">
        <v>0</v>
      </c>
      <c r="P473" s="105">
        <f t="shared" si="12"/>
        <v>0</v>
      </c>
      <c r="Q473" s="104" t="s">
        <v>336</v>
      </c>
    </row>
    <row r="474" spans="1:17" ht="18" customHeight="1">
      <c r="A474" s="107">
        <v>10005986</v>
      </c>
      <c r="B474" s="104" t="str">
        <f>VLOOKUP(A474,[1]단품수량!$B$5:$E$27,4,FALSE)</f>
        <v>CRA</v>
      </c>
      <c r="C474" s="104">
        <v>470</v>
      </c>
      <c r="D474" s="104" t="s">
        <v>152</v>
      </c>
      <c r="E474" s="104">
        <v>30120979</v>
      </c>
      <c r="F474" s="104"/>
      <c r="G474" s="104"/>
      <c r="H474" s="104" t="s">
        <v>626</v>
      </c>
      <c r="I474" s="104" t="s">
        <v>89</v>
      </c>
      <c r="J474" s="104">
        <v>1</v>
      </c>
      <c r="K474" s="104">
        <v>1</v>
      </c>
      <c r="L474" s="104">
        <f>VLOOKUP(A474,[1]단품수량!$B$5:$P$27,13,FALSE)*K474</f>
        <v>41</v>
      </c>
      <c r="M474" s="104" t="s">
        <v>90</v>
      </c>
      <c r="N474" s="101" t="s">
        <v>91</v>
      </c>
      <c r="O474" s="105">
        <v>318000</v>
      </c>
      <c r="P474" s="105">
        <f t="shared" si="12"/>
        <v>318000</v>
      </c>
      <c r="Q474" s="104" t="s">
        <v>543</v>
      </c>
    </row>
    <row r="475" spans="1:17" ht="18" customHeight="1">
      <c r="A475" s="107">
        <v>10005986</v>
      </c>
      <c r="B475" s="104" t="str">
        <f>VLOOKUP(A475,[1]단품수량!$B$5:$E$27,4,FALSE)</f>
        <v>CRA</v>
      </c>
      <c r="C475" s="104">
        <v>471</v>
      </c>
      <c r="D475" s="104" t="s">
        <v>208</v>
      </c>
      <c r="E475" s="104">
        <v>20061621</v>
      </c>
      <c r="F475" s="104" t="s">
        <v>627</v>
      </c>
      <c r="G475" s="104"/>
      <c r="H475" s="104" t="s">
        <v>628</v>
      </c>
      <c r="I475" s="104" t="s">
        <v>89</v>
      </c>
      <c r="J475" s="104">
        <v>1</v>
      </c>
      <c r="K475" s="104">
        <v>1</v>
      </c>
      <c r="L475" s="104">
        <f>VLOOKUP(A475,[1]단품수량!$B$5:$P$27,13,FALSE)*K475</f>
        <v>41</v>
      </c>
      <c r="M475" s="104" t="s">
        <v>205</v>
      </c>
      <c r="N475" s="101" t="s">
        <v>91</v>
      </c>
      <c r="O475" s="105">
        <v>0</v>
      </c>
      <c r="P475" s="105">
        <f t="shared" si="12"/>
        <v>0</v>
      </c>
      <c r="Q475" s="104" t="s">
        <v>336</v>
      </c>
    </row>
    <row r="476" spans="1:17" ht="18" customHeight="1">
      <c r="A476" s="107">
        <v>10005986</v>
      </c>
      <c r="B476" s="104" t="str">
        <f>VLOOKUP(A476,[1]단품수량!$B$5:$E$27,4,FALSE)</f>
        <v>CRA</v>
      </c>
      <c r="C476" s="104">
        <v>472</v>
      </c>
      <c r="D476" s="104" t="s">
        <v>210</v>
      </c>
      <c r="E476" s="104">
        <v>20061631</v>
      </c>
      <c r="F476" s="104" t="s">
        <v>629</v>
      </c>
      <c r="G476" s="104"/>
      <c r="H476" s="104" t="s">
        <v>630</v>
      </c>
      <c r="I476" s="104" t="s">
        <v>89</v>
      </c>
      <c r="J476" s="104">
        <v>1</v>
      </c>
      <c r="K476" s="104">
        <v>1</v>
      </c>
      <c r="L476" s="104">
        <f>VLOOKUP(A476,[1]단품수량!$B$5:$P$27,13,FALSE)*K476</f>
        <v>41</v>
      </c>
      <c r="M476" s="104" t="s">
        <v>90</v>
      </c>
      <c r="N476" s="101" t="s">
        <v>91</v>
      </c>
      <c r="O476" s="105">
        <v>0</v>
      </c>
      <c r="P476" s="105">
        <f t="shared" si="12"/>
        <v>0</v>
      </c>
      <c r="Q476" s="104" t="s">
        <v>336</v>
      </c>
    </row>
    <row r="477" spans="1:17" ht="18" customHeight="1">
      <c r="A477" s="107">
        <v>10005986</v>
      </c>
      <c r="B477" s="104" t="str">
        <f>VLOOKUP(A477,[1]단품수량!$B$5:$E$27,4,FALSE)</f>
        <v>CRA</v>
      </c>
      <c r="C477" s="104">
        <v>473</v>
      </c>
      <c r="D477" s="104" t="s">
        <v>213</v>
      </c>
      <c r="E477" s="104">
        <v>30120234</v>
      </c>
      <c r="F477" s="104"/>
      <c r="G477" s="104"/>
      <c r="H477" s="104" t="s">
        <v>562</v>
      </c>
      <c r="I477" s="104" t="s">
        <v>563</v>
      </c>
      <c r="J477" s="104">
        <v>6</v>
      </c>
      <c r="K477" s="104">
        <v>6</v>
      </c>
      <c r="L477" s="104">
        <f>VLOOKUP(A477,[1]단품수량!$B$5:$P$27,13,FALSE)*K477</f>
        <v>246</v>
      </c>
      <c r="M477" s="104" t="s">
        <v>99</v>
      </c>
      <c r="N477" s="101" t="s">
        <v>91</v>
      </c>
      <c r="O477" s="105">
        <v>650</v>
      </c>
      <c r="P477" s="105">
        <f t="shared" si="12"/>
        <v>3900</v>
      </c>
      <c r="Q477" s="104" t="s">
        <v>100</v>
      </c>
    </row>
    <row r="478" spans="1:17" ht="18" customHeight="1">
      <c r="A478" s="107">
        <v>10005986</v>
      </c>
      <c r="B478" s="104" t="str">
        <f>VLOOKUP(A478,[1]단품수량!$B$5:$E$27,4,FALSE)</f>
        <v>CRA</v>
      </c>
      <c r="C478" s="104">
        <v>474</v>
      </c>
      <c r="D478" s="104" t="s">
        <v>181</v>
      </c>
      <c r="E478" s="104">
        <v>30120679</v>
      </c>
      <c r="F478" s="104" t="s">
        <v>631</v>
      </c>
      <c r="G478" s="104"/>
      <c r="H478" s="104" t="s">
        <v>632</v>
      </c>
      <c r="I478" s="104" t="s">
        <v>89</v>
      </c>
      <c r="J478" s="104">
        <v>1</v>
      </c>
      <c r="K478" s="104">
        <v>1</v>
      </c>
      <c r="L478" s="104">
        <f>VLOOKUP(A478,[1]단품수량!$B$5:$P$27,13,FALSE)*K478</f>
        <v>41</v>
      </c>
      <c r="M478" s="104" t="s">
        <v>205</v>
      </c>
      <c r="N478" s="101" t="s">
        <v>91</v>
      </c>
      <c r="O478" s="105">
        <v>0</v>
      </c>
      <c r="P478" s="105">
        <f t="shared" si="12"/>
        <v>0</v>
      </c>
      <c r="Q478" s="104" t="s">
        <v>336</v>
      </c>
    </row>
    <row r="479" spans="1:17" ht="18" customHeight="1">
      <c r="A479" s="107">
        <v>10005986</v>
      </c>
      <c r="B479" s="104" t="str">
        <f>VLOOKUP(A479,[1]단품수량!$B$5:$E$27,4,FALSE)</f>
        <v>CRA</v>
      </c>
      <c r="C479" s="104">
        <v>475</v>
      </c>
      <c r="D479" s="104" t="s">
        <v>149</v>
      </c>
      <c r="E479" s="104">
        <v>20061612</v>
      </c>
      <c r="F479" s="104" t="s">
        <v>633</v>
      </c>
      <c r="G479" s="104"/>
      <c r="H479" s="104" t="s">
        <v>634</v>
      </c>
      <c r="I479" s="104" t="s">
        <v>528</v>
      </c>
      <c r="J479" s="104">
        <v>1</v>
      </c>
      <c r="K479" s="104">
        <v>1</v>
      </c>
      <c r="L479" s="104">
        <f>VLOOKUP(A479,[1]단품수량!$B$5:$P$27,13,FALSE)*K479</f>
        <v>41</v>
      </c>
      <c r="M479" s="104" t="s">
        <v>90</v>
      </c>
      <c r="N479" s="101" t="s">
        <v>91</v>
      </c>
      <c r="O479" s="105">
        <v>0</v>
      </c>
      <c r="P479" s="105">
        <f t="shared" si="12"/>
        <v>0</v>
      </c>
      <c r="Q479" s="104" t="s">
        <v>136</v>
      </c>
    </row>
    <row r="480" spans="1:17" ht="18" customHeight="1">
      <c r="A480" s="107">
        <v>10005986</v>
      </c>
      <c r="B480" s="104" t="str">
        <f>VLOOKUP(A480,[1]단품수량!$B$5:$E$27,4,FALSE)</f>
        <v>CRA</v>
      </c>
      <c r="C480" s="104">
        <v>476</v>
      </c>
      <c r="D480" s="104" t="s">
        <v>529</v>
      </c>
      <c r="E480" s="104">
        <v>30120759</v>
      </c>
      <c r="F480" s="104"/>
      <c r="G480" s="104"/>
      <c r="H480" s="104" t="s">
        <v>530</v>
      </c>
      <c r="I480" s="104" t="s">
        <v>531</v>
      </c>
      <c r="J480" s="104">
        <v>1</v>
      </c>
      <c r="K480" s="104">
        <v>1</v>
      </c>
      <c r="L480" s="104">
        <f>VLOOKUP(A480,[1]단품수량!$B$5:$P$27,13,FALSE)*K480</f>
        <v>41</v>
      </c>
      <c r="M480" s="104" t="s">
        <v>99</v>
      </c>
      <c r="N480" s="101" t="s">
        <v>91</v>
      </c>
      <c r="O480" s="105">
        <v>0</v>
      </c>
      <c r="P480" s="105">
        <f t="shared" si="12"/>
        <v>0</v>
      </c>
      <c r="Q480" s="104" t="s">
        <v>136</v>
      </c>
    </row>
    <row r="481" spans="1:17" ht="18" customHeight="1">
      <c r="A481" s="107">
        <v>10005986</v>
      </c>
      <c r="B481" s="104" t="str">
        <f>VLOOKUP(A481,[1]단품수량!$B$5:$E$27,4,FALSE)</f>
        <v>CRA</v>
      </c>
      <c r="C481" s="104">
        <v>477</v>
      </c>
      <c r="D481" s="104" t="s">
        <v>532</v>
      </c>
      <c r="E481" s="104">
        <v>30120760</v>
      </c>
      <c r="F481" s="104"/>
      <c r="G481" s="104"/>
      <c r="H481" s="104" t="s">
        <v>533</v>
      </c>
      <c r="I481" s="104" t="s">
        <v>534</v>
      </c>
      <c r="J481" s="104">
        <v>1</v>
      </c>
      <c r="K481" s="104">
        <v>1</v>
      </c>
      <c r="L481" s="104">
        <f>VLOOKUP(A481,[1]단품수량!$B$5:$P$27,13,FALSE)*K481</f>
        <v>41</v>
      </c>
      <c r="M481" s="104" t="s">
        <v>99</v>
      </c>
      <c r="N481" s="101" t="s">
        <v>91</v>
      </c>
      <c r="O481" s="105">
        <v>0</v>
      </c>
      <c r="P481" s="105">
        <f t="shared" si="12"/>
        <v>0</v>
      </c>
      <c r="Q481" s="104" t="s">
        <v>336</v>
      </c>
    </row>
    <row r="482" spans="1:17" ht="18" customHeight="1">
      <c r="A482" s="107">
        <v>10005986</v>
      </c>
      <c r="B482" s="104" t="str">
        <f>VLOOKUP(A482,[1]단품수량!$B$5:$E$27,4,FALSE)</f>
        <v>CRA</v>
      </c>
      <c r="C482" s="104">
        <v>478</v>
      </c>
      <c r="D482" s="104" t="s">
        <v>152</v>
      </c>
      <c r="E482" s="104">
        <v>30120980</v>
      </c>
      <c r="F482" s="104"/>
      <c r="G482" s="104"/>
      <c r="H482" s="104" t="s">
        <v>635</v>
      </c>
      <c r="I482" s="104" t="s">
        <v>89</v>
      </c>
      <c r="J482" s="104">
        <v>1</v>
      </c>
      <c r="K482" s="104">
        <v>1</v>
      </c>
      <c r="L482" s="104">
        <f>VLOOKUP(A482,[1]단품수량!$B$5:$P$27,13,FALSE)*K482</f>
        <v>41</v>
      </c>
      <c r="M482" s="104" t="s">
        <v>90</v>
      </c>
      <c r="N482" s="101" t="s">
        <v>91</v>
      </c>
      <c r="O482" s="105">
        <v>305000</v>
      </c>
      <c r="P482" s="105">
        <f t="shared" si="12"/>
        <v>305000</v>
      </c>
      <c r="Q482" s="104" t="s">
        <v>543</v>
      </c>
    </row>
    <row r="483" spans="1:17" ht="18" customHeight="1">
      <c r="A483" s="107">
        <v>10005986</v>
      </c>
      <c r="B483" s="104" t="str">
        <f>VLOOKUP(A483,[1]단품수량!$B$5:$E$27,4,FALSE)</f>
        <v>CRA</v>
      </c>
      <c r="C483" s="104">
        <v>479</v>
      </c>
      <c r="D483" s="104" t="s">
        <v>208</v>
      </c>
      <c r="E483" s="104">
        <v>20061622</v>
      </c>
      <c r="F483" s="104" t="s">
        <v>636</v>
      </c>
      <c r="G483" s="104"/>
      <c r="H483" s="104" t="s">
        <v>637</v>
      </c>
      <c r="I483" s="104" t="s">
        <v>89</v>
      </c>
      <c r="J483" s="104">
        <v>1</v>
      </c>
      <c r="K483" s="104">
        <v>1</v>
      </c>
      <c r="L483" s="104">
        <f>VLOOKUP(A483,[1]단품수량!$B$5:$P$27,13,FALSE)*K483</f>
        <v>41</v>
      </c>
      <c r="M483" s="104" t="s">
        <v>205</v>
      </c>
      <c r="N483" s="101" t="s">
        <v>91</v>
      </c>
      <c r="O483" s="105">
        <v>0</v>
      </c>
      <c r="P483" s="105">
        <f t="shared" si="12"/>
        <v>0</v>
      </c>
      <c r="Q483" s="104" t="s">
        <v>336</v>
      </c>
    </row>
    <row r="484" spans="1:17" ht="18" customHeight="1">
      <c r="A484" s="107">
        <v>10005986</v>
      </c>
      <c r="B484" s="104" t="str">
        <f>VLOOKUP(A484,[1]단품수량!$B$5:$E$27,4,FALSE)</f>
        <v>CRA</v>
      </c>
      <c r="C484" s="104">
        <v>480</v>
      </c>
      <c r="D484" s="104" t="s">
        <v>210</v>
      </c>
      <c r="E484" s="104">
        <v>20061623</v>
      </c>
      <c r="F484" s="104" t="s">
        <v>638</v>
      </c>
      <c r="G484" s="104"/>
      <c r="H484" s="104" t="s">
        <v>639</v>
      </c>
      <c r="I484" s="104" t="s">
        <v>89</v>
      </c>
      <c r="J484" s="104">
        <v>1</v>
      </c>
      <c r="K484" s="104">
        <v>1</v>
      </c>
      <c r="L484" s="104">
        <f>VLOOKUP(A484,[1]단품수량!$B$5:$P$27,13,FALSE)*K484</f>
        <v>41</v>
      </c>
      <c r="M484" s="104" t="s">
        <v>205</v>
      </c>
      <c r="N484" s="101" t="s">
        <v>91</v>
      </c>
      <c r="O484" s="105">
        <v>0</v>
      </c>
      <c r="P484" s="105">
        <f t="shared" si="12"/>
        <v>0</v>
      </c>
      <c r="Q484" s="104" t="s">
        <v>336</v>
      </c>
    </row>
    <row r="485" spans="1:17" ht="18" customHeight="1">
      <c r="A485" s="107">
        <v>10005986</v>
      </c>
      <c r="B485" s="104" t="str">
        <f>VLOOKUP(A485,[1]단품수량!$B$5:$E$27,4,FALSE)</f>
        <v>CRA</v>
      </c>
      <c r="C485" s="104">
        <v>481</v>
      </c>
      <c r="D485" s="104" t="s">
        <v>213</v>
      </c>
      <c r="E485" s="104">
        <v>20061632</v>
      </c>
      <c r="F485" s="104" t="s">
        <v>640</v>
      </c>
      <c r="G485" s="104"/>
      <c r="H485" s="104" t="s">
        <v>641</v>
      </c>
      <c r="I485" s="104" t="s">
        <v>89</v>
      </c>
      <c r="J485" s="104">
        <v>1</v>
      </c>
      <c r="K485" s="104">
        <v>1</v>
      </c>
      <c r="L485" s="104">
        <f>VLOOKUP(A485,[1]단품수량!$B$5:$P$27,13,FALSE)*K485</f>
        <v>41</v>
      </c>
      <c r="M485" s="104" t="s">
        <v>90</v>
      </c>
      <c r="N485" s="101" t="s">
        <v>91</v>
      </c>
      <c r="O485" s="105">
        <v>0</v>
      </c>
      <c r="P485" s="105">
        <f t="shared" si="12"/>
        <v>0</v>
      </c>
      <c r="Q485" s="104" t="s">
        <v>336</v>
      </c>
    </row>
    <row r="486" spans="1:17" ht="18" customHeight="1">
      <c r="A486" s="107">
        <v>10005986</v>
      </c>
      <c r="B486" s="104" t="str">
        <f>VLOOKUP(A486,[1]단품수량!$B$5:$E$27,4,FALSE)</f>
        <v>CRA</v>
      </c>
      <c r="C486" s="104">
        <v>482</v>
      </c>
      <c r="D486" s="104" t="s">
        <v>184</v>
      </c>
      <c r="E486" s="104">
        <v>30120680</v>
      </c>
      <c r="F486" s="104" t="s">
        <v>642</v>
      </c>
      <c r="G486" s="104"/>
      <c r="H486" s="104" t="s">
        <v>643</v>
      </c>
      <c r="I486" s="104" t="s">
        <v>89</v>
      </c>
      <c r="J486" s="104">
        <v>1</v>
      </c>
      <c r="K486" s="104">
        <v>1</v>
      </c>
      <c r="L486" s="104">
        <f>VLOOKUP(A486,[1]단품수량!$B$5:$P$27,13,FALSE)*K486</f>
        <v>41</v>
      </c>
      <c r="M486" s="104" t="s">
        <v>205</v>
      </c>
      <c r="N486" s="101" t="s">
        <v>91</v>
      </c>
      <c r="O486" s="105">
        <v>0</v>
      </c>
      <c r="P486" s="105">
        <f t="shared" si="12"/>
        <v>0</v>
      </c>
      <c r="Q486" s="104" t="s">
        <v>336</v>
      </c>
    </row>
    <row r="487" spans="1:17" ht="18" customHeight="1">
      <c r="A487" s="107">
        <v>10005986</v>
      </c>
      <c r="B487" s="104" t="str">
        <f>VLOOKUP(A487,[1]단품수량!$B$5:$E$27,4,FALSE)</f>
        <v>CRA</v>
      </c>
      <c r="C487" s="104">
        <v>483</v>
      </c>
      <c r="D487" s="104" t="s">
        <v>149</v>
      </c>
      <c r="E487" s="104">
        <v>20061613</v>
      </c>
      <c r="F487" s="104" t="s">
        <v>644</v>
      </c>
      <c r="G487" s="104"/>
      <c r="H487" s="104" t="s">
        <v>645</v>
      </c>
      <c r="I487" s="104" t="s">
        <v>528</v>
      </c>
      <c r="J487" s="104">
        <v>1</v>
      </c>
      <c r="K487" s="104">
        <v>1</v>
      </c>
      <c r="L487" s="104">
        <f>VLOOKUP(A487,[1]단품수량!$B$5:$P$27,13,FALSE)*K487</f>
        <v>41</v>
      </c>
      <c r="M487" s="104" t="s">
        <v>90</v>
      </c>
      <c r="N487" s="101" t="s">
        <v>91</v>
      </c>
      <c r="O487" s="105">
        <v>0</v>
      </c>
      <c r="P487" s="105">
        <f t="shared" si="12"/>
        <v>0</v>
      </c>
      <c r="Q487" s="104" t="s">
        <v>136</v>
      </c>
    </row>
    <row r="488" spans="1:17" ht="18" customHeight="1">
      <c r="A488" s="107">
        <v>10005986</v>
      </c>
      <c r="B488" s="104" t="str">
        <f>VLOOKUP(A488,[1]단품수량!$B$5:$E$27,4,FALSE)</f>
        <v>CRA</v>
      </c>
      <c r="C488" s="104">
        <v>484</v>
      </c>
      <c r="D488" s="104" t="s">
        <v>529</v>
      </c>
      <c r="E488" s="104">
        <v>30120759</v>
      </c>
      <c r="F488" s="104"/>
      <c r="G488" s="104"/>
      <c r="H488" s="104" t="s">
        <v>530</v>
      </c>
      <c r="I488" s="104" t="s">
        <v>531</v>
      </c>
      <c r="J488" s="104">
        <v>1</v>
      </c>
      <c r="K488" s="104">
        <v>1</v>
      </c>
      <c r="L488" s="104">
        <f>VLOOKUP(A488,[1]단품수량!$B$5:$P$27,13,FALSE)*K488</f>
        <v>41</v>
      </c>
      <c r="M488" s="104" t="s">
        <v>99</v>
      </c>
      <c r="N488" s="101" t="s">
        <v>91</v>
      </c>
      <c r="O488" s="105">
        <v>0</v>
      </c>
      <c r="P488" s="105">
        <f t="shared" si="12"/>
        <v>0</v>
      </c>
      <c r="Q488" s="104" t="s">
        <v>136</v>
      </c>
    </row>
    <row r="489" spans="1:17" ht="18" customHeight="1">
      <c r="A489" s="107">
        <v>10005986</v>
      </c>
      <c r="B489" s="104" t="str">
        <f>VLOOKUP(A489,[1]단품수량!$B$5:$E$27,4,FALSE)</f>
        <v>CRA</v>
      </c>
      <c r="C489" s="104">
        <v>485</v>
      </c>
      <c r="D489" s="104" t="s">
        <v>532</v>
      </c>
      <c r="E489" s="104">
        <v>30120760</v>
      </c>
      <c r="F489" s="104"/>
      <c r="G489" s="104"/>
      <c r="H489" s="104" t="s">
        <v>533</v>
      </c>
      <c r="I489" s="104" t="s">
        <v>534</v>
      </c>
      <c r="J489" s="104">
        <v>2</v>
      </c>
      <c r="K489" s="104">
        <v>2</v>
      </c>
      <c r="L489" s="104">
        <f>VLOOKUP(A489,[1]단품수량!$B$5:$P$27,13,FALSE)*K489</f>
        <v>82</v>
      </c>
      <c r="M489" s="104" t="s">
        <v>99</v>
      </c>
      <c r="N489" s="101" t="s">
        <v>91</v>
      </c>
      <c r="O489" s="105">
        <v>0</v>
      </c>
      <c r="P489" s="105">
        <f t="shared" si="12"/>
        <v>0</v>
      </c>
      <c r="Q489" s="104" t="s">
        <v>336</v>
      </c>
    </row>
    <row r="490" spans="1:17" ht="18" customHeight="1">
      <c r="A490" s="107">
        <v>10005986</v>
      </c>
      <c r="B490" s="104" t="str">
        <f>VLOOKUP(A490,[1]단품수량!$B$5:$E$27,4,FALSE)</f>
        <v>CRA</v>
      </c>
      <c r="C490" s="104">
        <v>486</v>
      </c>
      <c r="D490" s="104" t="s">
        <v>152</v>
      </c>
      <c r="E490" s="104">
        <v>30120981</v>
      </c>
      <c r="F490" s="104" t="s">
        <v>646</v>
      </c>
      <c r="G490" s="104"/>
      <c r="H490" s="104" t="s">
        <v>647</v>
      </c>
      <c r="I490" s="104" t="s">
        <v>89</v>
      </c>
      <c r="J490" s="104">
        <v>1</v>
      </c>
      <c r="K490" s="104">
        <v>1</v>
      </c>
      <c r="L490" s="104">
        <f>VLOOKUP(A490,[1]단품수량!$B$5:$P$27,13,FALSE)*K490</f>
        <v>41</v>
      </c>
      <c r="M490" s="104" t="s">
        <v>90</v>
      </c>
      <c r="N490" s="101" t="s">
        <v>91</v>
      </c>
      <c r="O490" s="105">
        <v>321000</v>
      </c>
      <c r="P490" s="105">
        <f t="shared" si="12"/>
        <v>321000</v>
      </c>
      <c r="Q490" s="104" t="s">
        <v>543</v>
      </c>
    </row>
    <row r="491" spans="1:17" ht="18" customHeight="1">
      <c r="A491" s="107">
        <v>10005986</v>
      </c>
      <c r="B491" s="104" t="str">
        <f>VLOOKUP(A491,[1]단품수량!$B$5:$E$27,4,FALSE)</f>
        <v>CRA</v>
      </c>
      <c r="C491" s="104">
        <v>487</v>
      </c>
      <c r="D491" s="104" t="s">
        <v>529</v>
      </c>
      <c r="E491" s="104">
        <v>30121015</v>
      </c>
      <c r="F491" s="104"/>
      <c r="G491" s="104"/>
      <c r="H491" s="104" t="s">
        <v>648</v>
      </c>
      <c r="I491" s="104" t="s">
        <v>649</v>
      </c>
      <c r="J491" s="104">
        <v>1</v>
      </c>
      <c r="K491" s="104">
        <v>1</v>
      </c>
      <c r="L491" s="104">
        <f>VLOOKUP(A491,[1]단품수량!$B$5:$P$27,13,FALSE)*K491</f>
        <v>41</v>
      </c>
      <c r="M491" s="104" t="s">
        <v>99</v>
      </c>
      <c r="N491" s="101" t="s">
        <v>91</v>
      </c>
      <c r="O491" s="105">
        <v>650</v>
      </c>
      <c r="P491" s="105">
        <f t="shared" si="12"/>
        <v>650</v>
      </c>
      <c r="Q491" s="104" t="s">
        <v>100</v>
      </c>
    </row>
    <row r="492" spans="1:17" ht="18" customHeight="1">
      <c r="A492" s="107">
        <v>10005986</v>
      </c>
      <c r="B492" s="104" t="str">
        <f>VLOOKUP(A492,[1]단품수량!$B$5:$E$27,4,FALSE)</f>
        <v>CRA</v>
      </c>
      <c r="C492" s="104">
        <v>488</v>
      </c>
      <c r="D492" s="104" t="s">
        <v>532</v>
      </c>
      <c r="E492" s="104">
        <v>20061624</v>
      </c>
      <c r="F492" s="104" t="s">
        <v>650</v>
      </c>
      <c r="G492" s="104"/>
      <c r="H492" s="104" t="s">
        <v>651</v>
      </c>
      <c r="I492" s="104" t="s">
        <v>89</v>
      </c>
      <c r="J492" s="104">
        <v>1</v>
      </c>
      <c r="K492" s="104">
        <v>1</v>
      </c>
      <c r="L492" s="104">
        <f>VLOOKUP(A492,[1]단품수량!$B$5:$P$27,13,FALSE)*K492</f>
        <v>41</v>
      </c>
      <c r="M492" s="104" t="s">
        <v>205</v>
      </c>
      <c r="N492" s="101" t="s">
        <v>91</v>
      </c>
      <c r="O492" s="105">
        <v>0</v>
      </c>
      <c r="P492" s="105">
        <f t="shared" ref="P492:P522" si="13">K492*O492</f>
        <v>0</v>
      </c>
      <c r="Q492" s="104" t="s">
        <v>336</v>
      </c>
    </row>
    <row r="493" spans="1:17" ht="18" customHeight="1">
      <c r="A493" s="107">
        <v>10005986</v>
      </c>
      <c r="B493" s="104" t="str">
        <f>VLOOKUP(A493,[1]단품수량!$B$5:$E$27,4,FALSE)</f>
        <v>CRA</v>
      </c>
      <c r="C493" s="104">
        <v>489</v>
      </c>
      <c r="D493" s="104" t="s">
        <v>550</v>
      </c>
      <c r="E493" s="104">
        <v>20061625</v>
      </c>
      <c r="F493" s="104" t="s">
        <v>652</v>
      </c>
      <c r="G493" s="104"/>
      <c r="H493" s="104" t="s">
        <v>653</v>
      </c>
      <c r="I493" s="104" t="s">
        <v>89</v>
      </c>
      <c r="J493" s="104">
        <v>1</v>
      </c>
      <c r="K493" s="104">
        <v>1</v>
      </c>
      <c r="L493" s="104">
        <f>VLOOKUP(A493,[1]단품수량!$B$5:$P$27,13,FALSE)*K493</f>
        <v>41</v>
      </c>
      <c r="M493" s="104" t="s">
        <v>205</v>
      </c>
      <c r="N493" s="101" t="s">
        <v>91</v>
      </c>
      <c r="O493" s="105">
        <v>0</v>
      </c>
      <c r="P493" s="105">
        <f t="shared" si="13"/>
        <v>0</v>
      </c>
      <c r="Q493" s="104" t="s">
        <v>336</v>
      </c>
    </row>
    <row r="494" spans="1:17" ht="18" customHeight="1">
      <c r="A494" s="107">
        <v>10005986</v>
      </c>
      <c r="B494" s="104" t="str">
        <f>VLOOKUP(A494,[1]단품수량!$B$5:$E$27,4,FALSE)</f>
        <v>CRA</v>
      </c>
      <c r="C494" s="104">
        <v>490</v>
      </c>
      <c r="D494" s="104" t="s">
        <v>552</v>
      </c>
      <c r="E494" s="104">
        <v>20061633</v>
      </c>
      <c r="F494" s="104" t="s">
        <v>654</v>
      </c>
      <c r="G494" s="104"/>
      <c r="H494" s="104" t="s">
        <v>655</v>
      </c>
      <c r="I494" s="104" t="s">
        <v>89</v>
      </c>
      <c r="J494" s="104">
        <v>1</v>
      </c>
      <c r="K494" s="104">
        <v>1</v>
      </c>
      <c r="L494" s="104">
        <f>VLOOKUP(A494,[1]단품수량!$B$5:$P$27,13,FALSE)*K494</f>
        <v>41</v>
      </c>
      <c r="M494" s="104" t="s">
        <v>90</v>
      </c>
      <c r="N494" s="101" t="s">
        <v>91</v>
      </c>
      <c r="O494" s="105">
        <v>0</v>
      </c>
      <c r="P494" s="105">
        <f t="shared" si="13"/>
        <v>0</v>
      </c>
      <c r="Q494" s="104" t="s">
        <v>336</v>
      </c>
    </row>
    <row r="495" spans="1:17" ht="18" customHeight="1">
      <c r="A495" s="107">
        <v>10005986</v>
      </c>
      <c r="B495" s="104" t="str">
        <f>VLOOKUP(A495,[1]단품수량!$B$5:$E$27,4,FALSE)</f>
        <v>CRA</v>
      </c>
      <c r="C495" s="104">
        <v>491</v>
      </c>
      <c r="D495" s="104" t="s">
        <v>208</v>
      </c>
      <c r="E495" s="104">
        <v>30120982</v>
      </c>
      <c r="F495" s="104"/>
      <c r="G495" s="104"/>
      <c r="H495" s="104" t="s">
        <v>656</v>
      </c>
      <c r="I495" s="104" t="s">
        <v>89</v>
      </c>
      <c r="J495" s="104">
        <v>1</v>
      </c>
      <c r="K495" s="104">
        <v>1</v>
      </c>
      <c r="L495" s="104">
        <f>VLOOKUP(A495,[1]단품수량!$B$5:$P$27,13,FALSE)*K495</f>
        <v>41</v>
      </c>
      <c r="M495" s="104" t="s">
        <v>90</v>
      </c>
      <c r="N495" s="101" t="s">
        <v>91</v>
      </c>
      <c r="O495" s="105">
        <v>358000</v>
      </c>
      <c r="P495" s="105">
        <f t="shared" si="13"/>
        <v>358000</v>
      </c>
      <c r="Q495" s="104" t="s">
        <v>543</v>
      </c>
    </row>
    <row r="496" spans="1:17" ht="18" customHeight="1">
      <c r="A496" s="107">
        <v>10005986</v>
      </c>
      <c r="B496" s="104" t="str">
        <f>VLOOKUP(A496,[1]단품수량!$B$5:$E$27,4,FALSE)</f>
        <v>CRA</v>
      </c>
      <c r="C496" s="104">
        <v>492</v>
      </c>
      <c r="D496" s="104" t="s">
        <v>529</v>
      </c>
      <c r="E496" s="104">
        <v>30121690</v>
      </c>
      <c r="F496" s="104"/>
      <c r="G496" s="104"/>
      <c r="H496" s="104" t="s">
        <v>186</v>
      </c>
      <c r="I496" s="104" t="s">
        <v>592</v>
      </c>
      <c r="J496" s="104">
        <v>6</v>
      </c>
      <c r="K496" s="104">
        <v>6</v>
      </c>
      <c r="L496" s="104">
        <f>VLOOKUP(A496,[1]단품수량!$B$5:$P$27,13,FALSE)*K496</f>
        <v>246</v>
      </c>
      <c r="M496" s="104" t="s">
        <v>107</v>
      </c>
      <c r="N496" s="101" t="s">
        <v>91</v>
      </c>
      <c r="O496" s="105">
        <v>34000</v>
      </c>
      <c r="P496" s="105">
        <f t="shared" si="13"/>
        <v>204000</v>
      </c>
      <c r="Q496" s="104" t="s">
        <v>188</v>
      </c>
    </row>
    <row r="497" spans="1:17" ht="18" customHeight="1">
      <c r="A497" s="107">
        <v>10005986</v>
      </c>
      <c r="B497" s="104" t="str">
        <f>VLOOKUP(A497,[1]단품수량!$B$5:$E$27,4,FALSE)</f>
        <v>CRA</v>
      </c>
      <c r="C497" s="104">
        <v>493</v>
      </c>
      <c r="D497" s="104" t="s">
        <v>532</v>
      </c>
      <c r="E497" s="104">
        <v>30121672</v>
      </c>
      <c r="F497" s="104"/>
      <c r="G497" s="104"/>
      <c r="H497" s="104" t="s">
        <v>189</v>
      </c>
      <c r="I497" s="104" t="s">
        <v>190</v>
      </c>
      <c r="J497" s="104">
        <v>6</v>
      </c>
      <c r="K497" s="104">
        <v>6</v>
      </c>
      <c r="L497" s="104">
        <f>VLOOKUP(A497,[1]단품수량!$B$5:$P$27,13,FALSE)*K497</f>
        <v>246</v>
      </c>
      <c r="M497" s="104" t="s">
        <v>99</v>
      </c>
      <c r="N497" s="101" t="s">
        <v>91</v>
      </c>
      <c r="O497" s="105">
        <v>320</v>
      </c>
      <c r="P497" s="105">
        <f t="shared" si="13"/>
        <v>1920</v>
      </c>
      <c r="Q497" s="104" t="s">
        <v>188</v>
      </c>
    </row>
    <row r="498" spans="1:17" ht="18" customHeight="1">
      <c r="A498" s="107">
        <v>10005986</v>
      </c>
      <c r="B498" s="104" t="str">
        <f>VLOOKUP(A498,[1]단품수량!$B$5:$E$27,4,FALSE)</f>
        <v>CRA</v>
      </c>
      <c r="C498" s="104">
        <v>494</v>
      </c>
      <c r="D498" s="104" t="s">
        <v>550</v>
      </c>
      <c r="E498" s="104">
        <v>20061626</v>
      </c>
      <c r="F498" s="104" t="s">
        <v>657</v>
      </c>
      <c r="G498" s="104"/>
      <c r="H498" s="104" t="s">
        <v>658</v>
      </c>
      <c r="I498" s="104" t="s">
        <v>89</v>
      </c>
      <c r="J498" s="104">
        <v>1</v>
      </c>
      <c r="K498" s="104">
        <v>1</v>
      </c>
      <c r="L498" s="104">
        <f>VLOOKUP(A498,[1]단품수량!$B$5:$P$27,13,FALSE)*K498</f>
        <v>41</v>
      </c>
      <c r="M498" s="104" t="s">
        <v>205</v>
      </c>
      <c r="N498" s="101" t="s">
        <v>91</v>
      </c>
      <c r="O498" s="105">
        <v>0</v>
      </c>
      <c r="P498" s="105">
        <f t="shared" si="13"/>
        <v>0</v>
      </c>
      <c r="Q498" s="104" t="s">
        <v>336</v>
      </c>
    </row>
    <row r="499" spans="1:17" ht="18" customHeight="1">
      <c r="A499" s="107">
        <v>10005986</v>
      </c>
      <c r="B499" s="104" t="str">
        <f>VLOOKUP(A499,[1]단품수량!$B$5:$E$27,4,FALSE)</f>
        <v>CRA</v>
      </c>
      <c r="C499" s="104">
        <v>495</v>
      </c>
      <c r="D499" s="104" t="s">
        <v>552</v>
      </c>
      <c r="E499" s="104">
        <v>20061634</v>
      </c>
      <c r="F499" s="104" t="s">
        <v>659</v>
      </c>
      <c r="G499" s="104"/>
      <c r="H499" s="104" t="s">
        <v>660</v>
      </c>
      <c r="I499" s="104" t="s">
        <v>89</v>
      </c>
      <c r="J499" s="104">
        <v>1</v>
      </c>
      <c r="K499" s="104">
        <v>1</v>
      </c>
      <c r="L499" s="104">
        <f>VLOOKUP(A499,[1]단품수량!$B$5:$P$27,13,FALSE)*K499</f>
        <v>41</v>
      </c>
      <c r="M499" s="104" t="s">
        <v>90</v>
      </c>
      <c r="N499" s="101" t="s">
        <v>91</v>
      </c>
      <c r="O499" s="105">
        <v>0</v>
      </c>
      <c r="P499" s="105">
        <f t="shared" si="13"/>
        <v>0</v>
      </c>
      <c r="Q499" s="104" t="s">
        <v>336</v>
      </c>
    </row>
    <row r="500" spans="1:17" ht="18" customHeight="1">
      <c r="A500" s="107">
        <v>10005986</v>
      </c>
      <c r="B500" s="104" t="str">
        <f>VLOOKUP(A500,[1]단품수량!$B$5:$E$27,4,FALSE)</f>
        <v>CRA</v>
      </c>
      <c r="C500" s="104">
        <v>496</v>
      </c>
      <c r="D500" s="104" t="s">
        <v>210</v>
      </c>
      <c r="E500" s="104">
        <v>30120233</v>
      </c>
      <c r="F500" s="104"/>
      <c r="G500" s="104"/>
      <c r="H500" s="104" t="s">
        <v>137</v>
      </c>
      <c r="I500" s="104" t="s">
        <v>661</v>
      </c>
      <c r="J500" s="104">
        <v>1</v>
      </c>
      <c r="K500" s="104">
        <v>1</v>
      </c>
      <c r="L500" s="104">
        <f>VLOOKUP(A500,[1]단품수량!$B$5:$P$27,13,FALSE)*K500</f>
        <v>41</v>
      </c>
      <c r="M500" s="104" t="s">
        <v>99</v>
      </c>
      <c r="N500" s="101" t="s">
        <v>91</v>
      </c>
      <c r="O500" s="105">
        <v>43380</v>
      </c>
      <c r="P500" s="105">
        <f t="shared" si="13"/>
        <v>43380</v>
      </c>
      <c r="Q500" s="104" t="s">
        <v>394</v>
      </c>
    </row>
    <row r="501" spans="1:17" ht="18" customHeight="1">
      <c r="A501" s="107">
        <v>10005986</v>
      </c>
      <c r="B501" s="104" t="str">
        <f>VLOOKUP(A501,[1]단품수량!$B$5:$E$27,4,FALSE)</f>
        <v>CRA</v>
      </c>
      <c r="C501" s="104">
        <v>497</v>
      </c>
      <c r="D501" s="104" t="s">
        <v>213</v>
      </c>
      <c r="E501" s="104">
        <v>30120756</v>
      </c>
      <c r="F501" s="104"/>
      <c r="G501" s="104"/>
      <c r="H501" s="104" t="s">
        <v>137</v>
      </c>
      <c r="I501" s="104" t="s">
        <v>662</v>
      </c>
      <c r="J501" s="104">
        <v>1</v>
      </c>
      <c r="K501" s="104">
        <v>1</v>
      </c>
      <c r="L501" s="104">
        <f>VLOOKUP(A501,[1]단품수량!$B$5:$P$27,13,FALSE)*K501</f>
        <v>41</v>
      </c>
      <c r="M501" s="104" t="s">
        <v>99</v>
      </c>
      <c r="N501" s="101" t="s">
        <v>91</v>
      </c>
      <c r="O501" s="105">
        <v>3700</v>
      </c>
      <c r="P501" s="105">
        <f t="shared" si="13"/>
        <v>3700</v>
      </c>
      <c r="Q501" s="104" t="s">
        <v>100</v>
      </c>
    </row>
    <row r="502" spans="1:17" ht="18" customHeight="1">
      <c r="A502" s="107">
        <v>10005986</v>
      </c>
      <c r="B502" s="104" t="str">
        <f>VLOOKUP(A502,[1]단품수량!$B$5:$E$27,4,FALSE)</f>
        <v>CRA</v>
      </c>
      <c r="C502" s="104">
        <v>498</v>
      </c>
      <c r="D502" s="104" t="s">
        <v>215</v>
      </c>
      <c r="E502" s="104">
        <v>30120757</v>
      </c>
      <c r="F502" s="104"/>
      <c r="G502" s="104"/>
      <c r="H502" s="104" t="s">
        <v>663</v>
      </c>
      <c r="I502" s="104" t="s">
        <v>664</v>
      </c>
      <c r="J502" s="104">
        <v>37</v>
      </c>
      <c r="K502" s="104">
        <v>37</v>
      </c>
      <c r="L502" s="104">
        <f>VLOOKUP(A502,[1]단품수량!$B$5:$P$27,13,FALSE)*K502</f>
        <v>1517</v>
      </c>
      <c r="M502" s="104" t="s">
        <v>99</v>
      </c>
      <c r="N502" s="101" t="s">
        <v>91</v>
      </c>
      <c r="O502" s="105">
        <v>500</v>
      </c>
      <c r="P502" s="105">
        <f t="shared" si="13"/>
        <v>18500</v>
      </c>
      <c r="Q502" s="104" t="s">
        <v>100</v>
      </c>
    </row>
    <row r="503" spans="1:17" ht="18" customHeight="1">
      <c r="A503" s="107">
        <v>10005986</v>
      </c>
      <c r="B503" s="104" t="str">
        <f>VLOOKUP(A503,[1]단품수량!$B$5:$E$27,4,FALSE)</f>
        <v>CRA</v>
      </c>
      <c r="C503" s="104">
        <v>499</v>
      </c>
      <c r="D503" s="104" t="s">
        <v>218</v>
      </c>
      <c r="E503" s="104">
        <v>30121678</v>
      </c>
      <c r="F503" s="104"/>
      <c r="G503" s="104"/>
      <c r="H503" s="104" t="s">
        <v>137</v>
      </c>
      <c r="I503" s="104" t="s">
        <v>665</v>
      </c>
      <c r="J503" s="104">
        <v>1</v>
      </c>
      <c r="K503" s="104">
        <v>1</v>
      </c>
      <c r="L503" s="104">
        <f>VLOOKUP(A503,[1]단품수량!$B$5:$P$27,13,FALSE)*K503</f>
        <v>41</v>
      </c>
      <c r="M503" s="104" t="s">
        <v>99</v>
      </c>
      <c r="N503" s="101" t="s">
        <v>91</v>
      </c>
      <c r="O503" s="105">
        <v>7500</v>
      </c>
      <c r="P503" s="105">
        <f t="shared" si="13"/>
        <v>7500</v>
      </c>
      <c r="Q503" s="104" t="s">
        <v>100</v>
      </c>
    </row>
    <row r="504" spans="1:17" ht="18" customHeight="1">
      <c r="A504" s="107">
        <v>10005986</v>
      </c>
      <c r="B504" s="104" t="str">
        <f>VLOOKUP(A504,[1]단품수량!$B$5:$E$27,4,FALSE)</f>
        <v>CRA</v>
      </c>
      <c r="C504" s="104">
        <v>500</v>
      </c>
      <c r="D504" s="104" t="s">
        <v>191</v>
      </c>
      <c r="E504" s="104">
        <v>30120681</v>
      </c>
      <c r="F504" s="104" t="s">
        <v>666</v>
      </c>
      <c r="G504" s="104"/>
      <c r="H504" s="104" t="s">
        <v>667</v>
      </c>
      <c r="I504" s="104" t="s">
        <v>89</v>
      </c>
      <c r="J504" s="104">
        <v>1</v>
      </c>
      <c r="K504" s="104">
        <v>1</v>
      </c>
      <c r="L504" s="104">
        <f>VLOOKUP(A504,[1]단품수량!$B$5:$P$27,13,FALSE)*K504</f>
        <v>41</v>
      </c>
      <c r="M504" s="104" t="s">
        <v>205</v>
      </c>
      <c r="N504" s="101" t="s">
        <v>91</v>
      </c>
      <c r="O504" s="105">
        <v>0</v>
      </c>
      <c r="P504" s="105">
        <f t="shared" si="13"/>
        <v>0</v>
      </c>
      <c r="Q504" s="104" t="s">
        <v>336</v>
      </c>
    </row>
    <row r="505" spans="1:17" ht="18" customHeight="1">
      <c r="A505" s="107">
        <v>10005986</v>
      </c>
      <c r="B505" s="104" t="str">
        <f>VLOOKUP(A505,[1]단품수량!$B$5:$E$27,4,FALSE)</f>
        <v>CRA</v>
      </c>
      <c r="C505" s="104">
        <v>501</v>
      </c>
      <c r="D505" s="104" t="s">
        <v>149</v>
      </c>
      <c r="E505" s="104">
        <v>20061614</v>
      </c>
      <c r="F505" s="104" t="s">
        <v>668</v>
      </c>
      <c r="G505" s="104"/>
      <c r="H505" s="104" t="s">
        <v>669</v>
      </c>
      <c r="I505" s="104" t="s">
        <v>528</v>
      </c>
      <c r="J505" s="104">
        <v>1</v>
      </c>
      <c r="K505" s="104">
        <v>1</v>
      </c>
      <c r="L505" s="104">
        <f>VLOOKUP(A505,[1]단품수량!$B$5:$P$27,13,FALSE)*K505</f>
        <v>41</v>
      </c>
      <c r="M505" s="104" t="s">
        <v>90</v>
      </c>
      <c r="N505" s="101" t="s">
        <v>91</v>
      </c>
      <c r="O505" s="105">
        <v>0</v>
      </c>
      <c r="P505" s="105">
        <f t="shared" si="13"/>
        <v>0</v>
      </c>
      <c r="Q505" s="104" t="s">
        <v>136</v>
      </c>
    </row>
    <row r="506" spans="1:17" ht="18" customHeight="1">
      <c r="A506" s="107">
        <v>10005986</v>
      </c>
      <c r="B506" s="104" t="str">
        <f>VLOOKUP(A506,[1]단품수량!$B$5:$E$27,4,FALSE)</f>
        <v>CRA</v>
      </c>
      <c r="C506" s="104">
        <v>502</v>
      </c>
      <c r="D506" s="104" t="s">
        <v>529</v>
      </c>
      <c r="E506" s="104">
        <v>30120759</v>
      </c>
      <c r="F506" s="104"/>
      <c r="G506" s="104"/>
      <c r="H506" s="104" t="s">
        <v>530</v>
      </c>
      <c r="I506" s="104" t="s">
        <v>531</v>
      </c>
      <c r="J506" s="104">
        <v>1</v>
      </c>
      <c r="K506" s="104">
        <v>1</v>
      </c>
      <c r="L506" s="104">
        <f>VLOOKUP(A506,[1]단품수량!$B$5:$P$27,13,FALSE)*K506</f>
        <v>41</v>
      </c>
      <c r="M506" s="104" t="s">
        <v>99</v>
      </c>
      <c r="N506" s="101" t="s">
        <v>91</v>
      </c>
      <c r="O506" s="105">
        <v>0</v>
      </c>
      <c r="P506" s="105">
        <f t="shared" si="13"/>
        <v>0</v>
      </c>
      <c r="Q506" s="104" t="s">
        <v>136</v>
      </c>
    </row>
    <row r="507" spans="1:17" ht="18" customHeight="1">
      <c r="A507" s="107">
        <v>10005986</v>
      </c>
      <c r="B507" s="104" t="str">
        <f>VLOOKUP(A507,[1]단품수량!$B$5:$E$27,4,FALSE)</f>
        <v>CRA</v>
      </c>
      <c r="C507" s="104">
        <v>503</v>
      </c>
      <c r="D507" s="104" t="s">
        <v>532</v>
      </c>
      <c r="E507" s="104">
        <v>30120760</v>
      </c>
      <c r="F507" s="104"/>
      <c r="G507" s="104"/>
      <c r="H507" s="104" t="s">
        <v>533</v>
      </c>
      <c r="I507" s="104" t="s">
        <v>534</v>
      </c>
      <c r="J507" s="104">
        <v>2</v>
      </c>
      <c r="K507" s="104">
        <v>2</v>
      </c>
      <c r="L507" s="104">
        <f>VLOOKUP(A507,[1]단품수량!$B$5:$P$27,13,FALSE)*K507</f>
        <v>82</v>
      </c>
      <c r="M507" s="104" t="s">
        <v>99</v>
      </c>
      <c r="N507" s="101" t="s">
        <v>91</v>
      </c>
      <c r="O507" s="105">
        <v>0</v>
      </c>
      <c r="P507" s="105">
        <f t="shared" si="13"/>
        <v>0</v>
      </c>
      <c r="Q507" s="104" t="s">
        <v>336</v>
      </c>
    </row>
    <row r="508" spans="1:17" ht="18" customHeight="1">
      <c r="A508" s="107">
        <v>10005986</v>
      </c>
      <c r="B508" s="104" t="str">
        <f>VLOOKUP(A508,[1]단품수량!$B$5:$E$27,4,FALSE)</f>
        <v>CRA</v>
      </c>
      <c r="C508" s="104">
        <v>504</v>
      </c>
      <c r="D508" s="104" t="s">
        <v>152</v>
      </c>
      <c r="E508" s="104">
        <v>30120983</v>
      </c>
      <c r="F508" s="104"/>
      <c r="G508" s="104"/>
      <c r="H508" s="104" t="s">
        <v>670</v>
      </c>
      <c r="I508" s="104" t="s">
        <v>89</v>
      </c>
      <c r="J508" s="104">
        <v>1</v>
      </c>
      <c r="K508" s="104">
        <v>1</v>
      </c>
      <c r="L508" s="104">
        <f>VLOOKUP(A508,[1]단품수량!$B$5:$P$27,13,FALSE)*K508</f>
        <v>41</v>
      </c>
      <c r="M508" s="104" t="s">
        <v>90</v>
      </c>
      <c r="N508" s="101" t="s">
        <v>91</v>
      </c>
      <c r="O508" s="105">
        <v>357000</v>
      </c>
      <c r="P508" s="105">
        <f t="shared" si="13"/>
        <v>357000</v>
      </c>
      <c r="Q508" s="104" t="s">
        <v>543</v>
      </c>
    </row>
    <row r="509" spans="1:17" ht="18" customHeight="1">
      <c r="A509" s="107">
        <v>10005986</v>
      </c>
      <c r="B509" s="104" t="str">
        <f>VLOOKUP(A509,[1]단품수량!$B$5:$E$27,4,FALSE)</f>
        <v>CRA</v>
      </c>
      <c r="C509" s="104">
        <v>505</v>
      </c>
      <c r="D509" s="104" t="s">
        <v>208</v>
      </c>
      <c r="E509" s="104">
        <v>30120984</v>
      </c>
      <c r="F509" s="104"/>
      <c r="G509" s="104"/>
      <c r="H509" s="104" t="s">
        <v>671</v>
      </c>
      <c r="I509" s="104" t="s">
        <v>89</v>
      </c>
      <c r="J509" s="104">
        <v>1</v>
      </c>
      <c r="K509" s="104">
        <v>1</v>
      </c>
      <c r="L509" s="104">
        <f>VLOOKUP(A509,[1]단품수량!$B$5:$P$27,13,FALSE)*K509</f>
        <v>41</v>
      </c>
      <c r="M509" s="104" t="s">
        <v>90</v>
      </c>
      <c r="N509" s="101" t="s">
        <v>91</v>
      </c>
      <c r="O509" s="105">
        <v>177000</v>
      </c>
      <c r="P509" s="105">
        <f t="shared" si="13"/>
        <v>177000</v>
      </c>
      <c r="Q509" s="104" t="s">
        <v>543</v>
      </c>
    </row>
    <row r="510" spans="1:17" ht="18" customHeight="1">
      <c r="A510" s="107">
        <v>10005986</v>
      </c>
      <c r="B510" s="104" t="str">
        <f>VLOOKUP(A510,[1]단품수량!$B$5:$E$27,4,FALSE)</f>
        <v>CRA</v>
      </c>
      <c r="C510" s="104">
        <v>506</v>
      </c>
      <c r="D510" s="104" t="s">
        <v>210</v>
      </c>
      <c r="E510" s="104">
        <v>30120683</v>
      </c>
      <c r="F510" s="104" t="s">
        <v>672</v>
      </c>
      <c r="G510" s="104"/>
      <c r="H510" s="104" t="s">
        <v>673</v>
      </c>
      <c r="I510" s="104" t="s">
        <v>674</v>
      </c>
      <c r="J510" s="104">
        <v>1</v>
      </c>
      <c r="K510" s="104">
        <v>1</v>
      </c>
      <c r="L510" s="104">
        <f>VLOOKUP(A510,[1]단품수량!$B$5:$P$27,13,FALSE)*K510</f>
        <v>41</v>
      </c>
      <c r="M510" s="104" t="s">
        <v>90</v>
      </c>
      <c r="N510" s="101" t="s">
        <v>91</v>
      </c>
      <c r="O510" s="105">
        <v>483850</v>
      </c>
      <c r="P510" s="105">
        <f t="shared" si="13"/>
        <v>483850</v>
      </c>
      <c r="Q510" s="104" t="s">
        <v>136</v>
      </c>
    </row>
    <row r="511" spans="1:17" ht="18" customHeight="1">
      <c r="A511" s="107">
        <v>10005986</v>
      </c>
      <c r="B511" s="104" t="str">
        <f>VLOOKUP(A511,[1]단품수량!$B$5:$E$27,4,FALSE)</f>
        <v>CRA</v>
      </c>
      <c r="C511" s="104">
        <v>507</v>
      </c>
      <c r="D511" s="104" t="s">
        <v>213</v>
      </c>
      <c r="E511" s="104">
        <v>20061627</v>
      </c>
      <c r="F511" s="104" t="s">
        <v>675</v>
      </c>
      <c r="G511" s="104"/>
      <c r="H511" s="104" t="s">
        <v>676</v>
      </c>
      <c r="I511" s="104" t="s">
        <v>89</v>
      </c>
      <c r="J511" s="104">
        <v>1</v>
      </c>
      <c r="K511" s="104">
        <v>1</v>
      </c>
      <c r="L511" s="104">
        <f>VLOOKUP(A511,[1]단품수량!$B$5:$P$27,13,FALSE)*K511</f>
        <v>41</v>
      </c>
      <c r="M511" s="104" t="s">
        <v>205</v>
      </c>
      <c r="N511" s="101" t="s">
        <v>91</v>
      </c>
      <c r="O511" s="105">
        <v>0</v>
      </c>
      <c r="P511" s="105">
        <f t="shared" si="13"/>
        <v>0</v>
      </c>
      <c r="Q511" s="104" t="s">
        <v>336</v>
      </c>
    </row>
    <row r="512" spans="1:17" ht="18" customHeight="1">
      <c r="A512" s="107">
        <v>10005986</v>
      </c>
      <c r="B512" s="104" t="str">
        <f>VLOOKUP(A512,[1]단품수량!$B$5:$E$27,4,FALSE)</f>
        <v>CRA</v>
      </c>
      <c r="C512" s="104">
        <v>508</v>
      </c>
      <c r="D512" s="104" t="s">
        <v>215</v>
      </c>
      <c r="E512" s="104">
        <v>20061628</v>
      </c>
      <c r="F512" s="104" t="s">
        <v>677</v>
      </c>
      <c r="G512" s="104"/>
      <c r="H512" s="104" t="s">
        <v>678</v>
      </c>
      <c r="I512" s="104" t="s">
        <v>89</v>
      </c>
      <c r="J512" s="104">
        <v>1</v>
      </c>
      <c r="K512" s="104">
        <v>1</v>
      </c>
      <c r="L512" s="104">
        <f>VLOOKUP(A512,[1]단품수량!$B$5:$P$27,13,FALSE)*K512</f>
        <v>41</v>
      </c>
      <c r="M512" s="104" t="s">
        <v>205</v>
      </c>
      <c r="N512" s="101" t="s">
        <v>91</v>
      </c>
      <c r="O512" s="105">
        <v>0</v>
      </c>
      <c r="P512" s="105">
        <f t="shared" si="13"/>
        <v>0</v>
      </c>
      <c r="Q512" s="104" t="s">
        <v>336</v>
      </c>
    </row>
    <row r="513" spans="1:17" ht="18" customHeight="1">
      <c r="A513" s="107">
        <v>10005986</v>
      </c>
      <c r="B513" s="104" t="str">
        <f>VLOOKUP(A513,[1]단품수량!$B$5:$E$27,4,FALSE)</f>
        <v>CRA</v>
      </c>
      <c r="C513" s="104">
        <v>509</v>
      </c>
      <c r="D513" s="104" t="s">
        <v>218</v>
      </c>
      <c r="E513" s="104">
        <v>20061629</v>
      </c>
      <c r="F513" s="104" t="s">
        <v>679</v>
      </c>
      <c r="G513" s="104"/>
      <c r="H513" s="104" t="s">
        <v>680</v>
      </c>
      <c r="I513" s="104" t="s">
        <v>89</v>
      </c>
      <c r="J513" s="104">
        <v>1</v>
      </c>
      <c r="K513" s="104">
        <v>1</v>
      </c>
      <c r="L513" s="104">
        <f>VLOOKUP(A513,[1]단품수량!$B$5:$P$27,13,FALSE)*K513</f>
        <v>41</v>
      </c>
      <c r="M513" s="104" t="s">
        <v>205</v>
      </c>
      <c r="N513" s="101" t="s">
        <v>91</v>
      </c>
      <c r="O513" s="105">
        <v>0</v>
      </c>
      <c r="P513" s="105">
        <f t="shared" si="13"/>
        <v>0</v>
      </c>
      <c r="Q513" s="104" t="s">
        <v>336</v>
      </c>
    </row>
    <row r="514" spans="1:17" ht="18" customHeight="1">
      <c r="A514" s="107">
        <v>10005986</v>
      </c>
      <c r="B514" s="104" t="str">
        <f>VLOOKUP(A514,[1]단품수량!$B$5:$E$27,4,FALSE)</f>
        <v>CRA</v>
      </c>
      <c r="C514" s="104">
        <v>510</v>
      </c>
      <c r="D514" s="104" t="s">
        <v>221</v>
      </c>
      <c r="E514" s="104">
        <v>30120233</v>
      </c>
      <c r="F514" s="104"/>
      <c r="G514" s="104"/>
      <c r="H514" s="104" t="s">
        <v>137</v>
      </c>
      <c r="I514" s="104" t="s">
        <v>661</v>
      </c>
      <c r="J514" s="104">
        <v>2</v>
      </c>
      <c r="K514" s="104">
        <v>2</v>
      </c>
      <c r="L514" s="104">
        <f>VLOOKUP(A514,[1]단품수량!$B$5:$P$27,13,FALSE)*K514</f>
        <v>82</v>
      </c>
      <c r="M514" s="104" t="s">
        <v>99</v>
      </c>
      <c r="N514" s="101" t="s">
        <v>91</v>
      </c>
      <c r="O514" s="105">
        <v>43380</v>
      </c>
      <c r="P514" s="105">
        <f t="shared" si="13"/>
        <v>86760</v>
      </c>
      <c r="Q514" s="104" t="s">
        <v>394</v>
      </c>
    </row>
    <row r="515" spans="1:17" ht="18" customHeight="1">
      <c r="A515" s="107">
        <v>10005986</v>
      </c>
      <c r="B515" s="104" t="str">
        <f>VLOOKUP(A515,[1]단품수량!$B$5:$E$27,4,FALSE)</f>
        <v>CRA</v>
      </c>
      <c r="C515" s="104">
        <v>511</v>
      </c>
      <c r="D515" s="104" t="s">
        <v>351</v>
      </c>
      <c r="E515" s="104">
        <v>30120756</v>
      </c>
      <c r="F515" s="104"/>
      <c r="G515" s="104"/>
      <c r="H515" s="104" t="s">
        <v>137</v>
      </c>
      <c r="I515" s="104" t="s">
        <v>662</v>
      </c>
      <c r="J515" s="104">
        <v>2</v>
      </c>
      <c r="K515" s="104">
        <v>2</v>
      </c>
      <c r="L515" s="104">
        <f>VLOOKUP(A515,[1]단품수량!$B$5:$P$27,13,FALSE)*K515</f>
        <v>82</v>
      </c>
      <c r="M515" s="104" t="s">
        <v>99</v>
      </c>
      <c r="N515" s="101" t="s">
        <v>91</v>
      </c>
      <c r="O515" s="105">
        <v>3700</v>
      </c>
      <c r="P515" s="105">
        <f t="shared" si="13"/>
        <v>7400</v>
      </c>
      <c r="Q515" s="104" t="s">
        <v>100</v>
      </c>
    </row>
    <row r="516" spans="1:17" ht="18" customHeight="1">
      <c r="A516" s="107">
        <v>10005986</v>
      </c>
      <c r="B516" s="104" t="str">
        <f>VLOOKUP(A516,[1]단품수량!$B$5:$E$27,4,FALSE)</f>
        <v>CRA</v>
      </c>
      <c r="C516" s="104">
        <v>512</v>
      </c>
      <c r="D516" s="104" t="s">
        <v>353</v>
      </c>
      <c r="E516" s="104">
        <v>30120757</v>
      </c>
      <c r="F516" s="104"/>
      <c r="G516" s="104"/>
      <c r="H516" s="104" t="s">
        <v>663</v>
      </c>
      <c r="I516" s="104" t="s">
        <v>664</v>
      </c>
      <c r="J516" s="104">
        <v>74</v>
      </c>
      <c r="K516" s="104">
        <v>74</v>
      </c>
      <c r="L516" s="104">
        <f>VLOOKUP(A516,[1]단품수량!$B$5:$P$27,13,FALSE)*K516</f>
        <v>3034</v>
      </c>
      <c r="M516" s="104" t="s">
        <v>99</v>
      </c>
      <c r="N516" s="101" t="s">
        <v>91</v>
      </c>
      <c r="O516" s="105">
        <v>500</v>
      </c>
      <c r="P516" s="105">
        <f t="shared" si="13"/>
        <v>37000</v>
      </c>
      <c r="Q516" s="104" t="s">
        <v>100</v>
      </c>
    </row>
    <row r="517" spans="1:17" ht="18" customHeight="1">
      <c r="A517" s="107">
        <v>10005986</v>
      </c>
      <c r="B517" s="104" t="str">
        <f>VLOOKUP(A517,[1]단품수량!$B$5:$E$27,4,FALSE)</f>
        <v>CRA</v>
      </c>
      <c r="C517" s="104">
        <v>513</v>
      </c>
      <c r="D517" s="104" t="s">
        <v>355</v>
      </c>
      <c r="E517" s="104">
        <v>30121678</v>
      </c>
      <c r="F517" s="104"/>
      <c r="G517" s="104"/>
      <c r="H517" s="104" t="s">
        <v>137</v>
      </c>
      <c r="I517" s="104" t="s">
        <v>665</v>
      </c>
      <c r="J517" s="104">
        <v>2</v>
      </c>
      <c r="K517" s="104">
        <v>2</v>
      </c>
      <c r="L517" s="104">
        <f>VLOOKUP(A517,[1]단품수량!$B$5:$P$27,13,FALSE)*K517</f>
        <v>82</v>
      </c>
      <c r="M517" s="104" t="s">
        <v>99</v>
      </c>
      <c r="N517" s="101" t="s">
        <v>91</v>
      </c>
      <c r="O517" s="105">
        <v>7500</v>
      </c>
      <c r="P517" s="105">
        <f t="shared" si="13"/>
        <v>15000</v>
      </c>
      <c r="Q517" s="104" t="s">
        <v>100</v>
      </c>
    </row>
    <row r="518" spans="1:17" ht="18" customHeight="1">
      <c r="A518" s="107">
        <v>10005986</v>
      </c>
      <c r="B518" s="104" t="str">
        <f>VLOOKUP(A518,[1]단품수량!$B$5:$E$27,4,FALSE)</f>
        <v>CRA</v>
      </c>
      <c r="C518" s="104">
        <v>514</v>
      </c>
      <c r="D518" s="104" t="s">
        <v>357</v>
      </c>
      <c r="E518" s="104">
        <v>30121243</v>
      </c>
      <c r="F518" s="104"/>
      <c r="G518" s="104"/>
      <c r="H518" s="104" t="s">
        <v>500</v>
      </c>
      <c r="I518" s="104" t="s">
        <v>681</v>
      </c>
      <c r="J518" s="104">
        <v>4</v>
      </c>
      <c r="K518" s="104">
        <v>4</v>
      </c>
      <c r="L518" s="104">
        <f>VLOOKUP(A518,[1]단품수량!$B$5:$P$27,13,FALSE)*K518</f>
        <v>164</v>
      </c>
      <c r="M518" s="104" t="s">
        <v>99</v>
      </c>
      <c r="N518" s="101" t="s">
        <v>91</v>
      </c>
      <c r="O518" s="105">
        <v>85</v>
      </c>
      <c r="P518" s="105">
        <f t="shared" si="13"/>
        <v>340</v>
      </c>
      <c r="Q518" s="104" t="s">
        <v>100</v>
      </c>
    </row>
    <row r="519" spans="1:17" ht="18" customHeight="1">
      <c r="A519" s="107">
        <v>10005986</v>
      </c>
      <c r="B519" s="104" t="str">
        <f>VLOOKUP(A519,[1]단품수량!$B$5:$E$27,4,FALSE)</f>
        <v>CRA</v>
      </c>
      <c r="C519" s="104">
        <v>515</v>
      </c>
      <c r="D519" s="104" t="s">
        <v>359</v>
      </c>
      <c r="E519" s="104">
        <v>30120577</v>
      </c>
      <c r="F519" s="104"/>
      <c r="G519" s="104"/>
      <c r="H519" s="104" t="s">
        <v>682</v>
      </c>
      <c r="I519" s="104" t="s">
        <v>683</v>
      </c>
      <c r="J519" s="104">
        <v>8</v>
      </c>
      <c r="K519" s="104">
        <v>8</v>
      </c>
      <c r="L519" s="104">
        <f>VLOOKUP(A519,[1]단품수량!$B$5:$P$27,13,FALSE)*K519</f>
        <v>328</v>
      </c>
      <c r="M519" s="104" t="s">
        <v>99</v>
      </c>
      <c r="N519" s="101" t="s">
        <v>91</v>
      </c>
      <c r="O519" s="105">
        <v>42</v>
      </c>
      <c r="P519" s="105">
        <f t="shared" si="13"/>
        <v>336</v>
      </c>
      <c r="Q519" s="104" t="s">
        <v>100</v>
      </c>
    </row>
    <row r="520" spans="1:17" ht="18" customHeight="1">
      <c r="A520" s="107">
        <v>10005986</v>
      </c>
      <c r="B520" s="104" t="str">
        <f>VLOOKUP(A520,[1]단품수량!$B$5:$E$27,4,FALSE)</f>
        <v>CRA</v>
      </c>
      <c r="C520" s="104">
        <v>516</v>
      </c>
      <c r="D520" s="104" t="s">
        <v>361</v>
      </c>
      <c r="E520" s="104">
        <v>30123927</v>
      </c>
      <c r="F520" s="104"/>
      <c r="G520" s="104"/>
      <c r="H520" s="104" t="s">
        <v>500</v>
      </c>
      <c r="I520" s="104" t="s">
        <v>684</v>
      </c>
      <c r="J520" s="104">
        <v>8</v>
      </c>
      <c r="K520" s="104">
        <v>8</v>
      </c>
      <c r="L520" s="104">
        <f>VLOOKUP(A520,[1]단품수량!$B$5:$P$27,13,FALSE)*K520</f>
        <v>328</v>
      </c>
      <c r="M520" s="104" t="s">
        <v>99</v>
      </c>
      <c r="N520" s="101"/>
      <c r="O520" s="105">
        <v>0</v>
      </c>
      <c r="P520" s="105">
        <f t="shared" si="13"/>
        <v>0</v>
      </c>
      <c r="Q520" s="104"/>
    </row>
    <row r="521" spans="1:17" ht="18" customHeight="1">
      <c r="A521" s="107">
        <v>10005986</v>
      </c>
      <c r="B521" s="104" t="str">
        <f>VLOOKUP(A521,[1]단품수량!$B$5:$E$27,4,FALSE)</f>
        <v>CRA</v>
      </c>
      <c r="C521" s="104">
        <v>517</v>
      </c>
      <c r="D521" s="104" t="s">
        <v>363</v>
      </c>
      <c r="E521" s="104">
        <v>30123928</v>
      </c>
      <c r="F521" s="104"/>
      <c r="G521" s="104"/>
      <c r="H521" s="104" t="s">
        <v>500</v>
      </c>
      <c r="I521" s="104" t="s">
        <v>685</v>
      </c>
      <c r="J521" s="104">
        <v>4</v>
      </c>
      <c r="K521" s="104">
        <v>4</v>
      </c>
      <c r="L521" s="104">
        <f>VLOOKUP(A521,[1]단품수량!$B$5:$P$27,13,FALSE)*K521</f>
        <v>164</v>
      </c>
      <c r="M521" s="104" t="s">
        <v>99</v>
      </c>
      <c r="N521" s="101"/>
      <c r="O521" s="105">
        <v>0</v>
      </c>
      <c r="P521" s="105">
        <f t="shared" si="13"/>
        <v>0</v>
      </c>
      <c r="Q521" s="104"/>
    </row>
    <row r="522" spans="1:17" ht="18" customHeight="1">
      <c r="A522" s="107">
        <v>10005986</v>
      </c>
      <c r="B522" s="104" t="str">
        <f>VLOOKUP(A522,[1]단품수량!$B$5:$E$27,4,FALSE)</f>
        <v>CRA</v>
      </c>
      <c r="C522" s="104">
        <v>518</v>
      </c>
      <c r="D522" s="104" t="s">
        <v>194</v>
      </c>
      <c r="E522" s="104">
        <v>30120753</v>
      </c>
      <c r="F522" s="104"/>
      <c r="G522" s="104"/>
      <c r="H522" s="104" t="s">
        <v>686</v>
      </c>
      <c r="I522" s="104" t="s">
        <v>687</v>
      </c>
      <c r="J522" s="104">
        <v>1</v>
      </c>
      <c r="K522" s="104">
        <v>1</v>
      </c>
      <c r="L522" s="104">
        <f>VLOOKUP(A522,[1]단품수량!$B$5:$P$27,13,FALSE)*K522</f>
        <v>41</v>
      </c>
      <c r="M522" s="104" t="s">
        <v>205</v>
      </c>
      <c r="N522" s="101" t="s">
        <v>91</v>
      </c>
      <c r="O522" s="105">
        <v>0</v>
      </c>
      <c r="P522" s="105">
        <f t="shared" si="13"/>
        <v>0</v>
      </c>
      <c r="Q522" s="104" t="s">
        <v>336</v>
      </c>
    </row>
    <row r="523" spans="1:17" ht="18" customHeight="1">
      <c r="A523" s="107">
        <v>10005986</v>
      </c>
      <c r="B523" s="104" t="str">
        <f>VLOOKUP(A523,[1]단품수량!$B$5:$E$27,4,FALSE)</f>
        <v>CRA</v>
      </c>
      <c r="C523" s="104">
        <v>519</v>
      </c>
      <c r="D523" s="104" t="s">
        <v>149</v>
      </c>
      <c r="E523" s="104">
        <v>30120994</v>
      </c>
      <c r="F523" s="104"/>
      <c r="G523" s="104"/>
      <c r="H523" s="110" t="s">
        <v>688</v>
      </c>
      <c r="I523" s="104" t="s">
        <v>689</v>
      </c>
      <c r="J523" s="104">
        <v>1</v>
      </c>
      <c r="K523" s="104">
        <v>1</v>
      </c>
      <c r="L523" s="104">
        <f>VLOOKUP(A523,[1]단품수량!$B$5:$P$27,13,FALSE)*K523</f>
        <v>41</v>
      </c>
      <c r="M523" s="104" t="s">
        <v>205</v>
      </c>
      <c r="N523" s="101"/>
      <c r="O523" s="105"/>
      <c r="P523" s="105"/>
      <c r="Q523" s="104"/>
    </row>
    <row r="524" spans="1:17" ht="18" customHeight="1">
      <c r="A524" s="107">
        <v>10005986</v>
      </c>
      <c r="B524" s="104" t="str">
        <f>VLOOKUP(A524,[1]단품수량!$B$5:$E$27,4,FALSE)</f>
        <v>CRA</v>
      </c>
      <c r="C524" s="104">
        <v>520</v>
      </c>
      <c r="D524" s="104" t="s">
        <v>152</v>
      </c>
      <c r="E524" s="104">
        <v>30120996</v>
      </c>
      <c r="F524" s="104"/>
      <c r="G524" s="104"/>
      <c r="H524" s="104" t="s">
        <v>690</v>
      </c>
      <c r="I524" s="104" t="s">
        <v>689</v>
      </c>
      <c r="J524" s="104">
        <v>1</v>
      </c>
      <c r="K524" s="104">
        <v>1</v>
      </c>
      <c r="L524" s="104">
        <f>VLOOKUP(A524,[1]단품수량!$B$5:$P$27,13,FALSE)*K524</f>
        <v>41</v>
      </c>
      <c r="M524" s="104" t="s">
        <v>205</v>
      </c>
      <c r="N524" s="101" t="s">
        <v>91</v>
      </c>
      <c r="O524" s="105">
        <v>968200</v>
      </c>
      <c r="P524" s="105">
        <f t="shared" ref="P524:P539" si="14">K524*O524</f>
        <v>968200</v>
      </c>
      <c r="Q524" s="104" t="s">
        <v>136</v>
      </c>
    </row>
    <row r="525" spans="1:17" ht="18" customHeight="1">
      <c r="A525" s="107">
        <v>10005986</v>
      </c>
      <c r="B525" s="104" t="str">
        <f>VLOOKUP(A525,[1]단품수량!$B$5:$E$27,4,FALSE)</f>
        <v>CRA</v>
      </c>
      <c r="C525" s="104">
        <v>521</v>
      </c>
      <c r="D525" s="104" t="s">
        <v>201</v>
      </c>
      <c r="E525" s="104">
        <v>30123970</v>
      </c>
      <c r="F525" s="104"/>
      <c r="G525" s="104"/>
      <c r="H525" s="104" t="s">
        <v>691</v>
      </c>
      <c r="I525" s="104" t="s">
        <v>692</v>
      </c>
      <c r="J525" s="104">
        <v>1</v>
      </c>
      <c r="K525" s="104">
        <v>1</v>
      </c>
      <c r="L525" s="104">
        <f>VLOOKUP(A525,[1]단품수량!$B$5:$P$27,13,FALSE)*K525</f>
        <v>41</v>
      </c>
      <c r="M525" s="104" t="s">
        <v>99</v>
      </c>
      <c r="N525" s="101"/>
      <c r="O525" s="105">
        <v>0</v>
      </c>
      <c r="P525" s="105">
        <f t="shared" si="14"/>
        <v>0</v>
      </c>
      <c r="Q525" s="104"/>
    </row>
    <row r="526" spans="1:17" ht="18" customHeight="1">
      <c r="A526" s="107">
        <v>10005986</v>
      </c>
      <c r="B526" s="104" t="str">
        <f>VLOOKUP(A526,[1]단품수량!$B$5:$E$27,4,FALSE)</f>
        <v>CRA</v>
      </c>
      <c r="C526" s="104">
        <v>521</v>
      </c>
      <c r="D526" s="104" t="s">
        <v>300</v>
      </c>
      <c r="E526" s="104">
        <v>20062565</v>
      </c>
      <c r="F526" s="104" t="s">
        <v>709</v>
      </c>
      <c r="G526" s="104"/>
      <c r="H526" s="104" t="s">
        <v>710</v>
      </c>
      <c r="I526" s="104" t="s">
        <v>89</v>
      </c>
      <c r="J526" s="104">
        <v>1</v>
      </c>
      <c r="K526" s="104">
        <v>1</v>
      </c>
      <c r="M526" s="104" t="s">
        <v>205</v>
      </c>
      <c r="N526" s="101"/>
      <c r="O526" s="102">
        <v>0</v>
      </c>
      <c r="P526" s="105">
        <f t="shared" si="14"/>
        <v>0</v>
      </c>
      <c r="Q526" s="105"/>
    </row>
    <row r="527" spans="1:17" ht="18" customHeight="1">
      <c r="A527" s="107">
        <v>10005986</v>
      </c>
      <c r="B527" s="104" t="str">
        <f>VLOOKUP(A527,[1]단품수량!$B$5:$E$27,4,FALSE)</f>
        <v>CRA</v>
      </c>
      <c r="C527" s="104">
        <v>521</v>
      </c>
      <c r="D527" s="104" t="s">
        <v>149</v>
      </c>
      <c r="E527" s="104">
        <v>20062569</v>
      </c>
      <c r="F527" s="104"/>
      <c r="G527" s="104"/>
      <c r="H527" s="104" t="s">
        <v>711</v>
      </c>
      <c r="I527" s="104" t="s">
        <v>712</v>
      </c>
      <c r="J527" s="104">
        <v>1</v>
      </c>
      <c r="K527" s="104">
        <v>1</v>
      </c>
      <c r="M527" s="104" t="s">
        <v>99</v>
      </c>
      <c r="N527" s="101" t="s">
        <v>91</v>
      </c>
      <c r="O527" s="102">
        <v>800000</v>
      </c>
      <c r="P527" s="105">
        <f t="shared" si="14"/>
        <v>800000</v>
      </c>
      <c r="Q527" s="105" t="s">
        <v>200</v>
      </c>
    </row>
    <row r="528" spans="1:17" ht="18" customHeight="1">
      <c r="A528" s="107">
        <v>10005986</v>
      </c>
      <c r="B528" s="104" t="str">
        <f>VLOOKUP(A528,[1]단품수량!$B$5:$E$27,4,FALSE)</f>
        <v>CRA</v>
      </c>
      <c r="C528" s="104">
        <v>521</v>
      </c>
      <c r="D528" s="104" t="s">
        <v>152</v>
      </c>
      <c r="E528" s="104">
        <v>30128649</v>
      </c>
      <c r="F528" s="104" t="s">
        <v>713</v>
      </c>
      <c r="G528" s="104"/>
      <c r="H528" s="104" t="s">
        <v>161</v>
      </c>
      <c r="I528" s="104" t="s">
        <v>714</v>
      </c>
      <c r="J528" s="104">
        <v>1</v>
      </c>
      <c r="K528" s="104">
        <v>1</v>
      </c>
      <c r="M528" s="104" t="s">
        <v>99</v>
      </c>
      <c r="N528" s="101" t="s">
        <v>91</v>
      </c>
      <c r="O528" s="102">
        <v>17000</v>
      </c>
      <c r="P528" s="105">
        <f t="shared" si="14"/>
        <v>17000</v>
      </c>
      <c r="Q528" s="105" t="s">
        <v>92</v>
      </c>
    </row>
    <row r="529" spans="1:17" ht="18" customHeight="1">
      <c r="A529" s="107">
        <v>10005986</v>
      </c>
      <c r="B529" s="104" t="str">
        <f>VLOOKUP(A529,[1]단품수량!$B$5:$E$27,4,FALSE)</f>
        <v>CRA</v>
      </c>
      <c r="C529" s="104">
        <v>521</v>
      </c>
      <c r="D529" s="104" t="s">
        <v>208</v>
      </c>
      <c r="E529" s="104">
        <v>30128650</v>
      </c>
      <c r="F529" s="104" t="s">
        <v>715</v>
      </c>
      <c r="G529" s="104"/>
      <c r="H529" s="104" t="s">
        <v>716</v>
      </c>
      <c r="I529" s="104" t="s">
        <v>717</v>
      </c>
      <c r="J529" s="104">
        <v>1</v>
      </c>
      <c r="K529" s="104">
        <v>1</v>
      </c>
      <c r="M529" s="104" t="s">
        <v>99</v>
      </c>
      <c r="N529" s="101" t="s">
        <v>91</v>
      </c>
      <c r="O529" s="102">
        <v>8500</v>
      </c>
      <c r="P529" s="105">
        <f t="shared" si="14"/>
        <v>8500</v>
      </c>
      <c r="Q529" s="105" t="s">
        <v>92</v>
      </c>
    </row>
    <row r="530" spans="1:17" ht="18" customHeight="1">
      <c r="A530" s="107">
        <v>10005986</v>
      </c>
      <c r="B530" s="104" t="str">
        <f>VLOOKUP(A530,[1]단품수량!$B$5:$E$27,4,FALSE)</f>
        <v>CRA</v>
      </c>
      <c r="C530" s="104">
        <v>521</v>
      </c>
      <c r="D530" s="104" t="s">
        <v>210</v>
      </c>
      <c r="E530" s="104">
        <v>30128651</v>
      </c>
      <c r="F530" s="104" t="s">
        <v>718</v>
      </c>
      <c r="G530" s="104"/>
      <c r="H530" s="104" t="s">
        <v>719</v>
      </c>
      <c r="I530" s="104" t="s">
        <v>720</v>
      </c>
      <c r="J530" s="104">
        <v>2</v>
      </c>
      <c r="K530" s="104">
        <v>2</v>
      </c>
      <c r="M530" s="104" t="s">
        <v>99</v>
      </c>
      <c r="N530" s="101" t="s">
        <v>91</v>
      </c>
      <c r="O530" s="102">
        <v>600</v>
      </c>
      <c r="P530" s="105">
        <f t="shared" si="14"/>
        <v>1200</v>
      </c>
      <c r="Q530" s="105" t="s">
        <v>133</v>
      </c>
    </row>
    <row r="531" spans="1:17" ht="18" customHeight="1">
      <c r="A531" s="107">
        <v>10005986</v>
      </c>
      <c r="B531" s="104" t="str">
        <f>VLOOKUP(A531,[1]단품수량!$B$5:$E$27,4,FALSE)</f>
        <v>CRA</v>
      </c>
      <c r="C531" s="104">
        <v>521</v>
      </c>
      <c r="D531" s="104" t="s">
        <v>213</v>
      </c>
      <c r="E531" s="104">
        <v>30049381</v>
      </c>
      <c r="F531" s="104"/>
      <c r="G531" s="104"/>
      <c r="H531" s="104" t="s">
        <v>721</v>
      </c>
      <c r="I531" s="104" t="s">
        <v>722</v>
      </c>
      <c r="J531" s="104">
        <v>8</v>
      </c>
      <c r="K531" s="104">
        <v>8</v>
      </c>
      <c r="M531" s="104" t="s">
        <v>99</v>
      </c>
      <c r="N531" s="101"/>
      <c r="O531" s="102">
        <v>0</v>
      </c>
      <c r="P531" s="105">
        <f t="shared" si="14"/>
        <v>0</v>
      </c>
      <c r="Q531" s="105"/>
    </row>
    <row r="532" spans="1:17" ht="18" customHeight="1">
      <c r="A532" s="107">
        <v>10005986</v>
      </c>
      <c r="B532" s="104" t="str">
        <f>VLOOKUP(A532,[1]단품수량!$B$5:$E$27,4,FALSE)</f>
        <v>CRA</v>
      </c>
      <c r="C532" s="104">
        <v>521</v>
      </c>
      <c r="D532" s="104" t="s">
        <v>215</v>
      </c>
      <c r="E532" s="104">
        <v>30049339</v>
      </c>
      <c r="F532" s="104"/>
      <c r="G532" s="104"/>
      <c r="H532" s="104" t="s">
        <v>723</v>
      </c>
      <c r="I532" s="104" t="s">
        <v>724</v>
      </c>
      <c r="J532" s="104">
        <v>8</v>
      </c>
      <c r="K532" s="104">
        <v>8</v>
      </c>
      <c r="M532" s="104" t="s">
        <v>99</v>
      </c>
      <c r="N532" s="101"/>
      <c r="O532" s="102">
        <v>0</v>
      </c>
      <c r="P532" s="105">
        <f t="shared" si="14"/>
        <v>0</v>
      </c>
      <c r="Q532" s="105"/>
    </row>
    <row r="533" spans="1:17" ht="18" customHeight="1">
      <c r="A533" s="107">
        <v>10005986</v>
      </c>
      <c r="B533" s="104" t="str">
        <f>VLOOKUP(A533,[1]단품수량!$B$5:$E$27,4,FALSE)</f>
        <v>CRA</v>
      </c>
      <c r="C533" s="104">
        <v>521</v>
      </c>
      <c r="D533" s="104" t="s">
        <v>218</v>
      </c>
      <c r="E533" s="104">
        <v>30054793</v>
      </c>
      <c r="F533" s="104"/>
      <c r="G533" s="104"/>
      <c r="H533" s="104" t="s">
        <v>725</v>
      </c>
      <c r="I533" s="104" t="s">
        <v>722</v>
      </c>
      <c r="J533" s="104">
        <v>8</v>
      </c>
      <c r="K533" s="104">
        <v>8</v>
      </c>
      <c r="M533" s="104" t="s">
        <v>99</v>
      </c>
      <c r="N533" s="101"/>
      <c r="O533" s="102">
        <v>0</v>
      </c>
      <c r="P533" s="105">
        <f t="shared" si="14"/>
        <v>0</v>
      </c>
      <c r="Q533" s="105"/>
    </row>
    <row r="534" spans="1:17" ht="18" customHeight="1">
      <c r="A534" s="107">
        <v>10005986</v>
      </c>
      <c r="B534" s="104" t="str">
        <f>VLOOKUP(A534,[1]단품수량!$B$5:$E$27,4,FALSE)</f>
        <v>CRA</v>
      </c>
      <c r="C534" s="104">
        <v>521</v>
      </c>
      <c r="D534" s="104" t="s">
        <v>221</v>
      </c>
      <c r="E534" s="104">
        <v>30128653</v>
      </c>
      <c r="F534" s="104" t="s">
        <v>726</v>
      </c>
      <c r="G534" s="104"/>
      <c r="H534" s="104" t="s">
        <v>727</v>
      </c>
      <c r="I534" s="104" t="s">
        <v>714</v>
      </c>
      <c r="J534" s="104">
        <v>1</v>
      </c>
      <c r="K534" s="104">
        <v>1</v>
      </c>
      <c r="M534" s="104" t="s">
        <v>99</v>
      </c>
      <c r="N534" s="101" t="s">
        <v>91</v>
      </c>
      <c r="O534" s="102">
        <v>28250</v>
      </c>
      <c r="P534" s="105">
        <f t="shared" si="14"/>
        <v>28250</v>
      </c>
      <c r="Q534" s="105" t="s">
        <v>92</v>
      </c>
    </row>
    <row r="535" spans="1:17" ht="18" customHeight="1">
      <c r="A535" s="107">
        <v>10005986</v>
      </c>
      <c r="B535" s="104" t="str">
        <f>VLOOKUP(A535,[1]단품수량!$B$5:$E$27,4,FALSE)</f>
        <v>CRA</v>
      </c>
      <c r="C535" s="104">
        <v>521</v>
      </c>
      <c r="D535" s="104" t="s">
        <v>351</v>
      </c>
      <c r="E535" s="104">
        <v>30128655</v>
      </c>
      <c r="F535" s="104" t="s">
        <v>728</v>
      </c>
      <c r="G535" s="104"/>
      <c r="H535" s="104" t="s">
        <v>123</v>
      </c>
      <c r="I535" s="104" t="s">
        <v>729</v>
      </c>
      <c r="J535" s="104">
        <v>1</v>
      </c>
      <c r="K535" s="104">
        <v>1</v>
      </c>
      <c r="M535" s="104" t="s">
        <v>90</v>
      </c>
      <c r="N535" s="101" t="s">
        <v>91</v>
      </c>
      <c r="O535" s="102">
        <v>600</v>
      </c>
      <c r="P535" s="105">
        <f t="shared" si="14"/>
        <v>600</v>
      </c>
      <c r="Q535" s="105" t="s">
        <v>125</v>
      </c>
    </row>
    <row r="536" spans="1:17" ht="18" customHeight="1">
      <c r="A536" s="107">
        <v>10005986</v>
      </c>
      <c r="B536" s="104" t="str">
        <f>VLOOKUP(A536,[1]단품수량!$B$5:$E$27,4,FALSE)</f>
        <v>CRA</v>
      </c>
      <c r="C536" s="104">
        <v>521</v>
      </c>
      <c r="D536" s="104" t="s">
        <v>303</v>
      </c>
      <c r="E536" s="104">
        <v>30129106</v>
      </c>
      <c r="F536" s="104" t="s">
        <v>730</v>
      </c>
      <c r="G536" s="104"/>
      <c r="H536" s="104" t="s">
        <v>731</v>
      </c>
      <c r="I536" s="104" t="s">
        <v>732</v>
      </c>
      <c r="J536" s="104">
        <v>1</v>
      </c>
      <c r="K536" s="104">
        <v>1</v>
      </c>
      <c r="M536" s="104" t="s">
        <v>90</v>
      </c>
      <c r="N536" s="101" t="s">
        <v>91</v>
      </c>
      <c r="O536" s="102">
        <v>72000</v>
      </c>
      <c r="P536" s="105">
        <f t="shared" si="14"/>
        <v>72000</v>
      </c>
      <c r="Q536" s="105" t="s">
        <v>108</v>
      </c>
    </row>
    <row r="537" spans="1:17" ht="18" customHeight="1">
      <c r="A537" s="107">
        <v>10005986</v>
      </c>
      <c r="B537" s="104" t="str">
        <f>VLOOKUP(A537,[1]단품수량!$B$5:$E$27,4,FALSE)</f>
        <v>CRA</v>
      </c>
      <c r="C537" s="104">
        <v>521</v>
      </c>
      <c r="D537" s="104" t="s">
        <v>306</v>
      </c>
      <c r="E537" s="104">
        <v>30129107</v>
      </c>
      <c r="F537" s="104" t="s">
        <v>733</v>
      </c>
      <c r="G537" s="104"/>
      <c r="H537" s="104" t="s">
        <v>734</v>
      </c>
      <c r="I537" s="104" t="s">
        <v>735</v>
      </c>
      <c r="J537" s="104">
        <v>1</v>
      </c>
      <c r="K537" s="104">
        <v>1</v>
      </c>
      <c r="M537" s="104" t="s">
        <v>90</v>
      </c>
      <c r="N537" s="101" t="s">
        <v>91</v>
      </c>
      <c r="O537" s="102">
        <v>72000</v>
      </c>
      <c r="P537" s="105">
        <f t="shared" si="14"/>
        <v>72000</v>
      </c>
      <c r="Q537" s="105" t="s">
        <v>108</v>
      </c>
    </row>
    <row r="538" spans="1:17" ht="18" customHeight="1">
      <c r="A538" s="107">
        <v>10005986</v>
      </c>
      <c r="B538" s="104" t="str">
        <f>VLOOKUP(A538,[1]단품수량!$B$5:$E$27,4,FALSE)</f>
        <v>CRA</v>
      </c>
      <c r="C538" s="104">
        <v>521</v>
      </c>
      <c r="D538" s="104" t="s">
        <v>309</v>
      </c>
      <c r="E538" s="104">
        <v>30129108</v>
      </c>
      <c r="F538" s="104" t="s">
        <v>736</v>
      </c>
      <c r="G538" s="104"/>
      <c r="H538" s="104" t="s">
        <v>123</v>
      </c>
      <c r="I538" s="104" t="s">
        <v>737</v>
      </c>
      <c r="J538" s="104">
        <v>1</v>
      </c>
      <c r="K538" s="104">
        <v>1</v>
      </c>
      <c r="M538" s="104" t="s">
        <v>90</v>
      </c>
      <c r="N538" s="101" t="s">
        <v>91</v>
      </c>
      <c r="O538" s="102">
        <v>1500</v>
      </c>
      <c r="P538" s="105">
        <f t="shared" si="14"/>
        <v>1500</v>
      </c>
      <c r="Q538" s="105" t="s">
        <v>125</v>
      </c>
    </row>
    <row r="539" spans="1:17" ht="18" customHeight="1">
      <c r="A539" s="107">
        <v>10005986</v>
      </c>
      <c r="B539" s="104" t="str">
        <f>VLOOKUP(A539,[1]단품수량!$B$5:$E$27,4,FALSE)</f>
        <v>CRA</v>
      </c>
      <c r="C539" s="104">
        <v>521</v>
      </c>
      <c r="D539" s="104" t="s">
        <v>312</v>
      </c>
      <c r="E539" s="104">
        <v>20062606</v>
      </c>
      <c r="F539" s="104" t="s">
        <v>738</v>
      </c>
      <c r="G539" s="104"/>
      <c r="H539" s="104" t="s">
        <v>739</v>
      </c>
      <c r="I539" s="104" t="s">
        <v>89</v>
      </c>
      <c r="J539" s="104">
        <v>1</v>
      </c>
      <c r="K539" s="104">
        <v>1</v>
      </c>
      <c r="M539" s="104" t="s">
        <v>90</v>
      </c>
      <c r="N539" s="101"/>
      <c r="O539" s="102">
        <v>0</v>
      </c>
      <c r="P539" s="105">
        <f t="shared" si="14"/>
        <v>0</v>
      </c>
      <c r="Q539" s="105"/>
    </row>
    <row r="540" spans="1:17" ht="18" customHeight="1">
      <c r="A540" s="107">
        <v>10005987</v>
      </c>
      <c r="B540" s="104" t="str">
        <f>VLOOKUP(A540,[1]단품수량!$B$5:$E$27,4,FALSE)</f>
        <v>CRB</v>
      </c>
      <c r="C540" s="104">
        <v>522</v>
      </c>
      <c r="D540" s="104" t="s">
        <v>86</v>
      </c>
      <c r="E540" s="104">
        <v>10006238</v>
      </c>
      <c r="F540" s="104" t="s">
        <v>693</v>
      </c>
      <c r="G540" s="104"/>
      <c r="H540" s="110" t="s">
        <v>694</v>
      </c>
      <c r="I540" s="104" t="s">
        <v>89</v>
      </c>
      <c r="J540" s="104">
        <v>1</v>
      </c>
      <c r="K540" s="104">
        <v>1</v>
      </c>
      <c r="L540" s="104">
        <f>VLOOKUP(A540,[1]단품수량!$B$5:$P$27,13,FALSE)*K540</f>
        <v>79</v>
      </c>
      <c r="M540" s="104" t="s">
        <v>205</v>
      </c>
      <c r="N540" s="101" t="s">
        <v>199</v>
      </c>
      <c r="O540" s="105">
        <v>1050</v>
      </c>
      <c r="P540" s="105">
        <f>K540*O540*1186*1.08</f>
        <v>1344924</v>
      </c>
      <c r="Q540" s="104" t="s">
        <v>200</v>
      </c>
    </row>
    <row r="541" spans="1:17" ht="18" customHeight="1">
      <c r="A541" s="107">
        <v>10005987</v>
      </c>
      <c r="B541" s="104" t="str">
        <f>VLOOKUP(A541,[1]단품수량!$B$5:$E$27,4,FALSE)</f>
        <v>CRB</v>
      </c>
      <c r="C541" s="104">
        <v>523</v>
      </c>
      <c r="D541" s="104" t="s">
        <v>93</v>
      </c>
      <c r="E541" s="104">
        <v>30120956</v>
      </c>
      <c r="F541" s="104" t="s">
        <v>518</v>
      </c>
      <c r="G541" s="104"/>
      <c r="H541" s="104" t="s">
        <v>519</v>
      </c>
      <c r="I541" s="104" t="s">
        <v>520</v>
      </c>
      <c r="J541" s="104">
        <v>1</v>
      </c>
      <c r="K541" s="104">
        <v>1</v>
      </c>
      <c r="L541" s="104">
        <f>VLOOKUP(A541,[1]단품수량!$B$5:$P$27,13,FALSE)*K541</f>
        <v>79</v>
      </c>
      <c r="M541" s="104" t="s">
        <v>90</v>
      </c>
      <c r="N541" s="101" t="s">
        <v>91</v>
      </c>
      <c r="O541" s="105">
        <v>320000</v>
      </c>
      <c r="P541" s="105">
        <f t="shared" ref="P541:P546" si="15">K541*O541</f>
        <v>320000</v>
      </c>
      <c r="Q541" s="104" t="s">
        <v>291</v>
      </c>
    </row>
    <row r="542" spans="1:17" ht="18" customHeight="1">
      <c r="A542" s="107">
        <v>10005987</v>
      </c>
      <c r="B542" s="104" t="str">
        <f>VLOOKUP(A542,[1]단품수량!$B$5:$E$27,4,FALSE)</f>
        <v>CRB</v>
      </c>
      <c r="C542" s="104">
        <v>524</v>
      </c>
      <c r="D542" s="104" t="s">
        <v>149</v>
      </c>
      <c r="E542" s="104">
        <v>30125255</v>
      </c>
      <c r="F542" s="104"/>
      <c r="G542" s="104"/>
      <c r="H542" s="104" t="s">
        <v>521</v>
      </c>
      <c r="I542" s="104" t="s">
        <v>522</v>
      </c>
      <c r="J542" s="104">
        <v>6</v>
      </c>
      <c r="K542" s="104">
        <v>6</v>
      </c>
      <c r="L542" s="104">
        <f>VLOOKUP(A542,[1]단품수량!$B$5:$P$27,13,FALSE)*K542</f>
        <v>474</v>
      </c>
      <c r="M542" s="104" t="s">
        <v>107</v>
      </c>
      <c r="N542" s="101" t="s">
        <v>91</v>
      </c>
      <c r="O542" s="105">
        <v>1200</v>
      </c>
      <c r="P542" s="105">
        <f t="shared" si="15"/>
        <v>7200</v>
      </c>
      <c r="Q542" s="104" t="s">
        <v>100</v>
      </c>
    </row>
    <row r="543" spans="1:17" ht="18" customHeight="1">
      <c r="A543" s="107">
        <v>10005987</v>
      </c>
      <c r="B543" s="104" t="str">
        <f>VLOOKUP(A543,[1]단품수량!$B$5:$E$27,4,FALSE)</f>
        <v>CRB</v>
      </c>
      <c r="C543" s="104">
        <v>525</v>
      </c>
      <c r="D543" s="104" t="s">
        <v>96</v>
      </c>
      <c r="E543" s="104">
        <v>30120670</v>
      </c>
      <c r="F543" s="104" t="s">
        <v>523</v>
      </c>
      <c r="G543" s="104"/>
      <c r="H543" s="104" t="s">
        <v>524</v>
      </c>
      <c r="I543" s="104" t="s">
        <v>525</v>
      </c>
      <c r="J543" s="104">
        <v>1</v>
      </c>
      <c r="K543" s="104">
        <v>1</v>
      </c>
      <c r="L543" s="104">
        <f>VLOOKUP(A543,[1]단품수량!$B$5:$P$27,13,FALSE)*K543</f>
        <v>79</v>
      </c>
      <c r="M543" s="104" t="s">
        <v>205</v>
      </c>
      <c r="N543" s="101" t="s">
        <v>91</v>
      </c>
      <c r="O543" s="105">
        <v>897300</v>
      </c>
      <c r="P543" s="105">
        <f t="shared" si="15"/>
        <v>897300</v>
      </c>
      <c r="Q543" s="104" t="s">
        <v>136</v>
      </c>
    </row>
    <row r="544" spans="1:17" ht="18" customHeight="1">
      <c r="A544" s="107">
        <v>10005987</v>
      </c>
      <c r="B544" s="104" t="str">
        <f>VLOOKUP(A544,[1]단품수량!$B$5:$E$27,4,FALSE)</f>
        <v>CRB</v>
      </c>
      <c r="C544" s="104">
        <v>526</v>
      </c>
      <c r="D544" s="104" t="s">
        <v>149</v>
      </c>
      <c r="E544" s="104">
        <v>20061603</v>
      </c>
      <c r="F544" s="104" t="s">
        <v>526</v>
      </c>
      <c r="G544" s="104"/>
      <c r="H544" s="104" t="s">
        <v>527</v>
      </c>
      <c r="I544" s="104" t="s">
        <v>528</v>
      </c>
      <c r="J544" s="104">
        <v>1</v>
      </c>
      <c r="K544" s="104">
        <v>1</v>
      </c>
      <c r="L544" s="104">
        <f>VLOOKUP(A544,[1]단품수량!$B$5:$P$27,13,FALSE)*K544</f>
        <v>79</v>
      </c>
      <c r="M544" s="104" t="s">
        <v>90</v>
      </c>
      <c r="N544" s="101" t="s">
        <v>91</v>
      </c>
      <c r="O544" s="105">
        <v>0</v>
      </c>
      <c r="P544" s="105">
        <f t="shared" si="15"/>
        <v>0</v>
      </c>
      <c r="Q544" s="104" t="s">
        <v>136</v>
      </c>
    </row>
    <row r="545" spans="1:17" ht="18" customHeight="1">
      <c r="A545" s="107">
        <v>10005987</v>
      </c>
      <c r="B545" s="104" t="str">
        <f>VLOOKUP(A545,[1]단품수량!$B$5:$E$27,4,FALSE)</f>
        <v>CRB</v>
      </c>
      <c r="C545" s="104">
        <v>527</v>
      </c>
      <c r="D545" s="104" t="s">
        <v>529</v>
      </c>
      <c r="E545" s="104">
        <v>30120759</v>
      </c>
      <c r="F545" s="104"/>
      <c r="G545" s="104"/>
      <c r="H545" s="104" t="s">
        <v>530</v>
      </c>
      <c r="I545" s="104" t="s">
        <v>531</v>
      </c>
      <c r="J545" s="104">
        <v>1</v>
      </c>
      <c r="K545" s="104">
        <v>1</v>
      </c>
      <c r="L545" s="104">
        <f>VLOOKUP(A545,[1]단품수량!$B$5:$P$27,13,FALSE)*K545</f>
        <v>79</v>
      </c>
      <c r="M545" s="104" t="s">
        <v>99</v>
      </c>
      <c r="N545" s="101" t="s">
        <v>91</v>
      </c>
      <c r="O545" s="105">
        <v>0</v>
      </c>
      <c r="P545" s="105">
        <f t="shared" si="15"/>
        <v>0</v>
      </c>
      <c r="Q545" s="104" t="s">
        <v>136</v>
      </c>
    </row>
    <row r="546" spans="1:17" ht="18" customHeight="1">
      <c r="A546" s="107">
        <v>10005987</v>
      </c>
      <c r="B546" s="104" t="str">
        <f>VLOOKUP(A546,[1]단품수량!$B$5:$E$27,4,FALSE)</f>
        <v>CRB</v>
      </c>
      <c r="C546" s="104">
        <v>528</v>
      </c>
      <c r="D546" s="104" t="s">
        <v>532</v>
      </c>
      <c r="E546" s="104">
        <v>30120760</v>
      </c>
      <c r="F546" s="104"/>
      <c r="G546" s="104"/>
      <c r="H546" s="104" t="s">
        <v>533</v>
      </c>
      <c r="I546" s="104" t="s">
        <v>534</v>
      </c>
      <c r="J546" s="104">
        <v>2</v>
      </c>
      <c r="K546" s="104">
        <v>2</v>
      </c>
      <c r="L546" s="104">
        <f>VLOOKUP(A546,[1]단품수량!$B$5:$P$27,13,FALSE)*K546</f>
        <v>158</v>
      </c>
      <c r="M546" s="104" t="s">
        <v>99</v>
      </c>
      <c r="N546" s="101" t="s">
        <v>91</v>
      </c>
      <c r="O546" s="105">
        <v>0</v>
      </c>
      <c r="P546" s="105">
        <f t="shared" si="15"/>
        <v>0</v>
      </c>
      <c r="Q546" s="104" t="s">
        <v>336</v>
      </c>
    </row>
    <row r="547" spans="1:17" ht="18" customHeight="1">
      <c r="A547" s="107">
        <v>10005987</v>
      </c>
      <c r="B547" s="104" t="str">
        <f>VLOOKUP(A547,[1]단품수량!$B$5:$E$27,4,FALSE)</f>
        <v>CRB</v>
      </c>
      <c r="C547" s="104">
        <v>529</v>
      </c>
      <c r="D547" s="104" t="s">
        <v>152</v>
      </c>
      <c r="E547" s="104">
        <v>30120971</v>
      </c>
      <c r="F547" s="104"/>
      <c r="G547" s="104"/>
      <c r="H547" s="104" t="s">
        <v>535</v>
      </c>
      <c r="I547" s="104" t="s">
        <v>89</v>
      </c>
      <c r="J547" s="104">
        <v>1</v>
      </c>
      <c r="K547" s="104">
        <v>1</v>
      </c>
      <c r="L547" s="104">
        <f>VLOOKUP(A547,[1]단품수량!$B$5:$P$27,13,FALSE)*K547</f>
        <v>79</v>
      </c>
      <c r="M547" s="104" t="s">
        <v>205</v>
      </c>
      <c r="N547" s="101" t="s">
        <v>197</v>
      </c>
      <c r="O547" s="105">
        <v>897300</v>
      </c>
      <c r="P547" s="105">
        <f>K547*O547</f>
        <v>897300</v>
      </c>
      <c r="Q547" s="104" t="s">
        <v>198</v>
      </c>
    </row>
    <row r="548" spans="1:17" ht="18" customHeight="1">
      <c r="A548" s="107">
        <v>10005987</v>
      </c>
      <c r="B548" s="104" t="str">
        <f>VLOOKUP(A548,[1]단품수량!$B$5:$E$27,4,FALSE)</f>
        <v>CRB</v>
      </c>
      <c r="C548" s="104">
        <v>530</v>
      </c>
      <c r="D548" s="104" t="s">
        <v>208</v>
      </c>
      <c r="E548" s="104">
        <v>20061619</v>
      </c>
      <c r="F548" s="104" t="s">
        <v>536</v>
      </c>
      <c r="G548" s="104"/>
      <c r="H548" s="104" t="s">
        <v>537</v>
      </c>
      <c r="I548" s="104" t="s">
        <v>89</v>
      </c>
      <c r="J548" s="104">
        <v>1</v>
      </c>
      <c r="K548" s="104">
        <v>1</v>
      </c>
      <c r="L548" s="104">
        <f>VLOOKUP(A548,[1]단품수량!$B$5:$P$27,13,FALSE)*K548</f>
        <v>79</v>
      </c>
      <c r="M548" s="104" t="s">
        <v>205</v>
      </c>
      <c r="N548" s="101" t="s">
        <v>91</v>
      </c>
      <c r="O548" s="105">
        <v>0</v>
      </c>
      <c r="P548" s="105">
        <f t="shared" ref="P548:P611" si="16">K548*O548</f>
        <v>0</v>
      </c>
      <c r="Q548" s="104" t="s">
        <v>336</v>
      </c>
    </row>
    <row r="549" spans="1:17" ht="18" customHeight="1">
      <c r="A549" s="107">
        <v>10005987</v>
      </c>
      <c r="B549" s="104" t="str">
        <f>VLOOKUP(A549,[1]단품수량!$B$5:$E$27,4,FALSE)</f>
        <v>CRB</v>
      </c>
      <c r="C549" s="104">
        <v>531</v>
      </c>
      <c r="D549" s="104" t="s">
        <v>101</v>
      </c>
      <c r="E549" s="104">
        <v>30120671</v>
      </c>
      <c r="F549" s="104" t="s">
        <v>538</v>
      </c>
      <c r="G549" s="104"/>
      <c r="H549" s="104" t="s">
        <v>539</v>
      </c>
      <c r="I549" s="104" t="s">
        <v>89</v>
      </c>
      <c r="J549" s="104">
        <v>1</v>
      </c>
      <c r="K549" s="104">
        <v>1</v>
      </c>
      <c r="L549" s="104">
        <f>VLOOKUP(A549,[1]단품수량!$B$5:$P$27,13,FALSE)*K549</f>
        <v>79</v>
      </c>
      <c r="M549" s="104" t="s">
        <v>205</v>
      </c>
      <c r="N549" s="101" t="s">
        <v>91</v>
      </c>
      <c r="O549" s="105">
        <v>0</v>
      </c>
      <c r="P549" s="105">
        <f t="shared" si="16"/>
        <v>0</v>
      </c>
      <c r="Q549" s="104" t="s">
        <v>336</v>
      </c>
    </row>
    <row r="550" spans="1:17" ht="18" customHeight="1">
      <c r="A550" s="107">
        <v>10005987</v>
      </c>
      <c r="B550" s="104" t="str">
        <f>VLOOKUP(A550,[1]단품수량!$B$5:$E$27,4,FALSE)</f>
        <v>CRB</v>
      </c>
      <c r="C550" s="104">
        <v>532</v>
      </c>
      <c r="D550" s="104" t="s">
        <v>149</v>
      </c>
      <c r="E550" s="104">
        <v>20061604</v>
      </c>
      <c r="F550" s="104" t="s">
        <v>540</v>
      </c>
      <c r="G550" s="104"/>
      <c r="H550" s="104" t="s">
        <v>541</v>
      </c>
      <c r="I550" s="104" t="s">
        <v>528</v>
      </c>
      <c r="J550" s="104">
        <v>1</v>
      </c>
      <c r="K550" s="104">
        <v>1</v>
      </c>
      <c r="L550" s="104">
        <f>VLOOKUP(A550,[1]단품수량!$B$5:$P$27,13,FALSE)*K550</f>
        <v>79</v>
      </c>
      <c r="M550" s="104" t="s">
        <v>90</v>
      </c>
      <c r="N550" s="101" t="s">
        <v>91</v>
      </c>
      <c r="O550" s="105">
        <v>0</v>
      </c>
      <c r="P550" s="105">
        <f t="shared" si="16"/>
        <v>0</v>
      </c>
      <c r="Q550" s="104" t="s">
        <v>136</v>
      </c>
    </row>
    <row r="551" spans="1:17" ht="18" customHeight="1">
      <c r="A551" s="107">
        <v>10005987</v>
      </c>
      <c r="B551" s="104" t="str">
        <f>VLOOKUP(A551,[1]단품수량!$B$5:$E$27,4,FALSE)</f>
        <v>CRB</v>
      </c>
      <c r="C551" s="104">
        <v>533</v>
      </c>
      <c r="D551" s="104" t="s">
        <v>529</v>
      </c>
      <c r="E551" s="104">
        <v>30120759</v>
      </c>
      <c r="F551" s="104"/>
      <c r="G551" s="104"/>
      <c r="H551" s="104" t="s">
        <v>530</v>
      </c>
      <c r="I551" s="104" t="s">
        <v>531</v>
      </c>
      <c r="J551" s="104">
        <v>1</v>
      </c>
      <c r="K551" s="104">
        <v>1</v>
      </c>
      <c r="L551" s="104">
        <f>VLOOKUP(A551,[1]단품수량!$B$5:$P$27,13,FALSE)*K551</f>
        <v>79</v>
      </c>
      <c r="M551" s="104" t="s">
        <v>99</v>
      </c>
      <c r="N551" s="101" t="s">
        <v>91</v>
      </c>
      <c r="O551" s="105">
        <v>0</v>
      </c>
      <c r="P551" s="105">
        <f t="shared" si="16"/>
        <v>0</v>
      </c>
      <c r="Q551" s="104" t="s">
        <v>136</v>
      </c>
    </row>
    <row r="552" spans="1:17" ht="18" customHeight="1">
      <c r="A552" s="107">
        <v>10005987</v>
      </c>
      <c r="B552" s="104" t="str">
        <f>VLOOKUP(A552,[1]단품수량!$B$5:$E$27,4,FALSE)</f>
        <v>CRB</v>
      </c>
      <c r="C552" s="104">
        <v>534</v>
      </c>
      <c r="D552" s="104" t="s">
        <v>532</v>
      </c>
      <c r="E552" s="104">
        <v>30120760</v>
      </c>
      <c r="F552" s="104"/>
      <c r="G552" s="104"/>
      <c r="H552" s="104" t="s">
        <v>533</v>
      </c>
      <c r="I552" s="104" t="s">
        <v>534</v>
      </c>
      <c r="J552" s="104">
        <v>1</v>
      </c>
      <c r="K552" s="104">
        <v>1</v>
      </c>
      <c r="L552" s="104">
        <f>VLOOKUP(A552,[1]단품수량!$B$5:$P$27,13,FALSE)*K552</f>
        <v>79</v>
      </c>
      <c r="M552" s="104" t="s">
        <v>99</v>
      </c>
      <c r="N552" s="101" t="s">
        <v>91</v>
      </c>
      <c r="O552" s="105">
        <v>0</v>
      </c>
      <c r="P552" s="105">
        <f t="shared" si="16"/>
        <v>0</v>
      </c>
      <c r="Q552" s="104" t="s">
        <v>336</v>
      </c>
    </row>
    <row r="553" spans="1:17" ht="18" customHeight="1">
      <c r="A553" s="107">
        <v>10005987</v>
      </c>
      <c r="B553" s="104" t="str">
        <f>VLOOKUP(A553,[1]단품수량!$B$5:$E$27,4,FALSE)</f>
        <v>CRB</v>
      </c>
      <c r="C553" s="104">
        <v>535</v>
      </c>
      <c r="D553" s="104" t="s">
        <v>152</v>
      </c>
      <c r="E553" s="104">
        <v>30120972</v>
      </c>
      <c r="F553" s="104"/>
      <c r="G553" s="104"/>
      <c r="H553" s="104" t="s">
        <v>542</v>
      </c>
      <c r="I553" s="104" t="s">
        <v>525</v>
      </c>
      <c r="J553" s="104">
        <v>1</v>
      </c>
      <c r="K553" s="104">
        <v>1</v>
      </c>
      <c r="L553" s="104">
        <f>VLOOKUP(A553,[1]단품수량!$B$5:$P$27,13,FALSE)*K553</f>
        <v>79</v>
      </c>
      <c r="M553" s="104" t="s">
        <v>205</v>
      </c>
      <c r="N553" s="101" t="s">
        <v>91</v>
      </c>
      <c r="O553" s="105">
        <v>167000</v>
      </c>
      <c r="P553" s="105">
        <f t="shared" si="16"/>
        <v>167000</v>
      </c>
      <c r="Q553" s="104" t="s">
        <v>543</v>
      </c>
    </row>
    <row r="554" spans="1:17" ht="18" customHeight="1">
      <c r="A554" s="107">
        <v>10005987</v>
      </c>
      <c r="B554" s="104" t="str">
        <f>VLOOKUP(A554,[1]단품수량!$B$5:$E$27,4,FALSE)</f>
        <v>CRB</v>
      </c>
      <c r="C554" s="104">
        <v>536</v>
      </c>
      <c r="D554" s="104" t="s">
        <v>208</v>
      </c>
      <c r="E554" s="104">
        <v>20061620</v>
      </c>
      <c r="F554" s="104" t="s">
        <v>544</v>
      </c>
      <c r="G554" s="104"/>
      <c r="H554" s="104" t="s">
        <v>545</v>
      </c>
      <c r="I554" s="104" t="s">
        <v>89</v>
      </c>
      <c r="J554" s="104">
        <v>1</v>
      </c>
      <c r="K554" s="104">
        <v>1</v>
      </c>
      <c r="L554" s="104">
        <f>VLOOKUP(A554,[1]단품수량!$B$5:$P$27,13,FALSE)*K554</f>
        <v>79</v>
      </c>
      <c r="M554" s="104" t="s">
        <v>205</v>
      </c>
      <c r="N554" s="101" t="s">
        <v>91</v>
      </c>
      <c r="O554" s="105">
        <v>0</v>
      </c>
      <c r="P554" s="105">
        <f t="shared" si="16"/>
        <v>0</v>
      </c>
      <c r="Q554" s="104" t="s">
        <v>336</v>
      </c>
    </row>
    <row r="555" spans="1:17" ht="18" customHeight="1">
      <c r="A555" s="107">
        <v>10005987</v>
      </c>
      <c r="B555" s="104" t="str">
        <f>VLOOKUP(A555,[1]단품수량!$B$5:$E$27,4,FALSE)</f>
        <v>CRB</v>
      </c>
      <c r="C555" s="104">
        <v>537</v>
      </c>
      <c r="D555" s="104" t="s">
        <v>210</v>
      </c>
      <c r="E555" s="104">
        <v>30118552</v>
      </c>
      <c r="F555" s="104"/>
      <c r="G555" s="104"/>
      <c r="H555" s="104" t="s">
        <v>401</v>
      </c>
      <c r="I555" s="104" t="s">
        <v>403</v>
      </c>
      <c r="J555" s="104">
        <v>1</v>
      </c>
      <c r="K555" s="104">
        <v>1</v>
      </c>
      <c r="L555" s="104">
        <f>VLOOKUP(A555,[1]단품수량!$B$5:$P$27,13,FALSE)*K555</f>
        <v>79</v>
      </c>
      <c r="M555" s="104" t="s">
        <v>107</v>
      </c>
      <c r="N555" s="101" t="s">
        <v>91</v>
      </c>
      <c r="O555" s="105">
        <v>20900</v>
      </c>
      <c r="P555" s="105">
        <f t="shared" si="16"/>
        <v>20900</v>
      </c>
      <c r="Q555" s="104" t="s">
        <v>108</v>
      </c>
    </row>
    <row r="556" spans="1:17" ht="18" customHeight="1">
      <c r="A556" s="107">
        <v>10005987</v>
      </c>
      <c r="B556" s="104" t="str">
        <f>VLOOKUP(A556,[1]단품수량!$B$5:$E$27,4,FALSE)</f>
        <v>CRB</v>
      </c>
      <c r="C556" s="104">
        <v>538</v>
      </c>
      <c r="D556" s="104" t="s">
        <v>213</v>
      </c>
      <c r="E556" s="104">
        <v>30118572</v>
      </c>
      <c r="F556" s="104"/>
      <c r="G556" s="104"/>
      <c r="H556" s="104" t="s">
        <v>116</v>
      </c>
      <c r="I556" s="104" t="s">
        <v>117</v>
      </c>
      <c r="J556" s="104">
        <v>4</v>
      </c>
      <c r="K556" s="104">
        <v>4</v>
      </c>
      <c r="L556" s="104">
        <f>VLOOKUP(A556,[1]단품수량!$B$5:$P$27,13,FALSE)*K556</f>
        <v>316</v>
      </c>
      <c r="M556" s="104" t="s">
        <v>107</v>
      </c>
      <c r="N556" s="101" t="s">
        <v>91</v>
      </c>
      <c r="O556" s="105">
        <v>400</v>
      </c>
      <c r="P556" s="105">
        <f t="shared" si="16"/>
        <v>1600</v>
      </c>
      <c r="Q556" s="104" t="s">
        <v>108</v>
      </c>
    </row>
    <row r="557" spans="1:17" ht="18" customHeight="1">
      <c r="A557" s="107">
        <v>10005987</v>
      </c>
      <c r="B557" s="104" t="str">
        <f>VLOOKUP(A557,[1]단품수량!$B$5:$E$27,4,FALSE)</f>
        <v>CRB</v>
      </c>
      <c r="C557" s="104">
        <v>539</v>
      </c>
      <c r="D557" s="104" t="s">
        <v>215</v>
      </c>
      <c r="E557" s="104">
        <v>30118571</v>
      </c>
      <c r="F557" s="104"/>
      <c r="G557" s="104"/>
      <c r="H557" s="104" t="s">
        <v>546</v>
      </c>
      <c r="I557" s="104" t="s">
        <v>547</v>
      </c>
      <c r="J557" s="104">
        <v>3</v>
      </c>
      <c r="K557" s="104">
        <v>3</v>
      </c>
      <c r="L557" s="104">
        <f>VLOOKUP(A557,[1]단품수량!$B$5:$P$27,13,FALSE)*K557</f>
        <v>237</v>
      </c>
      <c r="M557" s="104" t="s">
        <v>107</v>
      </c>
      <c r="N557" s="101" t="s">
        <v>91</v>
      </c>
      <c r="O557" s="105">
        <v>1000</v>
      </c>
      <c r="P557" s="105">
        <f t="shared" si="16"/>
        <v>3000</v>
      </c>
      <c r="Q557" s="104" t="s">
        <v>108</v>
      </c>
    </row>
    <row r="558" spans="1:17" ht="18" customHeight="1">
      <c r="A558" s="107">
        <v>10005987</v>
      </c>
      <c r="B558" s="104" t="str">
        <f>VLOOKUP(A558,[1]단품수량!$B$5:$E$27,4,FALSE)</f>
        <v>CRB</v>
      </c>
      <c r="C558" s="104">
        <v>540</v>
      </c>
      <c r="D558" s="104" t="s">
        <v>218</v>
      </c>
      <c r="E558" s="104">
        <v>30118558</v>
      </c>
      <c r="F558" s="104"/>
      <c r="G558" s="104"/>
      <c r="H558" s="104" t="s">
        <v>105</v>
      </c>
      <c r="I558" s="104" t="s">
        <v>404</v>
      </c>
      <c r="J558" s="104">
        <v>1</v>
      </c>
      <c r="K558" s="104">
        <v>1</v>
      </c>
      <c r="L558" s="104">
        <f>VLOOKUP(A558,[1]단품수량!$B$5:$P$27,13,FALSE)*K558</f>
        <v>79</v>
      </c>
      <c r="M558" s="104" t="s">
        <v>107</v>
      </c>
      <c r="N558" s="101" t="s">
        <v>91</v>
      </c>
      <c r="O558" s="105">
        <v>40300</v>
      </c>
      <c r="P558" s="105">
        <f t="shared" si="16"/>
        <v>40300</v>
      </c>
      <c r="Q558" s="104" t="s">
        <v>108</v>
      </c>
    </row>
    <row r="559" spans="1:17" ht="18" customHeight="1">
      <c r="A559" s="107">
        <v>10005987</v>
      </c>
      <c r="B559" s="104" t="str">
        <f>VLOOKUP(A559,[1]단품수량!$B$5:$E$27,4,FALSE)</f>
        <v>CRB</v>
      </c>
      <c r="C559" s="104">
        <v>541</v>
      </c>
      <c r="D559" s="104" t="s">
        <v>221</v>
      </c>
      <c r="E559" s="104">
        <v>30118570</v>
      </c>
      <c r="F559" s="104"/>
      <c r="G559" s="104"/>
      <c r="H559" s="104" t="s">
        <v>110</v>
      </c>
      <c r="I559" s="104" t="s">
        <v>111</v>
      </c>
      <c r="J559" s="104">
        <v>7</v>
      </c>
      <c r="K559" s="104">
        <v>7</v>
      </c>
      <c r="L559" s="104">
        <f>VLOOKUP(A559,[1]단품수량!$B$5:$P$27,13,FALSE)*K559</f>
        <v>553</v>
      </c>
      <c r="M559" s="104" t="s">
        <v>107</v>
      </c>
      <c r="N559" s="101" t="s">
        <v>91</v>
      </c>
      <c r="O559" s="105">
        <v>900</v>
      </c>
      <c r="P559" s="105">
        <f t="shared" si="16"/>
        <v>6300</v>
      </c>
      <c r="Q559" s="104" t="s">
        <v>108</v>
      </c>
    </row>
    <row r="560" spans="1:17" ht="18" customHeight="1">
      <c r="A560" s="107">
        <v>10005987</v>
      </c>
      <c r="B560" s="104" t="str">
        <f>VLOOKUP(A560,[1]단품수량!$B$5:$E$27,4,FALSE)</f>
        <v>CRB</v>
      </c>
      <c r="C560" s="104">
        <v>542</v>
      </c>
      <c r="D560" s="104" t="s">
        <v>351</v>
      </c>
      <c r="E560" s="104">
        <v>30118554</v>
      </c>
      <c r="F560" s="104"/>
      <c r="G560" s="104"/>
      <c r="H560" s="104" t="s">
        <v>293</v>
      </c>
      <c r="I560" s="104" t="s">
        <v>438</v>
      </c>
      <c r="J560" s="104">
        <v>1</v>
      </c>
      <c r="K560" s="104">
        <v>1</v>
      </c>
      <c r="L560" s="104">
        <f>VLOOKUP(A560,[1]단품수량!$B$5:$P$27,13,FALSE)*K560</f>
        <v>79</v>
      </c>
      <c r="M560" s="104" t="s">
        <v>107</v>
      </c>
      <c r="N560" s="101" t="s">
        <v>91</v>
      </c>
      <c r="O560" s="105">
        <v>23900</v>
      </c>
      <c r="P560" s="105">
        <f t="shared" si="16"/>
        <v>23900</v>
      </c>
      <c r="Q560" s="104" t="s">
        <v>108</v>
      </c>
    </row>
    <row r="561" spans="1:17" ht="18" customHeight="1">
      <c r="A561" s="107">
        <v>10005987</v>
      </c>
      <c r="B561" s="104" t="str">
        <f>VLOOKUP(A561,[1]단품수량!$B$5:$E$27,4,FALSE)</f>
        <v>CRB</v>
      </c>
      <c r="C561" s="104">
        <v>543</v>
      </c>
      <c r="D561" s="104" t="s">
        <v>353</v>
      </c>
      <c r="E561" s="104">
        <v>30118581</v>
      </c>
      <c r="F561" s="104"/>
      <c r="G561" s="104"/>
      <c r="H561" s="104" t="s">
        <v>182</v>
      </c>
      <c r="I561" s="104" t="s">
        <v>183</v>
      </c>
      <c r="J561" s="104">
        <v>17</v>
      </c>
      <c r="K561" s="104">
        <v>17</v>
      </c>
      <c r="L561" s="104">
        <f>VLOOKUP(A561,[1]단품수량!$B$5:$P$27,13,FALSE)*K561</f>
        <v>1343</v>
      </c>
      <c r="M561" s="104" t="s">
        <v>107</v>
      </c>
      <c r="N561" s="101" t="s">
        <v>91</v>
      </c>
      <c r="O561" s="105">
        <v>900</v>
      </c>
      <c r="P561" s="105">
        <f t="shared" si="16"/>
        <v>15300</v>
      </c>
      <c r="Q561" s="104" t="s">
        <v>108</v>
      </c>
    </row>
    <row r="562" spans="1:17" ht="18" customHeight="1">
      <c r="A562" s="107">
        <v>10005987</v>
      </c>
      <c r="B562" s="104" t="str">
        <f>VLOOKUP(A562,[1]단품수량!$B$5:$E$27,4,FALSE)</f>
        <v>CRB</v>
      </c>
      <c r="C562" s="104">
        <v>544</v>
      </c>
      <c r="D562" s="104" t="s">
        <v>355</v>
      </c>
      <c r="E562" s="104">
        <v>30118561</v>
      </c>
      <c r="F562" s="104"/>
      <c r="G562" s="104"/>
      <c r="H562" s="104" t="s">
        <v>295</v>
      </c>
      <c r="I562" s="104" t="s">
        <v>296</v>
      </c>
      <c r="J562" s="104">
        <v>1</v>
      </c>
      <c r="K562" s="104">
        <v>1</v>
      </c>
      <c r="L562" s="104">
        <f>VLOOKUP(A562,[1]단품수량!$B$5:$P$27,13,FALSE)*K562</f>
        <v>79</v>
      </c>
      <c r="M562" s="104" t="s">
        <v>107</v>
      </c>
      <c r="N562" s="101" t="s">
        <v>91</v>
      </c>
      <c r="O562" s="105">
        <v>47800</v>
      </c>
      <c r="P562" s="105">
        <f t="shared" si="16"/>
        <v>47800</v>
      </c>
      <c r="Q562" s="104" t="s">
        <v>108</v>
      </c>
    </row>
    <row r="563" spans="1:17" ht="18" customHeight="1">
      <c r="A563" s="107">
        <v>10005987</v>
      </c>
      <c r="B563" s="104" t="str">
        <f>VLOOKUP(A563,[1]단품수량!$B$5:$E$27,4,FALSE)</f>
        <v>CRB</v>
      </c>
      <c r="C563" s="104">
        <v>545</v>
      </c>
      <c r="D563" s="104" t="s">
        <v>357</v>
      </c>
      <c r="E563" s="104">
        <v>30118573</v>
      </c>
      <c r="F563" s="104"/>
      <c r="G563" s="104"/>
      <c r="H563" s="104" t="s">
        <v>177</v>
      </c>
      <c r="I563" s="104" t="s">
        <v>178</v>
      </c>
      <c r="J563" s="104">
        <v>17</v>
      </c>
      <c r="K563" s="104">
        <v>17</v>
      </c>
      <c r="L563" s="104">
        <f>VLOOKUP(A563,[1]단품수량!$B$5:$P$27,13,FALSE)*K563</f>
        <v>1343</v>
      </c>
      <c r="M563" s="104" t="s">
        <v>107</v>
      </c>
      <c r="N563" s="101" t="s">
        <v>91</v>
      </c>
      <c r="O563" s="105">
        <v>1000</v>
      </c>
      <c r="P563" s="105">
        <f t="shared" si="16"/>
        <v>17000</v>
      </c>
      <c r="Q563" s="104" t="s">
        <v>108</v>
      </c>
    </row>
    <row r="564" spans="1:17" ht="18" customHeight="1">
      <c r="A564" s="107">
        <v>10005987</v>
      </c>
      <c r="B564" s="104" t="str">
        <f>VLOOKUP(A564,[1]단품수량!$B$5:$E$27,4,FALSE)</f>
        <v>CRB</v>
      </c>
      <c r="C564" s="104">
        <v>546</v>
      </c>
      <c r="D564" s="104" t="s">
        <v>359</v>
      </c>
      <c r="E564" s="104">
        <v>30118569</v>
      </c>
      <c r="F564" s="104"/>
      <c r="G564" s="104"/>
      <c r="H564" s="104" t="s">
        <v>119</v>
      </c>
      <c r="I564" s="104" t="s">
        <v>120</v>
      </c>
      <c r="J564" s="104">
        <v>4</v>
      </c>
      <c r="K564" s="104">
        <v>4</v>
      </c>
      <c r="L564" s="104">
        <f>VLOOKUP(A564,[1]단품수량!$B$5:$P$27,13,FALSE)*K564</f>
        <v>316</v>
      </c>
      <c r="M564" s="104" t="s">
        <v>107</v>
      </c>
      <c r="N564" s="101" t="s">
        <v>91</v>
      </c>
      <c r="O564" s="105">
        <v>400</v>
      </c>
      <c r="P564" s="105">
        <f t="shared" si="16"/>
        <v>1600</v>
      </c>
      <c r="Q564" s="104" t="s">
        <v>108</v>
      </c>
    </row>
    <row r="565" spans="1:17" ht="18" customHeight="1">
      <c r="A565" s="107">
        <v>10005987</v>
      </c>
      <c r="B565" s="104" t="str">
        <f>VLOOKUP(A565,[1]단품수량!$B$5:$E$27,4,FALSE)</f>
        <v>CRB</v>
      </c>
      <c r="C565" s="104">
        <v>547</v>
      </c>
      <c r="D565" s="104" t="s">
        <v>361</v>
      </c>
      <c r="E565" s="104">
        <v>20061691</v>
      </c>
      <c r="F565" s="104" t="s">
        <v>548</v>
      </c>
      <c r="G565" s="104"/>
      <c r="H565" s="104" t="s">
        <v>203</v>
      </c>
      <c r="I565" s="104" t="s">
        <v>549</v>
      </c>
      <c r="J565" s="104">
        <v>1</v>
      </c>
      <c r="K565" s="104">
        <v>1</v>
      </c>
      <c r="L565" s="104">
        <f>VLOOKUP(A565,[1]단품수량!$B$5:$P$27,13,FALSE)*K565</f>
        <v>79</v>
      </c>
      <c r="M565" s="104" t="s">
        <v>205</v>
      </c>
      <c r="N565" s="101"/>
      <c r="O565" s="105">
        <v>0</v>
      </c>
      <c r="P565" s="105">
        <f t="shared" si="16"/>
        <v>0</v>
      </c>
      <c r="Q565" s="104"/>
    </row>
    <row r="566" spans="1:17" ht="18" customHeight="1">
      <c r="A566" s="107">
        <v>10005987</v>
      </c>
      <c r="B566" s="104" t="str">
        <f>VLOOKUP(A566,[1]단품수량!$B$5:$E$27,4,FALSE)</f>
        <v>CRB</v>
      </c>
      <c r="C566" s="104">
        <v>548</v>
      </c>
      <c r="D566" s="104" t="s">
        <v>529</v>
      </c>
      <c r="E566" s="104">
        <v>30075140</v>
      </c>
      <c r="F566" s="104"/>
      <c r="G566" s="104"/>
      <c r="H566" s="104" t="s">
        <v>143</v>
      </c>
      <c r="I566" s="104" t="s">
        <v>206</v>
      </c>
      <c r="J566" s="104">
        <v>1</v>
      </c>
      <c r="K566" s="104">
        <v>1</v>
      </c>
      <c r="L566" s="104">
        <f>VLOOKUP(A566,[1]단품수량!$B$5:$P$27,13,FALSE)*K566</f>
        <v>79</v>
      </c>
      <c r="M566" s="104" t="s">
        <v>107</v>
      </c>
      <c r="N566" s="101" t="s">
        <v>91</v>
      </c>
      <c r="O566" s="105">
        <v>380</v>
      </c>
      <c r="P566" s="105">
        <f t="shared" si="16"/>
        <v>380</v>
      </c>
      <c r="Q566" s="104" t="s">
        <v>108</v>
      </c>
    </row>
    <row r="567" spans="1:17" ht="18" customHeight="1">
      <c r="A567" s="107">
        <v>10005987</v>
      </c>
      <c r="B567" s="104" t="str">
        <f>VLOOKUP(A567,[1]단품수량!$B$5:$E$27,4,FALSE)</f>
        <v>CRB</v>
      </c>
      <c r="C567" s="104">
        <v>549</v>
      </c>
      <c r="D567" s="104" t="s">
        <v>532</v>
      </c>
      <c r="E567" s="104">
        <v>30054014</v>
      </c>
      <c r="F567" s="104"/>
      <c r="G567" s="104"/>
      <c r="H567" s="104" t="s">
        <v>143</v>
      </c>
      <c r="I567" s="104" t="s">
        <v>207</v>
      </c>
      <c r="J567" s="104">
        <v>2</v>
      </c>
      <c r="K567" s="104">
        <v>2</v>
      </c>
      <c r="L567" s="104">
        <f>VLOOKUP(A567,[1]단품수량!$B$5:$P$27,13,FALSE)*K567</f>
        <v>158</v>
      </c>
      <c r="M567" s="104" t="s">
        <v>99</v>
      </c>
      <c r="N567" s="101" t="s">
        <v>91</v>
      </c>
      <c r="O567" s="105">
        <v>330</v>
      </c>
      <c r="P567" s="105">
        <f t="shared" si="16"/>
        <v>660</v>
      </c>
      <c r="Q567" s="104" t="s">
        <v>108</v>
      </c>
    </row>
    <row r="568" spans="1:17" ht="18" customHeight="1">
      <c r="A568" s="107">
        <v>10005987</v>
      </c>
      <c r="B568" s="104" t="str">
        <f>VLOOKUP(A568,[1]단품수량!$B$5:$E$27,4,FALSE)</f>
        <v>CRB</v>
      </c>
      <c r="C568" s="104">
        <v>550</v>
      </c>
      <c r="D568" s="104" t="s">
        <v>550</v>
      </c>
      <c r="E568" s="104">
        <v>30118492</v>
      </c>
      <c r="F568" s="104"/>
      <c r="G568" s="104"/>
      <c r="H568" s="104" t="s">
        <v>137</v>
      </c>
      <c r="I568" s="104" t="s">
        <v>551</v>
      </c>
      <c r="J568" s="104">
        <v>1</v>
      </c>
      <c r="K568" s="104">
        <v>1</v>
      </c>
      <c r="L568" s="104">
        <f>VLOOKUP(A568,[1]단품수량!$B$5:$P$27,13,FALSE)*K568</f>
        <v>79</v>
      </c>
      <c r="M568" s="104" t="s">
        <v>99</v>
      </c>
      <c r="N568" s="101" t="s">
        <v>91</v>
      </c>
      <c r="O568" s="105">
        <v>120</v>
      </c>
      <c r="P568" s="105">
        <f t="shared" si="16"/>
        <v>120</v>
      </c>
      <c r="Q568" s="104" t="s">
        <v>100</v>
      </c>
    </row>
    <row r="569" spans="1:17" ht="18" customHeight="1">
      <c r="A569" s="107">
        <v>10005987</v>
      </c>
      <c r="B569" s="104" t="str">
        <f>VLOOKUP(A569,[1]단품수량!$B$5:$E$27,4,FALSE)</f>
        <v>CRB</v>
      </c>
      <c r="C569" s="104">
        <v>551</v>
      </c>
      <c r="D569" s="104" t="s">
        <v>552</v>
      </c>
      <c r="E569" s="104">
        <v>30118529</v>
      </c>
      <c r="F569" s="104"/>
      <c r="G569" s="104"/>
      <c r="H569" s="104" t="s">
        <v>219</v>
      </c>
      <c r="I569" s="104" t="s">
        <v>553</v>
      </c>
      <c r="J569" s="104">
        <v>1</v>
      </c>
      <c r="K569" s="104">
        <v>1</v>
      </c>
      <c r="L569" s="104">
        <f>VLOOKUP(A569,[1]단품수량!$B$5:$P$27,13,FALSE)*K569</f>
        <v>79</v>
      </c>
      <c r="M569" s="104" t="s">
        <v>99</v>
      </c>
      <c r="N569" s="101" t="s">
        <v>91</v>
      </c>
      <c r="O569" s="105">
        <v>110</v>
      </c>
      <c r="P569" s="105">
        <f t="shared" si="16"/>
        <v>110</v>
      </c>
      <c r="Q569" s="104" t="s">
        <v>100</v>
      </c>
    </row>
    <row r="570" spans="1:17" ht="18" customHeight="1">
      <c r="A570" s="107">
        <v>10005987</v>
      </c>
      <c r="B570" s="104" t="str">
        <f>VLOOKUP(A570,[1]단품수량!$B$5:$E$27,4,FALSE)</f>
        <v>CRB</v>
      </c>
      <c r="C570" s="104">
        <v>552</v>
      </c>
      <c r="D570" s="104" t="s">
        <v>554</v>
      </c>
      <c r="E570" s="104">
        <v>30118479</v>
      </c>
      <c r="F570" s="104"/>
      <c r="G570" s="104"/>
      <c r="H570" s="104" t="s">
        <v>498</v>
      </c>
      <c r="I570" s="104" t="s">
        <v>499</v>
      </c>
      <c r="J570" s="104">
        <v>19</v>
      </c>
      <c r="K570" s="104">
        <v>19</v>
      </c>
      <c r="L570" s="104">
        <f>VLOOKUP(A570,[1]단품수량!$B$5:$P$27,13,FALSE)*K570</f>
        <v>1501</v>
      </c>
      <c r="M570" s="104" t="s">
        <v>99</v>
      </c>
      <c r="N570" s="101" t="s">
        <v>91</v>
      </c>
      <c r="O570" s="105">
        <v>12</v>
      </c>
      <c r="P570" s="105">
        <f t="shared" si="16"/>
        <v>228</v>
      </c>
      <c r="Q570" s="104" t="s">
        <v>100</v>
      </c>
    </row>
    <row r="571" spans="1:17" ht="18" customHeight="1">
      <c r="A571" s="107">
        <v>10005987</v>
      </c>
      <c r="B571" s="104" t="str">
        <f>VLOOKUP(A571,[1]단품수량!$B$5:$E$27,4,FALSE)</f>
        <v>CRB</v>
      </c>
      <c r="C571" s="104">
        <v>553</v>
      </c>
      <c r="D571" s="104" t="s">
        <v>555</v>
      </c>
      <c r="E571" s="104">
        <v>30115073</v>
      </c>
      <c r="F571" s="104"/>
      <c r="G571" s="104"/>
      <c r="H571" s="104" t="s">
        <v>137</v>
      </c>
      <c r="I571" s="104" t="s">
        <v>214</v>
      </c>
      <c r="J571" s="104">
        <v>1</v>
      </c>
      <c r="K571" s="104">
        <v>1</v>
      </c>
      <c r="L571" s="104">
        <f>VLOOKUP(A571,[1]단품수량!$B$5:$P$27,13,FALSE)*K571</f>
        <v>79</v>
      </c>
      <c r="M571" s="104" t="s">
        <v>99</v>
      </c>
      <c r="N571" s="101" t="s">
        <v>91</v>
      </c>
      <c r="O571" s="105">
        <v>96</v>
      </c>
      <c r="P571" s="105">
        <f t="shared" si="16"/>
        <v>96</v>
      </c>
      <c r="Q571" s="104" t="s">
        <v>100</v>
      </c>
    </row>
    <row r="572" spans="1:17" ht="18" customHeight="1">
      <c r="A572" s="107">
        <v>10005987</v>
      </c>
      <c r="B572" s="104" t="str">
        <f>VLOOKUP(A572,[1]단품수량!$B$5:$E$27,4,FALSE)</f>
        <v>CRB</v>
      </c>
      <c r="C572" s="104">
        <v>554</v>
      </c>
      <c r="D572" s="104" t="s">
        <v>556</v>
      </c>
      <c r="E572" s="104">
        <v>30081231</v>
      </c>
      <c r="F572" s="104"/>
      <c r="G572" s="104"/>
      <c r="H572" s="104" t="s">
        <v>216</v>
      </c>
      <c r="I572" s="104" t="s">
        <v>217</v>
      </c>
      <c r="J572" s="104">
        <v>4</v>
      </c>
      <c r="K572" s="104">
        <v>4</v>
      </c>
      <c r="L572" s="104">
        <f>VLOOKUP(A572,[1]단품수량!$B$5:$P$27,13,FALSE)*K572</f>
        <v>316</v>
      </c>
      <c r="M572" s="104" t="s">
        <v>107</v>
      </c>
      <c r="N572" s="101" t="s">
        <v>91</v>
      </c>
      <c r="O572" s="105">
        <v>18</v>
      </c>
      <c r="P572" s="105">
        <f t="shared" si="16"/>
        <v>72</v>
      </c>
      <c r="Q572" s="104" t="s">
        <v>100</v>
      </c>
    </row>
    <row r="573" spans="1:17" ht="18" customHeight="1">
      <c r="A573" s="107">
        <v>10005987</v>
      </c>
      <c r="B573" s="104" t="str">
        <f>VLOOKUP(A573,[1]단품수량!$B$5:$E$27,4,FALSE)</f>
        <v>CRB</v>
      </c>
      <c r="C573" s="104">
        <v>555</v>
      </c>
      <c r="D573" s="104" t="s">
        <v>104</v>
      </c>
      <c r="E573" s="104">
        <v>30120682</v>
      </c>
      <c r="F573" s="104" t="s">
        <v>695</v>
      </c>
      <c r="G573" s="104"/>
      <c r="H573" s="104" t="s">
        <v>696</v>
      </c>
      <c r="I573" s="104" t="s">
        <v>89</v>
      </c>
      <c r="J573" s="104">
        <v>1</v>
      </c>
      <c r="K573" s="104">
        <v>1</v>
      </c>
      <c r="L573" s="104">
        <f>VLOOKUP(A573,[1]단품수량!$B$5:$P$27,13,FALSE)*K573</f>
        <v>79</v>
      </c>
      <c r="M573" s="104" t="s">
        <v>205</v>
      </c>
      <c r="N573" s="101" t="s">
        <v>91</v>
      </c>
      <c r="O573" s="105">
        <v>0</v>
      </c>
      <c r="P573" s="105">
        <f t="shared" si="16"/>
        <v>0</v>
      </c>
      <c r="Q573" s="104" t="s">
        <v>336</v>
      </c>
    </row>
    <row r="574" spans="1:17" ht="18" customHeight="1">
      <c r="A574" s="107">
        <v>10005987</v>
      </c>
      <c r="B574" s="104" t="str">
        <f>VLOOKUP(A574,[1]단품수량!$B$5:$E$27,4,FALSE)</f>
        <v>CRB</v>
      </c>
      <c r="C574" s="104">
        <v>556</v>
      </c>
      <c r="D574" s="104" t="s">
        <v>149</v>
      </c>
      <c r="E574" s="104">
        <v>20061615</v>
      </c>
      <c r="F574" s="104" t="s">
        <v>697</v>
      </c>
      <c r="G574" s="104"/>
      <c r="H574" s="104" t="s">
        <v>698</v>
      </c>
      <c r="I574" s="104" t="s">
        <v>528</v>
      </c>
      <c r="J574" s="104">
        <v>1</v>
      </c>
      <c r="K574" s="104">
        <v>1</v>
      </c>
      <c r="L574" s="104">
        <f>VLOOKUP(A574,[1]단품수량!$B$5:$P$27,13,FALSE)*K574</f>
        <v>79</v>
      </c>
      <c r="M574" s="104" t="s">
        <v>90</v>
      </c>
      <c r="N574" s="101" t="s">
        <v>91</v>
      </c>
      <c r="O574" s="105">
        <v>0</v>
      </c>
      <c r="P574" s="105">
        <f t="shared" si="16"/>
        <v>0</v>
      </c>
      <c r="Q574" s="104" t="s">
        <v>136</v>
      </c>
    </row>
    <row r="575" spans="1:17" ht="18" customHeight="1">
      <c r="A575" s="107">
        <v>10005987</v>
      </c>
      <c r="B575" s="104" t="str">
        <f>VLOOKUP(A575,[1]단품수량!$B$5:$E$27,4,FALSE)</f>
        <v>CRB</v>
      </c>
      <c r="C575" s="104">
        <v>557</v>
      </c>
      <c r="D575" s="104" t="s">
        <v>529</v>
      </c>
      <c r="E575" s="104">
        <v>30120759</v>
      </c>
      <c r="F575" s="104"/>
      <c r="G575" s="104"/>
      <c r="H575" s="104" t="s">
        <v>530</v>
      </c>
      <c r="I575" s="104" t="s">
        <v>531</v>
      </c>
      <c r="J575" s="104">
        <v>1</v>
      </c>
      <c r="K575" s="104">
        <v>1</v>
      </c>
      <c r="L575" s="104">
        <f>VLOOKUP(A575,[1]단품수량!$B$5:$P$27,13,FALSE)*K575</f>
        <v>79</v>
      </c>
      <c r="M575" s="104" t="s">
        <v>99</v>
      </c>
      <c r="N575" s="101" t="s">
        <v>91</v>
      </c>
      <c r="O575" s="105">
        <v>0</v>
      </c>
      <c r="P575" s="105">
        <f t="shared" si="16"/>
        <v>0</v>
      </c>
      <c r="Q575" s="104" t="s">
        <v>136</v>
      </c>
    </row>
    <row r="576" spans="1:17" ht="18" customHeight="1">
      <c r="A576" s="107">
        <v>10005987</v>
      </c>
      <c r="B576" s="104" t="str">
        <f>VLOOKUP(A576,[1]단품수량!$B$5:$E$27,4,FALSE)</f>
        <v>CRB</v>
      </c>
      <c r="C576" s="104">
        <v>558</v>
      </c>
      <c r="D576" s="104" t="s">
        <v>532</v>
      </c>
      <c r="E576" s="104">
        <v>30120760</v>
      </c>
      <c r="F576" s="104"/>
      <c r="G576" s="104"/>
      <c r="H576" s="104" t="s">
        <v>533</v>
      </c>
      <c r="I576" s="104" t="s">
        <v>534</v>
      </c>
      <c r="J576" s="104">
        <v>1</v>
      </c>
      <c r="K576" s="104">
        <v>1</v>
      </c>
      <c r="L576" s="104">
        <f>VLOOKUP(A576,[1]단품수량!$B$5:$P$27,13,FALSE)*K576</f>
        <v>79</v>
      </c>
      <c r="M576" s="104" t="s">
        <v>99</v>
      </c>
      <c r="N576" s="101" t="s">
        <v>91</v>
      </c>
      <c r="O576" s="105">
        <v>0</v>
      </c>
      <c r="P576" s="105">
        <f t="shared" si="16"/>
        <v>0</v>
      </c>
      <c r="Q576" s="104" t="s">
        <v>336</v>
      </c>
    </row>
    <row r="577" spans="1:17" ht="18" customHeight="1">
      <c r="A577" s="107">
        <v>10005987</v>
      </c>
      <c r="B577" s="104" t="str">
        <f>VLOOKUP(A577,[1]단품수량!$B$5:$E$27,4,FALSE)</f>
        <v>CRB</v>
      </c>
      <c r="C577" s="104">
        <v>559</v>
      </c>
      <c r="D577" s="104" t="s">
        <v>152</v>
      </c>
      <c r="E577" s="104">
        <v>30120986</v>
      </c>
      <c r="F577" s="104"/>
      <c r="G577" s="104"/>
      <c r="H577" s="104" t="s">
        <v>699</v>
      </c>
      <c r="I577" s="104" t="s">
        <v>89</v>
      </c>
      <c r="J577" s="104">
        <v>1</v>
      </c>
      <c r="K577" s="104">
        <v>1</v>
      </c>
      <c r="L577" s="104">
        <f>VLOOKUP(A577,[1]단품수량!$B$5:$P$27,13,FALSE)*K577</f>
        <v>79</v>
      </c>
      <c r="M577" s="104" t="s">
        <v>205</v>
      </c>
      <c r="N577" s="101" t="s">
        <v>91</v>
      </c>
      <c r="O577" s="105">
        <v>0</v>
      </c>
      <c r="P577" s="105">
        <f t="shared" si="16"/>
        <v>0</v>
      </c>
      <c r="Q577" s="104" t="s">
        <v>336</v>
      </c>
    </row>
    <row r="578" spans="1:17" ht="18" customHeight="1">
      <c r="A578" s="107">
        <v>10005987</v>
      </c>
      <c r="B578" s="104" t="str">
        <f>VLOOKUP(A578,[1]단품수량!$B$5:$E$27,4,FALSE)</f>
        <v>CRB</v>
      </c>
      <c r="C578" s="104">
        <v>560</v>
      </c>
      <c r="D578" s="104" t="s">
        <v>109</v>
      </c>
      <c r="E578" s="104">
        <v>30120678</v>
      </c>
      <c r="F578" s="104" t="s">
        <v>622</v>
      </c>
      <c r="G578" s="104"/>
      <c r="H578" s="104" t="s">
        <v>623</v>
      </c>
      <c r="I578" s="104" t="s">
        <v>89</v>
      </c>
      <c r="J578" s="104">
        <v>1</v>
      </c>
      <c r="K578" s="104">
        <v>1</v>
      </c>
      <c r="L578" s="104">
        <f>VLOOKUP(A578,[1]단품수량!$B$5:$P$27,13,FALSE)*K578</f>
        <v>79</v>
      </c>
      <c r="M578" s="104" t="s">
        <v>205</v>
      </c>
      <c r="N578" s="101" t="s">
        <v>91</v>
      </c>
      <c r="O578" s="105">
        <v>0</v>
      </c>
      <c r="P578" s="105">
        <f t="shared" si="16"/>
        <v>0</v>
      </c>
      <c r="Q578" s="104" t="s">
        <v>336</v>
      </c>
    </row>
    <row r="579" spans="1:17" ht="18" customHeight="1">
      <c r="A579" s="107">
        <v>10005987</v>
      </c>
      <c r="B579" s="104" t="str">
        <f>VLOOKUP(A579,[1]단품수량!$B$5:$E$27,4,FALSE)</f>
        <v>CRB</v>
      </c>
      <c r="C579" s="104">
        <v>561</v>
      </c>
      <c r="D579" s="104" t="s">
        <v>149</v>
      </c>
      <c r="E579" s="104">
        <v>20061611</v>
      </c>
      <c r="F579" s="104" t="s">
        <v>624</v>
      </c>
      <c r="G579" s="104"/>
      <c r="H579" s="104" t="s">
        <v>625</v>
      </c>
      <c r="I579" s="104" t="s">
        <v>528</v>
      </c>
      <c r="J579" s="104">
        <v>1</v>
      </c>
      <c r="K579" s="104">
        <v>1</v>
      </c>
      <c r="L579" s="104">
        <f>VLOOKUP(A579,[1]단품수량!$B$5:$P$27,13,FALSE)*K579</f>
        <v>79</v>
      </c>
      <c r="M579" s="104" t="s">
        <v>90</v>
      </c>
      <c r="N579" s="101" t="s">
        <v>91</v>
      </c>
      <c r="O579" s="105">
        <v>0</v>
      </c>
      <c r="P579" s="105">
        <f t="shared" si="16"/>
        <v>0</v>
      </c>
      <c r="Q579" s="104" t="s">
        <v>136</v>
      </c>
    </row>
    <row r="580" spans="1:17" ht="18" customHeight="1">
      <c r="A580" s="107">
        <v>10005987</v>
      </c>
      <c r="B580" s="104" t="str">
        <f>VLOOKUP(A580,[1]단품수량!$B$5:$E$27,4,FALSE)</f>
        <v>CRB</v>
      </c>
      <c r="C580" s="104">
        <v>562</v>
      </c>
      <c r="D580" s="104" t="s">
        <v>529</v>
      </c>
      <c r="E580" s="104">
        <v>30120759</v>
      </c>
      <c r="F580" s="104"/>
      <c r="G580" s="104"/>
      <c r="H580" s="104" t="s">
        <v>530</v>
      </c>
      <c r="I580" s="104" t="s">
        <v>531</v>
      </c>
      <c r="J580" s="104">
        <v>1</v>
      </c>
      <c r="K580" s="104">
        <v>1</v>
      </c>
      <c r="L580" s="104">
        <f>VLOOKUP(A580,[1]단품수량!$B$5:$P$27,13,FALSE)*K580</f>
        <v>79</v>
      </c>
      <c r="M580" s="104" t="s">
        <v>99</v>
      </c>
      <c r="N580" s="101" t="s">
        <v>91</v>
      </c>
      <c r="O580" s="105">
        <v>0</v>
      </c>
      <c r="P580" s="105">
        <f t="shared" si="16"/>
        <v>0</v>
      </c>
      <c r="Q580" s="104" t="s">
        <v>136</v>
      </c>
    </row>
    <row r="581" spans="1:17" ht="18" customHeight="1">
      <c r="A581" s="107">
        <v>10005987</v>
      </c>
      <c r="B581" s="104" t="str">
        <f>VLOOKUP(A581,[1]단품수량!$B$5:$E$27,4,FALSE)</f>
        <v>CRB</v>
      </c>
      <c r="C581" s="104">
        <v>563</v>
      </c>
      <c r="D581" s="104" t="s">
        <v>532</v>
      </c>
      <c r="E581" s="104">
        <v>30120760</v>
      </c>
      <c r="F581" s="104"/>
      <c r="G581" s="104"/>
      <c r="H581" s="104" t="s">
        <v>533</v>
      </c>
      <c r="I581" s="104" t="s">
        <v>534</v>
      </c>
      <c r="J581" s="104">
        <v>1</v>
      </c>
      <c r="K581" s="104">
        <v>1</v>
      </c>
      <c r="L581" s="104">
        <f>VLOOKUP(A581,[1]단품수량!$B$5:$P$27,13,FALSE)*K581</f>
        <v>79</v>
      </c>
      <c r="M581" s="104" t="s">
        <v>99</v>
      </c>
      <c r="N581" s="101" t="s">
        <v>91</v>
      </c>
      <c r="O581" s="105">
        <v>0</v>
      </c>
      <c r="P581" s="105">
        <f t="shared" si="16"/>
        <v>0</v>
      </c>
      <c r="Q581" s="104" t="s">
        <v>336</v>
      </c>
    </row>
    <row r="582" spans="1:17" ht="18" customHeight="1">
      <c r="A582" s="107">
        <v>10005987</v>
      </c>
      <c r="B582" s="104" t="str">
        <f>VLOOKUP(A582,[1]단품수량!$B$5:$E$27,4,FALSE)</f>
        <v>CRB</v>
      </c>
      <c r="C582" s="104">
        <v>564</v>
      </c>
      <c r="D582" s="104" t="s">
        <v>152</v>
      </c>
      <c r="E582" s="104">
        <v>30120979</v>
      </c>
      <c r="F582" s="104"/>
      <c r="G582" s="104"/>
      <c r="H582" s="104" t="s">
        <v>626</v>
      </c>
      <c r="I582" s="104" t="s">
        <v>89</v>
      </c>
      <c r="J582" s="104">
        <v>1</v>
      </c>
      <c r="K582" s="104">
        <v>1</v>
      </c>
      <c r="L582" s="104">
        <f>VLOOKUP(A582,[1]단품수량!$B$5:$P$27,13,FALSE)*K582</f>
        <v>79</v>
      </c>
      <c r="M582" s="104" t="s">
        <v>90</v>
      </c>
      <c r="N582" s="101" t="s">
        <v>91</v>
      </c>
      <c r="O582" s="105">
        <v>318000</v>
      </c>
      <c r="P582" s="105">
        <f t="shared" si="16"/>
        <v>318000</v>
      </c>
      <c r="Q582" s="104" t="s">
        <v>543</v>
      </c>
    </row>
    <row r="583" spans="1:17" ht="18" customHeight="1">
      <c r="A583" s="107">
        <v>10005987</v>
      </c>
      <c r="B583" s="104" t="str">
        <f>VLOOKUP(A583,[1]단품수량!$B$5:$E$27,4,FALSE)</f>
        <v>CRB</v>
      </c>
      <c r="C583" s="104">
        <v>565</v>
      </c>
      <c r="D583" s="104" t="s">
        <v>208</v>
      </c>
      <c r="E583" s="104">
        <v>20061621</v>
      </c>
      <c r="F583" s="104" t="s">
        <v>627</v>
      </c>
      <c r="G583" s="104"/>
      <c r="H583" s="104" t="s">
        <v>628</v>
      </c>
      <c r="I583" s="104" t="s">
        <v>89</v>
      </c>
      <c r="J583" s="104">
        <v>1</v>
      </c>
      <c r="K583" s="104">
        <v>1</v>
      </c>
      <c r="L583" s="104">
        <f>VLOOKUP(A583,[1]단품수량!$B$5:$P$27,13,FALSE)*K583</f>
        <v>79</v>
      </c>
      <c r="M583" s="104" t="s">
        <v>205</v>
      </c>
      <c r="N583" s="101" t="s">
        <v>91</v>
      </c>
      <c r="O583" s="105">
        <v>0</v>
      </c>
      <c r="P583" s="105">
        <f t="shared" si="16"/>
        <v>0</v>
      </c>
      <c r="Q583" s="104" t="s">
        <v>336</v>
      </c>
    </row>
    <row r="584" spans="1:17" ht="18" customHeight="1">
      <c r="A584" s="107">
        <v>10005987</v>
      </c>
      <c r="B584" s="104" t="str">
        <f>VLOOKUP(A584,[1]단품수량!$B$5:$E$27,4,FALSE)</f>
        <v>CRB</v>
      </c>
      <c r="C584" s="104">
        <v>566</v>
      </c>
      <c r="D584" s="104" t="s">
        <v>210</v>
      </c>
      <c r="E584" s="104">
        <v>20061631</v>
      </c>
      <c r="F584" s="104" t="s">
        <v>629</v>
      </c>
      <c r="G584" s="104"/>
      <c r="H584" s="104" t="s">
        <v>630</v>
      </c>
      <c r="I584" s="104" t="s">
        <v>89</v>
      </c>
      <c r="J584" s="104">
        <v>1</v>
      </c>
      <c r="K584" s="104">
        <v>1</v>
      </c>
      <c r="L584" s="104">
        <f>VLOOKUP(A584,[1]단품수량!$B$5:$P$27,13,FALSE)*K584</f>
        <v>79</v>
      </c>
      <c r="M584" s="104" t="s">
        <v>90</v>
      </c>
      <c r="N584" s="101" t="s">
        <v>91</v>
      </c>
      <c r="O584" s="105">
        <v>0</v>
      </c>
      <c r="P584" s="105">
        <f t="shared" si="16"/>
        <v>0</v>
      </c>
      <c r="Q584" s="104" t="s">
        <v>336</v>
      </c>
    </row>
    <row r="585" spans="1:17" ht="18" customHeight="1">
      <c r="A585" s="107">
        <v>10005987</v>
      </c>
      <c r="B585" s="104" t="str">
        <f>VLOOKUP(A585,[1]단품수량!$B$5:$E$27,4,FALSE)</f>
        <v>CRB</v>
      </c>
      <c r="C585" s="104">
        <v>567</v>
      </c>
      <c r="D585" s="104" t="s">
        <v>213</v>
      </c>
      <c r="E585" s="104">
        <v>30120234</v>
      </c>
      <c r="F585" s="104"/>
      <c r="G585" s="104"/>
      <c r="H585" s="104" t="s">
        <v>562</v>
      </c>
      <c r="I585" s="104" t="s">
        <v>563</v>
      </c>
      <c r="J585" s="104">
        <v>6</v>
      </c>
      <c r="K585" s="104">
        <v>6</v>
      </c>
      <c r="L585" s="104">
        <f>VLOOKUP(A585,[1]단품수량!$B$5:$P$27,13,FALSE)*K585</f>
        <v>474</v>
      </c>
      <c r="M585" s="104" t="s">
        <v>99</v>
      </c>
      <c r="N585" s="101" t="s">
        <v>91</v>
      </c>
      <c r="O585" s="105">
        <v>650</v>
      </c>
      <c r="P585" s="105">
        <f t="shared" si="16"/>
        <v>3900</v>
      </c>
      <c r="Q585" s="104" t="s">
        <v>100</v>
      </c>
    </row>
    <row r="586" spans="1:17" ht="18" customHeight="1">
      <c r="A586" s="107">
        <v>10005987</v>
      </c>
      <c r="B586" s="104" t="str">
        <f>VLOOKUP(A586,[1]단품수량!$B$5:$E$27,4,FALSE)</f>
        <v>CRB</v>
      </c>
      <c r="C586" s="104">
        <v>568</v>
      </c>
      <c r="D586" s="104" t="s">
        <v>112</v>
      </c>
      <c r="E586" s="104">
        <v>30120679</v>
      </c>
      <c r="F586" s="104" t="s">
        <v>631</v>
      </c>
      <c r="G586" s="104"/>
      <c r="H586" s="104" t="s">
        <v>632</v>
      </c>
      <c r="I586" s="104" t="s">
        <v>89</v>
      </c>
      <c r="J586" s="104">
        <v>1</v>
      </c>
      <c r="K586" s="104">
        <v>1</v>
      </c>
      <c r="L586" s="104">
        <f>VLOOKUP(A586,[1]단품수량!$B$5:$P$27,13,FALSE)*K586</f>
        <v>79</v>
      </c>
      <c r="M586" s="104" t="s">
        <v>205</v>
      </c>
      <c r="N586" s="101" t="s">
        <v>91</v>
      </c>
      <c r="O586" s="105">
        <v>0</v>
      </c>
      <c r="P586" s="105">
        <f t="shared" si="16"/>
        <v>0</v>
      </c>
      <c r="Q586" s="104" t="s">
        <v>336</v>
      </c>
    </row>
    <row r="587" spans="1:17" ht="18" customHeight="1">
      <c r="A587" s="107">
        <v>10005987</v>
      </c>
      <c r="B587" s="104" t="str">
        <f>VLOOKUP(A587,[1]단품수량!$B$5:$E$27,4,FALSE)</f>
        <v>CRB</v>
      </c>
      <c r="C587" s="104">
        <v>569</v>
      </c>
      <c r="D587" s="104" t="s">
        <v>149</v>
      </c>
      <c r="E587" s="104">
        <v>20061612</v>
      </c>
      <c r="F587" s="104" t="s">
        <v>633</v>
      </c>
      <c r="G587" s="104"/>
      <c r="H587" s="104" t="s">
        <v>634</v>
      </c>
      <c r="I587" s="104" t="s">
        <v>528</v>
      </c>
      <c r="J587" s="104">
        <v>1</v>
      </c>
      <c r="K587" s="104">
        <v>1</v>
      </c>
      <c r="L587" s="104">
        <f>VLOOKUP(A587,[1]단품수량!$B$5:$P$27,13,FALSE)*K587</f>
        <v>79</v>
      </c>
      <c r="M587" s="104" t="s">
        <v>90</v>
      </c>
      <c r="N587" s="101" t="s">
        <v>91</v>
      </c>
      <c r="O587" s="105">
        <v>0</v>
      </c>
      <c r="P587" s="105">
        <f t="shared" si="16"/>
        <v>0</v>
      </c>
      <c r="Q587" s="104" t="s">
        <v>136</v>
      </c>
    </row>
    <row r="588" spans="1:17" ht="18" customHeight="1">
      <c r="A588" s="107">
        <v>10005987</v>
      </c>
      <c r="B588" s="104" t="str">
        <f>VLOOKUP(A588,[1]단품수량!$B$5:$E$27,4,FALSE)</f>
        <v>CRB</v>
      </c>
      <c r="C588" s="104">
        <v>570</v>
      </c>
      <c r="D588" s="104" t="s">
        <v>529</v>
      </c>
      <c r="E588" s="104">
        <v>30120759</v>
      </c>
      <c r="F588" s="104"/>
      <c r="G588" s="104"/>
      <c r="H588" s="104" t="s">
        <v>530</v>
      </c>
      <c r="I588" s="104" t="s">
        <v>531</v>
      </c>
      <c r="J588" s="104">
        <v>1</v>
      </c>
      <c r="K588" s="104">
        <v>1</v>
      </c>
      <c r="L588" s="104">
        <f>VLOOKUP(A588,[1]단품수량!$B$5:$P$27,13,FALSE)*K588</f>
        <v>79</v>
      </c>
      <c r="M588" s="104" t="s">
        <v>99</v>
      </c>
      <c r="N588" s="101" t="s">
        <v>91</v>
      </c>
      <c r="O588" s="105">
        <v>0</v>
      </c>
      <c r="P588" s="105">
        <f t="shared" si="16"/>
        <v>0</v>
      </c>
      <c r="Q588" s="104" t="s">
        <v>136</v>
      </c>
    </row>
    <row r="589" spans="1:17" ht="18" customHeight="1">
      <c r="A589" s="107">
        <v>10005987</v>
      </c>
      <c r="B589" s="104" t="str">
        <f>VLOOKUP(A589,[1]단품수량!$B$5:$E$27,4,FALSE)</f>
        <v>CRB</v>
      </c>
      <c r="C589" s="104">
        <v>571</v>
      </c>
      <c r="D589" s="104" t="s">
        <v>532</v>
      </c>
      <c r="E589" s="104">
        <v>30120760</v>
      </c>
      <c r="F589" s="104"/>
      <c r="G589" s="104"/>
      <c r="H589" s="104" t="s">
        <v>533</v>
      </c>
      <c r="I589" s="104" t="s">
        <v>534</v>
      </c>
      <c r="J589" s="104">
        <v>1</v>
      </c>
      <c r="K589" s="104">
        <v>1</v>
      </c>
      <c r="L589" s="104">
        <f>VLOOKUP(A589,[1]단품수량!$B$5:$P$27,13,FALSE)*K589</f>
        <v>79</v>
      </c>
      <c r="M589" s="104" t="s">
        <v>99</v>
      </c>
      <c r="N589" s="101" t="s">
        <v>91</v>
      </c>
      <c r="O589" s="105">
        <v>0</v>
      </c>
      <c r="P589" s="105">
        <f t="shared" si="16"/>
        <v>0</v>
      </c>
      <c r="Q589" s="104" t="s">
        <v>336</v>
      </c>
    </row>
    <row r="590" spans="1:17" ht="18" customHeight="1">
      <c r="A590" s="107">
        <v>10005987</v>
      </c>
      <c r="B590" s="104" t="str">
        <f>VLOOKUP(A590,[1]단품수량!$B$5:$E$27,4,FALSE)</f>
        <v>CRB</v>
      </c>
      <c r="C590" s="104">
        <v>572</v>
      </c>
      <c r="D590" s="104" t="s">
        <v>152</v>
      </c>
      <c r="E590" s="104">
        <v>30120980</v>
      </c>
      <c r="F590" s="104"/>
      <c r="G590" s="104"/>
      <c r="H590" s="104" t="s">
        <v>635</v>
      </c>
      <c r="I590" s="104" t="s">
        <v>89</v>
      </c>
      <c r="J590" s="104">
        <v>1</v>
      </c>
      <c r="K590" s="104">
        <v>1</v>
      </c>
      <c r="L590" s="104">
        <f>VLOOKUP(A590,[1]단품수량!$B$5:$P$27,13,FALSE)*K590</f>
        <v>79</v>
      </c>
      <c r="M590" s="104" t="s">
        <v>90</v>
      </c>
      <c r="N590" s="101" t="s">
        <v>91</v>
      </c>
      <c r="O590" s="105">
        <v>305000</v>
      </c>
      <c r="P590" s="105">
        <f t="shared" si="16"/>
        <v>305000</v>
      </c>
      <c r="Q590" s="104" t="s">
        <v>543</v>
      </c>
    </row>
    <row r="591" spans="1:17" ht="18" customHeight="1">
      <c r="A591" s="107">
        <v>10005987</v>
      </c>
      <c r="B591" s="104" t="str">
        <f>VLOOKUP(A591,[1]단품수량!$B$5:$E$27,4,FALSE)</f>
        <v>CRB</v>
      </c>
      <c r="C591" s="104">
        <v>573</v>
      </c>
      <c r="D591" s="104" t="s">
        <v>208</v>
      </c>
      <c r="E591" s="104">
        <v>20061622</v>
      </c>
      <c r="F591" s="104" t="s">
        <v>636</v>
      </c>
      <c r="G591" s="104"/>
      <c r="H591" s="104" t="s">
        <v>637</v>
      </c>
      <c r="I591" s="104" t="s">
        <v>89</v>
      </c>
      <c r="J591" s="104">
        <v>1</v>
      </c>
      <c r="K591" s="104">
        <v>1</v>
      </c>
      <c r="L591" s="104">
        <f>VLOOKUP(A591,[1]단품수량!$B$5:$P$27,13,FALSE)*K591</f>
        <v>79</v>
      </c>
      <c r="M591" s="104" t="s">
        <v>205</v>
      </c>
      <c r="N591" s="101" t="s">
        <v>91</v>
      </c>
      <c r="O591" s="105">
        <v>0</v>
      </c>
      <c r="P591" s="105">
        <f t="shared" si="16"/>
        <v>0</v>
      </c>
      <c r="Q591" s="104" t="s">
        <v>336</v>
      </c>
    </row>
    <row r="592" spans="1:17" ht="18" customHeight="1">
      <c r="A592" s="107">
        <v>10005987</v>
      </c>
      <c r="B592" s="104" t="str">
        <f>VLOOKUP(A592,[1]단품수량!$B$5:$E$27,4,FALSE)</f>
        <v>CRB</v>
      </c>
      <c r="C592" s="104">
        <v>574</v>
      </c>
      <c r="D592" s="104" t="s">
        <v>210</v>
      </c>
      <c r="E592" s="104">
        <v>20061623</v>
      </c>
      <c r="F592" s="104" t="s">
        <v>638</v>
      </c>
      <c r="G592" s="104"/>
      <c r="H592" s="104" t="s">
        <v>639</v>
      </c>
      <c r="I592" s="104" t="s">
        <v>89</v>
      </c>
      <c r="J592" s="104">
        <v>1</v>
      </c>
      <c r="K592" s="104">
        <v>1</v>
      </c>
      <c r="L592" s="104">
        <f>VLOOKUP(A592,[1]단품수량!$B$5:$P$27,13,FALSE)*K592</f>
        <v>79</v>
      </c>
      <c r="M592" s="104" t="s">
        <v>205</v>
      </c>
      <c r="N592" s="101" t="s">
        <v>91</v>
      </c>
      <c r="O592" s="105">
        <v>0</v>
      </c>
      <c r="P592" s="105">
        <f t="shared" si="16"/>
        <v>0</v>
      </c>
      <c r="Q592" s="104" t="s">
        <v>336</v>
      </c>
    </row>
    <row r="593" spans="1:17" ht="18" customHeight="1">
      <c r="A593" s="107">
        <v>10005987</v>
      </c>
      <c r="B593" s="104" t="str">
        <f>VLOOKUP(A593,[1]단품수량!$B$5:$E$27,4,FALSE)</f>
        <v>CRB</v>
      </c>
      <c r="C593" s="104">
        <v>575</v>
      </c>
      <c r="D593" s="104" t="s">
        <v>213</v>
      </c>
      <c r="E593" s="104">
        <v>20061632</v>
      </c>
      <c r="F593" s="104" t="s">
        <v>640</v>
      </c>
      <c r="G593" s="104"/>
      <c r="H593" s="104" t="s">
        <v>641</v>
      </c>
      <c r="I593" s="104" t="s">
        <v>89</v>
      </c>
      <c r="J593" s="104">
        <v>1</v>
      </c>
      <c r="K593" s="104">
        <v>1</v>
      </c>
      <c r="L593" s="104">
        <f>VLOOKUP(A593,[1]단품수량!$B$5:$P$27,13,FALSE)*K593</f>
        <v>79</v>
      </c>
      <c r="M593" s="104" t="s">
        <v>90</v>
      </c>
      <c r="N593" s="101" t="s">
        <v>91</v>
      </c>
      <c r="O593" s="105">
        <v>0</v>
      </c>
      <c r="P593" s="105">
        <f t="shared" si="16"/>
        <v>0</v>
      </c>
      <c r="Q593" s="104" t="s">
        <v>336</v>
      </c>
    </row>
    <row r="594" spans="1:17" ht="18" customHeight="1">
      <c r="A594" s="107">
        <v>10005987</v>
      </c>
      <c r="B594" s="104" t="str">
        <f>VLOOKUP(A594,[1]단품수량!$B$5:$E$27,4,FALSE)</f>
        <v>CRB</v>
      </c>
      <c r="C594" s="104">
        <v>576</v>
      </c>
      <c r="D594" s="104" t="s">
        <v>115</v>
      </c>
      <c r="E594" s="104">
        <v>30120680</v>
      </c>
      <c r="F594" s="104" t="s">
        <v>642</v>
      </c>
      <c r="G594" s="104"/>
      <c r="H594" s="104" t="s">
        <v>643</v>
      </c>
      <c r="I594" s="104" t="s">
        <v>89</v>
      </c>
      <c r="J594" s="104">
        <v>1</v>
      </c>
      <c r="K594" s="104">
        <v>1</v>
      </c>
      <c r="L594" s="104">
        <f>VLOOKUP(A594,[1]단품수량!$B$5:$P$27,13,FALSE)*K594</f>
        <v>79</v>
      </c>
      <c r="M594" s="104" t="s">
        <v>205</v>
      </c>
      <c r="N594" s="101" t="s">
        <v>91</v>
      </c>
      <c r="O594" s="105">
        <v>0</v>
      </c>
      <c r="P594" s="105">
        <f t="shared" si="16"/>
        <v>0</v>
      </c>
      <c r="Q594" s="104" t="s">
        <v>336</v>
      </c>
    </row>
    <row r="595" spans="1:17" ht="18" customHeight="1">
      <c r="A595" s="107">
        <v>10005987</v>
      </c>
      <c r="B595" s="104" t="str">
        <f>VLOOKUP(A595,[1]단품수량!$B$5:$E$27,4,FALSE)</f>
        <v>CRB</v>
      </c>
      <c r="C595" s="104">
        <v>577</v>
      </c>
      <c r="D595" s="104" t="s">
        <v>149</v>
      </c>
      <c r="E595" s="104">
        <v>20061613</v>
      </c>
      <c r="F595" s="104" t="s">
        <v>644</v>
      </c>
      <c r="G595" s="104"/>
      <c r="H595" s="104" t="s">
        <v>645</v>
      </c>
      <c r="I595" s="104" t="s">
        <v>528</v>
      </c>
      <c r="J595" s="104">
        <v>1</v>
      </c>
      <c r="K595" s="104">
        <v>1</v>
      </c>
      <c r="L595" s="104">
        <f>VLOOKUP(A595,[1]단품수량!$B$5:$P$27,13,FALSE)*K595</f>
        <v>79</v>
      </c>
      <c r="M595" s="104" t="s">
        <v>90</v>
      </c>
      <c r="N595" s="101" t="s">
        <v>91</v>
      </c>
      <c r="O595" s="105">
        <v>0</v>
      </c>
      <c r="P595" s="105">
        <f t="shared" si="16"/>
        <v>0</v>
      </c>
      <c r="Q595" s="104" t="s">
        <v>136</v>
      </c>
    </row>
    <row r="596" spans="1:17" ht="18" customHeight="1">
      <c r="A596" s="107">
        <v>10005987</v>
      </c>
      <c r="B596" s="104" t="str">
        <f>VLOOKUP(A596,[1]단품수량!$B$5:$E$27,4,FALSE)</f>
        <v>CRB</v>
      </c>
      <c r="C596" s="104">
        <v>578</v>
      </c>
      <c r="D596" s="104" t="s">
        <v>529</v>
      </c>
      <c r="E596" s="104">
        <v>30120759</v>
      </c>
      <c r="F596" s="104"/>
      <c r="G596" s="104"/>
      <c r="H596" s="104" t="s">
        <v>530</v>
      </c>
      <c r="I596" s="104" t="s">
        <v>531</v>
      </c>
      <c r="J596" s="104">
        <v>1</v>
      </c>
      <c r="K596" s="104">
        <v>1</v>
      </c>
      <c r="L596" s="104">
        <f>VLOOKUP(A596,[1]단품수량!$B$5:$P$27,13,FALSE)*K596</f>
        <v>79</v>
      </c>
      <c r="M596" s="104" t="s">
        <v>99</v>
      </c>
      <c r="N596" s="101" t="s">
        <v>91</v>
      </c>
      <c r="O596" s="105">
        <v>0</v>
      </c>
      <c r="P596" s="105">
        <f t="shared" si="16"/>
        <v>0</v>
      </c>
      <c r="Q596" s="104" t="s">
        <v>136</v>
      </c>
    </row>
    <row r="597" spans="1:17" ht="18" customHeight="1">
      <c r="A597" s="107">
        <v>10005987</v>
      </c>
      <c r="B597" s="104" t="str">
        <f>VLOOKUP(A597,[1]단품수량!$B$5:$E$27,4,FALSE)</f>
        <v>CRB</v>
      </c>
      <c r="C597" s="104">
        <v>579</v>
      </c>
      <c r="D597" s="104" t="s">
        <v>532</v>
      </c>
      <c r="E597" s="104">
        <v>30120760</v>
      </c>
      <c r="F597" s="104"/>
      <c r="G597" s="104"/>
      <c r="H597" s="104" t="s">
        <v>533</v>
      </c>
      <c r="I597" s="104" t="s">
        <v>534</v>
      </c>
      <c r="J597" s="104">
        <v>2</v>
      </c>
      <c r="K597" s="104">
        <v>2</v>
      </c>
      <c r="L597" s="104">
        <f>VLOOKUP(A597,[1]단품수량!$B$5:$P$27,13,FALSE)*K597</f>
        <v>158</v>
      </c>
      <c r="M597" s="104" t="s">
        <v>99</v>
      </c>
      <c r="N597" s="101" t="s">
        <v>91</v>
      </c>
      <c r="O597" s="105">
        <v>0</v>
      </c>
      <c r="P597" s="105">
        <f t="shared" si="16"/>
        <v>0</v>
      </c>
      <c r="Q597" s="104" t="s">
        <v>336</v>
      </c>
    </row>
    <row r="598" spans="1:17" ht="18" customHeight="1">
      <c r="A598" s="107">
        <v>10005987</v>
      </c>
      <c r="B598" s="104" t="str">
        <f>VLOOKUP(A598,[1]단품수량!$B$5:$E$27,4,FALSE)</f>
        <v>CRB</v>
      </c>
      <c r="C598" s="104">
        <v>580</v>
      </c>
      <c r="D598" s="104" t="s">
        <v>152</v>
      </c>
      <c r="E598" s="104">
        <v>30120981</v>
      </c>
      <c r="F598" s="104" t="s">
        <v>646</v>
      </c>
      <c r="G598" s="104"/>
      <c r="H598" s="104" t="s">
        <v>647</v>
      </c>
      <c r="I598" s="104" t="s">
        <v>89</v>
      </c>
      <c r="J598" s="104">
        <v>1</v>
      </c>
      <c r="K598" s="104">
        <v>1</v>
      </c>
      <c r="L598" s="104">
        <f>VLOOKUP(A598,[1]단품수량!$B$5:$P$27,13,FALSE)*K598</f>
        <v>79</v>
      </c>
      <c r="M598" s="104" t="s">
        <v>90</v>
      </c>
      <c r="N598" s="101" t="s">
        <v>91</v>
      </c>
      <c r="O598" s="105">
        <v>321000</v>
      </c>
      <c r="P598" s="105">
        <f t="shared" si="16"/>
        <v>321000</v>
      </c>
      <c r="Q598" s="104" t="s">
        <v>543</v>
      </c>
    </row>
    <row r="599" spans="1:17" ht="18" customHeight="1">
      <c r="A599" s="107">
        <v>10005987</v>
      </c>
      <c r="B599" s="104" t="str">
        <f>VLOOKUP(A599,[1]단품수량!$B$5:$E$27,4,FALSE)</f>
        <v>CRB</v>
      </c>
      <c r="C599" s="104">
        <v>581</v>
      </c>
      <c r="D599" s="104" t="s">
        <v>529</v>
      </c>
      <c r="E599" s="104">
        <v>30121015</v>
      </c>
      <c r="F599" s="104"/>
      <c r="G599" s="104"/>
      <c r="H599" s="104" t="s">
        <v>648</v>
      </c>
      <c r="I599" s="104" t="s">
        <v>649</v>
      </c>
      <c r="J599" s="104">
        <v>1</v>
      </c>
      <c r="K599" s="104">
        <v>1</v>
      </c>
      <c r="L599" s="104">
        <f>VLOOKUP(A599,[1]단품수량!$B$5:$P$27,13,FALSE)*K599</f>
        <v>79</v>
      </c>
      <c r="M599" s="104" t="s">
        <v>99</v>
      </c>
      <c r="N599" s="101" t="s">
        <v>91</v>
      </c>
      <c r="O599" s="105">
        <v>650</v>
      </c>
      <c r="P599" s="105">
        <f t="shared" si="16"/>
        <v>650</v>
      </c>
      <c r="Q599" s="104" t="s">
        <v>100</v>
      </c>
    </row>
    <row r="600" spans="1:17" ht="18" customHeight="1">
      <c r="A600" s="107">
        <v>10005987</v>
      </c>
      <c r="B600" s="104" t="str">
        <f>VLOOKUP(A600,[1]단품수량!$B$5:$E$27,4,FALSE)</f>
        <v>CRB</v>
      </c>
      <c r="C600" s="104">
        <v>582</v>
      </c>
      <c r="D600" s="104" t="s">
        <v>532</v>
      </c>
      <c r="E600" s="104">
        <v>20061624</v>
      </c>
      <c r="F600" s="104" t="s">
        <v>650</v>
      </c>
      <c r="G600" s="104"/>
      <c r="H600" s="104" t="s">
        <v>651</v>
      </c>
      <c r="I600" s="104" t="s">
        <v>89</v>
      </c>
      <c r="J600" s="104">
        <v>1</v>
      </c>
      <c r="K600" s="104">
        <v>1</v>
      </c>
      <c r="L600" s="104">
        <f>VLOOKUP(A600,[1]단품수량!$B$5:$P$27,13,FALSE)*K600</f>
        <v>79</v>
      </c>
      <c r="M600" s="104" t="s">
        <v>205</v>
      </c>
      <c r="N600" s="101" t="s">
        <v>91</v>
      </c>
      <c r="O600" s="105">
        <v>0</v>
      </c>
      <c r="P600" s="105">
        <f t="shared" si="16"/>
        <v>0</v>
      </c>
      <c r="Q600" s="104" t="s">
        <v>336</v>
      </c>
    </row>
    <row r="601" spans="1:17" ht="18" customHeight="1">
      <c r="A601" s="107">
        <v>10005987</v>
      </c>
      <c r="B601" s="104" t="str">
        <f>VLOOKUP(A601,[1]단품수량!$B$5:$E$27,4,FALSE)</f>
        <v>CRB</v>
      </c>
      <c r="C601" s="104">
        <v>583</v>
      </c>
      <c r="D601" s="104" t="s">
        <v>550</v>
      </c>
      <c r="E601" s="104">
        <v>20061625</v>
      </c>
      <c r="F601" s="104" t="s">
        <v>652</v>
      </c>
      <c r="G601" s="104"/>
      <c r="H601" s="104" t="s">
        <v>653</v>
      </c>
      <c r="I601" s="104" t="s">
        <v>89</v>
      </c>
      <c r="J601" s="104">
        <v>1</v>
      </c>
      <c r="K601" s="104">
        <v>1</v>
      </c>
      <c r="L601" s="104">
        <f>VLOOKUP(A601,[1]단품수량!$B$5:$P$27,13,FALSE)*K601</f>
        <v>79</v>
      </c>
      <c r="M601" s="104" t="s">
        <v>205</v>
      </c>
      <c r="N601" s="101" t="s">
        <v>91</v>
      </c>
      <c r="O601" s="105">
        <v>0</v>
      </c>
      <c r="P601" s="105">
        <f t="shared" si="16"/>
        <v>0</v>
      </c>
      <c r="Q601" s="104" t="s">
        <v>336</v>
      </c>
    </row>
    <row r="602" spans="1:17" ht="18" customHeight="1">
      <c r="A602" s="107">
        <v>10005987</v>
      </c>
      <c r="B602" s="104" t="str">
        <f>VLOOKUP(A602,[1]단품수량!$B$5:$E$27,4,FALSE)</f>
        <v>CRB</v>
      </c>
      <c r="C602" s="104">
        <v>584</v>
      </c>
      <c r="D602" s="104" t="s">
        <v>552</v>
      </c>
      <c r="E602" s="104">
        <v>20061633</v>
      </c>
      <c r="F602" s="104" t="s">
        <v>654</v>
      </c>
      <c r="G602" s="104"/>
      <c r="H602" s="104" t="s">
        <v>655</v>
      </c>
      <c r="I602" s="104" t="s">
        <v>89</v>
      </c>
      <c r="J602" s="104">
        <v>1</v>
      </c>
      <c r="K602" s="104">
        <v>1</v>
      </c>
      <c r="L602" s="104">
        <f>VLOOKUP(A602,[1]단품수량!$B$5:$P$27,13,FALSE)*K602</f>
        <v>79</v>
      </c>
      <c r="M602" s="104" t="s">
        <v>90</v>
      </c>
      <c r="N602" s="101" t="s">
        <v>91</v>
      </c>
      <c r="O602" s="105">
        <v>0</v>
      </c>
      <c r="P602" s="105">
        <f t="shared" si="16"/>
        <v>0</v>
      </c>
      <c r="Q602" s="104" t="s">
        <v>336</v>
      </c>
    </row>
    <row r="603" spans="1:17" ht="18" customHeight="1">
      <c r="A603" s="107">
        <v>10005987</v>
      </c>
      <c r="B603" s="104" t="str">
        <f>VLOOKUP(A603,[1]단품수량!$B$5:$E$27,4,FALSE)</f>
        <v>CRB</v>
      </c>
      <c r="C603" s="104">
        <v>585</v>
      </c>
      <c r="D603" s="104" t="s">
        <v>208</v>
      </c>
      <c r="E603" s="104">
        <v>30120982</v>
      </c>
      <c r="F603" s="104"/>
      <c r="G603" s="104"/>
      <c r="H603" s="104" t="s">
        <v>656</v>
      </c>
      <c r="I603" s="104" t="s">
        <v>89</v>
      </c>
      <c r="J603" s="104">
        <v>1</v>
      </c>
      <c r="K603" s="104">
        <v>1</v>
      </c>
      <c r="L603" s="104">
        <f>VLOOKUP(A603,[1]단품수량!$B$5:$P$27,13,FALSE)*K603</f>
        <v>79</v>
      </c>
      <c r="M603" s="104" t="s">
        <v>90</v>
      </c>
      <c r="N603" s="101" t="s">
        <v>91</v>
      </c>
      <c r="O603" s="105">
        <v>358000</v>
      </c>
      <c r="P603" s="105">
        <f t="shared" si="16"/>
        <v>358000</v>
      </c>
      <c r="Q603" s="104" t="s">
        <v>543</v>
      </c>
    </row>
    <row r="604" spans="1:17" ht="18" customHeight="1">
      <c r="A604" s="107">
        <v>10005987</v>
      </c>
      <c r="B604" s="104" t="str">
        <f>VLOOKUP(A604,[1]단품수량!$B$5:$E$27,4,FALSE)</f>
        <v>CRB</v>
      </c>
      <c r="C604" s="104">
        <v>586</v>
      </c>
      <c r="D604" s="104" t="s">
        <v>529</v>
      </c>
      <c r="E604" s="104">
        <v>30121690</v>
      </c>
      <c r="F604" s="104"/>
      <c r="G604" s="104"/>
      <c r="H604" s="104" t="s">
        <v>186</v>
      </c>
      <c r="I604" s="104" t="s">
        <v>592</v>
      </c>
      <c r="J604" s="104">
        <v>6</v>
      </c>
      <c r="K604" s="104">
        <v>6</v>
      </c>
      <c r="L604" s="104">
        <f>VLOOKUP(A604,[1]단품수량!$B$5:$P$27,13,FALSE)*K604</f>
        <v>474</v>
      </c>
      <c r="M604" s="104" t="s">
        <v>107</v>
      </c>
      <c r="N604" s="101" t="s">
        <v>91</v>
      </c>
      <c r="O604" s="105">
        <v>34000</v>
      </c>
      <c r="P604" s="105">
        <f t="shared" si="16"/>
        <v>204000</v>
      </c>
      <c r="Q604" s="104" t="s">
        <v>188</v>
      </c>
    </row>
    <row r="605" spans="1:17" ht="18" customHeight="1">
      <c r="A605" s="107">
        <v>10005987</v>
      </c>
      <c r="B605" s="104" t="str">
        <f>VLOOKUP(A605,[1]단품수량!$B$5:$E$27,4,FALSE)</f>
        <v>CRB</v>
      </c>
      <c r="C605" s="104">
        <v>587</v>
      </c>
      <c r="D605" s="104" t="s">
        <v>532</v>
      </c>
      <c r="E605" s="104">
        <v>30121672</v>
      </c>
      <c r="F605" s="104"/>
      <c r="G605" s="104"/>
      <c r="H605" s="104" t="s">
        <v>189</v>
      </c>
      <c r="I605" s="104" t="s">
        <v>190</v>
      </c>
      <c r="J605" s="104">
        <v>6</v>
      </c>
      <c r="K605" s="104">
        <v>6</v>
      </c>
      <c r="L605" s="104">
        <f>VLOOKUP(A605,[1]단품수량!$B$5:$P$27,13,FALSE)*K605</f>
        <v>474</v>
      </c>
      <c r="M605" s="104" t="s">
        <v>99</v>
      </c>
      <c r="N605" s="101" t="s">
        <v>91</v>
      </c>
      <c r="O605" s="105">
        <v>320</v>
      </c>
      <c r="P605" s="105">
        <f t="shared" si="16"/>
        <v>1920</v>
      </c>
      <c r="Q605" s="104" t="s">
        <v>188</v>
      </c>
    </row>
    <row r="606" spans="1:17" ht="18" customHeight="1">
      <c r="A606" s="107">
        <v>10005987</v>
      </c>
      <c r="B606" s="104" t="str">
        <f>VLOOKUP(A606,[1]단품수량!$B$5:$E$27,4,FALSE)</f>
        <v>CRB</v>
      </c>
      <c r="C606" s="104">
        <v>588</v>
      </c>
      <c r="D606" s="104" t="s">
        <v>550</v>
      </c>
      <c r="E606" s="104">
        <v>20061626</v>
      </c>
      <c r="F606" s="104" t="s">
        <v>657</v>
      </c>
      <c r="G606" s="104"/>
      <c r="H606" s="104" t="s">
        <v>658</v>
      </c>
      <c r="I606" s="104" t="s">
        <v>89</v>
      </c>
      <c r="J606" s="104">
        <v>1</v>
      </c>
      <c r="K606" s="104">
        <v>1</v>
      </c>
      <c r="L606" s="104">
        <f>VLOOKUP(A606,[1]단품수량!$B$5:$P$27,13,FALSE)*K606</f>
        <v>79</v>
      </c>
      <c r="M606" s="104" t="s">
        <v>205</v>
      </c>
      <c r="N606" s="101" t="s">
        <v>91</v>
      </c>
      <c r="O606" s="105">
        <v>0</v>
      </c>
      <c r="P606" s="105">
        <f t="shared" si="16"/>
        <v>0</v>
      </c>
      <c r="Q606" s="104" t="s">
        <v>336</v>
      </c>
    </row>
    <row r="607" spans="1:17" ht="18" customHeight="1">
      <c r="A607" s="107">
        <v>10005987</v>
      </c>
      <c r="B607" s="104" t="str">
        <f>VLOOKUP(A607,[1]단품수량!$B$5:$E$27,4,FALSE)</f>
        <v>CRB</v>
      </c>
      <c r="C607" s="104">
        <v>589</v>
      </c>
      <c r="D607" s="104" t="s">
        <v>552</v>
      </c>
      <c r="E607" s="104">
        <v>20061634</v>
      </c>
      <c r="F607" s="104" t="s">
        <v>659</v>
      </c>
      <c r="G607" s="104"/>
      <c r="H607" s="104" t="s">
        <v>660</v>
      </c>
      <c r="I607" s="104" t="s">
        <v>89</v>
      </c>
      <c r="J607" s="104">
        <v>1</v>
      </c>
      <c r="K607" s="104">
        <v>1</v>
      </c>
      <c r="L607" s="104">
        <f>VLOOKUP(A607,[1]단품수량!$B$5:$P$27,13,FALSE)*K607</f>
        <v>79</v>
      </c>
      <c r="M607" s="104" t="s">
        <v>90</v>
      </c>
      <c r="N607" s="101" t="s">
        <v>91</v>
      </c>
      <c r="O607" s="105">
        <v>0</v>
      </c>
      <c r="P607" s="105">
        <f t="shared" si="16"/>
        <v>0</v>
      </c>
      <c r="Q607" s="104" t="s">
        <v>336</v>
      </c>
    </row>
    <row r="608" spans="1:17" ht="18" customHeight="1">
      <c r="A608" s="107">
        <v>10005987</v>
      </c>
      <c r="B608" s="104" t="str">
        <f>VLOOKUP(A608,[1]단품수량!$B$5:$E$27,4,FALSE)</f>
        <v>CRB</v>
      </c>
      <c r="C608" s="104">
        <v>590</v>
      </c>
      <c r="D608" s="104" t="s">
        <v>210</v>
      </c>
      <c r="E608" s="104">
        <v>30120233</v>
      </c>
      <c r="F608" s="104"/>
      <c r="G608" s="104"/>
      <c r="H608" s="104" t="s">
        <v>137</v>
      </c>
      <c r="I608" s="104" t="s">
        <v>661</v>
      </c>
      <c r="J608" s="104">
        <v>1</v>
      </c>
      <c r="K608" s="104">
        <v>1</v>
      </c>
      <c r="L608" s="104">
        <f>VLOOKUP(A608,[1]단품수량!$B$5:$P$27,13,FALSE)*K608</f>
        <v>79</v>
      </c>
      <c r="M608" s="104" t="s">
        <v>99</v>
      </c>
      <c r="N608" s="101" t="s">
        <v>91</v>
      </c>
      <c r="O608" s="105">
        <v>43380</v>
      </c>
      <c r="P608" s="105">
        <f t="shared" si="16"/>
        <v>43380</v>
      </c>
      <c r="Q608" s="104" t="s">
        <v>394</v>
      </c>
    </row>
    <row r="609" spans="1:17" ht="18" customHeight="1">
      <c r="A609" s="107">
        <v>10005987</v>
      </c>
      <c r="B609" s="104" t="str">
        <f>VLOOKUP(A609,[1]단품수량!$B$5:$E$27,4,FALSE)</f>
        <v>CRB</v>
      </c>
      <c r="C609" s="104">
        <v>591</v>
      </c>
      <c r="D609" s="104" t="s">
        <v>213</v>
      </c>
      <c r="E609" s="104">
        <v>30120756</v>
      </c>
      <c r="F609" s="104"/>
      <c r="G609" s="104"/>
      <c r="H609" s="104" t="s">
        <v>137</v>
      </c>
      <c r="I609" s="104" t="s">
        <v>662</v>
      </c>
      <c r="J609" s="104">
        <v>1</v>
      </c>
      <c r="K609" s="104">
        <v>1</v>
      </c>
      <c r="L609" s="104">
        <f>VLOOKUP(A609,[1]단품수량!$B$5:$P$27,13,FALSE)*K609</f>
        <v>79</v>
      </c>
      <c r="M609" s="104" t="s">
        <v>99</v>
      </c>
      <c r="N609" s="101" t="s">
        <v>91</v>
      </c>
      <c r="O609" s="105">
        <v>3700</v>
      </c>
      <c r="P609" s="105">
        <f t="shared" si="16"/>
        <v>3700</v>
      </c>
      <c r="Q609" s="104" t="s">
        <v>100</v>
      </c>
    </row>
    <row r="610" spans="1:17" ht="18" customHeight="1">
      <c r="A610" s="107">
        <v>10005987</v>
      </c>
      <c r="B610" s="104" t="str">
        <f>VLOOKUP(A610,[1]단품수량!$B$5:$E$27,4,FALSE)</f>
        <v>CRB</v>
      </c>
      <c r="C610" s="104">
        <v>592</v>
      </c>
      <c r="D610" s="104" t="s">
        <v>215</v>
      </c>
      <c r="E610" s="104">
        <v>30120757</v>
      </c>
      <c r="F610" s="104"/>
      <c r="G610" s="104"/>
      <c r="H610" s="104" t="s">
        <v>663</v>
      </c>
      <c r="I610" s="104" t="s">
        <v>664</v>
      </c>
      <c r="J610" s="104">
        <v>37</v>
      </c>
      <c r="K610" s="104">
        <v>37</v>
      </c>
      <c r="L610" s="104">
        <f>VLOOKUP(A610,[1]단품수량!$B$5:$P$27,13,FALSE)*K610</f>
        <v>2923</v>
      </c>
      <c r="M610" s="104" t="s">
        <v>99</v>
      </c>
      <c r="N610" s="101" t="s">
        <v>91</v>
      </c>
      <c r="O610" s="105">
        <v>500</v>
      </c>
      <c r="P610" s="105">
        <f t="shared" si="16"/>
        <v>18500</v>
      </c>
      <c r="Q610" s="104" t="s">
        <v>100</v>
      </c>
    </row>
    <row r="611" spans="1:17" ht="18" customHeight="1">
      <c r="A611" s="107">
        <v>10005987</v>
      </c>
      <c r="B611" s="104" t="str">
        <f>VLOOKUP(A611,[1]단품수량!$B$5:$E$27,4,FALSE)</f>
        <v>CRB</v>
      </c>
      <c r="C611" s="104">
        <v>593</v>
      </c>
      <c r="D611" s="104" t="s">
        <v>218</v>
      </c>
      <c r="E611" s="104">
        <v>30121678</v>
      </c>
      <c r="F611" s="104"/>
      <c r="G611" s="104"/>
      <c r="H611" s="104" t="s">
        <v>137</v>
      </c>
      <c r="I611" s="104" t="s">
        <v>665</v>
      </c>
      <c r="J611" s="104">
        <v>1</v>
      </c>
      <c r="K611" s="104">
        <v>1</v>
      </c>
      <c r="L611" s="104">
        <f>VLOOKUP(A611,[1]단품수량!$B$5:$P$27,13,FALSE)*K611</f>
        <v>79</v>
      </c>
      <c r="M611" s="104" t="s">
        <v>99</v>
      </c>
      <c r="N611" s="101" t="s">
        <v>91</v>
      </c>
      <c r="O611" s="105">
        <v>7500</v>
      </c>
      <c r="P611" s="105">
        <f t="shared" si="16"/>
        <v>7500</v>
      </c>
      <c r="Q611" s="104" t="s">
        <v>100</v>
      </c>
    </row>
    <row r="612" spans="1:17" ht="18" customHeight="1">
      <c r="A612" s="107">
        <v>10005987</v>
      </c>
      <c r="B612" s="104" t="str">
        <f>VLOOKUP(A612,[1]단품수량!$B$5:$E$27,4,FALSE)</f>
        <v>CRB</v>
      </c>
      <c r="C612" s="104">
        <v>594</v>
      </c>
      <c r="D612" s="104" t="s">
        <v>118</v>
      </c>
      <c r="E612" s="104">
        <v>30120681</v>
      </c>
      <c r="F612" s="104" t="s">
        <v>666</v>
      </c>
      <c r="G612" s="104"/>
      <c r="H612" s="104" t="s">
        <v>667</v>
      </c>
      <c r="I612" s="104" t="s">
        <v>89</v>
      </c>
      <c r="J612" s="104">
        <v>1</v>
      </c>
      <c r="K612" s="104">
        <v>1</v>
      </c>
      <c r="L612" s="104">
        <f>VLOOKUP(A612,[1]단품수량!$B$5:$P$27,13,FALSE)*K612</f>
        <v>79</v>
      </c>
      <c r="M612" s="104" t="s">
        <v>205</v>
      </c>
      <c r="N612" s="101" t="s">
        <v>91</v>
      </c>
      <c r="O612" s="105">
        <v>0</v>
      </c>
      <c r="P612" s="105">
        <f t="shared" ref="P612:P628" si="17">K612*O612</f>
        <v>0</v>
      </c>
      <c r="Q612" s="104" t="s">
        <v>336</v>
      </c>
    </row>
    <row r="613" spans="1:17" ht="18" customHeight="1">
      <c r="A613" s="107">
        <v>10005987</v>
      </c>
      <c r="B613" s="104" t="str">
        <f>VLOOKUP(A613,[1]단품수량!$B$5:$E$27,4,FALSE)</f>
        <v>CRB</v>
      </c>
      <c r="C613" s="104">
        <v>595</v>
      </c>
      <c r="D613" s="104" t="s">
        <v>149</v>
      </c>
      <c r="E613" s="104">
        <v>20061614</v>
      </c>
      <c r="F613" s="104" t="s">
        <v>668</v>
      </c>
      <c r="G613" s="104"/>
      <c r="H613" s="104" t="s">
        <v>669</v>
      </c>
      <c r="I613" s="104" t="s">
        <v>528</v>
      </c>
      <c r="J613" s="104">
        <v>1</v>
      </c>
      <c r="K613" s="104">
        <v>1</v>
      </c>
      <c r="L613" s="104">
        <f>VLOOKUP(A613,[1]단품수량!$B$5:$P$27,13,FALSE)*K613</f>
        <v>79</v>
      </c>
      <c r="M613" s="104" t="s">
        <v>90</v>
      </c>
      <c r="N613" s="101" t="s">
        <v>91</v>
      </c>
      <c r="O613" s="105">
        <v>0</v>
      </c>
      <c r="P613" s="105">
        <f t="shared" si="17"/>
        <v>0</v>
      </c>
      <c r="Q613" s="104" t="s">
        <v>136</v>
      </c>
    </row>
    <row r="614" spans="1:17" ht="18" customHeight="1">
      <c r="A614" s="107">
        <v>10005987</v>
      </c>
      <c r="B614" s="104" t="str">
        <f>VLOOKUP(A614,[1]단품수량!$B$5:$E$27,4,FALSE)</f>
        <v>CRB</v>
      </c>
      <c r="C614" s="104">
        <v>596</v>
      </c>
      <c r="D614" s="104" t="s">
        <v>529</v>
      </c>
      <c r="E614" s="104">
        <v>30120759</v>
      </c>
      <c r="F614" s="104"/>
      <c r="G614" s="104"/>
      <c r="H614" s="104" t="s">
        <v>530</v>
      </c>
      <c r="I614" s="104" t="s">
        <v>531</v>
      </c>
      <c r="J614" s="104">
        <v>1</v>
      </c>
      <c r="K614" s="104">
        <v>1</v>
      </c>
      <c r="L614" s="104">
        <f>VLOOKUP(A614,[1]단품수량!$B$5:$P$27,13,FALSE)*K614</f>
        <v>79</v>
      </c>
      <c r="M614" s="104" t="s">
        <v>99</v>
      </c>
      <c r="N614" s="101" t="s">
        <v>91</v>
      </c>
      <c r="O614" s="105">
        <v>0</v>
      </c>
      <c r="P614" s="105">
        <f t="shared" si="17"/>
        <v>0</v>
      </c>
      <c r="Q614" s="104" t="s">
        <v>136</v>
      </c>
    </row>
    <row r="615" spans="1:17" ht="18" customHeight="1">
      <c r="A615" s="107">
        <v>10005987</v>
      </c>
      <c r="B615" s="104" t="str">
        <f>VLOOKUP(A615,[1]단품수량!$B$5:$E$27,4,FALSE)</f>
        <v>CRB</v>
      </c>
      <c r="C615" s="104">
        <v>597</v>
      </c>
      <c r="D615" s="104" t="s">
        <v>532</v>
      </c>
      <c r="E615" s="104">
        <v>30120760</v>
      </c>
      <c r="F615" s="104"/>
      <c r="G615" s="104"/>
      <c r="H615" s="104" t="s">
        <v>533</v>
      </c>
      <c r="I615" s="104" t="s">
        <v>534</v>
      </c>
      <c r="J615" s="104">
        <v>2</v>
      </c>
      <c r="K615" s="104">
        <v>2</v>
      </c>
      <c r="L615" s="104">
        <f>VLOOKUP(A615,[1]단품수량!$B$5:$P$27,13,FALSE)*K615</f>
        <v>158</v>
      </c>
      <c r="M615" s="104" t="s">
        <v>99</v>
      </c>
      <c r="N615" s="101" t="s">
        <v>91</v>
      </c>
      <c r="O615" s="105">
        <v>0</v>
      </c>
      <c r="P615" s="105">
        <f t="shared" si="17"/>
        <v>0</v>
      </c>
      <c r="Q615" s="104" t="s">
        <v>336</v>
      </c>
    </row>
    <row r="616" spans="1:17" ht="18" customHeight="1">
      <c r="A616" s="107">
        <v>10005987</v>
      </c>
      <c r="B616" s="104" t="str">
        <f>VLOOKUP(A616,[1]단품수량!$B$5:$E$27,4,FALSE)</f>
        <v>CRB</v>
      </c>
      <c r="C616" s="104">
        <v>598</v>
      </c>
      <c r="D616" s="104" t="s">
        <v>152</v>
      </c>
      <c r="E616" s="104">
        <v>30120983</v>
      </c>
      <c r="F616" s="104"/>
      <c r="G616" s="104"/>
      <c r="H616" s="104" t="s">
        <v>670</v>
      </c>
      <c r="I616" s="104" t="s">
        <v>89</v>
      </c>
      <c r="J616" s="104">
        <v>1</v>
      </c>
      <c r="K616" s="104">
        <v>1</v>
      </c>
      <c r="L616" s="104">
        <f>VLOOKUP(A616,[1]단품수량!$B$5:$P$27,13,FALSE)*K616</f>
        <v>79</v>
      </c>
      <c r="M616" s="104" t="s">
        <v>90</v>
      </c>
      <c r="N616" s="101" t="s">
        <v>91</v>
      </c>
      <c r="O616" s="105">
        <v>357000</v>
      </c>
      <c r="P616" s="105">
        <f t="shared" si="17"/>
        <v>357000</v>
      </c>
      <c r="Q616" s="104" t="s">
        <v>543</v>
      </c>
    </row>
    <row r="617" spans="1:17" ht="18" customHeight="1">
      <c r="A617" s="107">
        <v>10005987</v>
      </c>
      <c r="B617" s="104" t="str">
        <f>VLOOKUP(A617,[1]단품수량!$B$5:$E$27,4,FALSE)</f>
        <v>CRB</v>
      </c>
      <c r="C617" s="104">
        <v>599</v>
      </c>
      <c r="D617" s="104" t="s">
        <v>208</v>
      </c>
      <c r="E617" s="104">
        <v>30120984</v>
      </c>
      <c r="F617" s="104"/>
      <c r="G617" s="104"/>
      <c r="H617" s="104" t="s">
        <v>671</v>
      </c>
      <c r="I617" s="104" t="s">
        <v>89</v>
      </c>
      <c r="J617" s="104">
        <v>1</v>
      </c>
      <c r="K617" s="104">
        <v>1</v>
      </c>
      <c r="L617" s="104">
        <f>VLOOKUP(A617,[1]단품수량!$B$5:$P$27,13,FALSE)*K617</f>
        <v>79</v>
      </c>
      <c r="M617" s="104" t="s">
        <v>90</v>
      </c>
      <c r="N617" s="101" t="s">
        <v>91</v>
      </c>
      <c r="O617" s="105">
        <v>177000</v>
      </c>
      <c r="P617" s="105">
        <f t="shared" si="17"/>
        <v>177000</v>
      </c>
      <c r="Q617" s="104" t="s">
        <v>543</v>
      </c>
    </row>
    <row r="618" spans="1:17" ht="18" customHeight="1">
      <c r="A618" s="107">
        <v>10005987</v>
      </c>
      <c r="B618" s="104" t="str">
        <f>VLOOKUP(A618,[1]단품수량!$B$5:$E$27,4,FALSE)</f>
        <v>CRB</v>
      </c>
      <c r="C618" s="104">
        <v>600</v>
      </c>
      <c r="D618" s="104" t="s">
        <v>210</v>
      </c>
      <c r="E618" s="104">
        <v>30120683</v>
      </c>
      <c r="F618" s="104" t="s">
        <v>672</v>
      </c>
      <c r="G618" s="104"/>
      <c r="H618" s="104" t="s">
        <v>673</v>
      </c>
      <c r="I618" s="104" t="s">
        <v>674</v>
      </c>
      <c r="J618" s="104">
        <v>1</v>
      </c>
      <c r="K618" s="104">
        <v>1</v>
      </c>
      <c r="L618" s="104">
        <f>VLOOKUP(A618,[1]단품수량!$B$5:$P$27,13,FALSE)*K618</f>
        <v>79</v>
      </c>
      <c r="M618" s="104" t="s">
        <v>90</v>
      </c>
      <c r="N618" s="101" t="s">
        <v>91</v>
      </c>
      <c r="O618" s="105">
        <v>483850</v>
      </c>
      <c r="P618" s="105">
        <f t="shared" si="17"/>
        <v>483850</v>
      </c>
      <c r="Q618" s="104" t="s">
        <v>136</v>
      </c>
    </row>
    <row r="619" spans="1:17" ht="18" customHeight="1">
      <c r="A619" s="107">
        <v>10005987</v>
      </c>
      <c r="B619" s="104" t="str">
        <f>VLOOKUP(A619,[1]단품수량!$B$5:$E$27,4,FALSE)</f>
        <v>CRB</v>
      </c>
      <c r="C619" s="104">
        <v>601</v>
      </c>
      <c r="D619" s="104" t="s">
        <v>213</v>
      </c>
      <c r="E619" s="104">
        <v>20061627</v>
      </c>
      <c r="F619" s="104" t="s">
        <v>675</v>
      </c>
      <c r="G619" s="104"/>
      <c r="H619" s="104" t="s">
        <v>676</v>
      </c>
      <c r="I619" s="104" t="s">
        <v>89</v>
      </c>
      <c r="J619" s="104">
        <v>1</v>
      </c>
      <c r="K619" s="104">
        <v>1</v>
      </c>
      <c r="L619" s="104">
        <f>VLOOKUP(A619,[1]단품수량!$B$5:$P$27,13,FALSE)*K619</f>
        <v>79</v>
      </c>
      <c r="M619" s="104" t="s">
        <v>205</v>
      </c>
      <c r="N619" s="101" t="s">
        <v>91</v>
      </c>
      <c r="O619" s="105">
        <v>0</v>
      </c>
      <c r="P619" s="105">
        <f t="shared" si="17"/>
        <v>0</v>
      </c>
      <c r="Q619" s="104" t="s">
        <v>336</v>
      </c>
    </row>
    <row r="620" spans="1:17" ht="18" customHeight="1">
      <c r="A620" s="107">
        <v>10005987</v>
      </c>
      <c r="B620" s="104" t="str">
        <f>VLOOKUP(A620,[1]단품수량!$B$5:$E$27,4,FALSE)</f>
        <v>CRB</v>
      </c>
      <c r="C620" s="104">
        <v>602</v>
      </c>
      <c r="D620" s="104" t="s">
        <v>215</v>
      </c>
      <c r="E620" s="104">
        <v>20061628</v>
      </c>
      <c r="F620" s="104" t="s">
        <v>677</v>
      </c>
      <c r="G620" s="104"/>
      <c r="H620" s="104" t="s">
        <v>678</v>
      </c>
      <c r="I620" s="104" t="s">
        <v>89</v>
      </c>
      <c r="J620" s="104">
        <v>1</v>
      </c>
      <c r="K620" s="104">
        <v>1</v>
      </c>
      <c r="L620" s="104">
        <f>VLOOKUP(A620,[1]단품수량!$B$5:$P$27,13,FALSE)*K620</f>
        <v>79</v>
      </c>
      <c r="M620" s="104" t="s">
        <v>205</v>
      </c>
      <c r="N620" s="101" t="s">
        <v>91</v>
      </c>
      <c r="O620" s="105">
        <v>0</v>
      </c>
      <c r="P620" s="105">
        <f t="shared" si="17"/>
        <v>0</v>
      </c>
      <c r="Q620" s="104" t="s">
        <v>336</v>
      </c>
    </row>
    <row r="621" spans="1:17" ht="18" customHeight="1">
      <c r="A621" s="107">
        <v>10005987</v>
      </c>
      <c r="B621" s="104" t="str">
        <f>VLOOKUP(A621,[1]단품수량!$B$5:$E$27,4,FALSE)</f>
        <v>CRB</v>
      </c>
      <c r="C621" s="104">
        <v>603</v>
      </c>
      <c r="D621" s="104" t="s">
        <v>218</v>
      </c>
      <c r="E621" s="104">
        <v>20061629</v>
      </c>
      <c r="F621" s="104" t="s">
        <v>679</v>
      </c>
      <c r="G621" s="104"/>
      <c r="H621" s="104" t="s">
        <v>680</v>
      </c>
      <c r="I621" s="104" t="s">
        <v>89</v>
      </c>
      <c r="J621" s="104">
        <v>1</v>
      </c>
      <c r="K621" s="104">
        <v>1</v>
      </c>
      <c r="L621" s="104">
        <f>VLOOKUP(A621,[1]단품수량!$B$5:$P$27,13,FALSE)*K621</f>
        <v>79</v>
      </c>
      <c r="M621" s="104" t="s">
        <v>205</v>
      </c>
      <c r="N621" s="101" t="s">
        <v>91</v>
      </c>
      <c r="O621" s="105">
        <v>0</v>
      </c>
      <c r="P621" s="105">
        <f t="shared" si="17"/>
        <v>0</v>
      </c>
      <c r="Q621" s="104" t="s">
        <v>336</v>
      </c>
    </row>
    <row r="622" spans="1:17" ht="18" customHeight="1">
      <c r="A622" s="107">
        <v>10005987</v>
      </c>
      <c r="B622" s="104" t="str">
        <f>VLOOKUP(A622,[1]단품수량!$B$5:$E$27,4,FALSE)</f>
        <v>CRB</v>
      </c>
      <c r="C622" s="104">
        <v>604</v>
      </c>
      <c r="D622" s="104" t="s">
        <v>221</v>
      </c>
      <c r="E622" s="104">
        <v>30120233</v>
      </c>
      <c r="F622" s="104"/>
      <c r="G622" s="104"/>
      <c r="H622" s="104" t="s">
        <v>137</v>
      </c>
      <c r="I622" s="104" t="s">
        <v>661</v>
      </c>
      <c r="J622" s="104">
        <v>2</v>
      </c>
      <c r="K622" s="104">
        <v>2</v>
      </c>
      <c r="L622" s="104">
        <f>VLOOKUP(A622,[1]단품수량!$B$5:$P$27,13,FALSE)*K622</f>
        <v>158</v>
      </c>
      <c r="M622" s="104" t="s">
        <v>99</v>
      </c>
      <c r="N622" s="101" t="s">
        <v>91</v>
      </c>
      <c r="O622" s="105">
        <v>43380</v>
      </c>
      <c r="P622" s="105">
        <f t="shared" si="17"/>
        <v>86760</v>
      </c>
      <c r="Q622" s="104" t="s">
        <v>394</v>
      </c>
    </row>
    <row r="623" spans="1:17" ht="18" customHeight="1">
      <c r="A623" s="107">
        <v>10005987</v>
      </c>
      <c r="B623" s="104" t="str">
        <f>VLOOKUP(A623,[1]단품수량!$B$5:$E$27,4,FALSE)</f>
        <v>CRB</v>
      </c>
      <c r="C623" s="104">
        <v>605</v>
      </c>
      <c r="D623" s="104" t="s">
        <v>351</v>
      </c>
      <c r="E623" s="104">
        <v>30120756</v>
      </c>
      <c r="F623" s="104"/>
      <c r="G623" s="104"/>
      <c r="H623" s="104" t="s">
        <v>137</v>
      </c>
      <c r="I623" s="104" t="s">
        <v>662</v>
      </c>
      <c r="J623" s="104">
        <v>2</v>
      </c>
      <c r="K623" s="104">
        <v>2</v>
      </c>
      <c r="L623" s="104">
        <f>VLOOKUP(A623,[1]단품수량!$B$5:$P$27,13,FALSE)*K623</f>
        <v>158</v>
      </c>
      <c r="M623" s="104" t="s">
        <v>99</v>
      </c>
      <c r="N623" s="101" t="s">
        <v>91</v>
      </c>
      <c r="O623" s="105">
        <v>3700</v>
      </c>
      <c r="P623" s="105">
        <f t="shared" si="17"/>
        <v>7400</v>
      </c>
      <c r="Q623" s="104" t="s">
        <v>100</v>
      </c>
    </row>
    <row r="624" spans="1:17" ht="18" customHeight="1">
      <c r="A624" s="107">
        <v>10005987</v>
      </c>
      <c r="B624" s="104" t="str">
        <f>VLOOKUP(A624,[1]단품수량!$B$5:$E$27,4,FALSE)</f>
        <v>CRB</v>
      </c>
      <c r="C624" s="104">
        <v>606</v>
      </c>
      <c r="D624" s="104" t="s">
        <v>353</v>
      </c>
      <c r="E624" s="104">
        <v>30120757</v>
      </c>
      <c r="F624" s="104"/>
      <c r="G624" s="104"/>
      <c r="H624" s="104" t="s">
        <v>663</v>
      </c>
      <c r="I624" s="104" t="s">
        <v>664</v>
      </c>
      <c r="J624" s="104">
        <v>74</v>
      </c>
      <c r="K624" s="104">
        <v>74</v>
      </c>
      <c r="L624" s="104">
        <f>VLOOKUP(A624,[1]단품수량!$B$5:$P$27,13,FALSE)*K624</f>
        <v>5846</v>
      </c>
      <c r="M624" s="104" t="s">
        <v>99</v>
      </c>
      <c r="N624" s="101" t="s">
        <v>91</v>
      </c>
      <c r="O624" s="105">
        <v>500</v>
      </c>
      <c r="P624" s="105">
        <f t="shared" si="17"/>
        <v>37000</v>
      </c>
      <c r="Q624" s="104" t="s">
        <v>100</v>
      </c>
    </row>
    <row r="625" spans="1:17" ht="18" customHeight="1">
      <c r="A625" s="107">
        <v>10005987</v>
      </c>
      <c r="B625" s="104" t="str">
        <f>VLOOKUP(A625,[1]단품수량!$B$5:$E$27,4,FALSE)</f>
        <v>CRB</v>
      </c>
      <c r="C625" s="104">
        <v>607</v>
      </c>
      <c r="D625" s="104" t="s">
        <v>355</v>
      </c>
      <c r="E625" s="104">
        <v>30121678</v>
      </c>
      <c r="F625" s="104"/>
      <c r="G625" s="104"/>
      <c r="H625" s="104" t="s">
        <v>137</v>
      </c>
      <c r="I625" s="104" t="s">
        <v>665</v>
      </c>
      <c r="J625" s="104">
        <v>2</v>
      </c>
      <c r="K625" s="104">
        <v>2</v>
      </c>
      <c r="L625" s="104">
        <f>VLOOKUP(A625,[1]단품수량!$B$5:$P$27,13,FALSE)*K625</f>
        <v>158</v>
      </c>
      <c r="M625" s="104" t="s">
        <v>99</v>
      </c>
      <c r="N625" s="101" t="s">
        <v>91</v>
      </c>
      <c r="O625" s="105">
        <v>7500</v>
      </c>
      <c r="P625" s="105">
        <f t="shared" si="17"/>
        <v>15000</v>
      </c>
      <c r="Q625" s="104" t="s">
        <v>100</v>
      </c>
    </row>
    <row r="626" spans="1:17" ht="18" customHeight="1">
      <c r="A626" s="107">
        <v>10005987</v>
      </c>
      <c r="B626" s="104" t="str">
        <f>VLOOKUP(A626,[1]단품수량!$B$5:$E$27,4,FALSE)</f>
        <v>CRB</v>
      </c>
      <c r="C626" s="104">
        <v>608</v>
      </c>
      <c r="D626" s="104" t="s">
        <v>357</v>
      </c>
      <c r="E626" s="104">
        <v>30123927</v>
      </c>
      <c r="F626" s="104"/>
      <c r="G626" s="104"/>
      <c r="H626" s="104" t="s">
        <v>500</v>
      </c>
      <c r="I626" s="104" t="s">
        <v>684</v>
      </c>
      <c r="J626" s="104">
        <v>8</v>
      </c>
      <c r="K626" s="104">
        <v>8</v>
      </c>
      <c r="L626" s="104">
        <f>VLOOKUP(A626,[1]단품수량!$B$5:$P$27,13,FALSE)*K626</f>
        <v>632</v>
      </c>
      <c r="M626" s="104" t="s">
        <v>99</v>
      </c>
      <c r="N626" s="101"/>
      <c r="O626" s="105">
        <v>0</v>
      </c>
      <c r="P626" s="105">
        <f t="shared" si="17"/>
        <v>0</v>
      </c>
      <c r="Q626" s="104"/>
    </row>
    <row r="627" spans="1:17" ht="18" customHeight="1">
      <c r="A627" s="107">
        <v>10005987</v>
      </c>
      <c r="B627" s="104" t="str">
        <f>VLOOKUP(A627,[1]단품수량!$B$5:$E$27,4,FALSE)</f>
        <v>CRB</v>
      </c>
      <c r="C627" s="104">
        <v>609</v>
      </c>
      <c r="D627" s="104" t="s">
        <v>359</v>
      </c>
      <c r="E627" s="104">
        <v>30123928</v>
      </c>
      <c r="F627" s="104"/>
      <c r="G627" s="104"/>
      <c r="H627" s="104" t="s">
        <v>500</v>
      </c>
      <c r="I627" s="104" t="s">
        <v>685</v>
      </c>
      <c r="J627" s="104">
        <v>4</v>
      </c>
      <c r="K627" s="104">
        <v>4</v>
      </c>
      <c r="L627" s="104">
        <f>VLOOKUP(A627,[1]단품수량!$B$5:$P$27,13,FALSE)*K627</f>
        <v>316</v>
      </c>
      <c r="M627" s="104" t="s">
        <v>99</v>
      </c>
      <c r="N627" s="101"/>
      <c r="O627" s="105">
        <v>0</v>
      </c>
      <c r="P627" s="105">
        <f t="shared" si="17"/>
        <v>0</v>
      </c>
      <c r="Q627" s="104"/>
    </row>
    <row r="628" spans="1:17" ht="18" customHeight="1">
      <c r="A628" s="107">
        <v>10005987</v>
      </c>
      <c r="B628" s="104" t="str">
        <f>VLOOKUP(A628,[1]단품수량!$B$5:$E$27,4,FALSE)</f>
        <v>CRB</v>
      </c>
      <c r="C628" s="104">
        <v>610</v>
      </c>
      <c r="D628" s="104" t="s">
        <v>121</v>
      </c>
      <c r="E628" s="104">
        <v>30120753</v>
      </c>
      <c r="F628" s="104"/>
      <c r="G628" s="104"/>
      <c r="H628" s="104" t="s">
        <v>686</v>
      </c>
      <c r="I628" s="104" t="s">
        <v>687</v>
      </c>
      <c r="J628" s="104">
        <v>1</v>
      </c>
      <c r="K628" s="104">
        <v>1</v>
      </c>
      <c r="L628" s="104">
        <f>VLOOKUP(A628,[1]단품수량!$B$5:$P$27,13,FALSE)*K628</f>
        <v>79</v>
      </c>
      <c r="M628" s="104" t="s">
        <v>205</v>
      </c>
      <c r="N628" s="101" t="s">
        <v>91</v>
      </c>
      <c r="O628" s="105">
        <v>0</v>
      </c>
      <c r="P628" s="105">
        <f t="shared" si="17"/>
        <v>0</v>
      </c>
      <c r="Q628" s="104" t="s">
        <v>336</v>
      </c>
    </row>
    <row r="629" spans="1:17" ht="18" customHeight="1">
      <c r="A629" s="107">
        <v>10005987</v>
      </c>
      <c r="B629" s="104" t="str">
        <f>VLOOKUP(A629,[1]단품수량!$B$5:$E$27,4,FALSE)</f>
        <v>CRB</v>
      </c>
      <c r="C629" s="104">
        <v>611</v>
      </c>
      <c r="D629" s="104" t="s">
        <v>149</v>
      </c>
      <c r="E629" s="104">
        <v>30120995</v>
      </c>
      <c r="F629" s="104"/>
      <c r="G629" s="104"/>
      <c r="H629" s="110" t="s">
        <v>688</v>
      </c>
      <c r="I629" s="104" t="s">
        <v>700</v>
      </c>
      <c r="J629" s="104">
        <v>1</v>
      </c>
      <c r="K629" s="104">
        <v>1</v>
      </c>
      <c r="L629" s="104">
        <f>VLOOKUP(A629,[1]단품수량!$B$5:$P$27,13,FALSE)*K629</f>
        <v>79</v>
      </c>
      <c r="M629" s="104" t="s">
        <v>205</v>
      </c>
      <c r="N629" s="101"/>
      <c r="O629" s="106"/>
      <c r="P629" s="106"/>
      <c r="Q629" s="104"/>
    </row>
    <row r="630" spans="1:17" ht="18" customHeight="1">
      <c r="A630" s="107">
        <v>10005987</v>
      </c>
      <c r="B630" s="104" t="str">
        <f>VLOOKUP(A630,[1]단품수량!$B$5:$E$27,4,FALSE)</f>
        <v>CRB</v>
      </c>
      <c r="C630" s="104">
        <v>612</v>
      </c>
      <c r="D630" s="104" t="s">
        <v>152</v>
      </c>
      <c r="E630" s="104">
        <v>30120997</v>
      </c>
      <c r="F630" s="104"/>
      <c r="G630" s="104"/>
      <c r="H630" s="104" t="s">
        <v>690</v>
      </c>
      <c r="I630" s="104" t="s">
        <v>700</v>
      </c>
      <c r="J630" s="104">
        <v>1</v>
      </c>
      <c r="K630" s="104">
        <v>1</v>
      </c>
      <c r="L630" s="104">
        <f>VLOOKUP(A630,[1]단품수량!$B$5:$P$27,13,FALSE)*K630</f>
        <v>79</v>
      </c>
      <c r="M630" s="104" t="s">
        <v>205</v>
      </c>
      <c r="N630" s="101" t="s">
        <v>91</v>
      </c>
      <c r="O630" s="105">
        <v>871200</v>
      </c>
      <c r="P630" s="105">
        <f t="shared" ref="P630:P634" si="18">K630*O630</f>
        <v>871200</v>
      </c>
      <c r="Q630" s="104" t="s">
        <v>136</v>
      </c>
    </row>
    <row r="631" spans="1:17" ht="18" customHeight="1">
      <c r="A631" s="107">
        <v>10005987</v>
      </c>
      <c r="B631" s="104" t="str">
        <f>VLOOKUP(A631,[1]단품수량!$B$5:$E$27,4,FALSE)</f>
        <v>CRB</v>
      </c>
      <c r="C631" s="104">
        <v>613</v>
      </c>
      <c r="D631" s="104" t="s">
        <v>126</v>
      </c>
      <c r="E631" s="104">
        <v>20061616</v>
      </c>
      <c r="F631" s="104" t="s">
        <v>701</v>
      </c>
      <c r="G631" s="104"/>
      <c r="H631" s="104" t="s">
        <v>702</v>
      </c>
      <c r="I631" s="104" t="s">
        <v>703</v>
      </c>
      <c r="J631" s="104">
        <v>3</v>
      </c>
      <c r="K631" s="104">
        <v>3</v>
      </c>
      <c r="L631" s="104">
        <f>VLOOKUP(A631,[1]단품수량!$B$5:$P$27,13,FALSE)*K631</f>
        <v>237</v>
      </c>
      <c r="M631" s="104" t="s">
        <v>90</v>
      </c>
      <c r="N631" s="101" t="s">
        <v>91</v>
      </c>
      <c r="O631" s="105">
        <v>0</v>
      </c>
      <c r="P631" s="105">
        <f t="shared" si="18"/>
        <v>0</v>
      </c>
      <c r="Q631" s="104" t="s">
        <v>136</v>
      </c>
    </row>
    <row r="632" spans="1:17" ht="18" customHeight="1">
      <c r="A632" s="107">
        <v>10005987</v>
      </c>
      <c r="B632" s="104" t="str">
        <f>VLOOKUP(A632,[1]단품수량!$B$5:$E$27,4,FALSE)</f>
        <v>CRB</v>
      </c>
      <c r="C632" s="104">
        <v>614</v>
      </c>
      <c r="D632" s="104" t="s">
        <v>181</v>
      </c>
      <c r="E632" s="104">
        <v>20061617</v>
      </c>
      <c r="F632" s="104" t="s">
        <v>704</v>
      </c>
      <c r="G632" s="104"/>
      <c r="H632" s="104" t="s">
        <v>702</v>
      </c>
      <c r="I632" s="104" t="s">
        <v>705</v>
      </c>
      <c r="J632" s="104">
        <v>1</v>
      </c>
      <c r="K632" s="104">
        <v>1</v>
      </c>
      <c r="L632" s="104">
        <f>VLOOKUP(A632,[1]단품수량!$B$5:$P$27,13,FALSE)*K632</f>
        <v>79</v>
      </c>
      <c r="M632" s="104" t="s">
        <v>90</v>
      </c>
      <c r="N632" s="101" t="s">
        <v>91</v>
      </c>
      <c r="O632" s="105">
        <v>0</v>
      </c>
      <c r="P632" s="105">
        <f t="shared" si="18"/>
        <v>0</v>
      </c>
      <c r="Q632" s="104" t="s">
        <v>136</v>
      </c>
    </row>
    <row r="633" spans="1:17" ht="18" customHeight="1">
      <c r="A633" s="107">
        <v>10005987</v>
      </c>
      <c r="B633" s="104" t="str">
        <f>VLOOKUP(A633,[1]단품수량!$B$5:$E$27,4,FALSE)</f>
        <v>CRB</v>
      </c>
      <c r="C633" s="104">
        <v>615</v>
      </c>
      <c r="D633" s="104" t="s">
        <v>184</v>
      </c>
      <c r="E633" s="104">
        <v>20061618</v>
      </c>
      <c r="F633" s="104" t="s">
        <v>706</v>
      </c>
      <c r="G633" s="104"/>
      <c r="H633" s="104" t="s">
        <v>702</v>
      </c>
      <c r="I633" s="104" t="s">
        <v>707</v>
      </c>
      <c r="J633" s="104">
        <v>1</v>
      </c>
      <c r="K633" s="104">
        <v>1</v>
      </c>
      <c r="L633" s="104">
        <f>VLOOKUP(A633,[1]단품수량!$B$5:$P$27,13,FALSE)*K633</f>
        <v>79</v>
      </c>
      <c r="M633" s="104" t="s">
        <v>90</v>
      </c>
      <c r="N633" s="101" t="s">
        <v>91</v>
      </c>
      <c r="O633" s="105">
        <v>0</v>
      </c>
      <c r="P633" s="105">
        <f t="shared" si="18"/>
        <v>0</v>
      </c>
      <c r="Q633" s="104" t="s">
        <v>136</v>
      </c>
    </row>
    <row r="634" spans="1:17" ht="18" customHeight="1">
      <c r="A634" s="107">
        <v>10005987</v>
      </c>
      <c r="B634" s="104" t="str">
        <f>VLOOKUP(A634,[1]단품수량!$B$5:$E$27,4,FALSE)</f>
        <v>CRB</v>
      </c>
      <c r="C634" s="104">
        <v>616</v>
      </c>
      <c r="D634" s="104" t="s">
        <v>191</v>
      </c>
      <c r="E634" s="104">
        <v>30121688</v>
      </c>
      <c r="F634" s="104"/>
      <c r="G634" s="104"/>
      <c r="H634" s="104" t="s">
        <v>137</v>
      </c>
      <c r="I634" s="104" t="s">
        <v>708</v>
      </c>
      <c r="J634" s="104">
        <v>1</v>
      </c>
      <c r="K634" s="104">
        <v>1</v>
      </c>
      <c r="L634" s="104">
        <f>VLOOKUP(A634,[1]단품수량!$B$5:$P$27,13,FALSE)*K634</f>
        <v>79</v>
      </c>
      <c r="M634" s="104" t="s">
        <v>99</v>
      </c>
      <c r="N634" s="101" t="s">
        <v>91</v>
      </c>
      <c r="O634" s="105">
        <v>1620</v>
      </c>
      <c r="P634" s="105">
        <f t="shared" si="18"/>
        <v>1620</v>
      </c>
      <c r="Q634" s="104" t="s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실행-우진</vt:lpstr>
      <vt:lpstr>실행-우진총</vt:lpstr>
      <vt:lpstr>Sheet1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kangjj</dc:creator>
  <cp:lastModifiedBy>kangjj</cp:lastModifiedBy>
  <dcterms:created xsi:type="dcterms:W3CDTF">2011-02-17T07:48:50Z</dcterms:created>
  <dcterms:modified xsi:type="dcterms:W3CDTF">2011-02-18T05:15:14Z</dcterms:modified>
</cp:coreProperties>
</file>