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14955" windowHeight="7320"/>
  </bookViews>
  <sheets>
    <sheet name="DPH" sheetId="15" r:id="rId1"/>
    <sheet name="Sheet1" sheetId="23" r:id="rId2"/>
  </sheets>
  <definedNames>
    <definedName name="_xlnm.Print_Area" localSheetId="0">DPH!$A$1:$AB$46</definedName>
  </definedNames>
  <calcPr calcId="144525"/>
</workbook>
</file>

<file path=xl/calcChain.xml><?xml version="1.0" encoding="utf-8"?>
<calcChain xmlns="http://schemas.openxmlformats.org/spreadsheetml/2006/main">
  <c r="AC47" i="15" l="1"/>
  <c r="C48" i="15"/>
  <c r="T48" i="15"/>
  <c r="AC48" i="15"/>
  <c r="AC49" i="15"/>
  <c r="AC50" i="15"/>
  <c r="AC51" i="15"/>
  <c r="AC8" i="15"/>
  <c r="AC9" i="15"/>
  <c r="AC10" i="15"/>
  <c r="AC11" i="15"/>
  <c r="AC12" i="15"/>
  <c r="AC13" i="15"/>
  <c r="AC14" i="15"/>
  <c r="AC15" i="15"/>
  <c r="AC16" i="15"/>
  <c r="AC17" i="15"/>
  <c r="AC18" i="15"/>
  <c r="AC19" i="15"/>
  <c r="AC20" i="15"/>
  <c r="AC21" i="15"/>
  <c r="AC22" i="15"/>
  <c r="AC23" i="15"/>
  <c r="AC24" i="15"/>
  <c r="AC25" i="15"/>
  <c r="AC26" i="15"/>
  <c r="AC27" i="15"/>
  <c r="AC28" i="15"/>
  <c r="AC29" i="15"/>
  <c r="AC30" i="15"/>
  <c r="AC31" i="15"/>
  <c r="AC32" i="15"/>
  <c r="AC33" i="15"/>
  <c r="AC34" i="15"/>
  <c r="AC35" i="15"/>
  <c r="AC36" i="15"/>
  <c r="AC37" i="15"/>
  <c r="AC38" i="15"/>
  <c r="AC39" i="15"/>
  <c r="AC40" i="15"/>
  <c r="AC41" i="15"/>
  <c r="AC42" i="15"/>
  <c r="AC43" i="15"/>
  <c r="AC44" i="15"/>
  <c r="AC45" i="15"/>
  <c r="AC46" i="15"/>
  <c r="S11" i="15"/>
  <c r="S10" i="15" l="1"/>
  <c r="S9" i="15"/>
  <c r="S8" i="15"/>
  <c r="U33" i="15" l="1"/>
  <c r="U32" i="15"/>
  <c r="U31" i="15"/>
  <c r="S28" i="15"/>
  <c r="G31" i="15" s="1"/>
  <c r="J45" i="15"/>
  <c r="U28" i="15"/>
  <c r="G32" i="15" s="1"/>
  <c r="Q28" i="15"/>
  <c r="G30" i="15" s="1"/>
  <c r="G33" i="15" l="1"/>
  <c r="U38" i="15"/>
  <c r="G34" i="15" s="1"/>
  <c r="G35" i="15" s="1"/>
  <c r="G36" i="15" s="1"/>
  <c r="G38" i="15"/>
  <c r="G39" i="15" l="1"/>
  <c r="G40" i="15" s="1"/>
  <c r="G37" i="15"/>
  <c r="G43" i="15" s="1"/>
  <c r="G44" i="15" l="1"/>
</calcChain>
</file>

<file path=xl/sharedStrings.xml><?xml version="1.0" encoding="utf-8"?>
<sst xmlns="http://schemas.openxmlformats.org/spreadsheetml/2006/main" count="103" uniqueCount="76">
  <si>
    <r>
      <t xml:space="preserve">원가견적/조사서(갑)
</t>
    </r>
    <r>
      <rPr>
        <b/>
        <sz val="14"/>
        <rFont val="굴림"/>
        <family val="3"/>
        <charset val="129"/>
      </rPr>
      <t>- ASSY 用 -</t>
    </r>
    <phoneticPr fontId="1" type="noConversion"/>
  </si>
  <si>
    <t>수 량</t>
    <phoneticPr fontId="1" type="noConversion"/>
  </si>
  <si>
    <t>담 당</t>
    <phoneticPr fontId="1" type="noConversion"/>
  </si>
  <si>
    <t>팀장</t>
    <phoneticPr fontId="1" type="noConversion"/>
  </si>
  <si>
    <t>EA</t>
    <phoneticPr fontId="6" type="noConversion"/>
  </si>
  <si>
    <t>회 사 명
(코드)</t>
    <phoneticPr fontId="1" type="noConversion"/>
  </si>
  <si>
    <t>주) 우 진 산 전</t>
    <phoneticPr fontId="1" type="noConversion"/>
  </si>
  <si>
    <t>품 번</t>
    <phoneticPr fontId="1" type="noConversion"/>
  </si>
  <si>
    <t>결
재</t>
    <phoneticPr fontId="1" type="noConversion"/>
  </si>
  <si>
    <t>담 당</t>
    <phoneticPr fontId="1" type="noConversion"/>
  </si>
  <si>
    <t>과장</t>
    <phoneticPr fontId="1" type="noConversion"/>
  </si>
  <si>
    <t>임원</t>
    <phoneticPr fontId="1" type="noConversion"/>
  </si>
  <si>
    <t>품 명</t>
    <phoneticPr fontId="1" type="noConversion"/>
  </si>
  <si>
    <t>도 면 NO</t>
    <phoneticPr fontId="1" type="noConversion"/>
  </si>
  <si>
    <t>구
성
부
품
비
명
세</t>
    <phoneticPr fontId="1" type="noConversion"/>
  </si>
  <si>
    <t>NO</t>
    <phoneticPr fontId="1" type="noConversion"/>
  </si>
  <si>
    <t>부  번</t>
    <phoneticPr fontId="1" type="noConversion"/>
  </si>
  <si>
    <t>부   품   명</t>
    <phoneticPr fontId="1" type="noConversion"/>
  </si>
  <si>
    <t>단
위</t>
    <phoneticPr fontId="1" type="noConversion"/>
  </si>
  <si>
    <t>수
량</t>
    <phoneticPr fontId="1" type="noConversion"/>
  </si>
  <si>
    <t>단 가</t>
    <phoneticPr fontId="1" type="noConversion"/>
  </si>
  <si>
    <t>견  적  가</t>
    <phoneticPr fontId="1" type="noConversion"/>
  </si>
  <si>
    <t>조사가</t>
    <phoneticPr fontId="1" type="noConversion"/>
  </si>
  <si>
    <t>자작</t>
    <phoneticPr fontId="1" type="noConversion"/>
  </si>
  <si>
    <t>외주</t>
    <phoneticPr fontId="1" type="noConversion"/>
  </si>
  <si>
    <t>수입</t>
    <phoneticPr fontId="1" type="noConversion"/>
  </si>
  <si>
    <t>EA</t>
    <phoneticPr fontId="6" type="noConversion"/>
  </si>
  <si>
    <t>원 가 항 목</t>
    <phoneticPr fontId="1" type="noConversion"/>
  </si>
  <si>
    <t>견 적 가</t>
    <phoneticPr fontId="1" type="noConversion"/>
  </si>
  <si>
    <t>조 사 가</t>
    <phoneticPr fontId="1" type="noConversion"/>
  </si>
  <si>
    <t>종
합
조
립
가
공
비
명
세</t>
    <phoneticPr fontId="1" type="noConversion"/>
  </si>
  <si>
    <t>공 정 명</t>
    <phoneticPr fontId="1" type="noConversion"/>
  </si>
  <si>
    <t>조립시간
(HR)</t>
    <phoneticPr fontId="1" type="noConversion"/>
  </si>
  <si>
    <t>가동임율
(￦/HR)</t>
    <phoneticPr fontId="1" type="noConversion"/>
  </si>
  <si>
    <t>조립
가공비</t>
    <phoneticPr fontId="1" type="noConversion"/>
  </si>
  <si>
    <t>자  작</t>
    <phoneticPr fontId="1" type="noConversion"/>
  </si>
  <si>
    <t>외  주</t>
    <phoneticPr fontId="1" type="noConversion"/>
  </si>
  <si>
    <t>기기조립</t>
    <phoneticPr fontId="1" type="noConversion"/>
  </si>
  <si>
    <t>수  입</t>
    <phoneticPr fontId="1" type="noConversion"/>
  </si>
  <si>
    <t>기기배선</t>
    <phoneticPr fontId="1" type="noConversion"/>
  </si>
  <si>
    <t>재 료 비</t>
    <phoneticPr fontId="1" type="noConversion"/>
  </si>
  <si>
    <t>검    사</t>
    <phoneticPr fontId="6" type="noConversion"/>
  </si>
  <si>
    <t>노 무 비</t>
    <phoneticPr fontId="1" type="noConversion"/>
  </si>
  <si>
    <t>경     비</t>
    <phoneticPr fontId="1" type="noConversion"/>
  </si>
  <si>
    <t>가공비</t>
    <phoneticPr fontId="1" type="noConversion"/>
  </si>
  <si>
    <t>제조원가</t>
    <phoneticPr fontId="1" type="noConversion"/>
  </si>
  <si>
    <t>재료관리비</t>
    <phoneticPr fontId="1" type="noConversion"/>
  </si>
  <si>
    <t>판매 / 관리비</t>
    <phoneticPr fontId="1" type="noConversion"/>
  </si>
  <si>
    <t>특기사항</t>
    <phoneticPr fontId="1" type="noConversion"/>
  </si>
  <si>
    <t>이    윤</t>
    <phoneticPr fontId="1" type="noConversion"/>
  </si>
  <si>
    <t>운반비 / PLT</t>
    <phoneticPr fontId="1" type="noConversion"/>
  </si>
  <si>
    <t>기    타</t>
    <phoneticPr fontId="1" type="noConversion"/>
  </si>
  <si>
    <t>시험비용</t>
    <phoneticPr fontId="1" type="noConversion"/>
  </si>
  <si>
    <t>대 리</t>
    <phoneticPr fontId="1" type="noConversion"/>
  </si>
  <si>
    <t>과 장</t>
    <phoneticPr fontId="1" type="noConversion"/>
  </si>
  <si>
    <t xml:space="preserve">부 장 </t>
    <phoneticPr fontId="1" type="noConversion"/>
  </si>
  <si>
    <t>목   표   가</t>
    <phoneticPr fontId="1" type="noConversion"/>
  </si>
  <si>
    <t>책 정 가</t>
    <phoneticPr fontId="1" type="noConversion"/>
  </si>
  <si>
    <t>㈜ 로  템</t>
    <phoneticPr fontId="1" type="noConversion"/>
  </si>
  <si>
    <r>
      <t xml:space="preserve">원가견적/조사서(가)
</t>
    </r>
    <r>
      <rPr>
        <b/>
        <sz val="14"/>
        <rFont val="HY견고딕"/>
        <family val="1"/>
        <charset val="129"/>
      </rPr>
      <t>- 구성부품 추가 -</t>
    </r>
    <phoneticPr fontId="1" type="noConversion"/>
  </si>
  <si>
    <t>조  사  가</t>
    <phoneticPr fontId="1" type="noConversion"/>
  </si>
  <si>
    <t>PROJ.
명</t>
    <phoneticPr fontId="1" type="noConversion"/>
  </si>
  <si>
    <t>차 종</t>
    <phoneticPr fontId="1" type="noConversion"/>
  </si>
  <si>
    <t>품 번</t>
    <phoneticPr fontId="1" type="noConversion"/>
  </si>
  <si>
    <t>EA</t>
  </si>
  <si>
    <t>FRAME BOX</t>
    <phoneticPr fontId="1" type="noConversion"/>
  </si>
  <si>
    <t>CONNECTOR</t>
  </si>
  <si>
    <t>D-U207(MORS SMITT)</t>
    <phoneticPr fontId="1" type="noConversion"/>
  </si>
  <si>
    <t>RELAY</t>
    <phoneticPr fontId="1" type="noConversion"/>
  </si>
  <si>
    <t>WAGO</t>
    <phoneticPr fontId="1" type="noConversion"/>
  </si>
  <si>
    <t>ASS'Y</t>
    <phoneticPr fontId="1" type="noConversion"/>
  </si>
  <si>
    <t>덴버전동차 50량</t>
    <phoneticPr fontId="1" type="noConversion"/>
  </si>
  <si>
    <t>2012  년    4 월    04 일</t>
    <phoneticPr fontId="1" type="noConversion"/>
  </si>
  <si>
    <t>TEST</t>
    <phoneticPr fontId="1" type="noConversion"/>
  </si>
  <si>
    <t>Shock &amp; Vibration</t>
    <phoneticPr fontId="1" type="noConversion"/>
  </si>
  <si>
    <t xml:space="preserve">ARr. (Audio Redundancy Relay.)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</si>
</sst>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(* #,##0_);_(* \(#,##0\);_(* &quot;-&quot;_);_(@_)"/>
    <numFmt numFmtId="177" formatCode="#,##0_ "/>
    <numFmt numFmtId="178" formatCode="#,##0.000_ "/>
  </numFmts>
  <fonts count="29" x14ac:knownFonts="1">
    <font>
      <sz val="11"/>
      <color theme="1"/>
      <name val="돋움"/>
      <family val="3"/>
      <charset val="129"/>
    </font>
    <font>
      <sz val="8"/>
      <name val="돋움"/>
      <family val="3"/>
      <charset val="129"/>
    </font>
    <font>
      <sz val="12"/>
      <name val="돋움"/>
      <family val="3"/>
      <charset val="129"/>
    </font>
    <font>
      <sz val="22"/>
      <name val="HY견고딕"/>
      <family val="1"/>
      <charset val="129"/>
    </font>
    <font>
      <b/>
      <sz val="14"/>
      <name val="굴림"/>
      <family val="3"/>
      <charset val="129"/>
    </font>
    <font>
      <sz val="10"/>
      <name val="굴림체"/>
      <family val="3"/>
      <charset val="129"/>
    </font>
    <font>
      <u/>
      <sz val="11"/>
      <color indexed="12"/>
      <name val="돋움"/>
      <family val="3"/>
      <charset val="129"/>
    </font>
    <font>
      <sz val="8"/>
      <name val="굴림체"/>
      <family val="3"/>
      <charset val="129"/>
    </font>
    <font>
      <sz val="11"/>
      <name val="돋움"/>
      <family val="3"/>
      <charset val="129"/>
    </font>
    <font>
      <sz val="10"/>
      <color indexed="12"/>
      <name val="굴림"/>
      <family val="3"/>
      <charset val="129"/>
    </font>
    <font>
      <sz val="11"/>
      <color indexed="12"/>
      <name val="돋움"/>
      <family val="3"/>
      <charset val="129"/>
    </font>
    <font>
      <sz val="10"/>
      <color indexed="48"/>
      <name val="굴림체"/>
      <family val="3"/>
      <charset val="129"/>
    </font>
    <font>
      <sz val="10"/>
      <color indexed="48"/>
      <name val="굴림"/>
      <family val="3"/>
      <charset val="129"/>
    </font>
    <font>
      <sz val="10"/>
      <name val="돋움"/>
      <family val="3"/>
      <charset val="129"/>
    </font>
    <font>
      <sz val="10"/>
      <color indexed="12"/>
      <name val="돋움"/>
      <family val="3"/>
      <charset val="129"/>
    </font>
    <font>
      <sz val="9"/>
      <name val="돋움"/>
      <family val="3"/>
      <charset val="129"/>
    </font>
    <font>
      <sz val="12"/>
      <color indexed="12"/>
      <name val="돋움"/>
      <family val="3"/>
      <charset val="129"/>
    </font>
    <font>
      <sz val="12"/>
      <color indexed="9"/>
      <name val="돋움"/>
      <family val="3"/>
      <charset val="129"/>
    </font>
    <font>
      <b/>
      <sz val="12"/>
      <name val="돋움"/>
      <family val="3"/>
      <charset val="129"/>
    </font>
    <font>
      <b/>
      <sz val="10"/>
      <name val="돋움"/>
      <family val="3"/>
      <charset val="129"/>
    </font>
    <font>
      <sz val="12"/>
      <name val="굴림체"/>
      <family val="3"/>
      <charset val="129"/>
    </font>
    <font>
      <b/>
      <sz val="14"/>
      <name val="HY견고딕"/>
      <family val="1"/>
      <charset val="129"/>
    </font>
    <font>
      <sz val="10"/>
      <color indexed="12"/>
      <name val="굴림체"/>
      <family val="3"/>
      <charset val="129"/>
    </font>
    <font>
      <sz val="12"/>
      <color indexed="12"/>
      <name val="굴림체"/>
      <family val="3"/>
      <charset val="129"/>
    </font>
    <font>
      <sz val="11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2"/>
      <name val="굴림체"/>
      <family val="3"/>
      <charset val="129"/>
    </font>
    <font>
      <sz val="9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</borders>
  <cellStyleXfs count="2">
    <xf numFmtId="0" fontId="0" fillId="0" borderId="0">
      <alignment vertical="center"/>
    </xf>
    <xf numFmtId="176" fontId="28" fillId="0" borderId="0" applyFont="0" applyFill="0" applyBorder="0" applyAlignment="0" applyProtection="0">
      <alignment vertical="center"/>
    </xf>
  </cellStyleXfs>
  <cellXfs count="441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" xfId="0" applyFont="1" applyFill="1" applyBorder="1" applyAlignment="1">
      <alignment horizontal="left" vertical="center" indent="1"/>
    </xf>
    <xf numFmtId="0" fontId="5" fillId="0" borderId="3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center" vertical="center" shrinkToFit="1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176" fontId="12" fillId="0" borderId="0" xfId="1" applyFont="1" applyFill="1" applyBorder="1" applyAlignment="1">
      <alignment horizontal="left" vertical="center" shrinkToFit="1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7" xfId="0" applyFont="1" applyFill="1" applyBorder="1" applyAlignment="1">
      <alignment horizontal="left" vertical="center" indent="1"/>
    </xf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5" fillId="0" borderId="6" xfId="0" applyFont="1" applyFill="1" applyBorder="1" applyAlignment="1">
      <alignment horizontal="center" vertical="center" shrinkToFit="1"/>
    </xf>
    <xf numFmtId="0" fontId="2" fillId="0" borderId="11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3" xfId="0" applyFont="1" applyFill="1" applyBorder="1" applyAlignment="1">
      <alignment horizontal="left" vertical="center" indent="1"/>
    </xf>
    <xf numFmtId="0" fontId="5" fillId="0" borderId="14" xfId="0" applyFont="1" applyFill="1" applyBorder="1" applyAlignment="1"/>
    <xf numFmtId="0" fontId="5" fillId="0" borderId="15" xfId="0" applyFont="1" applyFill="1" applyBorder="1" applyAlignment="1"/>
    <xf numFmtId="0" fontId="5" fillId="0" borderId="12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 shrinkToFit="1"/>
    </xf>
    <xf numFmtId="0" fontId="5" fillId="0" borderId="0" xfId="0" applyFont="1" applyBorder="1" applyAlignment="1">
      <alignment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0" fontId="8" fillId="0" borderId="19" xfId="0" applyFont="1" applyBorder="1" applyAlignment="1">
      <alignment horizontal="center" vertical="center" shrinkToFit="1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horizontal="centerContinuous" vertical="center"/>
    </xf>
    <xf numFmtId="0" fontId="2" fillId="0" borderId="24" xfId="0" applyFont="1" applyBorder="1" applyAlignment="1">
      <alignment horizontal="centerContinuous" vertical="center"/>
    </xf>
    <xf numFmtId="0" fontId="2" fillId="0" borderId="25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 shrinkToFit="1"/>
    </xf>
    <xf numFmtId="178" fontId="2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38" fontId="2" fillId="0" borderId="0" xfId="0" applyNumberFormat="1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176" fontId="7" fillId="0" borderId="26" xfId="0" applyNumberFormat="1" applyFont="1" applyFill="1" applyBorder="1" applyAlignment="1">
      <alignment horizontal="centerContinuous" vertical="center"/>
    </xf>
    <xf numFmtId="0" fontId="5" fillId="0" borderId="8" xfId="0" applyFont="1" applyBorder="1" applyAlignment="1">
      <alignment horizontal="centerContinuous" vertical="center" shrinkToFit="1"/>
    </xf>
    <xf numFmtId="0" fontId="5" fillId="0" borderId="9" xfId="0" applyFont="1" applyBorder="1" applyAlignment="1">
      <alignment horizontal="centerContinuous" vertical="center" shrinkToFit="1"/>
    </xf>
    <xf numFmtId="0" fontId="5" fillId="0" borderId="8" xfId="0" applyFont="1" applyBorder="1" applyAlignment="1">
      <alignment horizontal="centerContinuous" vertical="center"/>
    </xf>
    <xf numFmtId="0" fontId="5" fillId="0" borderId="9" xfId="0" applyFont="1" applyBorder="1" applyAlignment="1">
      <alignment horizontal="centerContinuous" vertical="center"/>
    </xf>
    <xf numFmtId="0" fontId="5" fillId="0" borderId="6" xfId="0" applyFont="1" applyBorder="1" applyAlignment="1">
      <alignment horizontal="center" vertical="center" shrinkToFit="1"/>
    </xf>
    <xf numFmtId="176" fontId="7" fillId="0" borderId="10" xfId="0" applyNumberFormat="1" applyFont="1" applyFill="1" applyBorder="1" applyAlignment="1">
      <alignment horizontal="centerContinuous" vertical="center"/>
    </xf>
    <xf numFmtId="176" fontId="5" fillId="0" borderId="7" xfId="0" applyNumberFormat="1" applyFont="1" applyFill="1" applyBorder="1" applyAlignment="1">
      <alignment horizontal="centerContinuous" vertical="center"/>
    </xf>
    <xf numFmtId="176" fontId="5" fillId="0" borderId="10" xfId="0" applyNumberFormat="1" applyFont="1" applyFill="1" applyBorder="1" applyAlignment="1">
      <alignment horizontal="centerContinuous" vertical="center"/>
    </xf>
    <xf numFmtId="176" fontId="5" fillId="0" borderId="10" xfId="0" applyNumberFormat="1" applyFont="1" applyBorder="1" applyAlignment="1">
      <alignment horizontal="centerContinuous" vertical="center"/>
    </xf>
    <xf numFmtId="0" fontId="5" fillId="0" borderId="14" xfId="0" applyFont="1" applyBorder="1" applyAlignment="1">
      <alignment horizontal="centerContinuous" vertical="center" shrinkToFit="1"/>
    </xf>
    <xf numFmtId="0" fontId="5" fillId="0" borderId="15" xfId="0" applyFont="1" applyBorder="1" applyAlignment="1">
      <alignment horizontal="centerContinuous" vertical="center" shrinkToFit="1"/>
    </xf>
    <xf numFmtId="0" fontId="5" fillId="0" borderId="14" xfId="0" applyFont="1" applyBorder="1" applyAlignment="1">
      <alignment horizontal="centerContinuous" vertical="center"/>
    </xf>
    <xf numFmtId="0" fontId="5" fillId="0" borderId="15" xfId="0" applyFont="1" applyBorder="1" applyAlignment="1">
      <alignment horizontal="centerContinuous" vertical="center"/>
    </xf>
    <xf numFmtId="0" fontId="5" fillId="0" borderId="12" xfId="0" applyFont="1" applyBorder="1" applyAlignment="1">
      <alignment horizontal="center" vertical="center" shrinkToFit="1"/>
    </xf>
    <xf numFmtId="176" fontId="5" fillId="0" borderId="13" xfId="0" applyNumberFormat="1" applyFont="1" applyFill="1" applyBorder="1" applyAlignment="1">
      <alignment horizontal="centerContinuous" vertical="center"/>
    </xf>
    <xf numFmtId="176" fontId="5" fillId="0" borderId="16" xfId="0" applyNumberFormat="1" applyFont="1" applyBorder="1" applyAlignment="1">
      <alignment horizontal="centerContinuous" vertical="center"/>
    </xf>
    <xf numFmtId="0" fontId="24" fillId="0" borderId="17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76" fontId="5" fillId="0" borderId="2" xfId="0" applyNumberFormat="1" applyFont="1" applyFill="1" applyBorder="1" applyAlignment="1">
      <alignment horizontal="centerContinuous" vertical="center"/>
    </xf>
    <xf numFmtId="176" fontId="5" fillId="0" borderId="26" xfId="0" applyNumberFormat="1" applyFont="1" applyFill="1" applyBorder="1" applyAlignment="1">
      <alignment horizontal="centerContinuous" vertical="center"/>
    </xf>
    <xf numFmtId="176" fontId="5" fillId="0" borderId="16" xfId="0" applyNumberFormat="1" applyFont="1" applyFill="1" applyBorder="1" applyAlignment="1">
      <alignment horizontal="centerContinuous" vertical="center"/>
    </xf>
    <xf numFmtId="176" fontId="27" fillId="0" borderId="7" xfId="0" applyNumberFormat="1" applyFont="1" applyFill="1" applyBorder="1" applyAlignment="1">
      <alignment horizontal="centerContinuous" vertical="center"/>
    </xf>
    <xf numFmtId="176" fontId="27" fillId="0" borderId="2" xfId="0" applyNumberFormat="1" applyFont="1" applyFill="1" applyBorder="1" applyAlignment="1">
      <alignment horizontal="centerContinuous" vertical="center"/>
    </xf>
    <xf numFmtId="176" fontId="27" fillId="0" borderId="7" xfId="0" applyNumberFormat="1" applyFont="1" applyFill="1" applyBorder="1" applyAlignment="1">
      <alignment horizontal="center" vertical="center"/>
    </xf>
    <xf numFmtId="176" fontId="5" fillId="0" borderId="62" xfId="0" applyNumberFormat="1" applyFont="1" applyFill="1" applyBorder="1" applyAlignment="1">
      <alignment horizontal="right" vertical="center"/>
    </xf>
    <xf numFmtId="176" fontId="5" fillId="0" borderId="9" xfId="0" applyNumberFormat="1" applyFont="1" applyFill="1" applyBorder="1" applyAlignment="1">
      <alignment horizontal="right" vertical="center"/>
    </xf>
    <xf numFmtId="176" fontId="5" fillId="0" borderId="7" xfId="0" applyNumberFormat="1" applyFont="1" applyFill="1" applyBorder="1" applyAlignment="1">
      <alignment horizontal="right" vertical="center"/>
    </xf>
    <xf numFmtId="176" fontId="5" fillId="0" borderId="63" xfId="0" applyNumberFormat="1" applyFont="1" applyFill="1" applyBorder="1" applyAlignment="1">
      <alignment horizontal="right" vertical="center"/>
    </xf>
    <xf numFmtId="176" fontId="7" fillId="0" borderId="10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left" vertical="center" inden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shrinkToFit="1"/>
    </xf>
    <xf numFmtId="0" fontId="2" fillId="0" borderId="32" xfId="0" applyFont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 shrinkToFit="1"/>
    </xf>
    <xf numFmtId="0" fontId="2" fillId="0" borderId="38" xfId="0" applyFont="1" applyBorder="1" applyAlignment="1">
      <alignment horizontal="center" vertical="center" shrinkToFit="1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shrinkToFit="1"/>
    </xf>
    <xf numFmtId="0" fontId="2" fillId="0" borderId="24" xfId="0" applyFont="1" applyBorder="1" applyAlignment="1">
      <alignment horizontal="center" vertical="center" shrinkToFit="1"/>
    </xf>
    <xf numFmtId="0" fontId="2" fillId="0" borderId="42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shrinkToFit="1"/>
    </xf>
    <xf numFmtId="0" fontId="2" fillId="0" borderId="72" xfId="0" applyFont="1" applyBorder="1" applyAlignment="1">
      <alignment horizontal="center" vertical="center" shrinkToFit="1"/>
    </xf>
    <xf numFmtId="0" fontId="2" fillId="0" borderId="100" xfId="0" applyFont="1" applyBorder="1" applyAlignment="1">
      <alignment horizontal="center" vertical="center" shrinkToFit="1"/>
    </xf>
    <xf numFmtId="0" fontId="2" fillId="0" borderId="22" xfId="0" applyFont="1" applyBorder="1" applyAlignment="1">
      <alignment horizontal="center" vertical="center" shrinkToFit="1"/>
    </xf>
    <xf numFmtId="0" fontId="2" fillId="0" borderId="51" xfId="0" applyFont="1" applyBorder="1" applyAlignment="1">
      <alignment horizontal="center" vertical="center" shrinkToFit="1"/>
    </xf>
    <xf numFmtId="0" fontId="2" fillId="0" borderId="52" xfId="0" applyFont="1" applyBorder="1" applyAlignment="1">
      <alignment horizontal="center" vertical="center" shrinkToFit="1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 wrapText="1" shrinkToFit="1"/>
    </xf>
    <xf numFmtId="0" fontId="2" fillId="0" borderId="43" xfId="0" applyFont="1" applyBorder="1" applyAlignment="1">
      <alignment horizontal="center" vertical="center" shrinkToFit="1"/>
    </xf>
    <xf numFmtId="0" fontId="2" fillId="0" borderId="54" xfId="0" applyFont="1" applyBorder="1" applyAlignment="1">
      <alignment horizontal="center" vertical="center" shrinkToFit="1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 shrinkToFit="1"/>
    </xf>
    <xf numFmtId="0" fontId="2" fillId="0" borderId="27" xfId="0" applyFont="1" applyBorder="1" applyAlignment="1">
      <alignment horizontal="center" vertical="center" shrinkToFit="1"/>
    </xf>
    <xf numFmtId="0" fontId="2" fillId="0" borderId="56" xfId="0" applyFont="1" applyBorder="1" applyAlignment="1">
      <alignment horizontal="center" vertical="center" shrinkToFit="1"/>
    </xf>
    <xf numFmtId="0" fontId="2" fillId="0" borderId="57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76" fontId="5" fillId="0" borderId="74" xfId="0" applyNumberFormat="1" applyFont="1" applyFill="1" applyBorder="1" applyAlignment="1">
      <alignment horizontal="right" vertical="center"/>
    </xf>
    <xf numFmtId="176" fontId="5" fillId="0" borderId="4" xfId="0" applyNumberFormat="1" applyFont="1" applyFill="1" applyBorder="1" applyAlignment="1">
      <alignment horizontal="right" vertical="center"/>
    </xf>
    <xf numFmtId="176" fontId="27" fillId="0" borderId="2" xfId="0" applyNumberFormat="1" applyFont="1" applyBorder="1" applyAlignment="1">
      <alignment horizontal="center" vertical="center" shrinkToFit="1"/>
    </xf>
    <xf numFmtId="176" fontId="27" fillId="0" borderId="4" xfId="0" applyNumberFormat="1" applyFont="1" applyBorder="1" applyAlignment="1">
      <alignment shrinkToFit="1"/>
    </xf>
    <xf numFmtId="176" fontId="7" fillId="0" borderId="2" xfId="0" applyNumberFormat="1" applyFont="1" applyFill="1" applyBorder="1" applyAlignment="1">
      <alignment horizontal="right" vertical="center"/>
    </xf>
    <xf numFmtId="176" fontId="7" fillId="0" borderId="61" xfId="0" applyNumberFormat="1" applyFont="1" applyFill="1" applyBorder="1" applyAlignment="1">
      <alignment horizontal="right" vertical="center"/>
    </xf>
    <xf numFmtId="176" fontId="9" fillId="0" borderId="2" xfId="1" applyFont="1" applyBorder="1" applyAlignment="1">
      <alignment horizontal="right" vertical="center"/>
    </xf>
    <xf numFmtId="176" fontId="10" fillId="0" borderId="4" xfId="1" applyFont="1" applyBorder="1" applyAlignment="1">
      <alignment horizontal="right" vertical="center"/>
    </xf>
    <xf numFmtId="3" fontId="11" fillId="0" borderId="2" xfId="0" applyNumberFormat="1" applyFont="1" applyFill="1" applyBorder="1" applyAlignment="1">
      <alignment horizontal="center" vertical="center"/>
    </xf>
    <xf numFmtId="3" fontId="11" fillId="0" borderId="61" xfId="0" applyNumberFormat="1" applyFont="1" applyFill="1" applyBorder="1" applyAlignment="1">
      <alignment horizontal="center" vertical="center"/>
    </xf>
    <xf numFmtId="176" fontId="27" fillId="0" borderId="7" xfId="0" applyNumberFormat="1" applyFont="1" applyBorder="1" applyAlignment="1">
      <alignment horizontal="center" vertical="center"/>
    </xf>
    <xf numFmtId="176" fontId="27" fillId="0" borderId="9" xfId="0" applyNumberFormat="1" applyFont="1" applyBorder="1" applyAlignment="1">
      <alignment horizontal="center" vertical="center"/>
    </xf>
    <xf numFmtId="176" fontId="9" fillId="0" borderId="7" xfId="1" applyFont="1" applyBorder="1" applyAlignment="1">
      <alignment vertical="center"/>
    </xf>
    <xf numFmtId="176" fontId="9" fillId="0" borderId="9" xfId="1" applyFont="1" applyBorder="1" applyAlignment="1">
      <alignment vertical="center"/>
    </xf>
    <xf numFmtId="3" fontId="11" fillId="0" borderId="7" xfId="0" applyNumberFormat="1" applyFont="1" applyFill="1" applyBorder="1" applyAlignment="1">
      <alignment horizontal="center" vertical="center"/>
    </xf>
    <xf numFmtId="3" fontId="11" fillId="0" borderId="63" xfId="0" applyNumberFormat="1" applyFont="1" applyFill="1" applyBorder="1" applyAlignment="1">
      <alignment horizontal="center" vertical="center"/>
    </xf>
    <xf numFmtId="176" fontId="5" fillId="0" borderId="62" xfId="0" applyNumberFormat="1" applyFont="1" applyFill="1" applyBorder="1" applyAlignment="1">
      <alignment horizontal="right" vertical="center"/>
    </xf>
    <xf numFmtId="176" fontId="5" fillId="0" borderId="9" xfId="0" applyNumberFormat="1" applyFont="1" applyFill="1" applyBorder="1" applyAlignment="1">
      <alignment horizontal="right" vertical="center"/>
    </xf>
    <xf numFmtId="176" fontId="5" fillId="0" borderId="7" xfId="0" applyNumberFormat="1" applyFont="1" applyFill="1" applyBorder="1" applyAlignment="1">
      <alignment horizontal="right" vertical="center"/>
    </xf>
    <xf numFmtId="176" fontId="5" fillId="0" borderId="63" xfId="0" applyNumberFormat="1" applyFont="1" applyFill="1" applyBorder="1" applyAlignment="1">
      <alignment horizontal="right" vertical="center"/>
    </xf>
    <xf numFmtId="176" fontId="5" fillId="0" borderId="7" xfId="0" applyNumberFormat="1" applyFont="1" applyFill="1" applyBorder="1" applyAlignment="1">
      <alignment horizontal="right" vertical="center" shrinkToFit="1"/>
    </xf>
    <xf numFmtId="176" fontId="5" fillId="0" borderId="63" xfId="0" applyNumberFormat="1" applyFont="1" applyFill="1" applyBorder="1" applyAlignment="1">
      <alignment horizontal="right" vertical="center" shrinkToFit="1"/>
    </xf>
    <xf numFmtId="176" fontId="10" fillId="0" borderId="9" xfId="1" applyFont="1" applyBorder="1" applyAlignment="1">
      <alignment vertical="center"/>
    </xf>
    <xf numFmtId="3" fontId="11" fillId="0" borderId="7" xfId="0" applyNumberFormat="1" applyFont="1" applyFill="1" applyBorder="1" applyAlignment="1">
      <alignment horizontal="center" vertical="center" shrinkToFit="1"/>
    </xf>
    <xf numFmtId="3" fontId="11" fillId="0" borderId="63" xfId="0" applyNumberFormat="1" applyFont="1" applyFill="1" applyBorder="1" applyAlignment="1">
      <alignment horizontal="center" vertical="center" shrinkToFit="1"/>
    </xf>
    <xf numFmtId="176" fontId="5" fillId="0" borderId="7" xfId="0" applyNumberFormat="1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176" fontId="5" fillId="0" borderId="62" xfId="0" applyNumberFormat="1" applyFont="1" applyFill="1" applyBorder="1" applyAlignment="1">
      <alignment horizontal="right" vertical="center" shrinkToFit="1"/>
    </xf>
    <xf numFmtId="176" fontId="5" fillId="0" borderId="9" xfId="0" applyNumberFormat="1" applyFont="1" applyFill="1" applyBorder="1" applyAlignment="1">
      <alignment horizontal="right" vertical="center" shrinkToFit="1"/>
    </xf>
    <xf numFmtId="176" fontId="5" fillId="0" borderId="62" xfId="0" applyNumberFormat="1" applyFont="1" applyBorder="1" applyAlignment="1">
      <alignment horizontal="right" vertical="center"/>
    </xf>
    <xf numFmtId="176" fontId="5" fillId="0" borderId="9" xfId="0" applyNumberFormat="1" applyFont="1" applyBorder="1" applyAlignment="1">
      <alignment horizontal="right" vertical="center"/>
    </xf>
    <xf numFmtId="176" fontId="5" fillId="0" borderId="7" xfId="0" applyNumberFormat="1" applyFont="1" applyBorder="1" applyAlignment="1">
      <alignment horizontal="right" vertical="center"/>
    </xf>
    <xf numFmtId="176" fontId="5" fillId="0" borderId="63" xfId="0" applyNumberFormat="1" applyFont="1" applyBorder="1" applyAlignment="1">
      <alignment horizontal="right" vertical="center"/>
    </xf>
    <xf numFmtId="3" fontId="11" fillId="0" borderId="11" xfId="0" applyNumberFormat="1" applyFont="1" applyFill="1" applyBorder="1" applyAlignment="1">
      <alignment horizontal="center" vertical="center"/>
    </xf>
    <xf numFmtId="3" fontId="11" fillId="0" borderId="9" xfId="0" applyNumberFormat="1" applyFont="1" applyFill="1" applyBorder="1" applyAlignment="1">
      <alignment horizontal="center"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01" xfId="0" applyNumberFormat="1" applyFont="1" applyBorder="1" applyAlignment="1">
      <alignment horizontal="right" vertical="center" shrinkToFit="1"/>
    </xf>
    <xf numFmtId="176" fontId="5" fillId="0" borderId="102" xfId="0" applyNumberFormat="1" applyFont="1" applyBorder="1" applyAlignment="1">
      <alignment horizontal="right" vertical="center" shrinkToFit="1"/>
    </xf>
    <xf numFmtId="176" fontId="5" fillId="0" borderId="54" xfId="0" applyNumberFormat="1" applyFont="1" applyBorder="1" applyAlignment="1">
      <alignment horizontal="right" vertical="center"/>
    </xf>
    <xf numFmtId="176" fontId="5" fillId="0" borderId="64" xfId="0" applyNumberFormat="1" applyFont="1" applyBorder="1" applyAlignment="1">
      <alignment horizontal="right" vertical="center"/>
    </xf>
    <xf numFmtId="3" fontId="11" fillId="0" borderId="65" xfId="0" applyNumberFormat="1" applyFont="1" applyFill="1" applyBorder="1" applyAlignment="1">
      <alignment horizontal="center" vertical="center"/>
    </xf>
    <xf numFmtId="0" fontId="11" fillId="0" borderId="54" xfId="0" applyFont="1" applyFill="1" applyBorder="1" applyAlignment="1">
      <alignment horizontal="center" vertical="center"/>
    </xf>
    <xf numFmtId="3" fontId="11" fillId="0" borderId="54" xfId="0" applyNumberFormat="1" applyFont="1" applyFill="1" applyBorder="1" applyAlignment="1">
      <alignment horizontal="center" vertical="center"/>
    </xf>
    <xf numFmtId="3" fontId="11" fillId="0" borderId="54" xfId="0" applyNumberFormat="1" applyFont="1" applyFill="1" applyBorder="1" applyAlignment="1">
      <alignment horizontal="center" vertical="center" shrinkToFit="1"/>
    </xf>
    <xf numFmtId="0" fontId="11" fillId="0" borderId="64" xfId="0" applyFont="1" applyFill="1" applyBorder="1" applyAlignment="1">
      <alignment horizontal="center" vertical="center" shrinkToFit="1"/>
    </xf>
    <xf numFmtId="176" fontId="5" fillId="0" borderId="66" xfId="0" applyNumberFormat="1" applyFont="1" applyBorder="1" applyAlignment="1">
      <alignment horizontal="right" vertical="center"/>
    </xf>
    <xf numFmtId="176" fontId="5" fillId="0" borderId="15" xfId="0" applyNumberFormat="1" applyFont="1" applyBorder="1" applyAlignment="1">
      <alignment horizontal="right" vertical="center"/>
    </xf>
    <xf numFmtId="176" fontId="5" fillId="0" borderId="13" xfId="0" applyNumberFormat="1" applyFont="1" applyBorder="1" applyAlignment="1">
      <alignment horizontal="center" vertical="center"/>
    </xf>
    <xf numFmtId="176" fontId="5" fillId="0" borderId="15" xfId="0" applyNumberFormat="1" applyFont="1" applyBorder="1" applyAlignment="1">
      <alignment horizontal="center" vertical="center"/>
    </xf>
    <xf numFmtId="176" fontId="5" fillId="0" borderId="13" xfId="0" applyNumberFormat="1" applyFont="1" applyBorder="1" applyAlignment="1">
      <alignment horizontal="right" vertical="center"/>
    </xf>
    <xf numFmtId="176" fontId="5" fillId="0" borderId="67" xfId="0" applyNumberFormat="1" applyFont="1" applyBorder="1" applyAlignment="1">
      <alignment horizontal="right" vertical="center"/>
    </xf>
    <xf numFmtId="3" fontId="11" fillId="0" borderId="14" xfId="0" applyNumberFormat="1" applyFont="1" applyFill="1" applyBorder="1" applyAlignment="1">
      <alignment horizontal="center" vertical="center"/>
    </xf>
    <xf numFmtId="3" fontId="11" fillId="0" borderId="15" xfId="0" applyNumberFormat="1" applyFont="1" applyFill="1" applyBorder="1" applyAlignment="1">
      <alignment horizontal="center" vertical="center"/>
    </xf>
    <xf numFmtId="3" fontId="12" fillId="0" borderId="13" xfId="0" applyNumberFormat="1" applyFont="1" applyFill="1" applyBorder="1" applyAlignment="1">
      <alignment horizontal="center" vertical="center"/>
    </xf>
    <xf numFmtId="3" fontId="12" fillId="0" borderId="15" xfId="0" applyNumberFormat="1" applyFont="1" applyFill="1" applyBorder="1" applyAlignment="1">
      <alignment horizontal="center" vertical="center"/>
    </xf>
    <xf numFmtId="3" fontId="11" fillId="0" borderId="13" xfId="0" applyNumberFormat="1" applyFont="1" applyFill="1" applyBorder="1" applyAlignment="1">
      <alignment horizontal="center" vertical="center"/>
    </xf>
    <xf numFmtId="3" fontId="11" fillId="0" borderId="67" xfId="0" applyNumberFormat="1" applyFont="1" applyFill="1" applyBorder="1" applyAlignment="1">
      <alignment horizontal="center" vertical="center"/>
    </xf>
    <xf numFmtId="0" fontId="13" fillId="0" borderId="68" xfId="0" applyFont="1" applyBorder="1" applyAlignment="1">
      <alignment horizontal="center" vertical="center" wrapText="1"/>
    </xf>
    <xf numFmtId="0" fontId="13" fillId="0" borderId="69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70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71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177" fontId="13" fillId="0" borderId="20" xfId="0" applyNumberFormat="1" applyFont="1" applyBorder="1" applyAlignment="1">
      <alignment horizontal="right" vertical="center"/>
    </xf>
    <xf numFmtId="0" fontId="13" fillId="0" borderId="72" xfId="0" applyFont="1" applyBorder="1" applyAlignment="1">
      <alignment horizontal="right" vertical="center"/>
    </xf>
    <xf numFmtId="0" fontId="13" fillId="0" borderId="73" xfId="0" applyFont="1" applyBorder="1" applyAlignment="1">
      <alignment horizontal="right" vertical="center"/>
    </xf>
    <xf numFmtId="3" fontId="14" fillId="0" borderId="74" xfId="0" applyNumberFormat="1" applyFont="1" applyBorder="1" applyAlignment="1">
      <alignment horizontal="right" vertical="center"/>
    </xf>
    <xf numFmtId="3" fontId="14" fillId="0" borderId="3" xfId="0" applyNumberFormat="1" applyFont="1" applyBorder="1" applyAlignment="1">
      <alignment horizontal="right" vertical="center"/>
    </xf>
    <xf numFmtId="3" fontId="14" fillId="0" borderId="2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177" fontId="13" fillId="0" borderId="7" xfId="0" applyNumberFormat="1" applyFont="1" applyBorder="1" applyAlignment="1">
      <alignment horizontal="right" vertical="center"/>
    </xf>
    <xf numFmtId="0" fontId="13" fillId="0" borderId="8" xfId="0" applyFont="1" applyBorder="1" applyAlignment="1">
      <alignment horizontal="right" vertical="center"/>
    </xf>
    <xf numFmtId="0" fontId="13" fillId="0" borderId="10" xfId="0" applyFont="1" applyBorder="1" applyAlignment="1">
      <alignment horizontal="right" vertical="center"/>
    </xf>
    <xf numFmtId="3" fontId="14" fillId="0" borderId="62" xfId="0" applyNumberFormat="1" applyFont="1" applyBorder="1" applyAlignment="1">
      <alignment horizontal="right" vertical="center"/>
    </xf>
    <xf numFmtId="3" fontId="14" fillId="0" borderId="8" xfId="0" applyNumberFormat="1" applyFont="1" applyBorder="1" applyAlignment="1">
      <alignment horizontal="right" vertical="center"/>
    </xf>
    <xf numFmtId="3" fontId="14" fillId="0" borderId="10" xfId="0" applyNumberFormat="1" applyFont="1" applyBorder="1" applyAlignment="1">
      <alignment horizontal="right" vertical="center"/>
    </xf>
    <xf numFmtId="0" fontId="13" fillId="0" borderId="1" xfId="0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>
      <alignment horizontal="right" vertical="center"/>
    </xf>
    <xf numFmtId="177" fontId="15" fillId="0" borderId="1" xfId="0" applyNumberFormat="1" applyFont="1" applyFill="1" applyBorder="1" applyAlignment="1">
      <alignment horizontal="right" vertical="center" shrinkToFit="1"/>
    </xf>
    <xf numFmtId="177" fontId="15" fillId="0" borderId="79" xfId="0" applyNumberFormat="1" applyFont="1" applyFill="1" applyBorder="1" applyAlignment="1">
      <alignment horizontal="right" vertical="center" shrinkToFit="1"/>
    </xf>
    <xf numFmtId="0" fontId="10" fillId="0" borderId="8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1" applyFont="1" applyBorder="1" applyAlignment="1">
      <alignment horizontal="center" vertical="center"/>
    </xf>
    <xf numFmtId="176" fontId="10" fillId="0" borderId="1" xfId="1" applyFont="1" applyBorder="1" applyAlignment="1">
      <alignment horizontal="center" vertical="center" shrinkToFit="1"/>
    </xf>
    <xf numFmtId="176" fontId="10" fillId="0" borderId="79" xfId="1" applyFont="1" applyBorder="1" applyAlignment="1">
      <alignment horizontal="center" vertical="center" shrinkToFit="1"/>
    </xf>
    <xf numFmtId="177" fontId="13" fillId="0" borderId="22" xfId="0" applyNumberFormat="1" applyFont="1" applyBorder="1" applyAlignment="1">
      <alignment horizontal="right" vertical="center"/>
    </xf>
    <xf numFmtId="0" fontId="13" fillId="0" borderId="51" xfId="0" applyFont="1" applyBorder="1" applyAlignment="1">
      <alignment horizontal="right" vertical="center"/>
    </xf>
    <xf numFmtId="0" fontId="13" fillId="0" borderId="81" xfId="0" applyFont="1" applyBorder="1" applyAlignment="1">
      <alignment horizontal="right" vertical="center"/>
    </xf>
    <xf numFmtId="3" fontId="14" fillId="0" borderId="66" xfId="0" applyNumberFormat="1" applyFont="1" applyBorder="1" applyAlignment="1">
      <alignment horizontal="right" vertical="center"/>
    </xf>
    <xf numFmtId="3" fontId="14" fillId="0" borderId="14" xfId="0" applyNumberFormat="1" applyFont="1" applyBorder="1" applyAlignment="1">
      <alignment horizontal="right" vertical="center"/>
    </xf>
    <xf numFmtId="3" fontId="14" fillId="0" borderId="16" xfId="0" applyNumberFormat="1" applyFont="1" applyBorder="1" applyAlignment="1">
      <alignment horizontal="right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177" fontId="15" fillId="0" borderId="7" xfId="0" applyNumberFormat="1" applyFont="1" applyFill="1" applyBorder="1" applyAlignment="1">
      <alignment horizontal="right" vertical="center"/>
    </xf>
    <xf numFmtId="177" fontId="15" fillId="0" borderId="9" xfId="0" applyNumberFormat="1" applyFont="1" applyFill="1" applyBorder="1" applyAlignment="1">
      <alignment horizontal="right" vertical="center"/>
    </xf>
    <xf numFmtId="177" fontId="15" fillId="0" borderId="7" xfId="0" applyNumberFormat="1" applyFont="1" applyFill="1" applyBorder="1" applyAlignment="1">
      <alignment horizontal="right" vertical="center" shrinkToFit="1"/>
    </xf>
    <xf numFmtId="177" fontId="15" fillId="0" borderId="63" xfId="0" applyNumberFormat="1" applyFont="1" applyFill="1" applyBorder="1" applyAlignment="1">
      <alignment horizontal="right" vertical="center" shrinkToFit="1"/>
    </xf>
    <xf numFmtId="0" fontId="10" fillId="0" borderId="8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76" fontId="10" fillId="0" borderId="6" xfId="1" applyFont="1" applyBorder="1" applyAlignment="1">
      <alignment horizontal="center" vertical="center"/>
    </xf>
    <xf numFmtId="176" fontId="10" fillId="0" borderId="6" xfId="1" applyFont="1" applyBorder="1" applyAlignment="1">
      <alignment horizontal="center" vertical="center" shrinkToFit="1"/>
    </xf>
    <xf numFmtId="176" fontId="10" fillId="0" borderId="83" xfId="1" applyFont="1" applyBorder="1" applyAlignment="1">
      <alignment horizontal="center" vertical="center" shrinkToFit="1"/>
    </xf>
    <xf numFmtId="177" fontId="13" fillId="0" borderId="51" xfId="0" applyNumberFormat="1" applyFont="1" applyBorder="1" applyAlignment="1">
      <alignment horizontal="right" vertical="center"/>
    </xf>
    <xf numFmtId="177" fontId="13" fillId="0" borderId="81" xfId="0" applyNumberFormat="1" applyFont="1" applyBorder="1" applyAlignment="1">
      <alignment horizontal="right" vertical="center"/>
    </xf>
    <xf numFmtId="177" fontId="14" fillId="0" borderId="85" xfId="0" applyNumberFormat="1" applyFont="1" applyBorder="1" applyAlignment="1">
      <alignment horizontal="right" vertical="center"/>
    </xf>
    <xf numFmtId="177" fontId="14" fillId="0" borderId="24" xfId="0" applyNumberFormat="1" applyFont="1" applyBorder="1" applyAlignment="1">
      <alignment horizontal="right" vertical="center"/>
    </xf>
    <xf numFmtId="177" fontId="14" fillId="0" borderId="84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7" fontId="13" fillId="0" borderId="2" xfId="0" applyNumberFormat="1" applyFont="1" applyBorder="1" applyAlignment="1">
      <alignment horizontal="right" vertical="center"/>
    </xf>
    <xf numFmtId="177" fontId="13" fillId="0" borderId="3" xfId="0" applyNumberFormat="1" applyFont="1" applyBorder="1" applyAlignment="1">
      <alignment horizontal="right" vertical="center"/>
    </xf>
    <xf numFmtId="177" fontId="13" fillId="0" borderId="26" xfId="0" applyNumberFormat="1" applyFont="1" applyBorder="1" applyAlignment="1">
      <alignment horizontal="right" vertical="center"/>
    </xf>
    <xf numFmtId="177" fontId="13" fillId="0" borderId="23" xfId="0" applyNumberFormat="1" applyFont="1" applyBorder="1" applyAlignment="1">
      <alignment horizontal="right" vertical="center"/>
    </xf>
    <xf numFmtId="0" fontId="13" fillId="0" borderId="24" xfId="0" applyFont="1" applyBorder="1" applyAlignment="1">
      <alignment horizontal="right" vertical="center"/>
    </xf>
    <xf numFmtId="0" fontId="13" fillId="0" borderId="84" xfId="0" applyFont="1" applyBorder="1" applyAlignment="1">
      <alignment horizontal="right" vertical="center"/>
    </xf>
    <xf numFmtId="3" fontId="14" fillId="0" borderId="85" xfId="0" applyNumberFormat="1" applyFont="1" applyBorder="1" applyAlignment="1">
      <alignment horizontal="right" vertical="center"/>
    </xf>
    <xf numFmtId="3" fontId="14" fillId="0" borderId="24" xfId="0" applyNumberFormat="1" applyFont="1" applyBorder="1" applyAlignment="1">
      <alignment horizontal="right" vertical="center"/>
    </xf>
    <xf numFmtId="3" fontId="14" fillId="0" borderId="84" xfId="0" applyNumberFormat="1" applyFont="1" applyBorder="1" applyAlignment="1">
      <alignment horizontal="right" vertical="center"/>
    </xf>
    <xf numFmtId="0" fontId="15" fillId="0" borderId="8" xfId="0" applyFont="1" applyBorder="1" applyAlignment="1">
      <alignment horizontal="right" vertical="center"/>
    </xf>
    <xf numFmtId="0" fontId="15" fillId="0" borderId="9" xfId="0" applyFont="1" applyBorder="1" applyAlignment="1">
      <alignment horizontal="right" vertical="center"/>
    </xf>
    <xf numFmtId="0" fontId="15" fillId="0" borderId="27" xfId="0" applyFont="1" applyBorder="1" applyAlignment="1">
      <alignment horizontal="right" vertical="center"/>
    </xf>
    <xf numFmtId="0" fontId="15" fillId="0" borderId="56" xfId="0" applyFont="1" applyBorder="1" applyAlignment="1">
      <alignment horizontal="right" vertical="center"/>
    </xf>
    <xf numFmtId="176" fontId="16" fillId="0" borderId="57" xfId="0" applyNumberFormat="1" applyFont="1" applyBorder="1" applyAlignment="1">
      <alignment horizontal="center" vertical="center" shrinkToFit="1"/>
    </xf>
    <xf numFmtId="0" fontId="16" fillId="0" borderId="86" xfId="0" applyFont="1" applyBorder="1" applyAlignment="1">
      <alignment horizontal="center" vertical="center" shrinkToFi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77" fontId="13" fillId="0" borderId="13" xfId="0" applyNumberFormat="1" applyFont="1" applyBorder="1" applyAlignment="1">
      <alignment horizontal="right" vertical="center"/>
    </xf>
    <xf numFmtId="177" fontId="13" fillId="0" borderId="14" xfId="0" applyNumberFormat="1" applyFont="1" applyBorder="1" applyAlignment="1">
      <alignment horizontal="right" vertical="center"/>
    </xf>
    <xf numFmtId="177" fontId="13" fillId="0" borderId="16" xfId="0" applyNumberFormat="1" applyFont="1" applyBorder="1" applyAlignment="1">
      <alignment horizontal="right" vertical="center"/>
    </xf>
    <xf numFmtId="177" fontId="14" fillId="0" borderId="66" xfId="0" applyNumberFormat="1" applyFont="1" applyBorder="1" applyAlignment="1">
      <alignment horizontal="right" vertical="center"/>
    </xf>
    <xf numFmtId="177" fontId="14" fillId="0" borderId="14" xfId="0" applyNumberFormat="1" applyFont="1" applyBorder="1" applyAlignment="1">
      <alignment horizontal="right" vertical="center"/>
    </xf>
    <xf numFmtId="177" fontId="14" fillId="0" borderId="16" xfId="0" applyNumberFormat="1" applyFont="1" applyBorder="1" applyAlignment="1">
      <alignment horizontal="right" vertical="center"/>
    </xf>
    <xf numFmtId="0" fontId="2" fillId="0" borderId="63" xfId="0" applyFont="1" applyBorder="1" applyAlignment="1">
      <alignment horizontal="center" vertical="center"/>
    </xf>
    <xf numFmtId="177" fontId="13" fillId="0" borderId="24" xfId="0" applyNumberFormat="1" applyFont="1" applyBorder="1" applyAlignment="1">
      <alignment horizontal="right" vertical="center"/>
    </xf>
    <xf numFmtId="177" fontId="13" fillId="0" borderId="84" xfId="0" applyNumberFormat="1" applyFont="1" applyBorder="1" applyAlignment="1">
      <alignment horizontal="right" vertical="center"/>
    </xf>
    <xf numFmtId="0" fontId="15" fillId="0" borderId="7" xfId="0" applyFont="1" applyBorder="1" applyAlignment="1">
      <alignment horizontal="right" vertical="center"/>
    </xf>
    <xf numFmtId="0" fontId="15" fillId="0" borderId="63" xfId="0" applyFont="1" applyBorder="1" applyAlignment="1">
      <alignment horizontal="right" vertical="center"/>
    </xf>
    <xf numFmtId="0" fontId="2" fillId="0" borderId="1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3" xfId="0" applyFont="1" applyBorder="1" applyAlignment="1">
      <alignment horizontal="center" vertical="center"/>
    </xf>
    <xf numFmtId="0" fontId="15" fillId="0" borderId="51" xfId="0" applyFont="1" applyBorder="1" applyAlignment="1">
      <alignment horizontal="right" vertical="center"/>
    </xf>
    <xf numFmtId="0" fontId="15" fillId="0" borderId="52" xfId="0" applyFont="1" applyBorder="1" applyAlignment="1">
      <alignment horizontal="right" vertical="center"/>
    </xf>
    <xf numFmtId="0" fontId="15" fillId="0" borderId="22" xfId="0" applyFont="1" applyBorder="1" applyAlignment="1">
      <alignment horizontal="right" vertical="center"/>
    </xf>
    <xf numFmtId="0" fontId="15" fillId="0" borderId="70" xfId="0" applyFont="1" applyBorder="1" applyAlignment="1">
      <alignment horizontal="right" vertical="center"/>
    </xf>
    <xf numFmtId="0" fontId="2" fillId="0" borderId="71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176" fontId="14" fillId="0" borderId="85" xfId="1" applyFont="1" applyBorder="1" applyAlignment="1">
      <alignment horizontal="right" vertical="center"/>
    </xf>
    <xf numFmtId="176" fontId="14" fillId="0" borderId="24" xfId="1" applyFont="1" applyBorder="1" applyAlignment="1">
      <alignment horizontal="right" vertical="center"/>
    </xf>
    <xf numFmtId="176" fontId="14" fillId="0" borderId="84" xfId="1" applyFont="1" applyBorder="1" applyAlignment="1">
      <alignment horizontal="right" vertical="center"/>
    </xf>
    <xf numFmtId="0" fontId="2" fillId="0" borderId="54" xfId="0" applyFont="1" applyBorder="1" applyAlignment="1">
      <alignment horizontal="center" vertical="center"/>
    </xf>
    <xf numFmtId="0" fontId="2" fillId="0" borderId="89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18" fillId="0" borderId="90" xfId="0" applyFont="1" applyBorder="1" applyAlignment="1">
      <alignment horizontal="center" vertical="center"/>
    </xf>
    <xf numFmtId="0" fontId="18" fillId="0" borderId="91" xfId="0" applyFont="1" applyBorder="1" applyAlignment="1">
      <alignment horizontal="center" vertical="center"/>
    </xf>
    <xf numFmtId="0" fontId="18" fillId="0" borderId="92" xfId="0" applyFont="1" applyBorder="1" applyAlignment="1">
      <alignment horizontal="center" vertical="center"/>
    </xf>
    <xf numFmtId="177" fontId="15" fillId="0" borderId="57" xfId="0" applyNumberFormat="1" applyFont="1" applyBorder="1" applyAlignment="1">
      <alignment horizontal="right" vertical="center"/>
    </xf>
    <xf numFmtId="0" fontId="15" fillId="0" borderId="86" xfId="0" applyFont="1" applyBorder="1" applyAlignment="1">
      <alignment horizontal="right" vertical="center"/>
    </xf>
    <xf numFmtId="0" fontId="2" fillId="0" borderId="87" xfId="0" applyFont="1" applyBorder="1" applyAlignment="1">
      <alignment horizontal="center" vertical="center"/>
    </xf>
    <xf numFmtId="0" fontId="2" fillId="0" borderId="8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76" fontId="13" fillId="0" borderId="23" xfId="1" applyFont="1" applyBorder="1" applyAlignment="1">
      <alignment horizontal="right" vertical="center"/>
    </xf>
    <xf numFmtId="176" fontId="13" fillId="0" borderId="24" xfId="1" applyFont="1" applyBorder="1" applyAlignment="1">
      <alignment horizontal="right" vertical="center"/>
    </xf>
    <xf numFmtId="176" fontId="13" fillId="0" borderId="84" xfId="1" applyFont="1" applyBorder="1" applyAlignment="1">
      <alignment horizontal="right" vertical="center"/>
    </xf>
    <xf numFmtId="0" fontId="2" fillId="0" borderId="98" xfId="0" applyFont="1" applyBorder="1" applyAlignment="1">
      <alignment horizontal="center" vertical="center" wrapText="1"/>
    </xf>
    <xf numFmtId="0" fontId="2" fillId="0" borderId="99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93" xfId="0" applyFont="1" applyBorder="1" applyAlignment="1">
      <alignment horizontal="center" vertical="center"/>
    </xf>
    <xf numFmtId="0" fontId="2" fillId="0" borderId="94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176" fontId="19" fillId="0" borderId="90" xfId="0" applyNumberFormat="1" applyFont="1" applyBorder="1" applyAlignment="1">
      <alignment horizontal="center" vertical="center"/>
    </xf>
    <xf numFmtId="0" fontId="19" fillId="0" borderId="91" xfId="0" applyFont="1" applyBorder="1" applyAlignment="1">
      <alignment horizontal="center" vertical="center"/>
    </xf>
    <xf numFmtId="0" fontId="19" fillId="0" borderId="92" xfId="0" applyFont="1" applyBorder="1" applyAlignment="1">
      <alignment horizontal="center" vertical="center"/>
    </xf>
    <xf numFmtId="0" fontId="18" fillId="0" borderId="95" xfId="0" applyFont="1" applyBorder="1" applyAlignment="1">
      <alignment horizontal="center" vertical="center"/>
    </xf>
    <xf numFmtId="0" fontId="18" fillId="0" borderId="96" xfId="0" applyFont="1" applyBorder="1" applyAlignment="1">
      <alignment horizontal="center" vertical="center"/>
    </xf>
    <xf numFmtId="176" fontId="2" fillId="0" borderId="96" xfId="1" applyFont="1" applyBorder="1" applyAlignment="1">
      <alignment horizontal="center" vertical="center"/>
    </xf>
    <xf numFmtId="177" fontId="13" fillId="0" borderId="57" xfId="0" applyNumberFormat="1" applyFont="1" applyBorder="1" applyAlignment="1">
      <alignment horizontal="right" vertical="center"/>
    </xf>
    <xf numFmtId="0" fontId="0" fillId="0" borderId="27" xfId="0" applyBorder="1" applyAlignment="1">
      <alignment horizontal="right"/>
    </xf>
    <xf numFmtId="0" fontId="0" fillId="0" borderId="28" xfId="0" applyBorder="1" applyAlignment="1">
      <alignment horizontal="right"/>
    </xf>
    <xf numFmtId="176" fontId="14" fillId="0" borderId="97" xfId="1" applyFont="1" applyBorder="1" applyAlignment="1">
      <alignment horizontal="right" vertical="center"/>
    </xf>
    <xf numFmtId="176" fontId="14" fillId="0" borderId="27" xfId="1" applyFont="1" applyBorder="1" applyAlignment="1">
      <alignment horizontal="right" vertical="center"/>
    </xf>
    <xf numFmtId="176" fontId="14" fillId="0" borderId="28" xfId="1" applyFont="1" applyBorder="1" applyAlignment="1">
      <alignment horizontal="right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" fillId="0" borderId="86" xfId="0" applyFont="1" applyBorder="1" applyAlignment="1">
      <alignment horizontal="center" vertical="center" shrinkToFit="1"/>
    </xf>
    <xf numFmtId="0" fontId="2" fillId="0" borderId="39" xfId="0" applyFont="1" applyBorder="1" applyAlignment="1">
      <alignment horizontal="center" vertical="center" shrinkToFit="1"/>
    </xf>
    <xf numFmtId="0" fontId="2" fillId="0" borderId="41" xfId="0" applyFont="1" applyBorder="1" applyAlignment="1">
      <alignment horizontal="center" vertical="center" shrinkToFit="1"/>
    </xf>
    <xf numFmtId="0" fontId="18" fillId="0" borderId="0" xfId="0" quotePrefix="1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38" xfId="0" applyFont="1" applyBorder="1" applyAlignment="1">
      <alignment horizontal="center" vertical="center" shrinkToFi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 shrinkToFit="1"/>
    </xf>
    <xf numFmtId="0" fontId="20" fillId="0" borderId="32" xfId="0" applyFont="1" applyBorder="1" applyAlignment="1">
      <alignment horizontal="center" vertical="center" wrapText="1" shrinkToFit="1"/>
    </xf>
    <xf numFmtId="0" fontId="20" fillId="0" borderId="30" xfId="0" applyFont="1" applyBorder="1" applyAlignment="1">
      <alignment horizontal="center" vertical="center" wrapText="1" shrinkToFit="1"/>
    </xf>
    <xf numFmtId="0" fontId="20" fillId="0" borderId="58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61" xfId="0" applyFont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20" fillId="0" borderId="105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81" xfId="0" applyFont="1" applyBorder="1" applyAlignment="1">
      <alignment horizontal="center" vertical="center"/>
    </xf>
    <xf numFmtId="0" fontId="20" fillId="0" borderId="104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70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0" borderId="85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 shrinkToFit="1"/>
    </xf>
    <xf numFmtId="176" fontId="5" fillId="0" borderId="4" xfId="0" applyNumberFormat="1" applyFont="1" applyBorder="1" applyAlignment="1">
      <alignment horizontal="center" vertical="center" shrinkToFit="1"/>
    </xf>
    <xf numFmtId="0" fontId="22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176" fontId="22" fillId="0" borderId="7" xfId="1" applyFont="1" applyBorder="1" applyAlignment="1">
      <alignment horizontal="right" vertical="center"/>
    </xf>
    <xf numFmtId="176" fontId="22" fillId="0" borderId="9" xfId="1" applyFont="1" applyBorder="1" applyAlignment="1">
      <alignment horizontal="right" vertical="center"/>
    </xf>
    <xf numFmtId="176" fontId="22" fillId="0" borderId="63" xfId="1" applyFont="1" applyBorder="1" applyAlignment="1">
      <alignment horizontal="right" vertical="center"/>
    </xf>
    <xf numFmtId="3" fontId="5" fillId="0" borderId="62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177" fontId="5" fillId="0" borderId="7" xfId="0" applyNumberFormat="1" applyFont="1" applyBorder="1" applyAlignment="1">
      <alignment horizontal="center" vertical="center"/>
    </xf>
    <xf numFmtId="177" fontId="5" fillId="0" borderId="63" xfId="0" applyNumberFormat="1" applyFont="1" applyBorder="1" applyAlignment="1">
      <alignment horizontal="center" vertical="center"/>
    </xf>
    <xf numFmtId="176" fontId="22" fillId="0" borderId="11" xfId="1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5" fillId="0" borderId="63" xfId="0" applyFont="1" applyBorder="1" applyAlignment="1">
      <alignment horizontal="right" vertical="center"/>
    </xf>
    <xf numFmtId="0" fontId="5" fillId="0" borderId="11" xfId="0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177" fontId="2" fillId="0" borderId="0" xfId="0" applyNumberFormat="1" applyFont="1" applyAlignment="1">
      <alignment horizontal="center" vertical="center" shrinkToFit="1"/>
    </xf>
    <xf numFmtId="0" fontId="22" fillId="0" borderId="7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63" xfId="0" applyFont="1" applyBorder="1" applyAlignment="1">
      <alignment horizontal="center" vertical="center"/>
    </xf>
    <xf numFmtId="177" fontId="5" fillId="0" borderId="62" xfId="0" applyNumberFormat="1" applyFont="1" applyBorder="1" applyAlignment="1">
      <alignment horizontal="center" vertical="center"/>
    </xf>
    <xf numFmtId="177" fontId="5" fillId="0" borderId="9" xfId="0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63" xfId="0" applyFont="1" applyBorder="1" applyAlignment="1">
      <alignment horizontal="center" vertical="center"/>
    </xf>
    <xf numFmtId="176" fontId="27" fillId="0" borderId="7" xfId="0" applyNumberFormat="1" applyFont="1" applyFill="1" applyBorder="1" applyAlignment="1">
      <alignment horizontal="center" vertical="center"/>
    </xf>
    <xf numFmtId="176" fontId="27" fillId="0" borderId="10" xfId="0" applyNumberFormat="1" applyFont="1" applyFill="1" applyBorder="1" applyAlignment="1">
      <alignment horizontal="center" vertical="center"/>
    </xf>
    <xf numFmtId="176" fontId="25" fillId="0" borderId="57" xfId="0" applyNumberFormat="1" applyFont="1" applyBorder="1" applyAlignment="1">
      <alignment horizontal="center" vertical="center"/>
    </xf>
    <xf numFmtId="176" fontId="25" fillId="0" borderId="86" xfId="0" applyNumberFormat="1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7" fontId="5" fillId="0" borderId="13" xfId="0" applyNumberFormat="1" applyFont="1" applyBorder="1" applyAlignment="1">
      <alignment horizontal="center" vertical="center"/>
    </xf>
    <xf numFmtId="177" fontId="5" fillId="0" borderId="67" xfId="0" applyNumberFormat="1" applyFont="1" applyBorder="1" applyAlignment="1">
      <alignment horizontal="center" vertical="center"/>
    </xf>
    <xf numFmtId="0" fontId="23" fillId="0" borderId="103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67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69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6" fillId="0" borderId="34" xfId="0" quotePrefix="1" applyFont="1" applyBorder="1" applyAlignment="1">
      <alignment horizontal="center"/>
    </xf>
    <xf numFmtId="176" fontId="25" fillId="0" borderId="56" xfId="0" applyNumberFormat="1" applyFont="1" applyBorder="1" applyAlignment="1">
      <alignment horizontal="center" vertical="center"/>
    </xf>
    <xf numFmtId="176" fontId="25" fillId="0" borderId="55" xfId="0" applyNumberFormat="1" applyFont="1" applyBorder="1" applyAlignment="1">
      <alignment horizontal="center" vertical="center"/>
    </xf>
    <xf numFmtId="177" fontId="5" fillId="0" borderId="57" xfId="0" applyNumberFormat="1" applyFont="1" applyBorder="1" applyAlignment="1">
      <alignment horizontal="right" vertical="center"/>
    </xf>
    <xf numFmtId="177" fontId="5" fillId="0" borderId="86" xfId="0" applyNumberFormat="1" applyFont="1" applyBorder="1" applyAlignment="1">
      <alignment horizontal="right" vertical="center"/>
    </xf>
    <xf numFmtId="177" fontId="5" fillId="0" borderId="56" xfId="0" applyNumberFormat="1" applyFont="1" applyBorder="1" applyAlignment="1">
      <alignment horizontal="right" vertical="center"/>
    </xf>
    <xf numFmtId="177" fontId="5" fillId="0" borderId="97" xfId="0" applyNumberFormat="1" applyFont="1" applyBorder="1" applyAlignment="1">
      <alignment horizontal="right" vertical="center"/>
    </xf>
    <xf numFmtId="0" fontId="13" fillId="0" borderId="57" xfId="0" applyFont="1" applyBorder="1" applyAlignment="1">
      <alignment horizontal="center" vertical="center" shrinkToFit="1"/>
    </xf>
    <xf numFmtId="0" fontId="13" fillId="0" borderId="27" xfId="0" applyFont="1" applyBorder="1" applyAlignment="1">
      <alignment horizontal="center" vertical="center" shrinkToFit="1"/>
    </xf>
  </cellXfs>
  <cellStyles count="2">
    <cellStyle name="쉼표 [0]" xfId="1" builtinId="6"/>
    <cellStyle name="표준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88"/>
  <sheetViews>
    <sheetView showGridLines="0" tabSelected="1" zoomScaleNormal="100" workbookViewId="0">
      <selection activeCell="AD18" sqref="AD18"/>
    </sheetView>
  </sheetViews>
  <sheetFormatPr defaultRowHeight="14.25" x14ac:dyDescent="0.15"/>
  <cols>
    <col min="1" max="2" width="3.44140625" style="1" customWidth="1"/>
    <col min="3" max="6" width="3.33203125" style="1" customWidth="1"/>
    <col min="7" max="14" width="3.44140625" style="1" customWidth="1"/>
    <col min="15" max="15" width="4" style="1" customWidth="1"/>
    <col min="16" max="16" width="4.6640625" style="1" customWidth="1"/>
    <col min="17" max="17" width="3.44140625" style="1" customWidth="1"/>
    <col min="18" max="18" width="5.44140625" style="1" customWidth="1"/>
    <col min="19" max="19" width="4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 x14ac:dyDescent="0.15">
      <c r="A1" s="85" t="s">
        <v>61</v>
      </c>
      <c r="B1" s="86"/>
      <c r="C1" s="87" t="s">
        <v>71</v>
      </c>
      <c r="D1" s="88"/>
      <c r="E1" s="88"/>
      <c r="F1" s="88"/>
      <c r="G1" s="88"/>
      <c r="H1" s="88"/>
      <c r="I1" s="88"/>
      <c r="J1" s="89" t="s">
        <v>0</v>
      </c>
      <c r="K1" s="90"/>
      <c r="L1" s="90"/>
      <c r="M1" s="90"/>
      <c r="N1" s="90"/>
      <c r="O1" s="90"/>
      <c r="P1" s="90"/>
      <c r="Q1" s="90"/>
      <c r="R1" s="90"/>
      <c r="S1" s="91"/>
      <c r="T1" s="95" t="s">
        <v>5</v>
      </c>
      <c r="U1" s="88"/>
      <c r="V1" s="88"/>
      <c r="W1" s="88"/>
      <c r="X1" s="87" t="s">
        <v>6</v>
      </c>
      <c r="Y1" s="88"/>
      <c r="Z1" s="88"/>
      <c r="AA1" s="88"/>
      <c r="AB1" s="96"/>
    </row>
    <row r="2" spans="1:29" ht="33" customHeight="1" thickBot="1" x14ac:dyDescent="0.2">
      <c r="A2" s="97" t="s">
        <v>62</v>
      </c>
      <c r="B2" s="98"/>
      <c r="C2" s="99"/>
      <c r="D2" s="100"/>
      <c r="E2" s="100"/>
      <c r="F2" s="100"/>
      <c r="G2" s="100"/>
      <c r="H2" s="100"/>
      <c r="I2" s="100"/>
      <c r="J2" s="92"/>
      <c r="K2" s="93"/>
      <c r="L2" s="93"/>
      <c r="M2" s="93"/>
      <c r="N2" s="93"/>
      <c r="O2" s="93"/>
      <c r="P2" s="93"/>
      <c r="Q2" s="93"/>
      <c r="R2" s="93"/>
      <c r="S2" s="94"/>
      <c r="T2" s="100" t="s">
        <v>72</v>
      </c>
      <c r="U2" s="100"/>
      <c r="V2" s="100"/>
      <c r="W2" s="100"/>
      <c r="X2" s="100"/>
      <c r="Y2" s="100"/>
      <c r="Z2" s="100"/>
      <c r="AA2" s="100"/>
      <c r="AB2" s="344"/>
    </row>
    <row r="3" spans="1:29" ht="18" customHeight="1" thickTop="1" x14ac:dyDescent="0.15">
      <c r="A3" s="110" t="s">
        <v>63</v>
      </c>
      <c r="B3" s="106"/>
      <c r="C3" s="111"/>
      <c r="D3" s="112"/>
      <c r="E3" s="112"/>
      <c r="F3" s="112"/>
      <c r="G3" s="112"/>
      <c r="H3" s="112"/>
      <c r="I3" s="113"/>
      <c r="J3" s="117" t="s">
        <v>1</v>
      </c>
      <c r="K3" s="118"/>
      <c r="L3" s="118"/>
      <c r="M3" s="119"/>
      <c r="N3" s="117">
        <v>50</v>
      </c>
      <c r="O3" s="118"/>
      <c r="P3" s="118"/>
      <c r="Q3" s="118"/>
      <c r="R3" s="118"/>
      <c r="S3" s="119"/>
      <c r="T3" s="123" t="s">
        <v>8</v>
      </c>
      <c r="U3" s="106" t="s">
        <v>2</v>
      </c>
      <c r="V3" s="106"/>
      <c r="W3" s="106" t="s">
        <v>10</v>
      </c>
      <c r="X3" s="106"/>
      <c r="Y3" s="106" t="s">
        <v>3</v>
      </c>
      <c r="Z3" s="106"/>
      <c r="AA3" s="106" t="s">
        <v>11</v>
      </c>
      <c r="AB3" s="107"/>
    </row>
    <row r="4" spans="1:29" ht="18" customHeight="1" x14ac:dyDescent="0.15">
      <c r="A4" s="110"/>
      <c r="B4" s="106"/>
      <c r="C4" s="114"/>
      <c r="D4" s="115"/>
      <c r="E4" s="115"/>
      <c r="F4" s="115"/>
      <c r="G4" s="115"/>
      <c r="H4" s="115"/>
      <c r="I4" s="116"/>
      <c r="J4" s="120"/>
      <c r="K4" s="121"/>
      <c r="L4" s="121"/>
      <c r="M4" s="122"/>
      <c r="N4" s="120"/>
      <c r="O4" s="121"/>
      <c r="P4" s="121"/>
      <c r="Q4" s="121"/>
      <c r="R4" s="121"/>
      <c r="S4" s="122"/>
      <c r="T4" s="124"/>
      <c r="U4" s="106"/>
      <c r="V4" s="106"/>
      <c r="W4" s="106"/>
      <c r="X4" s="106"/>
      <c r="Y4" s="106"/>
      <c r="Z4" s="106"/>
      <c r="AA4" s="106"/>
      <c r="AB4" s="107"/>
    </row>
    <row r="5" spans="1:29" ht="32.25" customHeight="1" thickBot="1" x14ac:dyDescent="0.2">
      <c r="A5" s="126" t="s">
        <v>12</v>
      </c>
      <c r="B5" s="127"/>
      <c r="C5" s="439" t="s">
        <v>75</v>
      </c>
      <c r="D5" s="440"/>
      <c r="E5" s="440"/>
      <c r="F5" s="440"/>
      <c r="G5" s="440"/>
      <c r="H5" s="440"/>
      <c r="I5" s="440"/>
      <c r="J5" s="128" t="s">
        <v>13</v>
      </c>
      <c r="K5" s="129"/>
      <c r="L5" s="129"/>
      <c r="M5" s="130"/>
      <c r="N5" s="131"/>
      <c r="O5" s="132"/>
      <c r="P5" s="132"/>
      <c r="Q5" s="132"/>
      <c r="R5" s="132"/>
      <c r="S5" s="127"/>
      <c r="T5" s="125"/>
      <c r="U5" s="108"/>
      <c r="V5" s="108"/>
      <c r="W5" s="108"/>
      <c r="X5" s="108"/>
      <c r="Y5" s="108"/>
      <c r="Z5" s="108"/>
      <c r="AA5" s="108"/>
      <c r="AB5" s="109"/>
    </row>
    <row r="6" spans="1:29" ht="20.25" customHeight="1" thickTop="1" x14ac:dyDescent="0.15">
      <c r="A6" s="101" t="s">
        <v>14</v>
      </c>
      <c r="B6" s="103" t="s">
        <v>15</v>
      </c>
      <c r="C6" s="103" t="s">
        <v>16</v>
      </c>
      <c r="D6" s="103"/>
      <c r="E6" s="103"/>
      <c r="F6" s="103"/>
      <c r="G6" s="103" t="s">
        <v>17</v>
      </c>
      <c r="H6" s="103"/>
      <c r="I6" s="103"/>
      <c r="J6" s="103"/>
      <c r="K6" s="103"/>
      <c r="L6" s="103"/>
      <c r="M6" s="105" t="s">
        <v>18</v>
      </c>
      <c r="N6" s="105" t="s">
        <v>19</v>
      </c>
      <c r="O6" s="133" t="s">
        <v>20</v>
      </c>
      <c r="P6" s="134"/>
      <c r="Q6" s="118" t="s">
        <v>21</v>
      </c>
      <c r="R6" s="118"/>
      <c r="S6" s="118"/>
      <c r="T6" s="118"/>
      <c r="U6" s="118"/>
      <c r="V6" s="136"/>
      <c r="W6" s="118" t="s">
        <v>22</v>
      </c>
      <c r="X6" s="118"/>
      <c r="Y6" s="118"/>
      <c r="Z6" s="118"/>
      <c r="AA6" s="118"/>
      <c r="AB6" s="136"/>
    </row>
    <row r="7" spans="1:29" ht="20.25" customHeight="1" x14ac:dyDescent="0.15">
      <c r="A7" s="102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35"/>
      <c r="Q7" s="137" t="s">
        <v>23</v>
      </c>
      <c r="R7" s="98"/>
      <c r="S7" s="106" t="s">
        <v>24</v>
      </c>
      <c r="T7" s="106"/>
      <c r="U7" s="137" t="s">
        <v>25</v>
      </c>
      <c r="V7" s="138"/>
      <c r="W7" s="137" t="s">
        <v>23</v>
      </c>
      <c r="X7" s="137"/>
      <c r="Y7" s="139" t="s">
        <v>24</v>
      </c>
      <c r="Z7" s="98"/>
      <c r="AA7" s="137" t="s">
        <v>25</v>
      </c>
      <c r="AB7" s="138"/>
      <c r="AC7" s="2"/>
    </row>
    <row r="8" spans="1:29" ht="18.95" customHeight="1" x14ac:dyDescent="0.15">
      <c r="A8" s="102"/>
      <c r="B8" s="3">
        <v>1</v>
      </c>
      <c r="C8" s="4" t="s">
        <v>68</v>
      </c>
      <c r="D8" s="5"/>
      <c r="E8" s="5"/>
      <c r="F8" s="6"/>
      <c r="G8" s="7" t="s">
        <v>67</v>
      </c>
      <c r="H8" s="8"/>
      <c r="I8" s="8"/>
      <c r="J8" s="8"/>
      <c r="K8" s="8"/>
      <c r="L8" s="9"/>
      <c r="M8" s="3" t="s">
        <v>26</v>
      </c>
      <c r="N8" s="10">
        <v>150</v>
      </c>
      <c r="O8" s="76">
        <v>200000</v>
      </c>
      <c r="P8" s="51"/>
      <c r="Q8" s="140"/>
      <c r="R8" s="141"/>
      <c r="S8" s="142">
        <f t="shared" ref="S8" si="0">N8*O8</f>
        <v>30000000</v>
      </c>
      <c r="T8" s="143"/>
      <c r="U8" s="144"/>
      <c r="V8" s="145"/>
      <c r="W8" s="11"/>
      <c r="X8" s="12"/>
      <c r="Y8" s="146"/>
      <c r="Z8" s="147"/>
      <c r="AA8" s="148"/>
      <c r="AB8" s="149"/>
      <c r="AC8" s="13">
        <f>ROUND(O8*1.1,-2)</f>
        <v>220000</v>
      </c>
    </row>
    <row r="9" spans="1:29" ht="18.95" customHeight="1" x14ac:dyDescent="0.15">
      <c r="A9" s="102"/>
      <c r="B9" s="14">
        <v>2</v>
      </c>
      <c r="C9" s="15" t="s">
        <v>65</v>
      </c>
      <c r="D9" s="16"/>
      <c r="E9" s="16"/>
      <c r="F9" s="17"/>
      <c r="G9" s="18" t="s">
        <v>70</v>
      </c>
      <c r="H9" s="19"/>
      <c r="I9" s="19"/>
      <c r="J9" s="19"/>
      <c r="K9" s="19"/>
      <c r="L9" s="20"/>
      <c r="M9" s="14" t="s">
        <v>4</v>
      </c>
      <c r="N9" s="21">
        <v>50</v>
      </c>
      <c r="O9" s="412">
        <v>50000</v>
      </c>
      <c r="P9" s="413"/>
      <c r="Q9" s="78"/>
      <c r="R9" s="79"/>
      <c r="S9" s="150">
        <f>N9*O9</f>
        <v>2500000</v>
      </c>
      <c r="T9" s="151"/>
      <c r="U9" s="160"/>
      <c r="V9" s="161"/>
      <c r="W9" s="22"/>
      <c r="X9" s="23"/>
      <c r="Y9" s="152"/>
      <c r="Z9" s="162"/>
      <c r="AA9" s="163"/>
      <c r="AB9" s="164"/>
      <c r="AC9" s="13">
        <f>ROUND(O9*1.1,-2)</f>
        <v>55000</v>
      </c>
    </row>
    <row r="10" spans="1:29" ht="18.95" customHeight="1" x14ac:dyDescent="0.15">
      <c r="A10" s="102"/>
      <c r="B10" s="14">
        <v>3</v>
      </c>
      <c r="C10" s="15" t="s">
        <v>66</v>
      </c>
      <c r="D10" s="16"/>
      <c r="E10" s="16"/>
      <c r="F10" s="17"/>
      <c r="G10" s="18" t="s">
        <v>69</v>
      </c>
      <c r="H10" s="19"/>
      <c r="I10" s="19"/>
      <c r="J10" s="19"/>
      <c r="K10" s="19"/>
      <c r="L10" s="20"/>
      <c r="M10" s="14" t="s">
        <v>64</v>
      </c>
      <c r="N10" s="21">
        <v>100</v>
      </c>
      <c r="O10" s="412">
        <v>50000</v>
      </c>
      <c r="P10" s="413"/>
      <c r="Q10" s="78"/>
      <c r="R10" s="79"/>
      <c r="S10" s="150">
        <f>N10*O10</f>
        <v>5000000</v>
      </c>
      <c r="T10" s="151"/>
      <c r="U10" s="158"/>
      <c r="V10" s="159"/>
      <c r="W10" s="22"/>
      <c r="X10" s="23"/>
      <c r="Y10" s="152"/>
      <c r="Z10" s="153"/>
      <c r="AA10" s="154"/>
      <c r="AB10" s="155"/>
      <c r="AC10" s="13">
        <f>ROUND(O10*1.1,-2)</f>
        <v>55000</v>
      </c>
    </row>
    <row r="11" spans="1:29" ht="18.95" customHeight="1" x14ac:dyDescent="0.15">
      <c r="A11" s="102"/>
      <c r="B11" s="14">
        <v>4</v>
      </c>
      <c r="C11" s="15" t="s">
        <v>73</v>
      </c>
      <c r="D11" s="16"/>
      <c r="E11" s="16"/>
      <c r="F11" s="17"/>
      <c r="G11" s="84" t="s">
        <v>74</v>
      </c>
      <c r="H11" s="19"/>
      <c r="I11" s="19"/>
      <c r="J11" s="19"/>
      <c r="K11" s="19"/>
      <c r="L11" s="20"/>
      <c r="M11" s="83" t="s">
        <v>64</v>
      </c>
      <c r="N11" s="21">
        <v>1</v>
      </c>
      <c r="O11" s="412">
        <v>3000000</v>
      </c>
      <c r="P11" s="413"/>
      <c r="Q11" s="78"/>
      <c r="R11" s="79"/>
      <c r="S11" s="150">
        <f>N11*O11</f>
        <v>3000000</v>
      </c>
      <c r="T11" s="151"/>
      <c r="U11" s="80"/>
      <c r="V11" s="81"/>
      <c r="W11" s="22"/>
      <c r="X11" s="23"/>
      <c r="Y11" s="152"/>
      <c r="Z11" s="153"/>
      <c r="AA11" s="154"/>
      <c r="AB11" s="155"/>
      <c r="AC11" s="13">
        <f>ROUND(O11*1.1,-2)</f>
        <v>3300000</v>
      </c>
    </row>
    <row r="12" spans="1:29" ht="18.95" customHeight="1" x14ac:dyDescent="0.15">
      <c r="A12" s="102"/>
      <c r="B12" s="14">
        <v>5</v>
      </c>
      <c r="C12" s="15"/>
      <c r="D12" s="16"/>
      <c r="E12" s="16"/>
      <c r="F12" s="17"/>
      <c r="G12" s="18"/>
      <c r="H12" s="19"/>
      <c r="I12" s="19"/>
      <c r="J12" s="19"/>
      <c r="K12" s="19"/>
      <c r="L12" s="20"/>
      <c r="M12" s="14"/>
      <c r="N12" s="21"/>
      <c r="O12" s="75"/>
      <c r="P12" s="59"/>
      <c r="Q12" s="156"/>
      <c r="R12" s="157"/>
      <c r="S12" s="150"/>
      <c r="T12" s="151"/>
      <c r="U12" s="158"/>
      <c r="V12" s="159"/>
      <c r="W12" s="22"/>
      <c r="X12" s="23"/>
      <c r="Y12" s="152"/>
      <c r="Z12" s="153"/>
      <c r="AA12" s="154"/>
      <c r="AB12" s="155"/>
      <c r="AC12" s="13">
        <f t="shared" ref="AC12:AC51" si="1">ROUND(O12*1.1,-2)</f>
        <v>0</v>
      </c>
    </row>
    <row r="13" spans="1:29" ht="18.95" customHeight="1" x14ac:dyDescent="0.15">
      <c r="A13" s="102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75"/>
      <c r="P13" s="59"/>
      <c r="Q13" s="156"/>
      <c r="R13" s="157"/>
      <c r="S13" s="150"/>
      <c r="T13" s="151"/>
      <c r="U13" s="158"/>
      <c r="V13" s="159"/>
      <c r="W13" s="22"/>
      <c r="X13" s="23"/>
      <c r="Y13" s="152"/>
      <c r="Z13" s="153"/>
      <c r="AA13" s="154"/>
      <c r="AB13" s="155"/>
      <c r="AC13" s="13">
        <f t="shared" si="1"/>
        <v>0</v>
      </c>
    </row>
    <row r="14" spans="1:29" ht="18.95" customHeight="1" x14ac:dyDescent="0.15">
      <c r="A14" s="102"/>
      <c r="B14" s="14">
        <v>7</v>
      </c>
      <c r="C14" s="15"/>
      <c r="D14" s="16"/>
      <c r="E14" s="16"/>
      <c r="F14" s="17"/>
      <c r="G14" s="18"/>
      <c r="H14" s="19"/>
      <c r="I14" s="19"/>
      <c r="J14" s="19"/>
      <c r="K14" s="19"/>
      <c r="L14" s="20"/>
      <c r="M14" s="14"/>
      <c r="N14" s="21"/>
      <c r="O14" s="77"/>
      <c r="P14" s="82"/>
      <c r="Q14" s="156"/>
      <c r="R14" s="157"/>
      <c r="S14" s="150"/>
      <c r="T14" s="151"/>
      <c r="U14" s="158"/>
      <c r="V14" s="159"/>
      <c r="W14" s="22"/>
      <c r="X14" s="23"/>
      <c r="Y14" s="152"/>
      <c r="Z14" s="153"/>
      <c r="AA14" s="154"/>
      <c r="AB14" s="155"/>
      <c r="AC14" s="13">
        <f t="shared" si="1"/>
        <v>0</v>
      </c>
    </row>
    <row r="15" spans="1:29" ht="18.95" customHeight="1" x14ac:dyDescent="0.15">
      <c r="A15" s="102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75"/>
      <c r="P15" s="57"/>
      <c r="Q15" s="156"/>
      <c r="R15" s="157"/>
      <c r="S15" s="150"/>
      <c r="T15" s="151"/>
      <c r="U15" s="158"/>
      <c r="V15" s="159"/>
      <c r="W15" s="22"/>
      <c r="X15" s="23"/>
      <c r="Y15" s="152"/>
      <c r="Z15" s="162"/>
      <c r="AA15" s="154"/>
      <c r="AB15" s="155"/>
      <c r="AC15" s="13">
        <f t="shared" si="1"/>
        <v>0</v>
      </c>
    </row>
    <row r="16" spans="1:29" ht="18.95" customHeight="1" x14ac:dyDescent="0.15">
      <c r="A16" s="102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58"/>
      <c r="P16" s="59"/>
      <c r="Q16" s="156"/>
      <c r="R16" s="157"/>
      <c r="S16" s="165"/>
      <c r="T16" s="166"/>
      <c r="U16" s="158"/>
      <c r="V16" s="159"/>
      <c r="W16" s="22"/>
      <c r="X16" s="23"/>
      <c r="Y16" s="152"/>
      <c r="Z16" s="162"/>
      <c r="AA16" s="154"/>
      <c r="AB16" s="155"/>
      <c r="AC16" s="13">
        <f t="shared" si="1"/>
        <v>0</v>
      </c>
    </row>
    <row r="17" spans="1:29" ht="18.95" customHeight="1" x14ac:dyDescent="0.15">
      <c r="A17" s="102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58"/>
      <c r="P17" s="59"/>
      <c r="Q17" s="156"/>
      <c r="R17" s="157"/>
      <c r="S17" s="165"/>
      <c r="T17" s="166"/>
      <c r="U17" s="158"/>
      <c r="V17" s="159"/>
      <c r="W17" s="22"/>
      <c r="X17" s="23"/>
      <c r="Y17" s="152"/>
      <c r="Z17" s="162"/>
      <c r="AA17" s="154"/>
      <c r="AB17" s="155"/>
      <c r="AC17" s="13">
        <f t="shared" si="1"/>
        <v>0</v>
      </c>
    </row>
    <row r="18" spans="1:29" ht="18.95" customHeight="1" x14ac:dyDescent="0.15">
      <c r="A18" s="102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58"/>
      <c r="P18" s="59"/>
      <c r="Q18" s="156"/>
      <c r="R18" s="157"/>
      <c r="S18" s="165"/>
      <c r="T18" s="166"/>
      <c r="U18" s="158"/>
      <c r="V18" s="159"/>
      <c r="W18" s="22"/>
      <c r="X18" s="23"/>
      <c r="Y18" s="152"/>
      <c r="Z18" s="162"/>
      <c r="AA18" s="154"/>
      <c r="AB18" s="155"/>
      <c r="AC18" s="13">
        <f t="shared" si="1"/>
        <v>0</v>
      </c>
    </row>
    <row r="19" spans="1:29" ht="18.95" customHeight="1" x14ac:dyDescent="0.15">
      <c r="A19" s="102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58"/>
      <c r="P19" s="59"/>
      <c r="Q19" s="156"/>
      <c r="R19" s="157"/>
      <c r="S19" s="165"/>
      <c r="T19" s="166"/>
      <c r="U19" s="158"/>
      <c r="V19" s="159"/>
      <c r="W19" s="22"/>
      <c r="X19" s="23"/>
      <c r="Y19" s="152"/>
      <c r="Z19" s="162"/>
      <c r="AA19" s="154"/>
      <c r="AB19" s="155"/>
      <c r="AC19" s="13">
        <f t="shared" si="1"/>
        <v>0</v>
      </c>
    </row>
    <row r="20" spans="1:29" ht="18.95" customHeight="1" x14ac:dyDescent="0.15">
      <c r="A20" s="102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58"/>
      <c r="P20" s="59"/>
      <c r="Q20" s="156"/>
      <c r="R20" s="157"/>
      <c r="S20" s="165"/>
      <c r="T20" s="166"/>
      <c r="U20" s="158"/>
      <c r="V20" s="159"/>
      <c r="W20" s="22"/>
      <c r="X20" s="23"/>
      <c r="Y20" s="152"/>
      <c r="Z20" s="162"/>
      <c r="AA20" s="154"/>
      <c r="AB20" s="155"/>
      <c r="AC20" s="13">
        <f t="shared" si="1"/>
        <v>0</v>
      </c>
    </row>
    <row r="21" spans="1:29" ht="18.95" customHeight="1" x14ac:dyDescent="0.15">
      <c r="A21" s="102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58"/>
      <c r="P21" s="59"/>
      <c r="Q21" s="167"/>
      <c r="R21" s="168"/>
      <c r="S21" s="165"/>
      <c r="T21" s="166"/>
      <c r="U21" s="160"/>
      <c r="V21" s="161"/>
      <c r="W21" s="22"/>
      <c r="X21" s="23"/>
      <c r="Y21" s="152"/>
      <c r="Z21" s="162"/>
      <c r="AA21" s="163"/>
      <c r="AB21" s="164"/>
      <c r="AC21" s="13">
        <f t="shared" si="1"/>
        <v>0</v>
      </c>
    </row>
    <row r="22" spans="1:29" ht="18.95" customHeight="1" x14ac:dyDescent="0.15">
      <c r="A22" s="102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58"/>
      <c r="P22" s="59"/>
      <c r="Q22" s="169"/>
      <c r="R22" s="170"/>
      <c r="S22" s="165"/>
      <c r="T22" s="166"/>
      <c r="U22" s="171"/>
      <c r="V22" s="172"/>
      <c r="W22" s="22"/>
      <c r="X22" s="23"/>
      <c r="Y22" s="152"/>
      <c r="Z22" s="162"/>
      <c r="AA22" s="154"/>
      <c r="AB22" s="155"/>
      <c r="AC22" s="13">
        <f t="shared" si="1"/>
        <v>0</v>
      </c>
    </row>
    <row r="23" spans="1:29" ht="18.95" customHeight="1" x14ac:dyDescent="0.15">
      <c r="A23" s="102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58"/>
      <c r="P23" s="59"/>
      <c r="Q23" s="169"/>
      <c r="R23" s="170"/>
      <c r="S23" s="165"/>
      <c r="T23" s="166"/>
      <c r="U23" s="171"/>
      <c r="V23" s="172"/>
      <c r="W23" s="22"/>
      <c r="X23" s="23"/>
      <c r="Y23" s="152"/>
      <c r="Z23" s="162"/>
      <c r="AA23" s="154"/>
      <c r="AB23" s="155"/>
      <c r="AC23" s="13">
        <f t="shared" si="1"/>
        <v>0</v>
      </c>
    </row>
    <row r="24" spans="1:29" ht="18.95" customHeight="1" x14ac:dyDescent="0.15">
      <c r="A24" s="102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58"/>
      <c r="P24" s="59"/>
      <c r="Q24" s="169"/>
      <c r="R24" s="170"/>
      <c r="S24" s="165"/>
      <c r="T24" s="166"/>
      <c r="U24" s="171"/>
      <c r="V24" s="172"/>
      <c r="W24" s="22"/>
      <c r="X24" s="23"/>
      <c r="Y24" s="152"/>
      <c r="Z24" s="162"/>
      <c r="AA24" s="154"/>
      <c r="AB24" s="155"/>
      <c r="AC24" s="13">
        <f t="shared" si="1"/>
        <v>0</v>
      </c>
    </row>
    <row r="25" spans="1:29" ht="18.95" customHeight="1" x14ac:dyDescent="0.15">
      <c r="A25" s="102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58"/>
      <c r="P25" s="59"/>
      <c r="Q25" s="169"/>
      <c r="R25" s="170"/>
      <c r="S25" s="165"/>
      <c r="T25" s="166"/>
      <c r="U25" s="171"/>
      <c r="V25" s="172"/>
      <c r="W25" s="22"/>
      <c r="X25" s="23"/>
      <c r="Y25" s="152"/>
      <c r="Z25" s="162"/>
      <c r="AA25" s="154"/>
      <c r="AB25" s="155"/>
      <c r="AC25" s="13">
        <f t="shared" si="1"/>
        <v>0</v>
      </c>
    </row>
    <row r="26" spans="1:29" ht="18.95" customHeight="1" x14ac:dyDescent="0.15">
      <c r="A26" s="102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58"/>
      <c r="P26" s="59"/>
      <c r="Q26" s="169"/>
      <c r="R26" s="170"/>
      <c r="S26" s="165"/>
      <c r="T26" s="166"/>
      <c r="U26" s="171"/>
      <c r="V26" s="172"/>
      <c r="W26" s="173"/>
      <c r="X26" s="174"/>
      <c r="Y26" s="152"/>
      <c r="Z26" s="162"/>
      <c r="AA26" s="154"/>
      <c r="AB26" s="155"/>
      <c r="AC26" s="13">
        <f t="shared" si="1"/>
        <v>0</v>
      </c>
    </row>
    <row r="27" spans="1:29" ht="18.95" customHeight="1" x14ac:dyDescent="0.15">
      <c r="A27" s="102"/>
      <c r="B27" s="25">
        <v>20</v>
      </c>
      <c r="C27" s="26"/>
      <c r="D27" s="27"/>
      <c r="E27" s="27"/>
      <c r="F27" s="28"/>
      <c r="G27" s="29"/>
      <c r="H27" s="30"/>
      <c r="I27" s="30"/>
      <c r="J27" s="30"/>
      <c r="K27" s="30"/>
      <c r="L27" s="31"/>
      <c r="M27" s="32"/>
      <c r="N27" s="33"/>
      <c r="O27" s="66"/>
      <c r="P27" s="74"/>
      <c r="Q27" s="185"/>
      <c r="R27" s="186"/>
      <c r="S27" s="187"/>
      <c r="T27" s="188"/>
      <c r="U27" s="189"/>
      <c r="V27" s="190"/>
      <c r="W27" s="191"/>
      <c r="X27" s="192"/>
      <c r="Y27" s="193"/>
      <c r="Z27" s="194"/>
      <c r="AA27" s="195"/>
      <c r="AB27" s="196"/>
      <c r="AC27" s="13">
        <f t="shared" si="1"/>
        <v>0</v>
      </c>
    </row>
    <row r="28" spans="1:29" ht="21" customHeight="1" thickBot="1" x14ac:dyDescent="0.2">
      <c r="A28" s="102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5"/>
      <c r="P28" s="36"/>
      <c r="Q28" s="175">
        <f>SUM(Q8:R27)</f>
        <v>0</v>
      </c>
      <c r="R28" s="175"/>
      <c r="S28" s="176">
        <f>SUM(S8:T27)</f>
        <v>40500000</v>
      </c>
      <c r="T28" s="177"/>
      <c r="U28" s="178">
        <f>SUM(U8:V27)</f>
        <v>0</v>
      </c>
      <c r="V28" s="179"/>
      <c r="W28" s="180"/>
      <c r="X28" s="181"/>
      <c r="Y28" s="182"/>
      <c r="Z28" s="181"/>
      <c r="AA28" s="183"/>
      <c r="AB28" s="184"/>
      <c r="AC28" s="13">
        <f t="shared" si="1"/>
        <v>0</v>
      </c>
    </row>
    <row r="29" spans="1:29" ht="21" customHeight="1" thickTop="1" x14ac:dyDescent="0.15">
      <c r="A29" s="216" t="s">
        <v>27</v>
      </c>
      <c r="B29" s="217"/>
      <c r="C29" s="217"/>
      <c r="D29" s="217"/>
      <c r="E29" s="217"/>
      <c r="F29" s="217"/>
      <c r="G29" s="218" t="s">
        <v>28</v>
      </c>
      <c r="H29" s="217"/>
      <c r="I29" s="219"/>
      <c r="J29" s="216" t="s">
        <v>29</v>
      </c>
      <c r="K29" s="217"/>
      <c r="L29" s="219"/>
      <c r="M29" s="220" t="s">
        <v>30</v>
      </c>
      <c r="N29" s="223" t="s">
        <v>31</v>
      </c>
      <c r="O29" s="224"/>
      <c r="P29" s="205"/>
      <c r="Q29" s="197" t="s">
        <v>32</v>
      </c>
      <c r="R29" s="198"/>
      <c r="S29" s="197" t="s">
        <v>33</v>
      </c>
      <c r="T29" s="198"/>
      <c r="U29" s="197" t="s">
        <v>34</v>
      </c>
      <c r="V29" s="201"/>
      <c r="W29" s="203" t="s">
        <v>32</v>
      </c>
      <c r="X29" s="198"/>
      <c r="Y29" s="197" t="s">
        <v>33</v>
      </c>
      <c r="Z29" s="205"/>
      <c r="AA29" s="197" t="s">
        <v>34</v>
      </c>
      <c r="AB29" s="201"/>
      <c r="AC29" s="13">
        <f t="shared" si="1"/>
        <v>0</v>
      </c>
    </row>
    <row r="30" spans="1:29" ht="21" customHeight="1" x14ac:dyDescent="0.15">
      <c r="A30" s="37">
        <v>1</v>
      </c>
      <c r="B30" s="206"/>
      <c r="C30" s="207" t="s">
        <v>35</v>
      </c>
      <c r="D30" s="207"/>
      <c r="E30" s="207"/>
      <c r="F30" s="207"/>
      <c r="G30" s="208">
        <f>Q28</f>
        <v>0</v>
      </c>
      <c r="H30" s="209"/>
      <c r="I30" s="210"/>
      <c r="J30" s="211"/>
      <c r="K30" s="212"/>
      <c r="L30" s="213"/>
      <c r="M30" s="221"/>
      <c r="N30" s="120"/>
      <c r="O30" s="121"/>
      <c r="P30" s="122"/>
      <c r="Q30" s="199"/>
      <c r="R30" s="200"/>
      <c r="S30" s="199"/>
      <c r="T30" s="200"/>
      <c r="U30" s="199"/>
      <c r="V30" s="202"/>
      <c r="W30" s="204"/>
      <c r="X30" s="200"/>
      <c r="Y30" s="120"/>
      <c r="Z30" s="122"/>
      <c r="AA30" s="199"/>
      <c r="AB30" s="202"/>
      <c r="AC30" s="13">
        <f t="shared" si="1"/>
        <v>0</v>
      </c>
    </row>
    <row r="31" spans="1:29" ht="21" customHeight="1" x14ac:dyDescent="0.15">
      <c r="A31" s="37">
        <v>2</v>
      </c>
      <c r="B31" s="103"/>
      <c r="C31" s="214" t="s">
        <v>36</v>
      </c>
      <c r="D31" s="215"/>
      <c r="E31" s="215"/>
      <c r="F31" s="215"/>
      <c r="G31" s="225">
        <f>S28+S87</f>
        <v>40500000</v>
      </c>
      <c r="H31" s="226"/>
      <c r="I31" s="227"/>
      <c r="J31" s="228"/>
      <c r="K31" s="229"/>
      <c r="L31" s="230"/>
      <c r="M31" s="221"/>
      <c r="N31" s="231" t="s">
        <v>37</v>
      </c>
      <c r="O31" s="231"/>
      <c r="P31" s="231"/>
      <c r="Q31" s="231">
        <v>25</v>
      </c>
      <c r="R31" s="231"/>
      <c r="S31" s="232">
        <v>24000</v>
      </c>
      <c r="T31" s="232"/>
      <c r="U31" s="233">
        <f>S31*Q31</f>
        <v>600000</v>
      </c>
      <c r="V31" s="234"/>
      <c r="W31" s="235"/>
      <c r="X31" s="236"/>
      <c r="Y31" s="237"/>
      <c r="Z31" s="237"/>
      <c r="AA31" s="238"/>
      <c r="AB31" s="239"/>
      <c r="AC31" s="13">
        <f t="shared" si="1"/>
        <v>0</v>
      </c>
    </row>
    <row r="32" spans="1:29" ht="21" customHeight="1" x14ac:dyDescent="0.15">
      <c r="A32" s="37">
        <v>3</v>
      </c>
      <c r="B32" s="103"/>
      <c r="C32" s="121" t="s">
        <v>38</v>
      </c>
      <c r="D32" s="121"/>
      <c r="E32" s="121"/>
      <c r="F32" s="121"/>
      <c r="G32" s="240">
        <f>U28</f>
        <v>0</v>
      </c>
      <c r="H32" s="241"/>
      <c r="I32" s="242"/>
      <c r="J32" s="243"/>
      <c r="K32" s="244"/>
      <c r="L32" s="245"/>
      <c r="M32" s="221"/>
      <c r="N32" s="246" t="s">
        <v>39</v>
      </c>
      <c r="O32" s="247"/>
      <c r="P32" s="248"/>
      <c r="Q32" s="246">
        <v>25</v>
      </c>
      <c r="R32" s="248"/>
      <c r="S32" s="249">
        <v>24000</v>
      </c>
      <c r="T32" s="250"/>
      <c r="U32" s="251">
        <f>S32*Q32</f>
        <v>600000</v>
      </c>
      <c r="V32" s="252"/>
      <c r="W32" s="253"/>
      <c r="X32" s="254"/>
      <c r="Y32" s="255"/>
      <c r="Z32" s="255"/>
      <c r="AA32" s="256"/>
      <c r="AB32" s="257"/>
      <c r="AC32" s="13">
        <f t="shared" si="1"/>
        <v>0</v>
      </c>
    </row>
    <row r="33" spans="1:33" ht="21" customHeight="1" x14ac:dyDescent="0.15">
      <c r="A33" s="37">
        <v>4</v>
      </c>
      <c r="B33" s="120"/>
      <c r="C33" s="137" t="s">
        <v>40</v>
      </c>
      <c r="D33" s="137"/>
      <c r="E33" s="137"/>
      <c r="F33" s="137"/>
      <c r="G33" s="269">
        <f>(G30+G31+G32)</f>
        <v>40500000</v>
      </c>
      <c r="H33" s="270"/>
      <c r="I33" s="271"/>
      <c r="J33" s="272"/>
      <c r="K33" s="273"/>
      <c r="L33" s="274"/>
      <c r="M33" s="221"/>
      <c r="N33" s="246" t="s">
        <v>41</v>
      </c>
      <c r="O33" s="247"/>
      <c r="P33" s="248"/>
      <c r="Q33" s="246">
        <v>50</v>
      </c>
      <c r="R33" s="248"/>
      <c r="S33" s="249">
        <v>24000</v>
      </c>
      <c r="T33" s="250"/>
      <c r="U33" s="251">
        <f>S33*Q33</f>
        <v>1200000</v>
      </c>
      <c r="V33" s="252"/>
      <c r="W33" s="253"/>
      <c r="X33" s="254"/>
      <c r="Y33" s="255"/>
      <c r="Z33" s="255"/>
      <c r="AA33" s="256"/>
      <c r="AB33" s="257"/>
      <c r="AC33" s="13">
        <f t="shared" si="1"/>
        <v>0</v>
      </c>
    </row>
    <row r="34" spans="1:33" ht="21" customHeight="1" x14ac:dyDescent="0.15">
      <c r="A34" s="37">
        <v>5</v>
      </c>
      <c r="B34" s="38"/>
      <c r="C34" s="264" t="s">
        <v>42</v>
      </c>
      <c r="D34" s="265"/>
      <c r="E34" s="265"/>
      <c r="F34" s="265"/>
      <c r="G34" s="266">
        <f>U38</f>
        <v>2400000</v>
      </c>
      <c r="H34" s="267"/>
      <c r="I34" s="268"/>
      <c r="J34" s="211"/>
      <c r="K34" s="212"/>
      <c r="L34" s="213"/>
      <c r="M34" s="221"/>
      <c r="N34" s="246"/>
      <c r="O34" s="247"/>
      <c r="P34" s="248"/>
      <c r="Q34" s="246"/>
      <c r="R34" s="248"/>
      <c r="S34" s="249"/>
      <c r="T34" s="250"/>
      <c r="U34" s="251"/>
      <c r="V34" s="252"/>
      <c r="W34" s="253"/>
      <c r="X34" s="254"/>
      <c r="Y34" s="255"/>
      <c r="Z34" s="255"/>
      <c r="AA34" s="256"/>
      <c r="AB34" s="257"/>
      <c r="AC34" s="13">
        <f t="shared" si="1"/>
        <v>0</v>
      </c>
    </row>
    <row r="35" spans="1:33" ht="21" customHeight="1" x14ac:dyDescent="0.15">
      <c r="A35" s="37">
        <v>6</v>
      </c>
      <c r="B35" s="39"/>
      <c r="C35" s="281" t="s">
        <v>43</v>
      </c>
      <c r="D35" s="282"/>
      <c r="E35" s="282"/>
      <c r="F35" s="282"/>
      <c r="G35" s="283">
        <f>G34*0.1</f>
        <v>240000</v>
      </c>
      <c r="H35" s="284"/>
      <c r="I35" s="285"/>
      <c r="J35" s="286"/>
      <c r="K35" s="287"/>
      <c r="L35" s="288"/>
      <c r="M35" s="221"/>
      <c r="N35" s="246"/>
      <c r="O35" s="247"/>
      <c r="P35" s="248"/>
      <c r="Q35" s="246"/>
      <c r="R35" s="248"/>
      <c r="S35" s="249"/>
      <c r="T35" s="250"/>
      <c r="U35" s="251"/>
      <c r="V35" s="252"/>
      <c r="W35" s="295"/>
      <c r="X35" s="296"/>
      <c r="Y35" s="296"/>
      <c r="Z35" s="296"/>
      <c r="AA35" s="296"/>
      <c r="AB35" s="297"/>
      <c r="AC35" s="13">
        <f t="shared" si="1"/>
        <v>0</v>
      </c>
    </row>
    <row r="36" spans="1:33" ht="21" customHeight="1" x14ac:dyDescent="0.15">
      <c r="A36" s="37">
        <v>7</v>
      </c>
      <c r="B36" s="40"/>
      <c r="C36" s="121" t="s">
        <v>44</v>
      </c>
      <c r="D36" s="121"/>
      <c r="E36" s="121"/>
      <c r="F36" s="121"/>
      <c r="G36" s="240">
        <f>G34+G35</f>
        <v>2640000</v>
      </c>
      <c r="H36" s="258"/>
      <c r="I36" s="259"/>
      <c r="J36" s="260"/>
      <c r="K36" s="261"/>
      <c r="L36" s="262"/>
      <c r="M36" s="221"/>
      <c r="N36" s="214"/>
      <c r="O36" s="215"/>
      <c r="P36" s="215"/>
      <c r="Q36" s="214"/>
      <c r="R36" s="263"/>
      <c r="S36" s="275"/>
      <c r="T36" s="276"/>
      <c r="U36" s="292"/>
      <c r="V36" s="293"/>
      <c r="W36" s="294"/>
      <c r="X36" s="215"/>
      <c r="Y36" s="214"/>
      <c r="Z36" s="263"/>
      <c r="AA36" s="214"/>
      <c r="AB36" s="289"/>
      <c r="AC36" s="13">
        <f t="shared" si="1"/>
        <v>0</v>
      </c>
    </row>
    <row r="37" spans="1:33" ht="21" customHeight="1" x14ac:dyDescent="0.15">
      <c r="A37" s="37">
        <v>8</v>
      </c>
      <c r="B37" s="139" t="s">
        <v>45</v>
      </c>
      <c r="C37" s="137"/>
      <c r="D37" s="137"/>
      <c r="E37" s="137"/>
      <c r="F37" s="137"/>
      <c r="G37" s="269">
        <f>G33+G36</f>
        <v>43140000</v>
      </c>
      <c r="H37" s="290"/>
      <c r="I37" s="291"/>
      <c r="J37" s="260"/>
      <c r="K37" s="261"/>
      <c r="L37" s="262"/>
      <c r="M37" s="221"/>
      <c r="N37" s="120"/>
      <c r="O37" s="121"/>
      <c r="P37" s="121"/>
      <c r="Q37" s="120"/>
      <c r="R37" s="122"/>
      <c r="S37" s="298"/>
      <c r="T37" s="299"/>
      <c r="U37" s="300"/>
      <c r="V37" s="301"/>
      <c r="W37" s="302"/>
      <c r="X37" s="121"/>
      <c r="Y37" s="120"/>
      <c r="Z37" s="122"/>
      <c r="AA37" s="120"/>
      <c r="AB37" s="303"/>
      <c r="AC37" s="13">
        <f t="shared" si="1"/>
        <v>0</v>
      </c>
    </row>
    <row r="38" spans="1:33" ht="21" customHeight="1" thickBot="1" x14ac:dyDescent="0.2">
      <c r="A38" s="37">
        <v>9</v>
      </c>
      <c r="B38" s="139" t="s">
        <v>46</v>
      </c>
      <c r="C38" s="137"/>
      <c r="D38" s="137"/>
      <c r="E38" s="137"/>
      <c r="F38" s="137"/>
      <c r="G38" s="269">
        <f>((G30*0.01)+(G31*0.01)+(G32*0.02))</f>
        <v>405000</v>
      </c>
      <c r="H38" s="290"/>
      <c r="I38" s="291"/>
      <c r="J38" s="260"/>
      <c r="K38" s="261"/>
      <c r="L38" s="262"/>
      <c r="M38" s="222"/>
      <c r="N38" s="132"/>
      <c r="O38" s="132"/>
      <c r="P38" s="132"/>
      <c r="Q38" s="132"/>
      <c r="R38" s="132"/>
      <c r="S38" s="277"/>
      <c r="T38" s="278"/>
      <c r="U38" s="313">
        <f>SUM(U31:V37)</f>
        <v>2400000</v>
      </c>
      <c r="V38" s="314"/>
      <c r="W38" s="126"/>
      <c r="X38" s="132"/>
      <c r="Y38" s="132"/>
      <c r="Z38" s="127"/>
      <c r="AA38" s="279"/>
      <c r="AB38" s="280"/>
      <c r="AC38" s="13">
        <f t="shared" si="1"/>
        <v>0</v>
      </c>
    </row>
    <row r="39" spans="1:33" ht="21" customHeight="1" thickTop="1" x14ac:dyDescent="0.15">
      <c r="A39" s="37">
        <v>10</v>
      </c>
      <c r="B39" s="41" t="s">
        <v>47</v>
      </c>
      <c r="C39" s="42"/>
      <c r="D39" s="42"/>
      <c r="E39" s="42"/>
      <c r="F39" s="42"/>
      <c r="G39" s="269">
        <f>G36*0.15</f>
        <v>396000</v>
      </c>
      <c r="H39" s="290"/>
      <c r="I39" s="291"/>
      <c r="J39" s="260"/>
      <c r="K39" s="261"/>
      <c r="L39" s="262"/>
      <c r="M39" s="315" t="s">
        <v>48</v>
      </c>
      <c r="N39" s="315"/>
      <c r="O39" s="316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3"/>
      <c r="AC39" s="13">
        <f t="shared" si="1"/>
        <v>0</v>
      </c>
    </row>
    <row r="40" spans="1:33" ht="21" customHeight="1" x14ac:dyDescent="0.15">
      <c r="A40" s="37">
        <v>11</v>
      </c>
      <c r="B40" s="41" t="s">
        <v>49</v>
      </c>
      <c r="C40" s="42"/>
      <c r="D40" s="42"/>
      <c r="E40" s="42"/>
      <c r="F40" s="42"/>
      <c r="G40" s="269">
        <f>(G36+G39)*0.15</f>
        <v>455400</v>
      </c>
      <c r="H40" s="290"/>
      <c r="I40" s="291"/>
      <c r="J40" s="260"/>
      <c r="K40" s="261"/>
      <c r="L40" s="262"/>
      <c r="M40" s="44"/>
      <c r="N40" s="45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3"/>
      <c r="AC40" s="13">
        <f t="shared" si="1"/>
        <v>0</v>
      </c>
    </row>
    <row r="41" spans="1:33" ht="21" customHeight="1" x14ac:dyDescent="0.15">
      <c r="A41" s="37">
        <v>12</v>
      </c>
      <c r="B41" s="41" t="s">
        <v>50</v>
      </c>
      <c r="C41" s="42"/>
      <c r="D41" s="42"/>
      <c r="E41" s="42"/>
      <c r="F41" s="42"/>
      <c r="G41" s="269">
        <v>0</v>
      </c>
      <c r="H41" s="290"/>
      <c r="I41" s="291"/>
      <c r="J41" s="304"/>
      <c r="K41" s="305"/>
      <c r="L41" s="306"/>
      <c r="M41" s="2"/>
      <c r="N41" s="45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3"/>
      <c r="AC41" s="13">
        <f t="shared" si="1"/>
        <v>0</v>
      </c>
    </row>
    <row r="42" spans="1:33" ht="21" customHeight="1" thickBot="1" x14ac:dyDescent="0.2">
      <c r="A42" s="37">
        <v>13</v>
      </c>
      <c r="B42" s="41" t="s">
        <v>51</v>
      </c>
      <c r="C42" s="42"/>
      <c r="D42" s="42"/>
      <c r="E42" s="42"/>
      <c r="F42" s="42"/>
      <c r="G42" s="269">
        <v>0</v>
      </c>
      <c r="H42" s="290"/>
      <c r="I42" s="291"/>
      <c r="J42" s="304"/>
      <c r="K42" s="305"/>
      <c r="L42" s="306"/>
      <c r="M42" s="2"/>
      <c r="N42" s="45"/>
      <c r="O42" s="2"/>
      <c r="P42" s="2"/>
      <c r="Q42" s="2"/>
      <c r="R42" s="2"/>
      <c r="S42" s="2"/>
      <c r="T42" s="46"/>
      <c r="U42" s="2"/>
      <c r="V42" s="2"/>
      <c r="W42" s="2"/>
      <c r="X42" s="2"/>
      <c r="Y42" s="2"/>
      <c r="Z42" s="2"/>
      <c r="AA42" s="2"/>
      <c r="AB42" s="43"/>
      <c r="AC42" s="13">
        <f t="shared" si="1"/>
        <v>0</v>
      </c>
    </row>
    <row r="43" spans="1:33" ht="21" customHeight="1" thickTop="1" x14ac:dyDescent="0.15">
      <c r="A43" s="37">
        <v>14</v>
      </c>
      <c r="B43" s="317" t="s">
        <v>52</v>
      </c>
      <c r="C43" s="207"/>
      <c r="D43" s="207"/>
      <c r="E43" s="207"/>
      <c r="F43" s="207"/>
      <c r="G43" s="318">
        <f>(G37+6000000)/N3</f>
        <v>982800</v>
      </c>
      <c r="H43" s="319"/>
      <c r="I43" s="320"/>
      <c r="J43" s="304"/>
      <c r="K43" s="305"/>
      <c r="L43" s="306"/>
      <c r="M43" s="44"/>
      <c r="N43" s="2"/>
      <c r="O43" s="2"/>
      <c r="P43" s="2"/>
      <c r="Q43" s="2"/>
      <c r="R43" s="2"/>
      <c r="S43" s="2"/>
      <c r="T43" s="321" t="s">
        <v>8</v>
      </c>
      <c r="U43" s="324" t="s">
        <v>9</v>
      </c>
      <c r="V43" s="324"/>
      <c r="W43" s="324" t="s">
        <v>53</v>
      </c>
      <c r="X43" s="324"/>
      <c r="Y43" s="324" t="s">
        <v>54</v>
      </c>
      <c r="Z43" s="324"/>
      <c r="AA43" s="324" t="s">
        <v>55</v>
      </c>
      <c r="AB43" s="325"/>
      <c r="AC43" s="13">
        <f t="shared" si="1"/>
        <v>0</v>
      </c>
    </row>
    <row r="44" spans="1:33" ht="21" customHeight="1" thickBot="1" x14ac:dyDescent="0.2">
      <c r="A44" s="37">
        <v>15</v>
      </c>
      <c r="B44" s="326" t="s">
        <v>28</v>
      </c>
      <c r="C44" s="327"/>
      <c r="D44" s="327"/>
      <c r="E44" s="327"/>
      <c r="F44" s="327"/>
      <c r="G44" s="334">
        <f>SUM(G37:I43)</f>
        <v>45379200</v>
      </c>
      <c r="H44" s="335"/>
      <c r="I44" s="336"/>
      <c r="J44" s="337"/>
      <c r="K44" s="338"/>
      <c r="L44" s="339"/>
      <c r="M44" s="2"/>
      <c r="N44" s="2"/>
      <c r="O44" s="2"/>
      <c r="P44" s="2"/>
      <c r="Q44" s="2"/>
      <c r="R44" s="2"/>
      <c r="S44" s="2"/>
      <c r="T44" s="322"/>
      <c r="U44" s="206"/>
      <c r="V44" s="206"/>
      <c r="W44" s="206"/>
      <c r="X44" s="206"/>
      <c r="Y44" s="206"/>
      <c r="Z44" s="206"/>
      <c r="AA44" s="206"/>
      <c r="AB44" s="308"/>
      <c r="AC44" s="13">
        <f t="shared" si="1"/>
        <v>0</v>
      </c>
    </row>
    <row r="45" spans="1:33" ht="30" customHeight="1" thickTop="1" thickBot="1" x14ac:dyDescent="0.2">
      <c r="A45" s="310" t="s">
        <v>56</v>
      </c>
      <c r="B45" s="311"/>
      <c r="C45" s="311"/>
      <c r="D45" s="311"/>
      <c r="E45" s="311"/>
      <c r="F45" s="311"/>
      <c r="G45" s="311"/>
      <c r="H45" s="311"/>
      <c r="I45" s="312"/>
      <c r="J45" s="328">
        <f>J44-J43-J42</f>
        <v>0</v>
      </c>
      <c r="K45" s="329"/>
      <c r="L45" s="330"/>
      <c r="M45" s="331" t="s">
        <v>57</v>
      </c>
      <c r="N45" s="332"/>
      <c r="O45" s="332"/>
      <c r="P45" s="333"/>
      <c r="Q45" s="333"/>
      <c r="R45" s="333"/>
      <c r="S45" s="333"/>
      <c r="T45" s="323"/>
      <c r="U45" s="307"/>
      <c r="V45" s="307"/>
      <c r="W45" s="307"/>
      <c r="X45" s="307"/>
      <c r="Y45" s="307"/>
      <c r="Z45" s="307"/>
      <c r="AA45" s="307"/>
      <c r="AB45" s="309"/>
      <c r="AC45" s="13">
        <f t="shared" si="1"/>
        <v>0</v>
      </c>
    </row>
    <row r="46" spans="1:33" ht="22.5" customHeight="1" thickBot="1" x14ac:dyDescent="0.2">
      <c r="A46" s="47"/>
      <c r="B46" s="47"/>
      <c r="C46" s="47"/>
      <c r="J46" s="345" t="s">
        <v>58</v>
      </c>
      <c r="K46" s="346"/>
      <c r="L46" s="346"/>
      <c r="M46" s="346"/>
      <c r="N46" s="346"/>
      <c r="O46" s="346"/>
      <c r="P46" s="346"/>
      <c r="Q46" s="346"/>
      <c r="R46" s="346"/>
      <c r="S46" s="346"/>
      <c r="AC46" s="13">
        <f t="shared" si="1"/>
        <v>0</v>
      </c>
    </row>
    <row r="47" spans="1:33" ht="33" customHeight="1" thickTop="1" x14ac:dyDescent="0.15">
      <c r="A47" s="347" t="s">
        <v>7</v>
      </c>
      <c r="B47" s="348"/>
      <c r="C47" s="349"/>
      <c r="D47" s="350"/>
      <c r="E47" s="350"/>
      <c r="F47" s="350"/>
      <c r="G47" s="350"/>
      <c r="H47" s="350"/>
      <c r="I47" s="351"/>
      <c r="J47" s="89" t="s">
        <v>59</v>
      </c>
      <c r="K47" s="352"/>
      <c r="L47" s="352"/>
      <c r="M47" s="352"/>
      <c r="N47" s="352"/>
      <c r="O47" s="352"/>
      <c r="P47" s="352"/>
      <c r="Q47" s="352"/>
      <c r="R47" s="352"/>
      <c r="S47" s="353"/>
      <c r="T47" s="357" t="s">
        <v>5</v>
      </c>
      <c r="U47" s="358"/>
      <c r="V47" s="358"/>
      <c r="W47" s="359"/>
      <c r="X47" s="87" t="s">
        <v>6</v>
      </c>
      <c r="Y47" s="88"/>
      <c r="Z47" s="88"/>
      <c r="AA47" s="88"/>
      <c r="AB47" s="96"/>
      <c r="AC47" s="13">
        <f t="shared" si="1"/>
        <v>0</v>
      </c>
      <c r="AD47" s="48"/>
      <c r="AF47" s="49"/>
      <c r="AG47" s="49"/>
    </row>
    <row r="48" spans="1:33" ht="33" customHeight="1" thickBot="1" x14ac:dyDescent="0.2">
      <c r="A48" s="340" t="s">
        <v>12</v>
      </c>
      <c r="B48" s="341"/>
      <c r="C48" s="128" t="str">
        <f>C5</f>
        <v xml:space="preserve">ARr. (Audio Redundancy Relay.) </v>
      </c>
      <c r="D48" s="129"/>
      <c r="E48" s="129"/>
      <c r="F48" s="129"/>
      <c r="G48" s="129"/>
      <c r="H48" s="129"/>
      <c r="I48" s="342"/>
      <c r="J48" s="354"/>
      <c r="K48" s="355"/>
      <c r="L48" s="355"/>
      <c r="M48" s="355"/>
      <c r="N48" s="355"/>
      <c r="O48" s="355"/>
      <c r="P48" s="355"/>
      <c r="Q48" s="355"/>
      <c r="R48" s="355"/>
      <c r="S48" s="356"/>
      <c r="T48" s="343" t="str">
        <f>T2</f>
        <v>2012  년    4 월    04 일</v>
      </c>
      <c r="U48" s="100"/>
      <c r="V48" s="100"/>
      <c r="W48" s="100"/>
      <c r="X48" s="100"/>
      <c r="Y48" s="100"/>
      <c r="Z48" s="100"/>
      <c r="AA48" s="100"/>
      <c r="AB48" s="344"/>
      <c r="AC48" s="13">
        <f t="shared" si="1"/>
        <v>0</v>
      </c>
      <c r="AD48" s="48"/>
      <c r="AF48" s="49"/>
      <c r="AG48" s="49"/>
    </row>
    <row r="49" spans="1:33" ht="22.5" customHeight="1" thickTop="1" x14ac:dyDescent="0.15">
      <c r="A49" s="429" t="s">
        <v>14</v>
      </c>
      <c r="B49" s="427" t="s">
        <v>15</v>
      </c>
      <c r="C49" s="365" t="s">
        <v>16</v>
      </c>
      <c r="D49" s="424"/>
      <c r="E49" s="424"/>
      <c r="F49" s="425"/>
      <c r="G49" s="365" t="s">
        <v>17</v>
      </c>
      <c r="H49" s="424"/>
      <c r="I49" s="424"/>
      <c r="J49" s="424"/>
      <c r="K49" s="424"/>
      <c r="L49" s="425"/>
      <c r="M49" s="360" t="s">
        <v>18</v>
      </c>
      <c r="N49" s="360" t="s">
        <v>19</v>
      </c>
      <c r="O49" s="365" t="s">
        <v>20</v>
      </c>
      <c r="P49" s="366"/>
      <c r="Q49" s="369" t="s">
        <v>21</v>
      </c>
      <c r="R49" s="370"/>
      <c r="S49" s="370"/>
      <c r="T49" s="370"/>
      <c r="U49" s="370"/>
      <c r="V49" s="371"/>
      <c r="W49" s="372" t="s">
        <v>60</v>
      </c>
      <c r="X49" s="373"/>
      <c r="Y49" s="373"/>
      <c r="Z49" s="373"/>
      <c r="AA49" s="373"/>
      <c r="AB49" s="374"/>
      <c r="AC49" s="13" t="e">
        <f t="shared" si="1"/>
        <v>#VALUE!</v>
      </c>
      <c r="AD49" s="48"/>
    </row>
    <row r="50" spans="1:33" ht="22.5" customHeight="1" x14ac:dyDescent="0.15">
      <c r="A50" s="430"/>
      <c r="B50" s="428"/>
      <c r="C50" s="367"/>
      <c r="D50" s="370"/>
      <c r="E50" s="370"/>
      <c r="F50" s="426"/>
      <c r="G50" s="367"/>
      <c r="H50" s="370"/>
      <c r="I50" s="370"/>
      <c r="J50" s="370"/>
      <c r="K50" s="370"/>
      <c r="L50" s="426"/>
      <c r="M50" s="361"/>
      <c r="N50" s="361"/>
      <c r="O50" s="367"/>
      <c r="P50" s="368"/>
      <c r="Q50" s="375" t="s">
        <v>23</v>
      </c>
      <c r="R50" s="376"/>
      <c r="S50" s="377" t="s">
        <v>24</v>
      </c>
      <c r="T50" s="376"/>
      <c r="U50" s="377" t="s">
        <v>25</v>
      </c>
      <c r="V50" s="374"/>
      <c r="W50" s="372" t="s">
        <v>23</v>
      </c>
      <c r="X50" s="376"/>
      <c r="Y50" s="377" t="s">
        <v>24</v>
      </c>
      <c r="Z50" s="376"/>
      <c r="AA50" s="377" t="s">
        <v>25</v>
      </c>
      <c r="AB50" s="374"/>
      <c r="AC50" s="13">
        <f t="shared" si="1"/>
        <v>0</v>
      </c>
      <c r="AD50" s="48"/>
    </row>
    <row r="51" spans="1:33" ht="22.5" customHeight="1" x14ac:dyDescent="0.15">
      <c r="A51" s="430"/>
      <c r="B51" s="50">
        <v>21</v>
      </c>
      <c r="C51" s="4"/>
      <c r="D51" s="5"/>
      <c r="E51" s="5"/>
      <c r="F51" s="6"/>
      <c r="G51" s="7"/>
      <c r="H51" s="8"/>
      <c r="I51" s="8"/>
      <c r="J51" s="8"/>
      <c r="K51" s="8"/>
      <c r="L51" s="9"/>
      <c r="M51" s="3"/>
      <c r="N51" s="10"/>
      <c r="O51" s="72"/>
      <c r="P51" s="73"/>
      <c r="Q51" s="378"/>
      <c r="R51" s="379"/>
      <c r="S51" s="380"/>
      <c r="T51" s="381"/>
      <c r="U51" s="383"/>
      <c r="V51" s="384"/>
      <c r="W51" s="382"/>
      <c r="X51" s="363"/>
      <c r="Y51" s="362"/>
      <c r="Z51" s="363"/>
      <c r="AA51" s="362"/>
      <c r="AB51" s="364"/>
      <c r="AC51" s="13">
        <f t="shared" si="1"/>
        <v>0</v>
      </c>
      <c r="AD51" s="48"/>
    </row>
    <row r="52" spans="1:33" ht="22.5" customHeight="1" x14ac:dyDescent="0.15">
      <c r="A52" s="430"/>
      <c r="B52" s="24">
        <v>22</v>
      </c>
      <c r="C52" s="15"/>
      <c r="D52" s="16"/>
      <c r="E52" s="16"/>
      <c r="F52" s="17"/>
      <c r="G52" s="18"/>
      <c r="H52" s="19"/>
      <c r="I52" s="19"/>
      <c r="J52" s="19"/>
      <c r="K52" s="19"/>
      <c r="L52" s="20"/>
      <c r="M52" s="14"/>
      <c r="N52" s="21"/>
      <c r="O52" s="58"/>
      <c r="P52" s="59"/>
      <c r="Q52" s="388"/>
      <c r="R52" s="389"/>
      <c r="S52" s="165"/>
      <c r="T52" s="166"/>
      <c r="U52" s="390"/>
      <c r="V52" s="391"/>
      <c r="W52" s="392"/>
      <c r="X52" s="386"/>
      <c r="Y52" s="385"/>
      <c r="Z52" s="386"/>
      <c r="AA52" s="385"/>
      <c r="AB52" s="387"/>
      <c r="AD52" s="48"/>
    </row>
    <row r="53" spans="1:33" ht="22.5" customHeight="1" x14ac:dyDescent="0.15">
      <c r="A53" s="430"/>
      <c r="B53" s="24">
        <v>23</v>
      </c>
      <c r="C53" s="15"/>
      <c r="D53" s="16"/>
      <c r="E53" s="16"/>
      <c r="F53" s="17"/>
      <c r="G53" s="18"/>
      <c r="H53" s="19"/>
      <c r="I53" s="19"/>
      <c r="J53" s="19"/>
      <c r="K53" s="19"/>
      <c r="L53" s="20"/>
      <c r="M53" s="14"/>
      <c r="N53" s="21"/>
      <c r="O53" s="58"/>
      <c r="P53" s="59"/>
      <c r="Q53" s="388"/>
      <c r="R53" s="389"/>
      <c r="S53" s="165"/>
      <c r="T53" s="166"/>
      <c r="U53" s="390"/>
      <c r="V53" s="391"/>
      <c r="W53" s="392"/>
      <c r="X53" s="386"/>
      <c r="Y53" s="385"/>
      <c r="Z53" s="386"/>
      <c r="AA53" s="385"/>
      <c r="AB53" s="387"/>
      <c r="AD53" s="48"/>
    </row>
    <row r="54" spans="1:33" ht="22.5" customHeight="1" x14ac:dyDescent="0.15">
      <c r="A54" s="430"/>
      <c r="B54" s="24">
        <v>24</v>
      </c>
      <c r="C54" s="15"/>
      <c r="D54" s="16"/>
      <c r="E54" s="16"/>
      <c r="F54" s="17"/>
      <c r="G54" s="18"/>
      <c r="H54" s="19"/>
      <c r="I54" s="19"/>
      <c r="J54" s="19"/>
      <c r="K54" s="19"/>
      <c r="L54" s="20"/>
      <c r="M54" s="14"/>
      <c r="N54" s="21"/>
      <c r="O54" s="58"/>
      <c r="P54" s="59"/>
      <c r="Q54" s="388"/>
      <c r="R54" s="389"/>
      <c r="S54" s="165"/>
      <c r="T54" s="166"/>
      <c r="U54" s="390"/>
      <c r="V54" s="391"/>
      <c r="W54" s="392"/>
      <c r="X54" s="386"/>
      <c r="Y54" s="385"/>
      <c r="Z54" s="386"/>
      <c r="AA54" s="385"/>
      <c r="AB54" s="387"/>
      <c r="AD54" s="48"/>
    </row>
    <row r="55" spans="1:33" ht="22.5" customHeight="1" x14ac:dyDescent="0.15">
      <c r="A55" s="430"/>
      <c r="B55" s="24">
        <v>25</v>
      </c>
      <c r="C55" s="15"/>
      <c r="D55" s="16"/>
      <c r="E55" s="16"/>
      <c r="F55" s="17"/>
      <c r="G55" s="18"/>
      <c r="H55" s="19"/>
      <c r="I55" s="19"/>
      <c r="J55" s="19"/>
      <c r="K55" s="19"/>
      <c r="L55" s="20"/>
      <c r="M55" s="14"/>
      <c r="N55" s="21"/>
      <c r="O55" s="58"/>
      <c r="P55" s="59"/>
      <c r="Q55" s="388"/>
      <c r="R55" s="389"/>
      <c r="S55" s="165"/>
      <c r="T55" s="166"/>
      <c r="U55" s="390"/>
      <c r="V55" s="391"/>
      <c r="W55" s="392"/>
      <c r="X55" s="386"/>
      <c r="Y55" s="385"/>
      <c r="Z55" s="386"/>
      <c r="AA55" s="385"/>
      <c r="AB55" s="387"/>
      <c r="AD55" s="48"/>
    </row>
    <row r="56" spans="1:33" ht="22.5" customHeight="1" x14ac:dyDescent="0.15">
      <c r="A56" s="430"/>
      <c r="B56" s="24">
        <v>26</v>
      </c>
      <c r="C56" s="15"/>
      <c r="D56" s="16"/>
      <c r="E56" s="16"/>
      <c r="F56" s="17"/>
      <c r="G56" s="18"/>
      <c r="H56" s="19"/>
      <c r="I56" s="19"/>
      <c r="J56" s="19"/>
      <c r="K56" s="19"/>
      <c r="L56" s="20"/>
      <c r="M56" s="14"/>
      <c r="N56" s="21"/>
      <c r="O56" s="58"/>
      <c r="P56" s="59"/>
      <c r="Q56" s="388"/>
      <c r="R56" s="389"/>
      <c r="S56" s="165"/>
      <c r="T56" s="166"/>
      <c r="U56" s="390"/>
      <c r="V56" s="391"/>
      <c r="W56" s="395"/>
      <c r="X56" s="396"/>
      <c r="Y56" s="385"/>
      <c r="Z56" s="386"/>
      <c r="AA56" s="393"/>
      <c r="AB56" s="394"/>
      <c r="AD56" s="48"/>
    </row>
    <row r="57" spans="1:33" ht="22.5" customHeight="1" x14ac:dyDescent="0.15">
      <c r="A57" s="430"/>
      <c r="B57" s="24">
        <v>27</v>
      </c>
      <c r="C57" s="15"/>
      <c r="D57" s="16"/>
      <c r="E57" s="16"/>
      <c r="F57" s="17"/>
      <c r="G57" s="18"/>
      <c r="H57" s="19"/>
      <c r="I57" s="19"/>
      <c r="J57" s="19"/>
      <c r="K57" s="19"/>
      <c r="L57" s="20"/>
      <c r="M57" s="14"/>
      <c r="N57" s="21"/>
      <c r="O57" s="58"/>
      <c r="P57" s="59"/>
      <c r="Q57" s="388"/>
      <c r="R57" s="389"/>
      <c r="S57" s="165"/>
      <c r="T57" s="166"/>
      <c r="U57" s="390"/>
      <c r="V57" s="391"/>
      <c r="W57" s="395"/>
      <c r="X57" s="396"/>
      <c r="Y57" s="385"/>
      <c r="Z57" s="386"/>
      <c r="AA57" s="393"/>
      <c r="AB57" s="394"/>
      <c r="AD57" s="48"/>
    </row>
    <row r="58" spans="1:33" ht="22.5" customHeight="1" x14ac:dyDescent="0.15">
      <c r="A58" s="430"/>
      <c r="B58" s="24">
        <v>28</v>
      </c>
      <c r="C58" s="15"/>
      <c r="D58" s="16"/>
      <c r="E58" s="16"/>
      <c r="F58" s="17"/>
      <c r="G58" s="18"/>
      <c r="H58" s="19"/>
      <c r="I58" s="19"/>
      <c r="J58" s="19"/>
      <c r="K58" s="19"/>
      <c r="L58" s="20"/>
      <c r="M58" s="14"/>
      <c r="N58" s="21"/>
      <c r="O58" s="58"/>
      <c r="P58" s="59"/>
      <c r="Q58" s="401"/>
      <c r="R58" s="402"/>
      <c r="S58" s="165"/>
      <c r="T58" s="166"/>
      <c r="U58" s="390"/>
      <c r="V58" s="391"/>
      <c r="W58" s="403"/>
      <c r="X58" s="399"/>
      <c r="Y58" s="398"/>
      <c r="Z58" s="399"/>
      <c r="AA58" s="398"/>
      <c r="AB58" s="400"/>
      <c r="AD58" s="48"/>
      <c r="AE58" s="397"/>
      <c r="AF58" s="397"/>
      <c r="AG58" s="397"/>
    </row>
    <row r="59" spans="1:33" ht="22.5" customHeight="1" x14ac:dyDescent="0.15">
      <c r="A59" s="430"/>
      <c r="B59" s="24">
        <v>29</v>
      </c>
      <c r="C59" s="15"/>
      <c r="D59" s="16"/>
      <c r="E59" s="16"/>
      <c r="F59" s="17"/>
      <c r="G59" s="18"/>
      <c r="H59" s="19"/>
      <c r="I59" s="19"/>
      <c r="J59" s="19"/>
      <c r="K59" s="19"/>
      <c r="L59" s="20"/>
      <c r="M59" s="14"/>
      <c r="N59" s="21"/>
      <c r="O59" s="58"/>
      <c r="P59" s="59"/>
      <c r="Q59" s="406"/>
      <c r="R59" s="407"/>
      <c r="S59" s="165"/>
      <c r="T59" s="166"/>
      <c r="U59" s="404"/>
      <c r="V59" s="405"/>
      <c r="W59" s="403"/>
      <c r="X59" s="399"/>
      <c r="Y59" s="398"/>
      <c r="Z59" s="399"/>
      <c r="AA59" s="398"/>
      <c r="AB59" s="400"/>
      <c r="AD59" s="48"/>
      <c r="AE59" s="397"/>
      <c r="AF59" s="397"/>
      <c r="AG59" s="397"/>
    </row>
    <row r="60" spans="1:33" ht="22.5" customHeight="1" x14ac:dyDescent="0.15">
      <c r="A60" s="430"/>
      <c r="B60" s="24">
        <v>30</v>
      </c>
      <c r="C60" s="15"/>
      <c r="D60" s="16"/>
      <c r="E60" s="16"/>
      <c r="F60" s="17"/>
      <c r="G60" s="18"/>
      <c r="H60" s="19"/>
      <c r="I60" s="19"/>
      <c r="J60" s="19"/>
      <c r="K60" s="19"/>
      <c r="L60" s="20"/>
      <c r="M60" s="14"/>
      <c r="N60" s="21"/>
      <c r="O60" s="58"/>
      <c r="P60" s="59"/>
      <c r="Q60" s="406"/>
      <c r="R60" s="407"/>
      <c r="S60" s="165"/>
      <c r="T60" s="166"/>
      <c r="U60" s="404"/>
      <c r="V60" s="405"/>
      <c r="W60" s="403"/>
      <c r="X60" s="399"/>
      <c r="Y60" s="398"/>
      <c r="Z60" s="399"/>
      <c r="AA60" s="398"/>
      <c r="AB60" s="400"/>
      <c r="AD60" s="48"/>
    </row>
    <row r="61" spans="1:33" ht="22.5" customHeight="1" x14ac:dyDescent="0.15">
      <c r="A61" s="430"/>
      <c r="B61" s="24">
        <v>31</v>
      </c>
      <c r="C61" s="15"/>
      <c r="D61" s="16"/>
      <c r="E61" s="16"/>
      <c r="F61" s="17"/>
      <c r="G61" s="18"/>
      <c r="H61" s="19"/>
      <c r="I61" s="19"/>
      <c r="J61" s="19"/>
      <c r="K61" s="19"/>
      <c r="L61" s="20"/>
      <c r="M61" s="14"/>
      <c r="N61" s="21"/>
      <c r="O61" s="58"/>
      <c r="P61" s="59"/>
      <c r="Q61" s="406"/>
      <c r="R61" s="407"/>
      <c r="S61" s="165"/>
      <c r="T61" s="166"/>
      <c r="U61" s="404"/>
      <c r="V61" s="405"/>
      <c r="W61" s="403"/>
      <c r="X61" s="399"/>
      <c r="Y61" s="398"/>
      <c r="Z61" s="399"/>
      <c r="AA61" s="398"/>
      <c r="AB61" s="400"/>
      <c r="AD61" s="48"/>
    </row>
    <row r="62" spans="1:33" ht="22.5" customHeight="1" x14ac:dyDescent="0.15">
      <c r="A62" s="430"/>
      <c r="B62" s="24">
        <v>32</v>
      </c>
      <c r="C62" s="15"/>
      <c r="D62" s="16"/>
      <c r="E62" s="16"/>
      <c r="F62" s="17"/>
      <c r="G62" s="18"/>
      <c r="H62" s="19"/>
      <c r="I62" s="19"/>
      <c r="J62" s="19"/>
      <c r="K62" s="19"/>
      <c r="L62" s="20"/>
      <c r="M62" s="14"/>
      <c r="N62" s="21"/>
      <c r="O62" s="58"/>
      <c r="P62" s="59"/>
      <c r="Q62" s="406"/>
      <c r="R62" s="407"/>
      <c r="S62" s="165"/>
      <c r="T62" s="166"/>
      <c r="U62" s="404"/>
      <c r="V62" s="405"/>
      <c r="W62" s="403"/>
      <c r="X62" s="399"/>
      <c r="Y62" s="398"/>
      <c r="Z62" s="399"/>
      <c r="AA62" s="398"/>
      <c r="AB62" s="400"/>
      <c r="AD62" s="48"/>
    </row>
    <row r="63" spans="1:33" ht="22.5" customHeight="1" x14ac:dyDescent="0.15">
      <c r="A63" s="430"/>
      <c r="B63" s="24">
        <v>33</v>
      </c>
      <c r="C63" s="15"/>
      <c r="D63" s="16"/>
      <c r="E63" s="16"/>
      <c r="F63" s="17"/>
      <c r="G63" s="18"/>
      <c r="H63" s="19"/>
      <c r="I63" s="19"/>
      <c r="J63" s="19"/>
      <c r="K63" s="19"/>
      <c r="L63" s="20"/>
      <c r="M63" s="14"/>
      <c r="N63" s="21"/>
      <c r="O63" s="58"/>
      <c r="P63" s="59"/>
      <c r="Q63" s="406"/>
      <c r="R63" s="407"/>
      <c r="S63" s="165"/>
      <c r="T63" s="166"/>
      <c r="U63" s="404"/>
      <c r="V63" s="405"/>
      <c r="W63" s="403"/>
      <c r="X63" s="399"/>
      <c r="Y63" s="398"/>
      <c r="Z63" s="399"/>
      <c r="AA63" s="398"/>
      <c r="AB63" s="400"/>
      <c r="AD63" s="48"/>
    </row>
    <row r="64" spans="1:33" ht="22.5" customHeight="1" x14ac:dyDescent="0.15">
      <c r="A64" s="430"/>
      <c r="B64" s="24">
        <v>34</v>
      </c>
      <c r="C64" s="15"/>
      <c r="D64" s="16"/>
      <c r="E64" s="16"/>
      <c r="F64" s="17"/>
      <c r="G64" s="18"/>
      <c r="H64" s="19"/>
      <c r="I64" s="19"/>
      <c r="J64" s="19"/>
      <c r="K64" s="19"/>
      <c r="L64" s="20"/>
      <c r="M64" s="14"/>
      <c r="N64" s="21"/>
      <c r="O64" s="58"/>
      <c r="P64" s="59"/>
      <c r="Q64" s="406"/>
      <c r="R64" s="407"/>
      <c r="S64" s="165"/>
      <c r="T64" s="166"/>
      <c r="U64" s="404"/>
      <c r="V64" s="405"/>
      <c r="W64" s="403"/>
      <c r="X64" s="399"/>
      <c r="Y64" s="398"/>
      <c r="Z64" s="399"/>
      <c r="AA64" s="398"/>
      <c r="AB64" s="400"/>
      <c r="AD64" s="48"/>
    </row>
    <row r="65" spans="1:30" ht="22.5" customHeight="1" x14ac:dyDescent="0.15">
      <c r="A65" s="430"/>
      <c r="B65" s="24">
        <v>35</v>
      </c>
      <c r="C65" s="15"/>
      <c r="D65" s="16"/>
      <c r="E65" s="16"/>
      <c r="F65" s="17"/>
      <c r="G65" s="18"/>
      <c r="H65" s="19"/>
      <c r="I65" s="19"/>
      <c r="J65" s="19"/>
      <c r="K65" s="19"/>
      <c r="L65" s="20"/>
      <c r="M65" s="14"/>
      <c r="N65" s="21"/>
      <c r="O65" s="58"/>
      <c r="P65" s="59"/>
      <c r="Q65" s="406"/>
      <c r="R65" s="407"/>
      <c r="S65" s="165"/>
      <c r="T65" s="166"/>
      <c r="U65" s="404"/>
      <c r="V65" s="405"/>
      <c r="W65" s="403"/>
      <c r="X65" s="399"/>
      <c r="Y65" s="398"/>
      <c r="Z65" s="399"/>
      <c r="AA65" s="398"/>
      <c r="AB65" s="400"/>
      <c r="AD65" s="48"/>
    </row>
    <row r="66" spans="1:30" ht="22.5" customHeight="1" x14ac:dyDescent="0.15">
      <c r="A66" s="430"/>
      <c r="B66" s="24">
        <v>36</v>
      </c>
      <c r="C66" s="15"/>
      <c r="D66" s="16"/>
      <c r="E66" s="16"/>
      <c r="F66" s="17"/>
      <c r="G66" s="18"/>
      <c r="H66" s="19"/>
      <c r="I66" s="19"/>
      <c r="J66" s="19"/>
      <c r="K66" s="19"/>
      <c r="L66" s="20"/>
      <c r="M66" s="14"/>
      <c r="N66" s="21"/>
      <c r="O66" s="58"/>
      <c r="P66" s="59"/>
      <c r="Q66" s="406"/>
      <c r="R66" s="407"/>
      <c r="S66" s="165"/>
      <c r="T66" s="166"/>
      <c r="U66" s="404"/>
      <c r="V66" s="405"/>
      <c r="W66" s="403"/>
      <c r="X66" s="399"/>
      <c r="Y66" s="398"/>
      <c r="Z66" s="399"/>
      <c r="AA66" s="398"/>
      <c r="AB66" s="400"/>
      <c r="AD66" s="48"/>
    </row>
    <row r="67" spans="1:30" ht="22.5" customHeight="1" x14ac:dyDescent="0.15">
      <c r="A67" s="430"/>
      <c r="B67" s="24">
        <v>37</v>
      </c>
      <c r="C67" s="15"/>
      <c r="D67" s="52"/>
      <c r="E67" s="52"/>
      <c r="F67" s="53"/>
      <c r="G67" s="18"/>
      <c r="H67" s="54"/>
      <c r="I67" s="54"/>
      <c r="J67" s="54"/>
      <c r="K67" s="54"/>
      <c r="L67" s="55"/>
      <c r="M67" s="24"/>
      <c r="N67" s="56"/>
      <c r="O67" s="58"/>
      <c r="P67" s="59"/>
      <c r="Q67" s="406"/>
      <c r="R67" s="407"/>
      <c r="S67" s="165"/>
      <c r="T67" s="166"/>
      <c r="U67" s="404"/>
      <c r="V67" s="405"/>
      <c r="W67" s="403"/>
      <c r="X67" s="399"/>
      <c r="Y67" s="398"/>
      <c r="Z67" s="399"/>
      <c r="AA67" s="398"/>
      <c r="AB67" s="400"/>
      <c r="AD67" s="48"/>
    </row>
    <row r="68" spans="1:30" ht="22.5" customHeight="1" x14ac:dyDescent="0.15">
      <c r="A68" s="430"/>
      <c r="B68" s="24">
        <v>38</v>
      </c>
      <c r="C68" s="15"/>
      <c r="D68" s="52"/>
      <c r="E68" s="52"/>
      <c r="F68" s="53"/>
      <c r="G68" s="18"/>
      <c r="H68" s="54"/>
      <c r="I68" s="54"/>
      <c r="J68" s="54"/>
      <c r="K68" s="54"/>
      <c r="L68" s="55"/>
      <c r="M68" s="24"/>
      <c r="N68" s="56"/>
      <c r="O68" s="58"/>
      <c r="P68" s="59"/>
      <c r="Q68" s="406"/>
      <c r="R68" s="407"/>
      <c r="S68" s="165"/>
      <c r="T68" s="166"/>
      <c r="U68" s="404"/>
      <c r="V68" s="405"/>
      <c r="W68" s="403"/>
      <c r="X68" s="399"/>
      <c r="Y68" s="398"/>
      <c r="Z68" s="399"/>
      <c r="AA68" s="398"/>
      <c r="AB68" s="400"/>
      <c r="AD68" s="48"/>
    </row>
    <row r="69" spans="1:30" ht="22.5" customHeight="1" x14ac:dyDescent="0.15">
      <c r="A69" s="430"/>
      <c r="B69" s="24">
        <v>39</v>
      </c>
      <c r="C69" s="15"/>
      <c r="D69" s="52"/>
      <c r="E69" s="52"/>
      <c r="F69" s="53"/>
      <c r="G69" s="18"/>
      <c r="H69" s="54"/>
      <c r="I69" s="54"/>
      <c r="J69" s="54"/>
      <c r="K69" s="54"/>
      <c r="L69" s="55"/>
      <c r="M69" s="24"/>
      <c r="N69" s="56"/>
      <c r="O69" s="58"/>
      <c r="P69" s="59"/>
      <c r="Q69" s="406"/>
      <c r="R69" s="407"/>
      <c r="S69" s="165"/>
      <c r="T69" s="166"/>
      <c r="U69" s="404"/>
      <c r="V69" s="405"/>
      <c r="W69" s="403"/>
      <c r="X69" s="399"/>
      <c r="Y69" s="398"/>
      <c r="Z69" s="399"/>
      <c r="AA69" s="398"/>
      <c r="AB69" s="400"/>
      <c r="AD69" s="48"/>
    </row>
    <row r="70" spans="1:30" ht="22.5" customHeight="1" x14ac:dyDescent="0.15">
      <c r="A70" s="430"/>
      <c r="B70" s="24">
        <v>40</v>
      </c>
      <c r="C70" s="15"/>
      <c r="D70" s="52"/>
      <c r="E70" s="52"/>
      <c r="F70" s="53"/>
      <c r="G70" s="18"/>
      <c r="H70" s="54"/>
      <c r="I70" s="54"/>
      <c r="J70" s="54"/>
      <c r="K70" s="54"/>
      <c r="L70" s="55"/>
      <c r="M70" s="24"/>
      <c r="N70" s="56"/>
      <c r="O70" s="58"/>
      <c r="P70" s="59"/>
      <c r="Q70" s="406"/>
      <c r="R70" s="407"/>
      <c r="S70" s="165"/>
      <c r="T70" s="166"/>
      <c r="U70" s="404"/>
      <c r="V70" s="405"/>
      <c r="W70" s="408"/>
      <c r="X70" s="409"/>
      <c r="Y70" s="410"/>
      <c r="Z70" s="409"/>
      <c r="AA70" s="410"/>
      <c r="AB70" s="411"/>
      <c r="AD70" s="48"/>
    </row>
    <row r="71" spans="1:30" ht="22.5" customHeight="1" x14ac:dyDescent="0.15">
      <c r="A71" s="430"/>
      <c r="B71" s="24">
        <v>41</v>
      </c>
      <c r="C71" s="15"/>
      <c r="D71" s="52"/>
      <c r="E71" s="52"/>
      <c r="F71" s="53"/>
      <c r="G71" s="18"/>
      <c r="H71" s="54"/>
      <c r="I71" s="54"/>
      <c r="J71" s="54"/>
      <c r="K71" s="54"/>
      <c r="L71" s="55"/>
      <c r="M71" s="24"/>
      <c r="N71" s="56"/>
      <c r="O71" s="58"/>
      <c r="P71" s="60"/>
      <c r="Q71" s="406"/>
      <c r="R71" s="407"/>
      <c r="S71" s="165"/>
      <c r="T71" s="166"/>
      <c r="U71" s="404"/>
      <c r="V71" s="405"/>
      <c r="W71" s="408"/>
      <c r="X71" s="409"/>
      <c r="Y71" s="410"/>
      <c r="Z71" s="409"/>
      <c r="AA71" s="410"/>
      <c r="AB71" s="411"/>
      <c r="AD71" s="48"/>
    </row>
    <row r="72" spans="1:30" ht="22.5" customHeight="1" x14ac:dyDescent="0.15">
      <c r="A72" s="430"/>
      <c r="B72" s="24">
        <v>42</v>
      </c>
      <c r="C72" s="15"/>
      <c r="D72" s="52"/>
      <c r="E72" s="52"/>
      <c r="F72" s="53"/>
      <c r="G72" s="18"/>
      <c r="H72" s="54"/>
      <c r="I72" s="54"/>
      <c r="J72" s="54"/>
      <c r="K72" s="54"/>
      <c r="L72" s="55"/>
      <c r="M72" s="24"/>
      <c r="N72" s="56"/>
      <c r="O72" s="58"/>
      <c r="P72" s="60"/>
      <c r="Q72" s="406"/>
      <c r="R72" s="407"/>
      <c r="S72" s="165"/>
      <c r="T72" s="166"/>
      <c r="U72" s="404"/>
      <c r="V72" s="405"/>
      <c r="W72" s="408"/>
      <c r="X72" s="409"/>
      <c r="Y72" s="410"/>
      <c r="Z72" s="409"/>
      <c r="AA72" s="410"/>
      <c r="AB72" s="411"/>
      <c r="AD72" s="48"/>
    </row>
    <row r="73" spans="1:30" ht="22.5" customHeight="1" x14ac:dyDescent="0.15">
      <c r="A73" s="430"/>
      <c r="B73" s="24">
        <v>43</v>
      </c>
      <c r="C73" s="15"/>
      <c r="D73" s="52"/>
      <c r="E73" s="52"/>
      <c r="F73" s="53"/>
      <c r="G73" s="18"/>
      <c r="H73" s="54"/>
      <c r="I73" s="54"/>
      <c r="J73" s="54"/>
      <c r="K73" s="54"/>
      <c r="L73" s="55"/>
      <c r="M73" s="24"/>
      <c r="N73" s="56"/>
      <c r="O73" s="58"/>
      <c r="P73" s="60"/>
      <c r="Q73" s="406"/>
      <c r="R73" s="407"/>
      <c r="S73" s="165"/>
      <c r="T73" s="166"/>
      <c r="U73" s="404"/>
      <c r="V73" s="405"/>
      <c r="W73" s="408"/>
      <c r="X73" s="409"/>
      <c r="Y73" s="410"/>
      <c r="Z73" s="409"/>
      <c r="AA73" s="410"/>
      <c r="AB73" s="411"/>
      <c r="AD73" s="48"/>
    </row>
    <row r="74" spans="1:30" ht="22.5" customHeight="1" x14ac:dyDescent="0.15">
      <c r="A74" s="430"/>
      <c r="B74" s="24">
        <v>44</v>
      </c>
      <c r="C74" s="15"/>
      <c r="D74" s="52"/>
      <c r="E74" s="52"/>
      <c r="F74" s="53"/>
      <c r="G74" s="18"/>
      <c r="H74" s="54"/>
      <c r="I74" s="54"/>
      <c r="J74" s="54"/>
      <c r="K74" s="54"/>
      <c r="L74" s="55"/>
      <c r="M74" s="24"/>
      <c r="N74" s="56"/>
      <c r="O74" s="58"/>
      <c r="P74" s="60"/>
      <c r="Q74" s="406"/>
      <c r="R74" s="407"/>
      <c r="S74" s="165"/>
      <c r="T74" s="166"/>
      <c r="U74" s="404"/>
      <c r="V74" s="405"/>
      <c r="W74" s="408"/>
      <c r="X74" s="409"/>
      <c r="Y74" s="410"/>
      <c r="Z74" s="409"/>
      <c r="AA74" s="410"/>
      <c r="AB74" s="411"/>
      <c r="AD74" s="48"/>
    </row>
    <row r="75" spans="1:30" ht="22.5" customHeight="1" x14ac:dyDescent="0.15">
      <c r="A75" s="430"/>
      <c r="B75" s="24">
        <v>45</v>
      </c>
      <c r="C75" s="15"/>
      <c r="D75" s="52"/>
      <c r="E75" s="52"/>
      <c r="F75" s="53"/>
      <c r="G75" s="18"/>
      <c r="H75" s="54"/>
      <c r="I75" s="54"/>
      <c r="J75" s="54"/>
      <c r="K75" s="54"/>
      <c r="L75" s="55"/>
      <c r="M75" s="24"/>
      <c r="N75" s="56"/>
      <c r="O75" s="58"/>
      <c r="P75" s="60"/>
      <c r="Q75" s="406"/>
      <c r="R75" s="407"/>
      <c r="S75" s="165"/>
      <c r="T75" s="166"/>
      <c r="U75" s="404"/>
      <c r="V75" s="405"/>
      <c r="W75" s="408"/>
      <c r="X75" s="409"/>
      <c r="Y75" s="410"/>
      <c r="Z75" s="409"/>
      <c r="AA75" s="410"/>
      <c r="AB75" s="411"/>
      <c r="AD75" s="48"/>
    </row>
    <row r="76" spans="1:30" ht="22.5" customHeight="1" x14ac:dyDescent="0.15">
      <c r="A76" s="430"/>
      <c r="B76" s="24">
        <v>46</v>
      </c>
      <c r="C76" s="15"/>
      <c r="D76" s="52"/>
      <c r="E76" s="52"/>
      <c r="F76" s="53"/>
      <c r="G76" s="18"/>
      <c r="H76" s="54"/>
      <c r="I76" s="54"/>
      <c r="J76" s="54"/>
      <c r="K76" s="54"/>
      <c r="L76" s="55"/>
      <c r="M76" s="24"/>
      <c r="N76" s="56"/>
      <c r="O76" s="58"/>
      <c r="P76" s="60"/>
      <c r="Q76" s="406"/>
      <c r="R76" s="407"/>
      <c r="S76" s="165"/>
      <c r="T76" s="166"/>
      <c r="U76" s="404"/>
      <c r="V76" s="405"/>
      <c r="W76" s="408"/>
      <c r="X76" s="409"/>
      <c r="Y76" s="410"/>
      <c r="Z76" s="409"/>
      <c r="AA76" s="410"/>
      <c r="AB76" s="411"/>
      <c r="AD76" s="48"/>
    </row>
    <row r="77" spans="1:30" ht="22.5" customHeight="1" x14ac:dyDescent="0.15">
      <c r="A77" s="430"/>
      <c r="B77" s="24">
        <v>47</v>
      </c>
      <c r="C77" s="15"/>
      <c r="D77" s="52"/>
      <c r="E77" s="52"/>
      <c r="F77" s="53"/>
      <c r="G77" s="18"/>
      <c r="H77" s="54"/>
      <c r="I77" s="54"/>
      <c r="J77" s="54"/>
      <c r="K77" s="54"/>
      <c r="L77" s="55"/>
      <c r="M77" s="24"/>
      <c r="N77" s="56"/>
      <c r="O77" s="58"/>
      <c r="P77" s="60"/>
      <c r="Q77" s="406"/>
      <c r="R77" s="407"/>
      <c r="S77" s="165"/>
      <c r="T77" s="166"/>
      <c r="U77" s="404"/>
      <c r="V77" s="405"/>
      <c r="W77" s="408"/>
      <c r="X77" s="409"/>
      <c r="Y77" s="410"/>
      <c r="Z77" s="409"/>
      <c r="AA77" s="410"/>
      <c r="AB77" s="411"/>
      <c r="AD77" s="48"/>
    </row>
    <row r="78" spans="1:30" ht="22.5" customHeight="1" x14ac:dyDescent="0.15">
      <c r="A78" s="430"/>
      <c r="B78" s="24">
        <v>48</v>
      </c>
      <c r="C78" s="15"/>
      <c r="D78" s="52"/>
      <c r="E78" s="52"/>
      <c r="F78" s="53"/>
      <c r="G78" s="18"/>
      <c r="H78" s="54"/>
      <c r="I78" s="54"/>
      <c r="J78" s="54"/>
      <c r="K78" s="54"/>
      <c r="L78" s="55"/>
      <c r="M78" s="24"/>
      <c r="N78" s="56"/>
      <c r="O78" s="58"/>
      <c r="P78" s="60"/>
      <c r="Q78" s="406"/>
      <c r="R78" s="407"/>
      <c r="S78" s="165"/>
      <c r="T78" s="166"/>
      <c r="U78" s="404"/>
      <c r="V78" s="405"/>
      <c r="W78" s="408"/>
      <c r="X78" s="409"/>
      <c r="Y78" s="410"/>
      <c r="Z78" s="409"/>
      <c r="AA78" s="410"/>
      <c r="AB78" s="411"/>
      <c r="AD78" s="48"/>
    </row>
    <row r="79" spans="1:30" ht="22.5" customHeight="1" x14ac:dyDescent="0.15">
      <c r="A79" s="430"/>
      <c r="B79" s="24">
        <v>49</v>
      </c>
      <c r="C79" s="15"/>
      <c r="D79" s="52"/>
      <c r="E79" s="52"/>
      <c r="F79" s="53"/>
      <c r="G79" s="18"/>
      <c r="H79" s="54"/>
      <c r="I79" s="54"/>
      <c r="J79" s="54"/>
      <c r="K79" s="54"/>
      <c r="L79" s="55"/>
      <c r="M79" s="24"/>
      <c r="N79" s="56"/>
      <c r="O79" s="58"/>
      <c r="P79" s="60"/>
      <c r="Q79" s="406"/>
      <c r="R79" s="407"/>
      <c r="S79" s="165"/>
      <c r="T79" s="166"/>
      <c r="U79" s="404"/>
      <c r="V79" s="405"/>
      <c r="W79" s="408"/>
      <c r="X79" s="409"/>
      <c r="Y79" s="410"/>
      <c r="Z79" s="409"/>
      <c r="AA79" s="410"/>
      <c r="AB79" s="411"/>
      <c r="AD79" s="48"/>
    </row>
    <row r="80" spans="1:30" ht="22.5" customHeight="1" x14ac:dyDescent="0.15">
      <c r="A80" s="430"/>
      <c r="B80" s="24">
        <v>50</v>
      </c>
      <c r="C80" s="15"/>
      <c r="D80" s="52"/>
      <c r="E80" s="52"/>
      <c r="F80" s="53"/>
      <c r="G80" s="18"/>
      <c r="H80" s="54"/>
      <c r="I80" s="54"/>
      <c r="J80" s="54"/>
      <c r="K80" s="54"/>
      <c r="L80" s="55"/>
      <c r="M80" s="24"/>
      <c r="N80" s="56"/>
      <c r="O80" s="58"/>
      <c r="P80" s="60"/>
      <c r="Q80" s="406"/>
      <c r="R80" s="407"/>
      <c r="S80" s="165"/>
      <c r="T80" s="166"/>
      <c r="U80" s="404"/>
      <c r="V80" s="405"/>
      <c r="W80" s="408"/>
      <c r="X80" s="409"/>
      <c r="Y80" s="410"/>
      <c r="Z80" s="409"/>
      <c r="AA80" s="410"/>
      <c r="AB80" s="411"/>
      <c r="AD80" s="48"/>
    </row>
    <row r="81" spans="1:30" ht="22.5" customHeight="1" x14ac:dyDescent="0.15">
      <c r="A81" s="430"/>
      <c r="B81" s="24">
        <v>51</v>
      </c>
      <c r="C81" s="15"/>
      <c r="D81" s="52"/>
      <c r="E81" s="52"/>
      <c r="F81" s="53"/>
      <c r="G81" s="18"/>
      <c r="H81" s="54"/>
      <c r="I81" s="54"/>
      <c r="J81" s="54"/>
      <c r="K81" s="54"/>
      <c r="L81" s="55"/>
      <c r="M81" s="24"/>
      <c r="N81" s="56"/>
      <c r="O81" s="58"/>
      <c r="P81" s="60"/>
      <c r="Q81" s="406"/>
      <c r="R81" s="407"/>
      <c r="S81" s="165"/>
      <c r="T81" s="166"/>
      <c r="U81" s="404"/>
      <c r="V81" s="405"/>
      <c r="W81" s="408"/>
      <c r="X81" s="409"/>
      <c r="Y81" s="410"/>
      <c r="Z81" s="409"/>
      <c r="AA81" s="410"/>
      <c r="AB81" s="411"/>
      <c r="AD81" s="48"/>
    </row>
    <row r="82" spans="1:30" ht="22.5" customHeight="1" x14ac:dyDescent="0.15">
      <c r="A82" s="430"/>
      <c r="B82" s="24">
        <v>52</v>
      </c>
      <c r="C82" s="15"/>
      <c r="D82" s="52"/>
      <c r="E82" s="52"/>
      <c r="F82" s="53"/>
      <c r="G82" s="18"/>
      <c r="H82" s="54"/>
      <c r="I82" s="54"/>
      <c r="J82" s="54"/>
      <c r="K82" s="54"/>
      <c r="L82" s="55"/>
      <c r="M82" s="24"/>
      <c r="N82" s="56"/>
      <c r="O82" s="58"/>
      <c r="P82" s="60"/>
      <c r="Q82" s="406"/>
      <c r="R82" s="407"/>
      <c r="S82" s="165"/>
      <c r="T82" s="166"/>
      <c r="U82" s="404"/>
      <c r="V82" s="405"/>
      <c r="W82" s="408"/>
      <c r="X82" s="409"/>
      <c r="Y82" s="410"/>
      <c r="Z82" s="409"/>
      <c r="AA82" s="410"/>
      <c r="AB82" s="411"/>
      <c r="AD82" s="48"/>
    </row>
    <row r="83" spans="1:30" ht="22.5" customHeight="1" x14ac:dyDescent="0.15">
      <c r="A83" s="430"/>
      <c r="B83" s="24">
        <v>53</v>
      </c>
      <c r="C83" s="15"/>
      <c r="D83" s="52"/>
      <c r="E83" s="52"/>
      <c r="F83" s="53"/>
      <c r="G83" s="18"/>
      <c r="H83" s="54"/>
      <c r="I83" s="54"/>
      <c r="J83" s="54"/>
      <c r="K83" s="54"/>
      <c r="L83" s="55"/>
      <c r="M83" s="24"/>
      <c r="N83" s="56"/>
      <c r="O83" s="58"/>
      <c r="P83" s="60"/>
      <c r="Q83" s="406"/>
      <c r="R83" s="407"/>
      <c r="S83" s="165"/>
      <c r="T83" s="166"/>
      <c r="U83" s="404"/>
      <c r="V83" s="405"/>
      <c r="W83" s="408"/>
      <c r="X83" s="409"/>
      <c r="Y83" s="410"/>
      <c r="Z83" s="409"/>
      <c r="AA83" s="410"/>
      <c r="AB83" s="411"/>
      <c r="AD83" s="48"/>
    </row>
    <row r="84" spans="1:30" ht="22.5" customHeight="1" x14ac:dyDescent="0.15">
      <c r="A84" s="430"/>
      <c r="B84" s="24">
        <v>54</v>
      </c>
      <c r="C84" s="15"/>
      <c r="D84" s="52"/>
      <c r="E84" s="52"/>
      <c r="F84" s="53"/>
      <c r="G84" s="18"/>
      <c r="H84" s="54"/>
      <c r="I84" s="54"/>
      <c r="J84" s="54"/>
      <c r="K84" s="54"/>
      <c r="L84" s="55"/>
      <c r="M84" s="24"/>
      <c r="N84" s="56"/>
      <c r="O84" s="58"/>
      <c r="P84" s="60"/>
      <c r="Q84" s="406"/>
      <c r="R84" s="407"/>
      <c r="S84" s="165"/>
      <c r="T84" s="166"/>
      <c r="U84" s="404"/>
      <c r="V84" s="405"/>
      <c r="W84" s="408"/>
      <c r="X84" s="409"/>
      <c r="Y84" s="410"/>
      <c r="Z84" s="409"/>
      <c r="AA84" s="410"/>
      <c r="AB84" s="411"/>
      <c r="AD84" s="48"/>
    </row>
    <row r="85" spans="1:30" ht="22.5" customHeight="1" x14ac:dyDescent="0.15">
      <c r="A85" s="430"/>
      <c r="B85" s="24">
        <v>55</v>
      </c>
      <c r="C85" s="15"/>
      <c r="D85" s="52"/>
      <c r="E85" s="52"/>
      <c r="F85" s="53"/>
      <c r="G85" s="18"/>
      <c r="H85" s="54"/>
      <c r="I85" s="54"/>
      <c r="J85" s="54"/>
      <c r="K85" s="54"/>
      <c r="L85" s="55"/>
      <c r="M85" s="24"/>
      <c r="N85" s="56"/>
      <c r="O85" s="58"/>
      <c r="P85" s="60"/>
      <c r="Q85" s="406"/>
      <c r="R85" s="407"/>
      <c r="S85" s="165"/>
      <c r="T85" s="166"/>
      <c r="U85" s="404"/>
      <c r="V85" s="405"/>
      <c r="W85" s="408"/>
      <c r="X85" s="409"/>
      <c r="Y85" s="410"/>
      <c r="Z85" s="409"/>
      <c r="AA85" s="410"/>
      <c r="AB85" s="411"/>
      <c r="AD85" s="48"/>
    </row>
    <row r="86" spans="1:30" ht="22.5" customHeight="1" x14ac:dyDescent="0.15">
      <c r="A86" s="430"/>
      <c r="B86" s="25">
        <v>56</v>
      </c>
      <c r="C86" s="26"/>
      <c r="D86" s="61"/>
      <c r="E86" s="61"/>
      <c r="F86" s="62"/>
      <c r="G86" s="29"/>
      <c r="H86" s="63"/>
      <c r="I86" s="63"/>
      <c r="J86" s="63"/>
      <c r="K86" s="63"/>
      <c r="L86" s="64"/>
      <c r="M86" s="25"/>
      <c r="N86" s="65"/>
      <c r="O86" s="66"/>
      <c r="P86" s="67"/>
      <c r="Q86" s="416"/>
      <c r="R86" s="417"/>
      <c r="S86" s="187"/>
      <c r="T86" s="188"/>
      <c r="U86" s="418"/>
      <c r="V86" s="419"/>
      <c r="W86" s="420"/>
      <c r="X86" s="421"/>
      <c r="Y86" s="422"/>
      <c r="Z86" s="421"/>
      <c r="AA86" s="422"/>
      <c r="AB86" s="423"/>
      <c r="AD86" s="48"/>
    </row>
    <row r="87" spans="1:30" s="70" customFormat="1" ht="22.5" customHeight="1" thickBot="1" x14ac:dyDescent="0.2">
      <c r="A87" s="431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9"/>
      <c r="N87" s="69"/>
      <c r="O87" s="69"/>
      <c r="P87" s="69"/>
      <c r="Q87" s="438"/>
      <c r="R87" s="437"/>
      <c r="S87" s="435"/>
      <c r="T87" s="437"/>
      <c r="U87" s="435"/>
      <c r="V87" s="436"/>
      <c r="W87" s="434"/>
      <c r="X87" s="433"/>
      <c r="Y87" s="414"/>
      <c r="Z87" s="433"/>
      <c r="AA87" s="414"/>
      <c r="AB87" s="415"/>
      <c r="AD87" s="48"/>
    </row>
    <row r="88" spans="1:30" ht="22.5" customHeight="1" thickTop="1" x14ac:dyDescent="0.15">
      <c r="A88" s="71"/>
      <c r="B88" s="71"/>
      <c r="C88" s="71"/>
      <c r="D88" s="71"/>
      <c r="E88" s="71"/>
      <c r="F88" s="71"/>
      <c r="G88" s="71"/>
      <c r="H88" s="71"/>
      <c r="I88" s="71"/>
      <c r="J88" s="432" t="s">
        <v>58</v>
      </c>
      <c r="K88" s="432"/>
      <c r="L88" s="432"/>
      <c r="M88" s="432"/>
      <c r="N88" s="432"/>
      <c r="O88" s="432"/>
      <c r="P88" s="432"/>
      <c r="Q88" s="432"/>
      <c r="R88" s="432"/>
      <c r="S88" s="432"/>
      <c r="T88" s="71"/>
      <c r="U88" s="71"/>
      <c r="V88" s="71"/>
      <c r="W88" s="71"/>
      <c r="X88" s="71"/>
      <c r="Y88" s="71"/>
      <c r="Z88" s="71"/>
      <c r="AA88" s="71"/>
      <c r="AB88" s="71"/>
      <c r="AD88" s="48"/>
    </row>
  </sheetData>
  <mergeCells count="519">
    <mergeCell ref="G49:L50"/>
    <mergeCell ref="C49:F50"/>
    <mergeCell ref="B49:B50"/>
    <mergeCell ref="A49:A87"/>
    <mergeCell ref="T2:AB2"/>
    <mergeCell ref="J88:S88"/>
    <mergeCell ref="Y87:Z87"/>
    <mergeCell ref="W87:X87"/>
    <mergeCell ref="U87:V87"/>
    <mergeCell ref="S87:T87"/>
    <mergeCell ref="Q87:R87"/>
    <mergeCell ref="Y84:Z84"/>
    <mergeCell ref="W84:X84"/>
    <mergeCell ref="U84:V84"/>
    <mergeCell ref="S84:T84"/>
    <mergeCell ref="Q84:R84"/>
    <mergeCell ref="Y81:Z81"/>
    <mergeCell ref="W81:X81"/>
    <mergeCell ref="U81:V81"/>
    <mergeCell ref="S81:T81"/>
    <mergeCell ref="Q81:R81"/>
    <mergeCell ref="Y78:Z78"/>
    <mergeCell ref="W78:X78"/>
    <mergeCell ref="U78:V78"/>
    <mergeCell ref="O9:P9"/>
    <mergeCell ref="O11:P11"/>
    <mergeCell ref="O10:P10"/>
    <mergeCell ref="AA87:AB87"/>
    <mergeCell ref="Q86:R86"/>
    <mergeCell ref="S86:T86"/>
    <mergeCell ref="U86:V86"/>
    <mergeCell ref="W86:X86"/>
    <mergeCell ref="Y86:Z86"/>
    <mergeCell ref="AA86:AB86"/>
    <mergeCell ref="Q85:R85"/>
    <mergeCell ref="S85:T85"/>
    <mergeCell ref="U85:V85"/>
    <mergeCell ref="W85:X85"/>
    <mergeCell ref="Y85:Z85"/>
    <mergeCell ref="AA85:AB85"/>
    <mergeCell ref="AA84:AB84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AA81:AB81"/>
    <mergeCell ref="Q80:R80"/>
    <mergeCell ref="S80:T80"/>
    <mergeCell ref="U80:V80"/>
    <mergeCell ref="W80:X80"/>
    <mergeCell ref="Y80:Z80"/>
    <mergeCell ref="AA80:AB80"/>
    <mergeCell ref="Q79:R79"/>
    <mergeCell ref="S79:T79"/>
    <mergeCell ref="U79:V79"/>
    <mergeCell ref="W79:X79"/>
    <mergeCell ref="Y79:Z79"/>
    <mergeCell ref="AA79:AB79"/>
    <mergeCell ref="AA78:AB78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S78:T78"/>
    <mergeCell ref="Q78:R78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S69:T69"/>
    <mergeCell ref="Q69:R69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7:V67"/>
    <mergeCell ref="S67:T67"/>
    <mergeCell ref="Q67:R67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U65:V65"/>
    <mergeCell ref="S65:T65"/>
    <mergeCell ref="Q65:R65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U63:V63"/>
    <mergeCell ref="S63:T63"/>
    <mergeCell ref="Q63:R63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U59:V59"/>
    <mergeCell ref="S59:T59"/>
    <mergeCell ref="Q59:R59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S52:T52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U51:V51"/>
    <mergeCell ref="G44:I44"/>
    <mergeCell ref="J44:L44"/>
    <mergeCell ref="U44:V45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P45:S45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8:R8"/>
    <mergeCell ref="S8:T8"/>
    <mergeCell ref="U8:V8"/>
    <mergeCell ref="Y8:Z8"/>
    <mergeCell ref="AA8:AB8"/>
    <mergeCell ref="S11:T11"/>
    <mergeCell ref="Y11:Z11"/>
    <mergeCell ref="AA11:AB11"/>
    <mergeCell ref="Q12:R12"/>
    <mergeCell ref="S12:T12"/>
    <mergeCell ref="U12:V12"/>
    <mergeCell ref="Y12:Z12"/>
    <mergeCell ref="AA12:AB12"/>
    <mergeCell ref="S9:T9"/>
    <mergeCell ref="U9:V9"/>
    <mergeCell ref="Y9:Z9"/>
    <mergeCell ref="AA9:AB9"/>
    <mergeCell ref="S10:T10"/>
    <mergeCell ref="U10:V10"/>
    <mergeCell ref="Y10:Z10"/>
    <mergeCell ref="AA10:AB10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A1:B1"/>
    <mergeCell ref="C1:I1"/>
    <mergeCell ref="J1:S2"/>
    <mergeCell ref="T1:W1"/>
    <mergeCell ref="X1:AB1"/>
    <mergeCell ref="A2:B2"/>
    <mergeCell ref="C2:I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DPH</vt:lpstr>
      <vt:lpstr>Sheet1</vt:lpstr>
      <vt:lpstr>DPH!Print_Area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JDS_SSD</cp:lastModifiedBy>
  <cp:lastPrinted>2012-04-04T02:11:05Z</cp:lastPrinted>
  <dcterms:created xsi:type="dcterms:W3CDTF">2010-07-30T06:02:55Z</dcterms:created>
  <dcterms:modified xsi:type="dcterms:W3CDTF">2012-04-04T02:50:32Z</dcterms:modified>
</cp:coreProperties>
</file>