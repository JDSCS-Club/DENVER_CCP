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4955" windowHeight="7320" firstSheet="5" activeTab="20"/>
  </bookViews>
  <sheets>
    <sheet name="총합계" sheetId="1" r:id="rId1"/>
    <sheet name="CRA" sheetId="2" r:id="rId2"/>
    <sheet name="CCP" sheetId="3" r:id="rId3"/>
    <sheet name="AAR" sheetId="18" r:id="rId4"/>
    <sheet name="DPO" sheetId="5" r:id="rId5"/>
    <sheet name="DMA" sheetId="6" r:id="rId6"/>
    <sheet name="CSP" sheetId="7" r:id="rId7"/>
    <sheet name="CPO" sheetId="8" r:id="rId8"/>
    <sheet name="PEI" sheetId="9" r:id="rId9"/>
    <sheet name="ISP" sheetId="10" r:id="rId10"/>
    <sheet name="ESP" sheetId="11" r:id="rId11"/>
    <sheet name="TRF1" sheetId="12" r:id="rId12"/>
    <sheet name="TRF2" sheetId="17" r:id="rId13"/>
    <sheet name="FDI" sheetId="13" r:id="rId14"/>
    <sheet name="SDI" sheetId="14" r:id="rId15"/>
    <sheet name="PII" sheetId="15" r:id="rId16"/>
    <sheet name="PID" sheetId="22" r:id="rId17"/>
    <sheet name="JCR1" sheetId="21" r:id="rId18"/>
    <sheet name="CBL1" sheetId="19" r:id="rId19"/>
    <sheet name="JCR2" sheetId="20" r:id="rId20"/>
    <sheet name="CBL2" sheetId="16" r:id="rId21"/>
    <sheet name="Sheet1" sheetId="23" r:id="rId22"/>
  </sheets>
  <definedNames>
    <definedName name="_xlnm.Print_Area" localSheetId="3">AAR!$A$1:$AB$46</definedName>
    <definedName name="_xlnm.Print_Area" localSheetId="18">'CBL1'!$A$1:$AB$46</definedName>
    <definedName name="_xlnm.Print_Area" localSheetId="20">'CBL2'!$A$1:$AB$46</definedName>
    <definedName name="_xlnm.Print_Area" localSheetId="2">CCP!$A$1:$AB$46</definedName>
    <definedName name="_xlnm.Print_Area" localSheetId="7">CPO!$A$1:$AB$46</definedName>
    <definedName name="_xlnm.Print_Area" localSheetId="1">CRA!$A$1:$AB$46</definedName>
    <definedName name="_xlnm.Print_Area" localSheetId="6">CSP!$A$1:$AB$46</definedName>
    <definedName name="_xlnm.Print_Area" localSheetId="5">DMA!$A$1:$AB$46</definedName>
    <definedName name="_xlnm.Print_Area" localSheetId="4">DPO!$A$1:$AB$46</definedName>
    <definedName name="_xlnm.Print_Area" localSheetId="10">ESP!$A$1:$AB$46</definedName>
    <definedName name="_xlnm.Print_Area" localSheetId="13">FDI!$A$1:$AB$46</definedName>
    <definedName name="_xlnm.Print_Area" localSheetId="9">ISP!$A$1:$AB$87</definedName>
    <definedName name="_xlnm.Print_Area" localSheetId="17">'JCR1'!$A$1:$AB$46</definedName>
    <definedName name="_xlnm.Print_Area" localSheetId="19">'JCR2'!$A$1:$AB$46</definedName>
    <definedName name="_xlnm.Print_Area" localSheetId="8">PEI!$A$1:$AB$46</definedName>
    <definedName name="_xlnm.Print_Area" localSheetId="16">PID!$A$1:$AB$46</definedName>
    <definedName name="_xlnm.Print_Area" localSheetId="15">PII!$A$1:$AB$46</definedName>
    <definedName name="_xlnm.Print_Area" localSheetId="14">SDI!$A$1:$AB$46</definedName>
    <definedName name="_xlnm.Print_Area" localSheetId="11">'TRF1'!$A$1:$AB$46</definedName>
    <definedName name="_xlnm.Print_Area" localSheetId="12">'TRF2'!$A$1:$AB$46</definedName>
  </definedNames>
  <calcPr calcId="125725"/>
</workbook>
</file>

<file path=xl/calcChain.xml><?xml version="1.0" encoding="utf-8"?>
<calcChain xmlns="http://schemas.openxmlformats.org/spreadsheetml/2006/main">
  <c r="AC49" i="19"/>
  <c r="AC8" i="6" l="1"/>
  <c r="AC49" i="22"/>
  <c r="U26" i="1" l="1"/>
  <c r="U24"/>
  <c r="U23"/>
  <c r="U22"/>
  <c r="U21"/>
  <c r="U20"/>
  <c r="U19"/>
  <c r="U18"/>
  <c r="U17"/>
  <c r="U16"/>
  <c r="U15"/>
  <c r="U14"/>
  <c r="Q27"/>
  <c r="S12" i="2"/>
  <c r="U31" i="20"/>
  <c r="S52" i="1"/>
  <c r="S51"/>
  <c r="O8" i="20"/>
  <c r="O8" i="21"/>
  <c r="U33"/>
  <c r="U32"/>
  <c r="U31"/>
  <c r="U33" i="22"/>
  <c r="U32"/>
  <c r="U31"/>
  <c r="U33" i="15"/>
  <c r="U32"/>
  <c r="U31"/>
  <c r="O8" i="14"/>
  <c r="U33"/>
  <c r="U32"/>
  <c r="U31"/>
  <c r="O8" i="13"/>
  <c r="U33"/>
  <c r="U32"/>
  <c r="U31"/>
  <c r="U33" i="17"/>
  <c r="U32"/>
  <c r="U31"/>
  <c r="U33" i="12"/>
  <c r="U32"/>
  <c r="U31"/>
  <c r="U33" i="9"/>
  <c r="U32"/>
  <c r="U38" s="1"/>
  <c r="G34" s="1"/>
  <c r="G35" s="1"/>
  <c r="G36" s="1"/>
  <c r="U31"/>
  <c r="O10" i="7"/>
  <c r="O14" i="5"/>
  <c r="O8"/>
  <c r="O11" i="18"/>
  <c r="O10"/>
  <c r="O9"/>
  <c r="O8"/>
  <c r="O8" i="3"/>
  <c r="O21" i="2"/>
  <c r="O51"/>
  <c r="O26"/>
  <c r="S13"/>
  <c r="S16"/>
  <c r="N27" i="1"/>
  <c r="U27" s="1"/>
  <c r="N25"/>
  <c r="U25" s="1"/>
  <c r="G27"/>
  <c r="G26"/>
  <c r="G25"/>
  <c r="G24"/>
  <c r="G23"/>
  <c r="S15" i="22"/>
  <c r="AC51"/>
  <c r="AC50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S28" s="1"/>
  <c r="G31" s="1"/>
  <c r="T2"/>
  <c r="T48" s="1"/>
  <c r="C1"/>
  <c r="AC51" i="21"/>
  <c r="AC50"/>
  <c r="AC49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T2"/>
  <c r="T48" s="1"/>
  <c r="C1"/>
  <c r="AC51" i="20"/>
  <c r="AC50"/>
  <c r="AC49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T2"/>
  <c r="T48" s="1"/>
  <c r="C1"/>
  <c r="AC51" i="19"/>
  <c r="AC50"/>
  <c r="AC48"/>
  <c r="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S14"/>
  <c r="AC13"/>
  <c r="S13"/>
  <c r="AC12"/>
  <c r="S12"/>
  <c r="AC11"/>
  <c r="S11"/>
  <c r="AC10"/>
  <c r="S10"/>
  <c r="AC9"/>
  <c r="S9"/>
  <c r="AC8"/>
  <c r="S8"/>
  <c r="S28" s="1"/>
  <c r="G31" s="1"/>
  <c r="T2"/>
  <c r="T48" s="1"/>
  <c r="C1"/>
  <c r="S14" i="15"/>
  <c r="S13"/>
  <c r="S12"/>
  <c r="S10" i="14"/>
  <c r="S11"/>
  <c r="S12"/>
  <c r="S13"/>
  <c r="S14"/>
  <c r="S15"/>
  <c r="S16"/>
  <c r="S16" i="13"/>
  <c r="S15"/>
  <c r="S14"/>
  <c r="S13"/>
  <c r="G19" i="1"/>
  <c r="G20"/>
  <c r="G21"/>
  <c r="G22"/>
  <c r="T2" i="11"/>
  <c r="S10" i="9"/>
  <c r="S11"/>
  <c r="S12"/>
  <c r="S13"/>
  <c r="S14"/>
  <c r="S15"/>
  <c r="N12" i="1"/>
  <c r="U12" s="1"/>
  <c r="N11"/>
  <c r="U11" s="1"/>
  <c r="G12"/>
  <c r="S15" i="8"/>
  <c r="S14"/>
  <c r="S16" i="5"/>
  <c r="S15"/>
  <c r="S14"/>
  <c r="S13"/>
  <c r="M10" i="1"/>
  <c r="N10"/>
  <c r="U10" s="1"/>
  <c r="G10"/>
  <c r="S17" i="18"/>
  <c r="C48"/>
  <c r="U33"/>
  <c r="U32"/>
  <c r="U31"/>
  <c r="U28"/>
  <c r="G32" s="1"/>
  <c r="Q28"/>
  <c r="G30" s="1"/>
  <c r="S16"/>
  <c r="S15"/>
  <c r="S14"/>
  <c r="S13"/>
  <c r="S12"/>
  <c r="S11"/>
  <c r="S10"/>
  <c r="S9"/>
  <c r="S8"/>
  <c r="T2"/>
  <c r="C1"/>
  <c r="S16" i="3"/>
  <c r="S15"/>
  <c r="S14"/>
  <c r="S51" i="2"/>
  <c r="S27"/>
  <c r="C48" i="17"/>
  <c r="J45"/>
  <c r="U38"/>
  <c r="G34" s="1"/>
  <c r="U28"/>
  <c r="G32" s="1"/>
  <c r="Q28"/>
  <c r="G30" s="1"/>
  <c r="AC19"/>
  <c r="AC18"/>
  <c r="AC17"/>
  <c r="AC16"/>
  <c r="AC15"/>
  <c r="AC14"/>
  <c r="AC13"/>
  <c r="AC12"/>
  <c r="AC11"/>
  <c r="S11"/>
  <c r="AC10"/>
  <c r="S10"/>
  <c r="AC9"/>
  <c r="S9"/>
  <c r="AC8"/>
  <c r="S8"/>
  <c r="T2"/>
  <c r="C1"/>
  <c r="S11" i="12"/>
  <c r="S11" i="13"/>
  <c r="S9"/>
  <c r="S10"/>
  <c r="S12"/>
  <c r="S10" i="12"/>
  <c r="S17" i="11"/>
  <c r="U33"/>
  <c r="U32"/>
  <c r="U31"/>
  <c r="U33" i="10"/>
  <c r="U32"/>
  <c r="U31"/>
  <c r="U33" i="8"/>
  <c r="U32"/>
  <c r="U31"/>
  <c r="U33" i="7"/>
  <c r="U32"/>
  <c r="U31"/>
  <c r="S9"/>
  <c r="U32" i="6"/>
  <c r="U31"/>
  <c r="T48" i="1"/>
  <c r="N13"/>
  <c r="U13" s="1"/>
  <c r="N9"/>
  <c r="U9" s="1"/>
  <c r="N8"/>
  <c r="U8" s="1"/>
  <c r="G15"/>
  <c r="G14"/>
  <c r="G13"/>
  <c r="T2" i="6"/>
  <c r="T48" s="1"/>
  <c r="C1"/>
  <c r="G11" i="1"/>
  <c r="G9"/>
  <c r="S11" i="16"/>
  <c r="S10"/>
  <c r="S9"/>
  <c r="S8"/>
  <c r="T2"/>
  <c r="C1"/>
  <c r="S8" i="15"/>
  <c r="S9"/>
  <c r="S10"/>
  <c r="S11"/>
  <c r="T2"/>
  <c r="T48" s="1"/>
  <c r="C1"/>
  <c r="T2" i="14"/>
  <c r="C1"/>
  <c r="S8" i="13"/>
  <c r="T2"/>
  <c r="C1"/>
  <c r="T2" i="12"/>
  <c r="C1"/>
  <c r="C1" i="11"/>
  <c r="S87" i="10"/>
  <c r="S20"/>
  <c r="S21"/>
  <c r="S22"/>
  <c r="S23"/>
  <c r="S24"/>
  <c r="S25"/>
  <c r="S26"/>
  <c r="S27"/>
  <c r="T2"/>
  <c r="T48" s="1"/>
  <c r="C1"/>
  <c r="C1" i="9"/>
  <c r="T2" i="8"/>
  <c r="T2" i="9" s="1"/>
  <c r="C1" i="8"/>
  <c r="T2" i="7"/>
  <c r="C1"/>
  <c r="U33" i="5"/>
  <c r="U32"/>
  <c r="U31"/>
  <c r="S12"/>
  <c r="S11"/>
  <c r="S10"/>
  <c r="S9"/>
  <c r="T2"/>
  <c r="C1"/>
  <c r="U33" i="3"/>
  <c r="U32"/>
  <c r="U31"/>
  <c r="S13"/>
  <c r="S12"/>
  <c r="S11"/>
  <c r="S10"/>
  <c r="S9"/>
  <c r="S17" i="2"/>
  <c r="S18"/>
  <c r="S19"/>
  <c r="S20"/>
  <c r="S21"/>
  <c r="S22"/>
  <c r="S23"/>
  <c r="S24"/>
  <c r="S25"/>
  <c r="S26"/>
  <c r="T2" i="3"/>
  <c r="C1"/>
  <c r="T2" i="2"/>
  <c r="T48" s="1"/>
  <c r="C1"/>
  <c r="M9" i="1"/>
  <c r="G8"/>
  <c r="Y87" i="16"/>
  <c r="W87"/>
  <c r="U87"/>
  <c r="S87"/>
  <c r="Q87"/>
  <c r="J45"/>
  <c r="U28"/>
  <c r="G32" s="1"/>
  <c r="Q28"/>
  <c r="G30" s="1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C48"/>
  <c r="AC51" i="15"/>
  <c r="AC50"/>
  <c r="AC49"/>
  <c r="A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C48"/>
  <c r="J45" i="14"/>
  <c r="U38"/>
  <c r="G34" s="1"/>
  <c r="U28"/>
  <c r="G32" s="1"/>
  <c r="Q28"/>
  <c r="G30" s="1"/>
  <c r="AC21"/>
  <c r="AC20"/>
  <c r="AC19"/>
  <c r="AC18"/>
  <c r="AC17"/>
  <c r="AC16"/>
  <c r="AC15"/>
  <c r="AC14"/>
  <c r="AC13"/>
  <c r="AC12"/>
  <c r="AC11"/>
  <c r="AC10"/>
  <c r="AC9"/>
  <c r="S9"/>
  <c r="AC8"/>
  <c r="S8"/>
  <c r="C48"/>
  <c r="J45" i="13"/>
  <c r="U28"/>
  <c r="G32" s="1"/>
  <c r="Q28"/>
  <c r="G30" s="1"/>
  <c r="AC26"/>
  <c r="AC25"/>
  <c r="AC24"/>
  <c r="AC23"/>
  <c r="AC22"/>
  <c r="AC21"/>
  <c r="AC20"/>
  <c r="AC19"/>
  <c r="AC18"/>
  <c r="AC17"/>
  <c r="AC16"/>
  <c r="AC15"/>
  <c r="AC14"/>
  <c r="AC13"/>
  <c r="AC12"/>
  <c r="AC10"/>
  <c r="AC8"/>
  <c r="C48"/>
  <c r="J45" i="12"/>
  <c r="U38"/>
  <c r="G34" s="1"/>
  <c r="U28"/>
  <c r="G32" s="1"/>
  <c r="Q28"/>
  <c r="G30" s="1"/>
  <c r="AC19"/>
  <c r="AC18"/>
  <c r="AC17"/>
  <c r="AC16"/>
  <c r="AC15"/>
  <c r="AC14"/>
  <c r="AC13"/>
  <c r="AC12"/>
  <c r="AC11"/>
  <c r="AC10"/>
  <c r="AC9"/>
  <c r="S9"/>
  <c r="AC8"/>
  <c r="S8"/>
  <c r="C48"/>
  <c r="J45" i="11"/>
  <c r="U38"/>
  <c r="G34" s="1"/>
  <c r="G35" s="1"/>
  <c r="G36" s="1"/>
  <c r="U28"/>
  <c r="G32" s="1"/>
  <c r="Q28"/>
  <c r="G30" s="1"/>
  <c r="AC20"/>
  <c r="AC19"/>
  <c r="AC18"/>
  <c r="AC17"/>
  <c r="AC16"/>
  <c r="S16"/>
  <c r="AC15"/>
  <c r="S15"/>
  <c r="AC14"/>
  <c r="S14"/>
  <c r="AC13"/>
  <c r="S13"/>
  <c r="AC12"/>
  <c r="S12"/>
  <c r="AC11"/>
  <c r="S11"/>
  <c r="AC10"/>
  <c r="S10"/>
  <c r="AC9"/>
  <c r="S9"/>
  <c r="AC8"/>
  <c r="S8"/>
  <c r="C48"/>
  <c r="J45" i="10"/>
  <c r="U28"/>
  <c r="G32" s="1"/>
  <c r="Q28"/>
  <c r="G30" s="1"/>
  <c r="AC19"/>
  <c r="S19"/>
  <c r="AC18"/>
  <c r="S18"/>
  <c r="AC17"/>
  <c r="S17"/>
  <c r="AC16"/>
  <c r="S16"/>
  <c r="AC15"/>
  <c r="S15"/>
  <c r="AC14"/>
  <c r="S14"/>
  <c r="AC13"/>
  <c r="S13"/>
  <c r="AC12"/>
  <c r="S12"/>
  <c r="AC11"/>
  <c r="S11"/>
  <c r="AC10"/>
  <c r="S10"/>
  <c r="AC9"/>
  <c r="S9"/>
  <c r="AC8"/>
  <c r="S8"/>
  <c r="C48"/>
  <c r="U87" i="9"/>
  <c r="Q87"/>
  <c r="S87"/>
  <c r="J45"/>
  <c r="U28"/>
  <c r="G32" s="1"/>
  <c r="Q28"/>
  <c r="G30" s="1"/>
  <c r="S9"/>
  <c r="S8"/>
  <c r="AC88" i="8"/>
  <c r="AC87"/>
  <c r="U87"/>
  <c r="Q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J45"/>
  <c r="AC44"/>
  <c r="AC43"/>
  <c r="AC42"/>
  <c r="AC41"/>
  <c r="AC40"/>
  <c r="AC39"/>
  <c r="AC38"/>
  <c r="AC37"/>
  <c r="AC36"/>
  <c r="AC35"/>
  <c r="AC34"/>
  <c r="AC33"/>
  <c r="AC32"/>
  <c r="AC31"/>
  <c r="U38"/>
  <c r="G34" s="1"/>
  <c r="AC30"/>
  <c r="AC29"/>
  <c r="AC28"/>
  <c r="U28"/>
  <c r="G32" s="1"/>
  <c r="Q28"/>
  <c r="G30" s="1"/>
  <c r="AC27"/>
  <c r="AC26"/>
  <c r="AC25"/>
  <c r="AC24"/>
  <c r="AC23"/>
  <c r="AC22"/>
  <c r="AC21"/>
  <c r="AC20"/>
  <c r="AC19"/>
  <c r="AC18"/>
  <c r="AC17"/>
  <c r="AC16"/>
  <c r="AC15"/>
  <c r="AC14"/>
  <c r="AC13"/>
  <c r="S13"/>
  <c r="AC12"/>
  <c r="S12"/>
  <c r="AC11"/>
  <c r="S11"/>
  <c r="AC10"/>
  <c r="S10"/>
  <c r="AC9"/>
  <c r="S9"/>
  <c r="AC8"/>
  <c r="S8"/>
  <c r="C48"/>
  <c r="J45" i="7"/>
  <c r="U28"/>
  <c r="G32" s="1"/>
  <c r="Q28"/>
  <c r="G30" s="1"/>
  <c r="AC14"/>
  <c r="AC13"/>
  <c r="AC12"/>
  <c r="S12"/>
  <c r="AC11"/>
  <c r="S11"/>
  <c r="AC10"/>
  <c r="S10"/>
  <c r="AC9"/>
  <c r="AC8"/>
  <c r="S8"/>
  <c r="C48"/>
  <c r="J45" i="6"/>
  <c r="U38"/>
  <c r="G34" s="1"/>
  <c r="U28"/>
  <c r="G32" s="1"/>
  <c r="Q28"/>
  <c r="G30" s="1"/>
  <c r="AC24"/>
  <c r="AC23"/>
  <c r="AC22"/>
  <c r="AC21"/>
  <c r="AC20"/>
  <c r="AC19"/>
  <c r="AC18"/>
  <c r="AC17"/>
  <c r="AC16"/>
  <c r="AC15"/>
  <c r="AC14"/>
  <c r="AC13"/>
  <c r="AC12"/>
  <c r="AC11"/>
  <c r="S11"/>
  <c r="AC10"/>
  <c r="S10"/>
  <c r="AC9"/>
  <c r="S9"/>
  <c r="S8"/>
  <c r="C48"/>
  <c r="J45" i="5"/>
  <c r="U28"/>
  <c r="G32" s="1"/>
  <c r="Q28"/>
  <c r="G30" s="1"/>
  <c r="S8"/>
  <c r="C48"/>
  <c r="U28" i="3"/>
  <c r="G32" s="1"/>
  <c r="Q28"/>
  <c r="G30" s="1"/>
  <c r="C48"/>
  <c r="U87" i="2"/>
  <c r="Q87"/>
  <c r="S87"/>
  <c r="J45"/>
  <c r="U33"/>
  <c r="U32"/>
  <c r="U31"/>
  <c r="U28"/>
  <c r="G32" s="1"/>
  <c r="Q28"/>
  <c r="G30" s="1"/>
  <c r="S15"/>
  <c r="S14"/>
  <c r="S11"/>
  <c r="S10"/>
  <c r="S9"/>
  <c r="S8"/>
  <c r="C48"/>
  <c r="S87" i="1"/>
  <c r="C48"/>
  <c r="J45"/>
  <c r="U38"/>
  <c r="G34" s="1"/>
  <c r="Q28"/>
  <c r="G30" s="1"/>
  <c r="S28" i="15"/>
  <c r="G31" s="1"/>
  <c r="G16" i="1"/>
  <c r="G18"/>
  <c r="C48" i="9"/>
  <c r="G17" i="1"/>
  <c r="S28" i="12"/>
  <c r="G31" s="1"/>
  <c r="S28" i="11"/>
  <c r="G31" s="1"/>
  <c r="S28" i="9"/>
  <c r="G31" s="1"/>
  <c r="S28" i="8"/>
  <c r="S87"/>
  <c r="S28" i="13"/>
  <c r="G31" s="1"/>
  <c r="U38"/>
  <c r="G34" s="1"/>
  <c r="AC9"/>
  <c r="AC11"/>
  <c r="U38" i="16"/>
  <c r="G34" s="1"/>
  <c r="U38" i="2"/>
  <c r="G34" s="1"/>
  <c r="S8" i="3"/>
  <c r="S28" s="1"/>
  <c r="G31" s="1"/>
  <c r="U38"/>
  <c r="G34" s="1"/>
  <c r="G35" s="1"/>
  <c r="G36" s="1"/>
  <c r="U38" i="10"/>
  <c r="G34" s="1"/>
  <c r="G35" s="1"/>
  <c r="G36" s="1"/>
  <c r="U28" i="1" l="1"/>
  <c r="G32" s="1"/>
  <c r="G35"/>
  <c r="G36" s="1"/>
  <c r="G35" i="6"/>
  <c r="G36" s="1"/>
  <c r="U38" i="5"/>
  <c r="G34" s="1"/>
  <c r="G35" s="1"/>
  <c r="G36" s="1"/>
  <c r="G31" i="8"/>
  <c r="S28" i="7"/>
  <c r="G31" s="1"/>
  <c r="G35" i="16"/>
  <c r="G36" s="1"/>
  <c r="G35" i="13"/>
  <c r="G36" s="1"/>
  <c r="G35" i="12"/>
  <c r="G36"/>
  <c r="S28" i="5"/>
  <c r="G31" s="1"/>
  <c r="G38" s="1"/>
  <c r="S28" i="18"/>
  <c r="G31" s="1"/>
  <c r="G38" s="1"/>
  <c r="S28" i="2"/>
  <c r="G31" s="1"/>
  <c r="G38" s="1"/>
  <c r="G35"/>
  <c r="G36" s="1"/>
  <c r="G39" i="10"/>
  <c r="G40" s="1"/>
  <c r="G39" i="5"/>
  <c r="G40" s="1"/>
  <c r="G39" i="9"/>
  <c r="G40" s="1"/>
  <c r="G35" i="8"/>
  <c r="G36" s="1"/>
  <c r="G35" i="14"/>
  <c r="G36" s="1"/>
  <c r="G35" i="15"/>
  <c r="G36" s="1"/>
  <c r="G35" i="17"/>
  <c r="G36" s="1"/>
  <c r="G39" i="3"/>
  <c r="G40" s="1"/>
  <c r="G39" i="11"/>
  <c r="G40" s="1"/>
  <c r="S28" i="16"/>
  <c r="G31" s="1"/>
  <c r="G38" s="1"/>
  <c r="U38" i="7"/>
  <c r="G34" s="1"/>
  <c r="U38" i="18"/>
  <c r="G34" s="1"/>
  <c r="U38" i="19"/>
  <c r="G34" s="1"/>
  <c r="G33" i="16"/>
  <c r="S28" i="20"/>
  <c r="G31" s="1"/>
  <c r="G33" s="1"/>
  <c r="S28" i="21"/>
  <c r="G31" s="1"/>
  <c r="G33" s="1"/>
  <c r="G35" i="22"/>
  <c r="G36"/>
  <c r="G38"/>
  <c r="G33"/>
  <c r="G35" i="21"/>
  <c r="G36" s="1"/>
  <c r="G35" i="20"/>
  <c r="G36" s="1"/>
  <c r="G38"/>
  <c r="G35" i="19"/>
  <c r="G36" s="1"/>
  <c r="G38"/>
  <c r="G33"/>
  <c r="G33" i="15"/>
  <c r="G38"/>
  <c r="S28" i="14"/>
  <c r="G31" s="1"/>
  <c r="G38" s="1"/>
  <c r="G38" i="13"/>
  <c r="G33"/>
  <c r="S28" i="17"/>
  <c r="G31" s="1"/>
  <c r="G33" s="1"/>
  <c r="G38" i="12"/>
  <c r="G33"/>
  <c r="G38" i="11"/>
  <c r="G33"/>
  <c r="G37" s="1"/>
  <c r="G43" s="1"/>
  <c r="S28" i="10"/>
  <c r="G31" s="1"/>
  <c r="G38" s="1"/>
  <c r="G38" i="9"/>
  <c r="G33"/>
  <c r="G37" s="1"/>
  <c r="G38" i="8"/>
  <c r="G33"/>
  <c r="G33" i="7"/>
  <c r="G38"/>
  <c r="G35"/>
  <c r="G36" s="1"/>
  <c r="S28" i="6"/>
  <c r="G31" s="1"/>
  <c r="G33" s="1"/>
  <c r="G33" i="5"/>
  <c r="G37" s="1"/>
  <c r="G35" i="18"/>
  <c r="G36" s="1"/>
  <c r="G33" i="3"/>
  <c r="G37" s="1"/>
  <c r="G43" s="1"/>
  <c r="G38"/>
  <c r="G39" i="1" l="1"/>
  <c r="G40" s="1"/>
  <c r="G39" i="6"/>
  <c r="G40" s="1"/>
  <c r="G37"/>
  <c r="G33" i="18"/>
  <c r="G39" i="16"/>
  <c r="G40" s="1"/>
  <c r="G37"/>
  <c r="G39" i="13"/>
  <c r="G40" s="1"/>
  <c r="G37"/>
  <c r="G43" s="1"/>
  <c r="G39" i="12"/>
  <c r="G40" s="1"/>
  <c r="G37"/>
  <c r="G43" s="1"/>
  <c r="G39" i="2"/>
  <c r="G40" s="1"/>
  <c r="G39" i="17"/>
  <c r="G40" s="1"/>
  <c r="G39" i="14"/>
  <c r="G40" s="1"/>
  <c r="G39" i="15"/>
  <c r="G40" s="1"/>
  <c r="G39" i="8"/>
  <c r="G40" s="1"/>
  <c r="G44" i="3"/>
  <c r="O9" i="1" s="1"/>
  <c r="G37" i="8"/>
  <c r="G37" i="15"/>
  <c r="G43" s="1"/>
  <c r="G37" i="17"/>
  <c r="G43" s="1"/>
  <c r="G38" i="21"/>
  <c r="G39" i="22"/>
  <c r="G40" s="1"/>
  <c r="G37"/>
  <c r="G43" s="1"/>
  <c r="G39" i="21"/>
  <c r="G40" s="1"/>
  <c r="G37"/>
  <c r="G43" s="1"/>
  <c r="G39" i="20"/>
  <c r="G40" s="1"/>
  <c r="G37"/>
  <c r="G43" s="1"/>
  <c r="G39" i="19"/>
  <c r="G40" s="1"/>
  <c r="G37"/>
  <c r="G33" i="14"/>
  <c r="G37" s="1"/>
  <c r="G43" s="1"/>
  <c r="G38" i="17"/>
  <c r="G44" i="11"/>
  <c r="O17" i="1" s="1"/>
  <c r="G33" i="10"/>
  <c r="G37" s="1"/>
  <c r="G43" i="9"/>
  <c r="G44" s="1"/>
  <c r="O15" i="1" s="1"/>
  <c r="G39" i="7"/>
  <c r="G40" s="1"/>
  <c r="G37"/>
  <c r="G38" i="6"/>
  <c r="G43"/>
  <c r="G43" i="5"/>
  <c r="G44" s="1"/>
  <c r="O11" i="1" s="1"/>
  <c r="G39" i="18"/>
  <c r="G40" s="1"/>
  <c r="G37"/>
  <c r="G33" i="2"/>
  <c r="G37" s="1"/>
  <c r="G43" s="1"/>
  <c r="S15" i="1" l="1"/>
  <c r="Y15" s="1"/>
  <c r="W15"/>
  <c r="S17"/>
  <c r="Y17" s="1"/>
  <c r="W17"/>
  <c r="S11"/>
  <c r="Y11" s="1"/>
  <c r="W11"/>
  <c r="S9"/>
  <c r="Y9" s="1"/>
  <c r="W9"/>
  <c r="G44" i="16"/>
  <c r="G44" i="13"/>
  <c r="O20" i="1" s="1"/>
  <c r="G44" i="17"/>
  <c r="G44" i="12"/>
  <c r="O18" i="1" s="1"/>
  <c r="G43" i="8"/>
  <c r="G44" s="1"/>
  <c r="O14" i="1" s="1"/>
  <c r="G44" i="2"/>
  <c r="O8" i="1" s="1"/>
  <c r="O19"/>
  <c r="O27"/>
  <c r="G44" i="15"/>
  <c r="G44" i="6"/>
  <c r="O12" i="1" s="1"/>
  <c r="G44" i="22"/>
  <c r="O23" i="1" s="1"/>
  <c r="G44" i="21"/>
  <c r="O24" i="1" s="1"/>
  <c r="G44" i="20"/>
  <c r="O26" i="1" s="1"/>
  <c r="G44" i="19"/>
  <c r="O25" i="1" s="1"/>
  <c r="G44" i="14"/>
  <c r="G44" i="10"/>
  <c r="O16" i="1" s="1"/>
  <c r="G43" i="10"/>
  <c r="G43" i="7"/>
  <c r="G44" s="1"/>
  <c r="O13" i="1" s="1"/>
  <c r="G43" i="18"/>
  <c r="G44" s="1"/>
  <c r="O10" i="1" s="1"/>
  <c r="S13" l="1"/>
  <c r="Y13" s="1"/>
  <c r="W13"/>
  <c r="S16"/>
  <c r="Y16" s="1"/>
  <c r="W16"/>
  <c r="S24"/>
  <c r="Y24" s="1"/>
  <c r="W24"/>
  <c r="S12"/>
  <c r="Y12" s="1"/>
  <c r="W12"/>
  <c r="S27"/>
  <c r="Y27" s="1"/>
  <c r="W27"/>
  <c r="S8"/>
  <c r="Y8" s="1"/>
  <c r="W8"/>
  <c r="S18"/>
  <c r="Y18" s="1"/>
  <c r="W18"/>
  <c r="S20"/>
  <c r="Y20" s="1"/>
  <c r="W20"/>
  <c r="S10"/>
  <c r="Y10" s="1"/>
  <c r="W10"/>
  <c r="S26"/>
  <c r="Y26" s="1"/>
  <c r="W26"/>
  <c r="S23"/>
  <c r="Y23" s="1"/>
  <c r="W23"/>
  <c r="S19"/>
  <c r="Y19" s="1"/>
  <c r="W19"/>
  <c r="S14"/>
  <c r="Y14" s="1"/>
  <c r="W14"/>
  <c r="S25"/>
  <c r="Y25" s="1"/>
  <c r="W25"/>
  <c r="O21"/>
  <c r="O22"/>
  <c r="S22" l="1"/>
  <c r="Y22" s="1"/>
  <c r="W22"/>
  <c r="S21"/>
  <c r="Y21" s="1"/>
  <c r="W21"/>
  <c r="Y28"/>
  <c r="S28"/>
  <c r="G31" s="1"/>
  <c r="G33" s="1"/>
  <c r="G37" s="1"/>
  <c r="G44" s="1"/>
</calcChain>
</file>

<file path=xl/sharedStrings.xml><?xml version="1.0" encoding="utf-8"?>
<sst xmlns="http://schemas.openxmlformats.org/spreadsheetml/2006/main" count="2305" uniqueCount="333">
  <si>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</si>
  <si>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</si>
  <si>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</si>
  <si>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</si>
  <si>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</si>
  <si>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</si>
  <si>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</si>
  <si>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</si>
  <si>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</si>
  <si>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</si>
  <si>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</si>
  <si>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</si>
  <si>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</si>
  <si>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</si>
  <si>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</si>
  <si>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</si>
  <si>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</si>
  <si>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</si>
  <si>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</si>
  <si>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</si>
  <si>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</si>
  <si>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</si>
  <si>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</si>
  <si>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</si>
  <si>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</si>
  <si>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</si>
  <si>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</si>
  <si>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</si>
  <si>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</si>
  <si>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</si>
  <si>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</si>
  <si>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</si>
  <si>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</si>
  <si>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</si>
  <si>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</si>
  <si>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</si>
  <si>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</si>
  <si>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수  입</t>
    <phoneticPr fontId="1" type="noConversion"/>
  </si>
  <si>
    <t>재 료 비</t>
    <phoneticPr fontId="1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</si>
  <si>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</si>
  <si>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</si>
  <si>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</si>
  <si>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</si>
  <si>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</si>
  <si>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</si>
  <si>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</si>
  <si>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</si>
  <si>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</si>
  <si>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</si>
  <si>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</si>
  <si>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</si>
  <si>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</si>
  <si>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</si>
  <si>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</si>
  <si>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</si>
  <si>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</si>
  <si>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</si>
  <si>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</si>
  <si>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</si>
  <si>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</si>
  <si>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</si>
  <si>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</si>
  <si>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</si>
  <si>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2010  년    7  월    20 일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</si>
  <si>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</si>
  <si>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</si>
  <si>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</si>
  <si>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</si>
  <si>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</si>
  <si>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</si>
  <si>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</si>
  <si>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</si>
  <si>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</si>
  <si>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</si>
  <si>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</si>
  <si>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</si>
  <si>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</si>
  <si>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</si>
  <si>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</si>
  <si>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</si>
  <si>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</si>
  <si>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</si>
  <si>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</si>
  <si>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</si>
  <si>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</si>
  <si>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</si>
  <si>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</si>
  <si>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</si>
  <si>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</si>
  <si>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</si>
  <si>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</si>
  <si>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</si>
  <si>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</si>
  <si>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</si>
  <si>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</si>
  <si>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</si>
  <si>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기기조립</t>
    <phoneticPr fontId="1" type="noConversion"/>
  </si>
  <si>
    <t>수  입</t>
    <phoneticPr fontId="1" type="noConversion"/>
  </si>
  <si>
    <t>기기배선</t>
    <phoneticPr fontId="1" type="noConversion"/>
  </si>
  <si>
    <t>재 료 비</t>
    <phoneticPr fontId="1" type="noConversion"/>
  </si>
  <si>
    <t>검    사</t>
    <phoneticPr fontId="6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</si>
  <si>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</si>
  <si>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</si>
  <si>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</si>
  <si>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</si>
  <si>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</si>
  <si>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</si>
  <si>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</si>
  <si>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</si>
  <si>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</si>
  <si>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</si>
  <si>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</si>
  <si>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</si>
  <si>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</si>
  <si>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</si>
  <si>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</si>
  <si>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</si>
  <si>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</si>
  <si>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</si>
  <si>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</si>
  <si>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</si>
  <si>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</si>
  <si>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</si>
  <si>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</si>
  <si>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</si>
  <si>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2010  년    7  월    20 일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</si>
  <si>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</si>
  <si>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</si>
  <si>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</si>
  <si>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</si>
  <si>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</si>
  <si>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</si>
  <si>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</si>
  <si>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</si>
  <si>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</si>
  <si>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</si>
  <si>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</si>
  <si>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</si>
  <si>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</si>
  <si>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</si>
  <si>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</si>
  <si>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</si>
  <si>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</si>
  <si>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</si>
  <si>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</si>
  <si>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</si>
  <si>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</si>
  <si>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</si>
  <si>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</si>
  <si>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</si>
  <si>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</si>
  <si>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</si>
  <si>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</si>
  <si>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</si>
  <si>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</si>
  <si>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</si>
  <si>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</si>
  <si>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</si>
  <si>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수  입</t>
    <phoneticPr fontId="1" type="noConversion"/>
  </si>
  <si>
    <t>재 료 비</t>
    <phoneticPr fontId="1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</si>
  <si>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</si>
  <si>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</si>
  <si>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</si>
  <si>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</si>
  <si>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</si>
  <si>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</si>
  <si>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</si>
  <si>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</si>
  <si>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</si>
  <si>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</si>
  <si>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</si>
  <si>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</si>
  <si>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</si>
  <si>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</si>
  <si>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</si>
  <si>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</si>
  <si>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</si>
  <si>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</si>
  <si>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</si>
  <si>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EA</t>
  </si>
  <si>
    <t>방송, 표시기</t>
    <phoneticPr fontId="1" type="noConversion"/>
  </si>
  <si>
    <t>EA</t>
    <phoneticPr fontId="1" type="noConversion"/>
  </si>
  <si>
    <t>EA</t>
    <phoneticPr fontId="1" type="noConversion"/>
  </si>
  <si>
    <t>ASS'Y</t>
  </si>
  <si>
    <t>ASS'Y</t>
    <phoneticPr fontId="1" type="noConversion"/>
  </si>
  <si>
    <t>EA</t>
    <phoneticPr fontId="6" type="noConversion"/>
  </si>
  <si>
    <t>ASS'Y</t>
    <phoneticPr fontId="1" type="noConversion"/>
  </si>
  <si>
    <t>ASS'Y</t>
    <phoneticPr fontId="1" type="noConversion"/>
  </si>
  <si>
    <t>단 가</t>
    <phoneticPr fontId="1" type="noConversion"/>
  </si>
  <si>
    <t>외주</t>
    <phoneticPr fontId="1" type="noConversion"/>
  </si>
  <si>
    <t xml:space="preserve">  1. 환경시험비용 포함</t>
    <phoneticPr fontId="1" type="noConversion"/>
  </si>
  <si>
    <t>EA</t>
    <phoneticPr fontId="6" type="noConversion"/>
  </si>
  <si>
    <t>CPU BOARD</t>
    <phoneticPr fontId="1" type="noConversion"/>
  </si>
  <si>
    <t>POWER UNIT</t>
    <phoneticPr fontId="1" type="noConversion"/>
  </si>
  <si>
    <t>FRAME BOX</t>
    <phoneticPr fontId="1" type="noConversion"/>
  </si>
  <si>
    <t>CONNECTOR</t>
    <phoneticPr fontId="1" type="noConversion"/>
  </si>
  <si>
    <t>MAX1480ECEPI(통신첩)</t>
    <phoneticPr fontId="1" type="noConversion"/>
  </si>
  <si>
    <t>Windows Xp 라이샌스</t>
    <phoneticPr fontId="1" type="noConversion"/>
  </si>
  <si>
    <t>부자재</t>
    <phoneticPr fontId="1" type="noConversion"/>
  </si>
  <si>
    <t>EA</t>
    <phoneticPr fontId="1" type="noConversion"/>
  </si>
  <si>
    <t>회 사 명
(코드)</t>
    <phoneticPr fontId="1" type="noConversion"/>
  </si>
  <si>
    <t>2011  년    4 월    11 일</t>
    <phoneticPr fontId="1" type="noConversion"/>
  </si>
  <si>
    <t>CRA</t>
    <phoneticPr fontId="1" type="noConversion"/>
  </si>
  <si>
    <t>CCP</t>
    <phoneticPr fontId="1" type="noConversion"/>
  </si>
  <si>
    <t>LCD</t>
    <phoneticPr fontId="1" type="noConversion"/>
  </si>
  <si>
    <t>MAX1480ECEP</t>
    <phoneticPr fontId="1" type="noConversion"/>
  </si>
  <si>
    <t>Windows CE 라이센스</t>
    <phoneticPr fontId="1" type="noConversion"/>
  </si>
  <si>
    <t>EA</t>
    <phoneticPr fontId="6" type="noConversion"/>
  </si>
  <si>
    <t>AAR</t>
    <phoneticPr fontId="1" type="noConversion"/>
  </si>
  <si>
    <t>POWER UNIT</t>
    <phoneticPr fontId="1" type="noConversion"/>
  </si>
  <si>
    <t>MAX1480ECEPI</t>
    <phoneticPr fontId="1" type="noConversion"/>
  </si>
  <si>
    <t>부자재</t>
    <phoneticPr fontId="1" type="noConversion"/>
  </si>
  <si>
    <t>DPO</t>
    <phoneticPr fontId="1" type="noConversion"/>
  </si>
  <si>
    <t>MICROPHONE</t>
    <phoneticPr fontId="1" type="noConversion"/>
  </si>
  <si>
    <t>SPEAKER</t>
    <phoneticPr fontId="1" type="noConversion"/>
  </si>
  <si>
    <t>SWITCH</t>
    <phoneticPr fontId="1" type="noConversion"/>
  </si>
  <si>
    <t>PHONE JACK</t>
    <phoneticPr fontId="1" type="noConversion"/>
  </si>
  <si>
    <t>DMA</t>
    <phoneticPr fontId="1" type="noConversion"/>
  </si>
  <si>
    <t>MICROPHONE</t>
    <phoneticPr fontId="1" type="noConversion"/>
  </si>
  <si>
    <t>CSP</t>
    <phoneticPr fontId="1" type="noConversion"/>
  </si>
  <si>
    <t>FRAME BOX</t>
    <phoneticPr fontId="1" type="noConversion"/>
  </si>
  <si>
    <t>KNOB</t>
    <phoneticPr fontId="1" type="noConversion"/>
  </si>
  <si>
    <t>VOLUME CONTROL</t>
    <phoneticPr fontId="1" type="noConversion"/>
  </si>
  <si>
    <t>CPO</t>
    <phoneticPr fontId="1" type="noConversion"/>
  </si>
  <si>
    <t>SPEAKER</t>
    <phoneticPr fontId="1" type="noConversion"/>
  </si>
  <si>
    <t>SWITCH</t>
    <phoneticPr fontId="1" type="noConversion"/>
  </si>
  <si>
    <t>부자재</t>
    <phoneticPr fontId="1" type="noConversion"/>
  </si>
  <si>
    <t>EA</t>
    <phoneticPr fontId="6" type="noConversion"/>
  </si>
  <si>
    <t>PEI</t>
    <phoneticPr fontId="1" type="noConversion"/>
  </si>
  <si>
    <t>EA</t>
    <phoneticPr fontId="6" type="noConversion"/>
  </si>
  <si>
    <t>ISP</t>
    <phoneticPr fontId="1" type="noConversion"/>
  </si>
  <si>
    <t>ESP</t>
    <phoneticPr fontId="1" type="noConversion"/>
  </si>
  <si>
    <t>TRANSFORMS</t>
    <phoneticPr fontId="1" type="noConversion"/>
  </si>
  <si>
    <t>TRF1</t>
    <phoneticPr fontId="1" type="noConversion"/>
  </si>
  <si>
    <t>TRF2</t>
    <phoneticPr fontId="1" type="noConversion"/>
  </si>
  <si>
    <t>CONNECTOR</t>
    <phoneticPr fontId="1" type="noConversion"/>
  </si>
  <si>
    <t>LED-단색</t>
    <phoneticPr fontId="1" type="noConversion"/>
  </si>
  <si>
    <t>LED-칼라</t>
    <phoneticPr fontId="1" type="noConversion"/>
  </si>
  <si>
    <t>EA</t>
    <phoneticPr fontId="1" type="noConversion"/>
  </si>
  <si>
    <t>EA</t>
    <phoneticPr fontId="1" type="noConversion"/>
  </si>
  <si>
    <t xml:space="preserve">FDI </t>
    <phoneticPr fontId="1" type="noConversion"/>
  </si>
  <si>
    <t>SDI</t>
    <phoneticPr fontId="1" type="noConversion"/>
  </si>
  <si>
    <t>EA</t>
    <phoneticPr fontId="1" type="noConversion"/>
  </si>
  <si>
    <t>PII</t>
    <phoneticPr fontId="1" type="noConversion"/>
  </si>
  <si>
    <t>PID</t>
    <phoneticPr fontId="1" type="noConversion"/>
  </si>
  <si>
    <t>TFT-LCD ASS'Y</t>
    <phoneticPr fontId="1" type="noConversion"/>
  </si>
  <si>
    <t>JUMPER PLUG ASS'Y</t>
    <phoneticPr fontId="1" type="noConversion"/>
  </si>
  <si>
    <t>JCR1</t>
    <phoneticPr fontId="1" type="noConversion"/>
  </si>
  <si>
    <t>JCR2</t>
    <phoneticPr fontId="1" type="noConversion"/>
  </si>
  <si>
    <t>JMPER RE</t>
    <phoneticPr fontId="1" type="noConversion"/>
  </si>
  <si>
    <t>CBL1</t>
    <phoneticPr fontId="1" type="noConversion"/>
  </si>
  <si>
    <t>CBL2</t>
    <phoneticPr fontId="1" type="noConversion"/>
  </si>
  <si>
    <t>E/S Ethernet</t>
    <phoneticPr fontId="1" type="noConversion"/>
  </si>
  <si>
    <t>EA</t>
    <phoneticPr fontId="1" type="noConversion"/>
  </si>
  <si>
    <t>덴버전동차 50량</t>
    <phoneticPr fontId="1" type="noConversion"/>
  </si>
  <si>
    <t>TOUCH SCREEN</t>
    <phoneticPr fontId="1" type="noConversion"/>
  </si>
  <si>
    <t>교육,출장비</t>
    <phoneticPr fontId="1" type="noConversion"/>
  </si>
  <si>
    <t>현지기술지원 및 상주비용</t>
    <phoneticPr fontId="1" type="noConversion"/>
  </si>
  <si>
    <t>검사</t>
    <phoneticPr fontId="1" type="noConversion"/>
  </si>
  <si>
    <t>EA</t>
    <phoneticPr fontId="1" type="noConversion"/>
  </si>
  <si>
    <t>SCB(RF-COM)</t>
    <phoneticPr fontId="1" type="noConversion"/>
  </si>
  <si>
    <t>LIC(WOOJIN)</t>
    <phoneticPr fontId="1" type="noConversion"/>
  </si>
  <si>
    <t>WLR(ANTS)</t>
    <phoneticPr fontId="1" type="noConversion"/>
  </si>
  <si>
    <t>VTX(ANTS)</t>
    <phoneticPr fontId="1" type="noConversion"/>
  </si>
  <si>
    <t>HDD-PCB(ANTS)</t>
    <phoneticPr fontId="1" type="noConversion"/>
  </si>
  <si>
    <t>CNCS-메인보드(ANTS)</t>
    <phoneticPr fontId="1" type="noConversion"/>
  </si>
  <si>
    <t>CNCS-CPU(i-Tech)</t>
    <phoneticPr fontId="1" type="noConversion"/>
  </si>
  <si>
    <t>BPB(ANTS)</t>
    <phoneticPr fontId="1" type="noConversion"/>
  </si>
  <si>
    <t>PAC-INT(RF-COM)</t>
    <phoneticPr fontId="1" type="noConversion"/>
  </si>
  <si>
    <t>PAC-MCU(RF-COM)</t>
    <phoneticPr fontId="1" type="noConversion"/>
  </si>
  <si>
    <t>PAC-VOL(RF-COM)</t>
    <phoneticPr fontId="1" type="noConversion"/>
  </si>
  <si>
    <t>PAC-485(RF-COM)</t>
    <phoneticPr fontId="1" type="noConversion"/>
  </si>
  <si>
    <t>PAC-VOIP(RF-COM)</t>
    <phoneticPr fontId="1" type="noConversion"/>
  </si>
  <si>
    <t>PAC-REC(RF_COM)</t>
    <phoneticPr fontId="1" type="noConversion"/>
  </si>
  <si>
    <t>DC37.5V(이즈파워)</t>
    <phoneticPr fontId="1" type="noConversion"/>
  </si>
  <si>
    <t>ASS'Y(USK)</t>
    <phoneticPr fontId="1" type="noConversion"/>
  </si>
  <si>
    <t>Glenair ASS'Y(넥서스)</t>
    <phoneticPr fontId="1" type="noConversion"/>
  </si>
  <si>
    <t>ASS'Y(위니프로)</t>
    <phoneticPr fontId="1" type="noConversion"/>
  </si>
  <si>
    <t>ASS'Y(i-Tech)</t>
    <phoneticPr fontId="1" type="noConversion"/>
  </si>
  <si>
    <t>ASS'Y(woojin)</t>
    <phoneticPr fontId="1" type="noConversion"/>
  </si>
  <si>
    <t>ASS'Y(보성엔지니어)</t>
    <phoneticPr fontId="1" type="noConversion"/>
  </si>
  <si>
    <t>기타 Coonector 및 전선(은강반도체)</t>
    <phoneticPr fontId="1" type="noConversion"/>
  </si>
  <si>
    <t>기타 Connector 및 전선(은강 반도체)</t>
    <phoneticPr fontId="1" type="noConversion"/>
  </si>
  <si>
    <t>ASS'Y(은강반도체)</t>
    <phoneticPr fontId="1" type="noConversion"/>
  </si>
  <si>
    <t>AAB-1(RF-COM)</t>
    <phoneticPr fontId="1" type="noConversion"/>
  </si>
  <si>
    <t>BPB(RF-COM)</t>
    <phoneticPr fontId="1" type="noConversion"/>
  </si>
  <si>
    <t>AMP(엠비콘넥터)</t>
    <phoneticPr fontId="1" type="noConversion"/>
  </si>
  <si>
    <t>기타 Connector 및 전선(은강반도체)</t>
    <phoneticPr fontId="1" type="noConversion"/>
  </si>
  <si>
    <t>ASS'Y(RF_COM)</t>
    <phoneticPr fontId="1" type="noConversion"/>
  </si>
  <si>
    <t>DC37.5V/5V(이즈파워)</t>
    <phoneticPr fontId="1" type="noConversion"/>
  </si>
  <si>
    <t>ASS'Y(삼미스피커)</t>
    <phoneticPr fontId="1" type="noConversion"/>
  </si>
  <si>
    <t>ASS'Y(이즈파워)</t>
    <phoneticPr fontId="1" type="noConversion"/>
  </si>
  <si>
    <t>기타 Conncector 및 전선(은강반도체)</t>
    <phoneticPr fontId="1" type="noConversion"/>
  </si>
  <si>
    <t>SPEAKER(삼미)</t>
    <phoneticPr fontId="1" type="noConversion"/>
  </si>
  <si>
    <t>KNOB(은강반도체)</t>
    <phoneticPr fontId="1" type="noConversion"/>
  </si>
  <si>
    <t>VOLUME CONTROL(DuraCap International Inc)</t>
    <phoneticPr fontId="1" type="noConversion"/>
  </si>
  <si>
    <t>ASS'Y(RF-COM)</t>
    <phoneticPr fontId="1" type="noConversion"/>
  </si>
  <si>
    <t>ASS'Y(삼미)</t>
    <phoneticPr fontId="1" type="noConversion"/>
  </si>
  <si>
    <t>ASS'Y(ANTS)</t>
    <phoneticPr fontId="1" type="noConversion"/>
  </si>
  <si>
    <t>ASS'Y(삼익전자)</t>
    <phoneticPr fontId="1" type="noConversion"/>
  </si>
  <si>
    <t>LED SENSOR(ANTS)</t>
    <phoneticPr fontId="1" type="noConversion"/>
  </si>
  <si>
    <t>AC230V/5V(이즈파워)</t>
    <phoneticPr fontId="1" type="noConversion"/>
  </si>
  <si>
    <t>ASS'Y(오디텍)</t>
    <phoneticPr fontId="1" type="noConversion"/>
  </si>
  <si>
    <t>ASS'Y(햄머)</t>
    <phoneticPr fontId="1" type="noConversion"/>
  </si>
  <si>
    <t>ASS'Y(m단위)(햄머)</t>
    <phoneticPr fontId="1" type="noConversion"/>
  </si>
  <si>
    <t>BNC CONNECTOR(햄머)</t>
    <phoneticPr fontId="1" type="noConversion"/>
  </si>
  <si>
    <t>BAYONET CONNECTOR(넥서스)</t>
    <phoneticPr fontId="1" type="noConversion"/>
  </si>
  <si>
    <t>ASS'Y(m단위)(넥서스)</t>
    <phoneticPr fontId="1" type="noConversion"/>
  </si>
  <si>
    <t>* E/S Ethernet 케이블 및 연결 컨넥터 포함된 가격</t>
    <phoneticPr fontId="1" type="noConversion"/>
  </si>
  <si>
    <t>Glenair ASS'Y(넥서스)</t>
    <phoneticPr fontId="1" type="noConversion"/>
  </si>
  <si>
    <t>* Glenair 컨넥터 가격 상승.</t>
    <phoneticPr fontId="1" type="noConversion"/>
  </si>
  <si>
    <t>ASS'Y(은강반도체)</t>
    <phoneticPr fontId="1" type="noConversion"/>
  </si>
  <si>
    <t>* ASS'Y 제품을 그대로 사용 하는 부분 이므로  "노무비"  없어도 될것 같습니다.</t>
    <phoneticPr fontId="1" type="noConversion"/>
  </si>
  <si>
    <t>* DualTone 기능을 분리 하는 과정에서 PCB 가격 상승.</t>
    <phoneticPr fontId="1" type="noConversion"/>
  </si>
  <si>
    <t>* Glenair 컨넥터 가격 상승 및 Type 변경(ITS -&gt; ITH)</t>
    <phoneticPr fontId="1" type="noConversion"/>
  </si>
  <si>
    <t>* SEPTA "DMJ" 를 DPO에 통합. (DMJ 가격이 추가)</t>
    <phoneticPr fontId="1" type="noConversion"/>
  </si>
  <si>
    <t>* 노무비가 너무 높게 되어 있습니다.</t>
    <phoneticPr fontId="1" type="noConversion"/>
  </si>
  <si>
    <t>* Power Module 가격 상승.</t>
    <phoneticPr fontId="1" type="noConversion"/>
  </si>
  <si>
    <t>* 가타 부수적인 컨넥터 가격 상승.</t>
    <phoneticPr fontId="1" type="noConversion"/>
  </si>
  <si>
    <t>* 방수 부분 보완을 위해 스피커 사양 변경.</t>
    <phoneticPr fontId="1" type="noConversion"/>
  </si>
  <si>
    <t>* Switch 가격 상승.</t>
    <phoneticPr fontId="1" type="noConversion"/>
  </si>
  <si>
    <t>* VOIP 라이센스 비용 일부 분산.</t>
    <phoneticPr fontId="1" type="noConversion"/>
  </si>
  <si>
    <t>* Volume Control 수입 품 수량 제한으로 대량 구입.</t>
    <phoneticPr fontId="1" type="noConversion"/>
  </si>
  <si>
    <t>TRANSFORME</t>
    <phoneticPr fontId="1" type="noConversion"/>
  </si>
  <si>
    <t>* TRANSFORME 가격 상승.</t>
    <phoneticPr fontId="1" type="noConversion"/>
  </si>
  <si>
    <t>*LED 가격 상승.</t>
    <phoneticPr fontId="1" type="noConversion"/>
  </si>
  <si>
    <t>* LCD 가격 상승 요인.</t>
    <phoneticPr fontId="1" type="noConversion"/>
  </si>
  <si>
    <t>* 엠비 콘넥터 가격 상승</t>
    <phoneticPr fontId="1" type="noConversion"/>
  </si>
  <si>
    <t xml:space="preserve">* PCB에 동영상 Bypass 기능 추가 </t>
    <phoneticPr fontId="1" type="noConversion"/>
  </si>
  <si>
    <t>COAXIAL CABLE ASS'Y</t>
    <phoneticPr fontId="1" type="noConversion"/>
  </si>
  <si>
    <t>* 동영상 백업 기능 추가에 다른 COAXIAL CABLE ASS'Y 길이 추가</t>
    <phoneticPr fontId="1" type="noConversion"/>
  </si>
  <si>
    <t>* BNC 컨넥터는 1량 기준으로 가격 산정.</t>
    <phoneticPr fontId="1" type="noConversion"/>
  </si>
  <si>
    <t>* 컨넥터 가격 상승</t>
    <phoneticPr fontId="1" type="noConversion"/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</si>
</sst>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#,##0_ "/>
    <numFmt numFmtId="178" formatCode="#,##0.000_ "/>
    <numFmt numFmtId="179" formatCode="#,##0_ ;[Red]\-#,##0\ "/>
  </numFmts>
  <fonts count="38"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color indexed="12"/>
      <name val="굴림"/>
      <family val="3"/>
      <charset val="129"/>
    </font>
    <font>
      <sz val="11"/>
      <color indexed="12"/>
      <name val="돋움"/>
      <family val="3"/>
      <charset val="129"/>
    </font>
    <font>
      <sz val="10"/>
      <color indexed="48"/>
      <name val="굴림체"/>
      <family val="3"/>
      <charset val="129"/>
    </font>
    <font>
      <sz val="10"/>
      <color indexed="48"/>
      <name val="굴림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9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6"/>
      <name val="굴림체"/>
      <family val="3"/>
      <charset val="129"/>
    </font>
    <font>
      <sz val="10"/>
      <color rgb="FFFF0000"/>
      <name val="굴림체"/>
      <family val="3"/>
      <charset val="129"/>
    </font>
    <font>
      <sz val="9"/>
      <color indexed="48"/>
      <name val="굴림체"/>
      <family val="3"/>
      <charset val="129"/>
    </font>
    <font>
      <sz val="8"/>
      <color indexed="48"/>
      <name val="굴림체"/>
      <family val="3"/>
      <charset val="129"/>
    </font>
    <font>
      <sz val="12"/>
      <color rgb="FFFF0000"/>
      <name val="돋움"/>
      <family val="3"/>
      <charset val="129"/>
    </font>
    <font>
      <sz val="12"/>
      <color rgb="FFFF0000"/>
      <name val="굴림체"/>
      <family val="3"/>
      <charset val="129"/>
    </font>
    <font>
      <b/>
      <sz val="12"/>
      <color rgb="FF00B050"/>
      <name val="굴림체"/>
      <family val="3"/>
      <charset val="129"/>
    </font>
    <font>
      <b/>
      <sz val="12"/>
      <color rgb="FF00B05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176" fontId="29" fillId="0" borderId="0" applyFont="0" applyFill="0" applyBorder="0" applyAlignment="0" applyProtection="0">
      <alignment vertical="center"/>
    </xf>
  </cellStyleXfs>
  <cellXfs count="65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 indent="1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76" fontId="12" fillId="0" borderId="0" xfId="1" applyFont="1" applyFill="1" applyBorder="1" applyAlignment="1">
      <alignment horizontal="left" vertical="center" shrinkToFi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7" xfId="0" applyFont="1" applyFill="1" applyBorder="1" applyAlignment="1">
      <alignment horizontal="left" vertical="center" indent="1"/>
    </xf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5" fillId="0" borderId="6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76" fontId="12" fillId="0" borderId="0" xfId="1" applyFont="1" applyFill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3" xfId="0" applyFont="1" applyFill="1" applyBorder="1" applyAlignment="1">
      <alignment horizontal="left" vertical="center" indent="1"/>
    </xf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Continuous" vertical="center"/>
    </xf>
    <xf numFmtId="0" fontId="2" fillId="0" borderId="24" xfId="0" applyFont="1" applyBorder="1" applyAlignment="1">
      <alignment horizontal="centerContinuous"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178" fontId="2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38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" vertical="center" shrinkToFit="1"/>
    </xf>
    <xf numFmtId="176" fontId="7" fillId="0" borderId="2" xfId="0" applyNumberFormat="1" applyFont="1" applyFill="1" applyBorder="1" applyAlignment="1">
      <alignment horizontal="centerContinuous" vertical="center"/>
    </xf>
    <xf numFmtId="176" fontId="7" fillId="0" borderId="26" xfId="0" applyNumberFormat="1" applyFont="1" applyFill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 shrinkToFit="1"/>
    </xf>
    <xf numFmtId="0" fontId="5" fillId="0" borderId="9" xfId="0" applyFont="1" applyBorder="1" applyAlignment="1">
      <alignment horizontal="centerContinuous" vertical="center" shrinkToFit="1"/>
    </xf>
    <xf numFmtId="0" fontId="5" fillId="0" borderId="8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" vertical="center" shrinkToFit="1"/>
    </xf>
    <xf numFmtId="176" fontId="7" fillId="0" borderId="7" xfId="0" applyNumberFormat="1" applyFont="1" applyFill="1" applyBorder="1" applyAlignment="1">
      <alignment horizontal="centerContinuous" vertical="center"/>
    </xf>
    <xf numFmtId="176" fontId="7" fillId="0" borderId="10" xfId="0" applyNumberFormat="1" applyFont="1" applyFill="1" applyBorder="1" applyAlignment="1">
      <alignment horizontal="centerContinuous" vertical="center"/>
    </xf>
    <xf numFmtId="176" fontId="5" fillId="0" borderId="7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Border="1" applyAlignment="1">
      <alignment horizontal="centerContinuous" vertical="center"/>
    </xf>
    <xf numFmtId="0" fontId="5" fillId="0" borderId="14" xfId="0" applyFont="1" applyBorder="1" applyAlignment="1">
      <alignment horizontal="centerContinuous" vertical="center" shrinkToFit="1"/>
    </xf>
    <xf numFmtId="0" fontId="5" fillId="0" borderId="15" xfId="0" applyFont="1" applyBorder="1" applyAlignment="1">
      <alignment horizontal="centerContinuous" vertical="center" shrinkToFit="1"/>
    </xf>
    <xf numFmtId="0" fontId="5" fillId="0" borderId="14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Border="1" applyAlignment="1">
      <alignment horizontal="centerContinuous" vertical="center"/>
    </xf>
    <xf numFmtId="0" fontId="2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5" fillId="0" borderId="2" xfId="0" applyNumberFormat="1" applyFont="1" applyFill="1" applyBorder="1" applyAlignment="1">
      <alignment horizontal="centerContinuous" vertical="center"/>
    </xf>
    <xf numFmtId="176" fontId="5" fillId="0" borderId="26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Fill="1" applyBorder="1" applyAlignment="1">
      <alignment horizontal="centerContinuous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Fill="1" applyBorder="1" applyAlignment="1">
      <alignment horizontal="centerContinuous" vertical="center"/>
    </xf>
    <xf numFmtId="176" fontId="5" fillId="0" borderId="30" xfId="0" applyNumberFormat="1" applyFont="1" applyFill="1" applyBorder="1" applyAlignment="1">
      <alignment horizontal="centerContinuous" vertical="center"/>
    </xf>
    <xf numFmtId="3" fontId="5" fillId="0" borderId="1" xfId="0" applyNumberFormat="1" applyFont="1" applyFill="1" applyBorder="1" applyAlignment="1">
      <alignment horizontal="center" vertical="center" shrinkToFit="1"/>
    </xf>
    <xf numFmtId="176" fontId="27" fillId="0" borderId="7" xfId="0" applyNumberFormat="1" applyFont="1" applyFill="1" applyBorder="1" applyAlignment="1">
      <alignment horizontal="centerContinuous" vertical="center"/>
    </xf>
    <xf numFmtId="0" fontId="27" fillId="0" borderId="7" xfId="0" applyFont="1" applyBorder="1" applyAlignment="1">
      <alignment horizontal="left" vertical="center"/>
    </xf>
    <xf numFmtId="176" fontId="27" fillId="0" borderId="2" xfId="0" applyNumberFormat="1" applyFont="1" applyFill="1" applyBorder="1" applyAlignment="1">
      <alignment horizontal="centerContinuous" vertical="center"/>
    </xf>
    <xf numFmtId="176" fontId="27" fillId="0" borderId="26" xfId="0" applyNumberFormat="1" applyFont="1" applyFill="1" applyBorder="1" applyAlignment="1">
      <alignment horizontal="centerContinuous" vertical="center"/>
    </xf>
    <xf numFmtId="176" fontId="27" fillId="0" borderId="10" xfId="0" applyNumberFormat="1" applyFont="1" applyFill="1" applyBorder="1" applyAlignment="1">
      <alignment horizontal="centerContinuous" vertical="center"/>
    </xf>
    <xf numFmtId="0" fontId="13" fillId="0" borderId="0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centerContinuous" vertical="center" shrinkToFit="1"/>
    </xf>
    <xf numFmtId="176" fontId="5" fillId="0" borderId="10" xfId="0" applyNumberFormat="1" applyFont="1" applyFill="1" applyBorder="1" applyAlignment="1">
      <alignment horizontal="centerContinuous" vertical="center" shrinkToFit="1"/>
    </xf>
    <xf numFmtId="0" fontId="30" fillId="0" borderId="2" xfId="0" applyFont="1" applyFill="1" applyBorder="1" applyAlignment="1">
      <alignment horizontal="left" vertical="center" indent="1"/>
    </xf>
    <xf numFmtId="0" fontId="31" fillId="0" borderId="7" xfId="0" applyFont="1" applyFill="1" applyBorder="1" applyAlignment="1">
      <alignment horizontal="left" vertical="center" indent="1"/>
    </xf>
    <xf numFmtId="0" fontId="31" fillId="0" borderId="8" xfId="0" applyFont="1" applyFill="1" applyBorder="1" applyAlignment="1"/>
    <xf numFmtId="0" fontId="27" fillId="0" borderId="1" xfId="0" applyFont="1" applyFill="1" applyBorder="1" applyAlignment="1">
      <alignment horizontal="center" vertical="center" shrinkToFit="1"/>
    </xf>
    <xf numFmtId="0" fontId="27" fillId="0" borderId="6" xfId="0" applyFont="1" applyFill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 indent="1"/>
    </xf>
    <xf numFmtId="0" fontId="5" fillId="3" borderId="8" xfId="0" applyFont="1" applyFill="1" applyBorder="1" applyAlignment="1"/>
    <xf numFmtId="0" fontId="5" fillId="3" borderId="9" xfId="0" applyFont="1" applyFill="1" applyBorder="1" applyAlignment="1"/>
    <xf numFmtId="0" fontId="27" fillId="3" borderId="6" xfId="0" applyFont="1" applyFill="1" applyBorder="1" applyAlignment="1">
      <alignment horizontal="center" vertical="center" shrinkToFit="1"/>
    </xf>
    <xf numFmtId="176" fontId="27" fillId="3" borderId="7" xfId="0" applyNumberFormat="1" applyFont="1" applyFill="1" applyBorder="1" applyAlignment="1">
      <alignment horizontal="centerContinuous" vertical="center"/>
    </xf>
    <xf numFmtId="176" fontId="27" fillId="3" borderId="10" xfId="0" applyNumberFormat="1" applyFont="1" applyFill="1" applyBorder="1" applyAlignment="1">
      <alignment horizontal="centerContinuous" vertical="center"/>
    </xf>
    <xf numFmtId="176" fontId="12" fillId="3" borderId="0" xfId="1" applyFont="1" applyFill="1" applyBorder="1" applyAlignment="1">
      <alignment horizontal="left" vertical="center" shrinkToFit="1"/>
    </xf>
    <xf numFmtId="0" fontId="2" fillId="3" borderId="0" xfId="0" applyFont="1" applyFill="1" applyAlignment="1">
      <alignment vertical="center"/>
    </xf>
    <xf numFmtId="0" fontId="5" fillId="3" borderId="7" xfId="0" quotePrefix="1" applyFont="1" applyFill="1" applyBorder="1" applyAlignment="1">
      <alignment horizontal="left" vertical="center" indent="1"/>
    </xf>
    <xf numFmtId="38" fontId="27" fillId="3" borderId="6" xfId="0" applyNumberFormat="1" applyFont="1" applyFill="1" applyBorder="1" applyAlignment="1">
      <alignment horizontal="center" vertical="center" shrinkToFit="1"/>
    </xf>
    <xf numFmtId="176" fontId="12" fillId="3" borderId="0" xfId="1" applyFont="1" applyFill="1" applyBorder="1" applyAlignment="1">
      <alignment horizontal="left" vertical="center"/>
    </xf>
    <xf numFmtId="177" fontId="7" fillId="3" borderId="10" xfId="0" applyNumberFormat="1" applyFont="1" applyFill="1" applyBorder="1" applyAlignment="1">
      <alignment horizontal="centerContinuous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left" vertical="center" indent="1"/>
    </xf>
    <xf numFmtId="0" fontId="5" fillId="3" borderId="14" xfId="0" applyFont="1" applyFill="1" applyBorder="1" applyAlignment="1"/>
    <xf numFmtId="0" fontId="5" fillId="3" borderId="15" xfId="0" applyFont="1" applyFill="1" applyBorder="1" applyAlignment="1"/>
    <xf numFmtId="0" fontId="27" fillId="3" borderId="12" xfId="0" applyFont="1" applyFill="1" applyBorder="1" applyAlignment="1">
      <alignment horizontal="center" vertical="center" shrinkToFit="1"/>
    </xf>
    <xf numFmtId="176" fontId="27" fillId="3" borderId="13" xfId="0" applyNumberFormat="1" applyFont="1" applyFill="1" applyBorder="1" applyAlignment="1">
      <alignment horizontal="centerContinuous" vertical="center"/>
    </xf>
    <xf numFmtId="177" fontId="7" fillId="3" borderId="16" xfId="0" applyNumberFormat="1" applyFont="1" applyFill="1" applyBorder="1" applyAlignment="1">
      <alignment horizontal="centerContinuous" vertical="center"/>
    </xf>
    <xf numFmtId="0" fontId="26" fillId="0" borderId="0" xfId="0" quotePrefix="1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76" fontId="7" fillId="0" borderId="106" xfId="1" applyFont="1" applyBorder="1" applyAlignment="1">
      <alignment horizontal="right" vertical="center"/>
    </xf>
    <xf numFmtId="176" fontId="7" fillId="0" borderId="17" xfId="1" applyFont="1" applyBorder="1" applyAlignment="1">
      <alignment horizontal="right" vertical="center"/>
    </xf>
    <xf numFmtId="176" fontId="7" fillId="0" borderId="56" xfId="1" applyFont="1" applyBorder="1" applyAlignment="1">
      <alignment horizontal="right" vertical="center"/>
    </xf>
    <xf numFmtId="176" fontId="7" fillId="0" borderId="66" xfId="1" applyFont="1" applyBorder="1" applyAlignment="1">
      <alignment horizontal="right" vertical="center"/>
    </xf>
    <xf numFmtId="176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76" fontId="25" fillId="0" borderId="107" xfId="0" applyNumberFormat="1" applyFont="1" applyBorder="1" applyAlignment="1">
      <alignment horizontal="center" vertical="center"/>
    </xf>
    <xf numFmtId="0" fontId="25" fillId="0" borderId="10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77" fontId="5" fillId="0" borderId="64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65" xfId="0" applyNumberFormat="1" applyFont="1" applyBorder="1" applyAlignment="1">
      <alignment horizontal="center" vertical="center"/>
    </xf>
    <xf numFmtId="176" fontId="22" fillId="0" borderId="7" xfId="1" applyFont="1" applyBorder="1" applyAlignment="1">
      <alignment horizontal="right" vertical="center"/>
    </xf>
    <xf numFmtId="176" fontId="22" fillId="0" borderId="9" xfId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65" xfId="0" applyFont="1" applyBorder="1" applyAlignment="1">
      <alignment horizontal="right" vertical="center"/>
    </xf>
    <xf numFmtId="3" fontId="5" fillId="0" borderId="64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76" fontId="22" fillId="0" borderId="65" xfId="1" applyFont="1" applyBorder="1" applyAlignment="1">
      <alignment horizontal="right" vertical="center"/>
    </xf>
    <xf numFmtId="176" fontId="22" fillId="0" borderId="8" xfId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shrinkToFit="1"/>
    </xf>
    <xf numFmtId="0" fontId="22" fillId="0" borderId="3" xfId="0" applyFont="1" applyBorder="1" applyAlignment="1">
      <alignment horizontal="center" vertical="center"/>
    </xf>
    <xf numFmtId="176" fontId="2" fillId="0" borderId="98" xfId="0" applyNumberFormat="1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176" fontId="15" fillId="0" borderId="59" xfId="1" applyFont="1" applyBorder="1" applyAlignment="1">
      <alignment horizontal="right" vertical="center"/>
    </xf>
    <xf numFmtId="176" fontId="15" fillId="0" borderId="27" xfId="1" applyFont="1" applyBorder="1" applyAlignment="1">
      <alignment horizontal="right"/>
    </xf>
    <xf numFmtId="176" fontId="15" fillId="0" borderId="28" xfId="1" applyFont="1" applyBorder="1" applyAlignment="1">
      <alignment horizontal="right"/>
    </xf>
    <xf numFmtId="176" fontId="14" fillId="0" borderId="99" xfId="1" applyFont="1" applyBorder="1" applyAlignment="1">
      <alignment horizontal="right" vertical="center"/>
    </xf>
    <xf numFmtId="176" fontId="14" fillId="0" borderId="27" xfId="1" applyFont="1" applyBorder="1" applyAlignment="1">
      <alignment horizontal="right" vertical="center"/>
    </xf>
    <xf numFmtId="176" fontId="14" fillId="0" borderId="28" xfId="1" applyFont="1" applyBorder="1" applyAlignment="1">
      <alignment horizontal="right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20" fillId="0" borderId="102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74" xfId="0" applyFont="1" applyBorder="1" applyAlignment="1">
      <alignment horizontal="center" vertical="center" shrinkToFit="1"/>
    </xf>
    <xf numFmtId="0" fontId="2" fillId="0" borderId="104" xfId="0" applyFont="1" applyBorder="1" applyAlignment="1">
      <alignment horizontal="center" vertical="center" shrinkToFit="1"/>
    </xf>
    <xf numFmtId="0" fontId="18" fillId="0" borderId="0" xfId="0" quotePrefix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 shrinkToFit="1"/>
    </xf>
    <xf numFmtId="0" fontId="2" fillId="0" borderId="33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 shrinkToFit="1"/>
    </xf>
    <xf numFmtId="0" fontId="2" fillId="0" borderId="40" xfId="0" applyFont="1" applyBorder="1" applyAlignment="1">
      <alignment horizontal="center" vertical="center" shrinkToFit="1"/>
    </xf>
    <xf numFmtId="176" fontId="13" fillId="0" borderId="23" xfId="1" applyFont="1" applyBorder="1" applyAlignment="1">
      <alignment horizontal="right" vertical="center"/>
    </xf>
    <xf numFmtId="176" fontId="13" fillId="0" borderId="24" xfId="1" applyFont="1" applyBorder="1" applyAlignment="1">
      <alignment horizontal="right" vertical="center"/>
    </xf>
    <xf numFmtId="176" fontId="13" fillId="0" borderId="86" xfId="1" applyFont="1" applyBorder="1" applyAlignment="1">
      <alignment horizontal="right" vertical="center"/>
    </xf>
    <xf numFmtId="176" fontId="14" fillId="0" borderId="87" xfId="1" applyFont="1" applyBorder="1" applyAlignment="1">
      <alignment horizontal="right" vertical="center"/>
    </xf>
    <xf numFmtId="176" fontId="14" fillId="0" borderId="24" xfId="1" applyFont="1" applyBorder="1" applyAlignment="1">
      <alignment horizontal="right" vertical="center"/>
    </xf>
    <xf numFmtId="176" fontId="14" fillId="0" borderId="86" xfId="1" applyFont="1" applyBorder="1" applyAlignment="1">
      <alignment horizontal="right" vertical="center"/>
    </xf>
    <xf numFmtId="0" fontId="2" fillId="0" borderId="91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18" fillId="0" borderId="93" xfId="0" applyFont="1" applyBorder="1" applyAlignment="1">
      <alignment horizontal="center" vertical="center"/>
    </xf>
    <xf numFmtId="0" fontId="18" fillId="0" borderId="94" xfId="0" applyFont="1" applyBorder="1" applyAlignment="1">
      <alignment horizontal="center" vertical="center"/>
    </xf>
    <xf numFmtId="177" fontId="15" fillId="0" borderId="59" xfId="0" applyNumberFormat="1" applyFont="1" applyBorder="1" applyAlignment="1">
      <alignment horizontal="right" vertical="center"/>
    </xf>
    <xf numFmtId="0" fontId="15" fillId="0" borderId="88" xfId="0" applyFont="1" applyBorder="1" applyAlignment="1">
      <alignment horizontal="right" vertical="center"/>
    </xf>
    <xf numFmtId="0" fontId="2" fillId="0" borderId="5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77" fontId="14" fillId="0" borderId="87" xfId="0" applyNumberFormat="1" applyFont="1" applyBorder="1" applyAlignment="1">
      <alignment horizontal="right" vertical="center"/>
    </xf>
    <xf numFmtId="177" fontId="14" fillId="0" borderId="24" xfId="0" applyNumberFormat="1" applyFont="1" applyBorder="1" applyAlignment="1">
      <alignment horizontal="right" vertical="center"/>
    </xf>
    <xf numFmtId="177" fontId="14" fillId="0" borderId="86" xfId="0" applyNumberFormat="1" applyFont="1" applyBorder="1" applyAlignment="1">
      <alignment horizontal="right" vertical="center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 wrapText="1"/>
    </xf>
    <xf numFmtId="0" fontId="2" fillId="0" borderId="101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176" fontId="19" fillId="0" borderId="92" xfId="0" applyNumberFormat="1" applyFont="1" applyBorder="1" applyAlignment="1">
      <alignment horizontal="center" vertical="center"/>
    </xf>
    <xf numFmtId="0" fontId="19" fillId="0" borderId="93" xfId="0" applyFont="1" applyBorder="1" applyAlignment="1">
      <alignment horizontal="center" vertical="center"/>
    </xf>
    <xf numFmtId="0" fontId="19" fillId="0" borderId="94" xfId="0" applyFont="1" applyBorder="1" applyAlignment="1">
      <alignment horizontal="center" vertical="center"/>
    </xf>
    <xf numFmtId="0" fontId="18" fillId="0" borderId="97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5" fillId="0" borderId="53" xfId="0" applyFont="1" applyBorder="1" applyAlignment="1">
      <alignment horizontal="right" vertical="center"/>
    </xf>
    <xf numFmtId="0" fontId="15" fillId="0" borderId="54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72" xfId="0" applyFont="1" applyBorder="1" applyAlignment="1">
      <alignment horizontal="right" vertical="center"/>
    </xf>
    <xf numFmtId="0" fontId="2" fillId="0" borderId="7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27" xfId="0" applyFont="1" applyBorder="1" applyAlignment="1">
      <alignment horizontal="right" vertical="center"/>
    </xf>
    <xf numFmtId="0" fontId="15" fillId="0" borderId="58" xfId="0" applyFont="1" applyBorder="1" applyAlignment="1">
      <alignment horizontal="right" vertical="center"/>
    </xf>
    <xf numFmtId="0" fontId="2" fillId="0" borderId="58" xfId="0" applyFont="1" applyBorder="1" applyAlignment="1">
      <alignment horizontal="center" vertical="center"/>
    </xf>
    <xf numFmtId="176" fontId="16" fillId="0" borderId="59" xfId="0" applyNumberFormat="1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6" fontId="13" fillId="0" borderId="13" xfId="1" applyFont="1" applyBorder="1" applyAlignment="1">
      <alignment horizontal="right" vertical="center"/>
    </xf>
    <xf numFmtId="176" fontId="13" fillId="0" borderId="14" xfId="1" applyFont="1" applyBorder="1" applyAlignment="1">
      <alignment horizontal="right" vertical="center"/>
    </xf>
    <xf numFmtId="176" fontId="13" fillId="0" borderId="16" xfId="1" applyFont="1" applyBorder="1" applyAlignment="1">
      <alignment horizontal="right" vertical="center"/>
    </xf>
    <xf numFmtId="177" fontId="14" fillId="0" borderId="68" xfId="0" applyNumberFormat="1" applyFont="1" applyBorder="1" applyAlignment="1">
      <alignment horizontal="right" vertical="center"/>
    </xf>
    <xf numFmtId="177" fontId="14" fillId="0" borderId="14" xfId="0" applyNumberFormat="1" applyFont="1" applyBorder="1" applyAlignment="1">
      <alignment horizontal="right" vertical="center"/>
    </xf>
    <xf numFmtId="177" fontId="14" fillId="0" borderId="16" xfId="0" applyNumberFormat="1" applyFont="1" applyBorder="1" applyAlignment="1">
      <alignment horizontal="right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76" fontId="15" fillId="0" borderId="23" xfId="1" applyFont="1" applyBorder="1" applyAlignment="1">
      <alignment horizontal="right" vertical="center"/>
    </xf>
    <xf numFmtId="176" fontId="15" fillId="0" borderId="24" xfId="1" applyFont="1" applyBorder="1" applyAlignment="1">
      <alignment horizontal="right" vertical="center"/>
    </xf>
    <xf numFmtId="176" fontId="15" fillId="0" borderId="86" xfId="1" applyFont="1" applyBorder="1" applyAlignment="1">
      <alignment horizontal="right" vertical="center"/>
    </xf>
    <xf numFmtId="0" fontId="15" fillId="0" borderId="7" xfId="0" applyFont="1" applyBorder="1" applyAlignment="1">
      <alignment horizontal="right" vertical="center"/>
    </xf>
    <xf numFmtId="0" fontId="15" fillId="0" borderId="65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7" fontId="15" fillId="0" borderId="7" xfId="0" applyNumberFormat="1" applyFont="1" applyFill="1" applyBorder="1" applyAlignment="1">
      <alignment horizontal="right" vertical="center"/>
    </xf>
    <xf numFmtId="177" fontId="15" fillId="0" borderId="9" xfId="0" applyNumberFormat="1" applyFont="1" applyFill="1" applyBorder="1" applyAlignment="1">
      <alignment horizontal="right" vertical="center"/>
    </xf>
    <xf numFmtId="177" fontId="15" fillId="0" borderId="7" xfId="0" applyNumberFormat="1" applyFont="1" applyFill="1" applyBorder="1" applyAlignment="1">
      <alignment horizontal="right" vertical="center" shrinkToFit="1"/>
    </xf>
    <xf numFmtId="177" fontId="15" fillId="0" borderId="65" xfId="0" applyNumberFormat="1" applyFont="1" applyFill="1" applyBorder="1" applyAlignment="1">
      <alignment horizontal="right" vertical="center" shrinkToFit="1"/>
    </xf>
    <xf numFmtId="0" fontId="2" fillId="0" borderId="8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176" fontId="13" fillId="0" borderId="22" xfId="1" applyFont="1" applyBorder="1" applyAlignment="1">
      <alignment horizontal="right" vertical="center"/>
    </xf>
    <xf numFmtId="176" fontId="13" fillId="0" borderId="53" xfId="1" applyFont="1" applyBorder="1" applyAlignment="1">
      <alignment horizontal="right" vertical="center"/>
    </xf>
    <xf numFmtId="176" fontId="13" fillId="0" borderId="83" xfId="1" applyFont="1" applyBorder="1" applyAlignment="1">
      <alignment horizontal="right" vertical="center"/>
    </xf>
    <xf numFmtId="176" fontId="10" fillId="0" borderId="6" xfId="1" applyFont="1" applyBorder="1" applyAlignment="1">
      <alignment horizontal="center" vertical="center" shrinkToFit="1"/>
    </xf>
    <xf numFmtId="176" fontId="10" fillId="0" borderId="85" xfId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13" fillId="0" borderId="2" xfId="1" applyFont="1" applyBorder="1" applyAlignment="1">
      <alignment horizontal="right" vertical="center"/>
    </xf>
    <xf numFmtId="176" fontId="13" fillId="0" borderId="3" xfId="1" applyFont="1" applyBorder="1" applyAlignment="1">
      <alignment horizontal="right" vertical="center"/>
    </xf>
    <xf numFmtId="176" fontId="13" fillId="0" borderId="26" xfId="1" applyFont="1" applyBorder="1" applyAlignment="1">
      <alignment horizontal="right" vertical="center"/>
    </xf>
    <xf numFmtId="3" fontId="14" fillId="0" borderId="76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0" fontId="10" fillId="0" borderId="8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/>
    </xf>
    <xf numFmtId="3" fontId="14" fillId="0" borderId="87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86" xfId="0" applyNumberFormat="1" applyFont="1" applyBorder="1" applyAlignment="1">
      <alignment horizontal="right" vertical="center"/>
    </xf>
    <xf numFmtId="176" fontId="10" fillId="0" borderId="1" xfId="1" applyFont="1" applyBorder="1" applyAlignment="1">
      <alignment horizontal="center" vertical="center" shrinkToFit="1"/>
    </xf>
    <xf numFmtId="176" fontId="10" fillId="0" borderId="81" xfId="1" applyFont="1" applyBorder="1" applyAlignment="1">
      <alignment horizontal="center" vertical="center" shrinkToFit="1"/>
    </xf>
    <xf numFmtId="176" fontId="15" fillId="0" borderId="22" xfId="1" applyFont="1" applyBorder="1" applyAlignment="1">
      <alignment horizontal="right" vertical="center"/>
    </xf>
    <xf numFmtId="176" fontId="15" fillId="0" borderId="53" xfId="1" applyFont="1" applyBorder="1" applyAlignment="1">
      <alignment horizontal="right" vertical="center"/>
    </xf>
    <xf numFmtId="176" fontId="15" fillId="0" borderId="83" xfId="1" applyFont="1" applyBorder="1" applyAlignment="1">
      <alignment horizontal="right" vertical="center"/>
    </xf>
    <xf numFmtId="3" fontId="14" fillId="0" borderId="68" xfId="0" applyNumberFormat="1" applyFont="1" applyBorder="1" applyAlignment="1">
      <alignment horizontal="right" vertical="center"/>
    </xf>
    <xf numFmtId="3" fontId="14" fillId="0" borderId="14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center"/>
    </xf>
    <xf numFmtId="0" fontId="13" fillId="0" borderId="70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76" fontId="15" fillId="0" borderId="20" xfId="1" applyFont="1" applyBorder="1" applyAlignment="1">
      <alignment horizontal="right" vertical="center"/>
    </xf>
    <xf numFmtId="176" fontId="15" fillId="0" borderId="74" xfId="1" applyFont="1" applyBorder="1" applyAlignment="1">
      <alignment horizontal="right" vertical="center"/>
    </xf>
    <xf numFmtId="176" fontId="15" fillId="0" borderId="75" xfId="1" applyFont="1" applyBorder="1" applyAlignment="1">
      <alignment horizontal="right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76" fontId="15" fillId="0" borderId="7" xfId="1" applyFont="1" applyBorder="1" applyAlignment="1">
      <alignment horizontal="right" vertical="center"/>
    </xf>
    <xf numFmtId="176" fontId="15" fillId="0" borderId="8" xfId="1" applyFont="1" applyBorder="1" applyAlignment="1">
      <alignment horizontal="right" vertical="center"/>
    </xf>
    <xf numFmtId="176" fontId="15" fillId="0" borderId="10" xfId="1" applyFont="1" applyBorder="1" applyAlignment="1">
      <alignment horizontal="right" vertical="center"/>
    </xf>
    <xf numFmtId="3" fontId="14" fillId="0" borderId="64" xfId="0" applyNumberFormat="1" applyFont="1" applyBorder="1" applyAlignment="1">
      <alignment horizontal="right" vertical="center"/>
    </xf>
    <xf numFmtId="3" fontId="14" fillId="0" borderId="8" xfId="0" applyNumberFormat="1" applyFont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right" vertical="center"/>
    </xf>
    <xf numFmtId="177" fontId="15" fillId="0" borderId="1" xfId="0" applyNumberFormat="1" applyFont="1" applyFill="1" applyBorder="1" applyAlignment="1">
      <alignment horizontal="right" vertical="center" shrinkToFit="1"/>
    </xf>
    <xf numFmtId="177" fontId="15" fillId="0" borderId="81" xfId="0" applyNumberFormat="1" applyFont="1" applyFill="1" applyBorder="1" applyAlignment="1">
      <alignment horizontal="right" vertical="center" shrinkToFit="1"/>
    </xf>
    <xf numFmtId="0" fontId="10" fillId="0" borderId="8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/>
    </xf>
    <xf numFmtId="176" fontId="7" fillId="0" borderId="17" xfId="0" applyNumberFormat="1" applyFont="1" applyBorder="1" applyAlignment="1">
      <alignment horizontal="right" vertical="center"/>
    </xf>
    <xf numFmtId="177" fontId="7" fillId="0" borderId="107" xfId="0" applyNumberFormat="1" applyFont="1" applyBorder="1" applyAlignment="1">
      <alignment horizontal="right" vertical="center"/>
    </xf>
    <xf numFmtId="177" fontId="7" fillId="0" borderId="108" xfId="0" applyNumberFormat="1" applyFont="1" applyBorder="1" applyAlignment="1">
      <alignment horizontal="right" vertical="center"/>
    </xf>
    <xf numFmtId="176" fontId="7" fillId="0" borderId="56" xfId="0" applyNumberFormat="1" applyFont="1" applyBorder="1" applyAlignment="1">
      <alignment horizontal="right" vertical="center"/>
    </xf>
    <xf numFmtId="176" fontId="7" fillId="0" borderId="66" xfId="0" applyNumberFormat="1" applyFont="1" applyBorder="1" applyAlignment="1">
      <alignment horizontal="right" vertical="center"/>
    </xf>
    <xf numFmtId="3" fontId="33" fillId="0" borderId="109" xfId="0" applyNumberFormat="1" applyFont="1" applyFill="1" applyBorder="1" applyAlignment="1">
      <alignment horizontal="center" vertical="center"/>
    </xf>
    <xf numFmtId="0" fontId="33" fillId="0" borderId="49" xfId="0" applyFont="1" applyFill="1" applyBorder="1" applyAlignment="1">
      <alignment horizontal="center" vertical="center"/>
    </xf>
    <xf numFmtId="176" fontId="7" fillId="0" borderId="49" xfId="1" applyFont="1" applyFill="1" applyBorder="1" applyAlignment="1">
      <alignment horizontal="center" vertical="center"/>
    </xf>
    <xf numFmtId="3" fontId="32" fillId="0" borderId="56" xfId="0" applyNumberFormat="1" applyFont="1" applyFill="1" applyBorder="1" applyAlignment="1">
      <alignment horizontal="center" vertical="center" shrinkToFit="1"/>
    </xf>
    <xf numFmtId="0" fontId="32" fillId="0" borderId="66" xfId="0" applyFont="1" applyFill="1" applyBorder="1" applyAlignment="1">
      <alignment horizontal="center" vertical="center" shrinkToFit="1"/>
    </xf>
    <xf numFmtId="177" fontId="27" fillId="3" borderId="68" xfId="0" applyNumberFormat="1" applyFont="1" applyFill="1" applyBorder="1" applyAlignment="1">
      <alignment horizontal="right" vertical="center"/>
    </xf>
    <xf numFmtId="177" fontId="27" fillId="3" borderId="15" xfId="0" applyNumberFormat="1" applyFont="1" applyFill="1" applyBorder="1" applyAlignment="1">
      <alignment horizontal="right" vertical="center"/>
    </xf>
    <xf numFmtId="176" fontId="27" fillId="3" borderId="13" xfId="0" applyNumberFormat="1" applyFont="1" applyFill="1" applyBorder="1" applyAlignment="1">
      <alignment horizontal="center" vertical="center"/>
    </xf>
    <xf numFmtId="176" fontId="27" fillId="3" borderId="15" xfId="0" applyNumberFormat="1" applyFont="1" applyFill="1" applyBorder="1" applyAlignment="1">
      <alignment horizontal="center" vertical="center"/>
    </xf>
    <xf numFmtId="176" fontId="7" fillId="3" borderId="13" xfId="0" applyNumberFormat="1" applyFont="1" applyFill="1" applyBorder="1" applyAlignment="1">
      <alignment horizontal="right" vertical="center"/>
    </xf>
    <xf numFmtId="176" fontId="7" fillId="3" borderId="69" xfId="0" applyNumberFormat="1" applyFont="1" applyFill="1" applyBorder="1" applyAlignment="1">
      <alignment horizontal="right" vertical="center"/>
    </xf>
    <xf numFmtId="179" fontId="15" fillId="3" borderId="111" xfId="1" applyNumberFormat="1" applyFont="1" applyFill="1" applyBorder="1" applyAlignment="1">
      <alignment horizontal="right" vertical="center"/>
    </xf>
    <xf numFmtId="179" fontId="15" fillId="3" borderId="112" xfId="1" applyNumberFormat="1" applyFont="1" applyFill="1" applyBorder="1" applyAlignment="1">
      <alignment horizontal="right" vertical="center"/>
    </xf>
    <xf numFmtId="3" fontId="32" fillId="3" borderId="13" xfId="0" applyNumberFormat="1" applyFont="1" applyFill="1" applyBorder="1" applyAlignment="1">
      <alignment horizontal="center" vertical="center"/>
    </xf>
    <xf numFmtId="3" fontId="32" fillId="3" borderId="69" xfId="0" applyNumberFormat="1" applyFont="1" applyFill="1" applyBorder="1" applyAlignment="1">
      <alignment horizontal="center" vertical="center"/>
    </xf>
    <xf numFmtId="177" fontId="27" fillId="3" borderId="64" xfId="0" applyNumberFormat="1" applyFont="1" applyFill="1" applyBorder="1" applyAlignment="1">
      <alignment horizontal="right" vertical="center"/>
    </xf>
    <xf numFmtId="177" fontId="27" fillId="3" borderId="9" xfId="0" applyNumberFormat="1" applyFont="1" applyFill="1" applyBorder="1" applyAlignment="1">
      <alignment horizontal="right" vertical="center"/>
    </xf>
    <xf numFmtId="176" fontId="27" fillId="3" borderId="7" xfId="0" applyNumberFormat="1" applyFont="1" applyFill="1" applyBorder="1" applyAlignment="1">
      <alignment horizontal="center" vertical="center"/>
    </xf>
    <xf numFmtId="176" fontId="27" fillId="3" borderId="9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right" vertical="center"/>
    </xf>
    <xf numFmtId="176" fontId="7" fillId="3" borderId="65" xfId="0" applyNumberFormat="1" applyFont="1" applyFill="1" applyBorder="1" applyAlignment="1">
      <alignment horizontal="right" vertical="center"/>
    </xf>
    <xf numFmtId="179" fontId="15" fillId="3" borderId="84" xfId="1" applyNumberFormat="1" applyFont="1" applyFill="1" applyBorder="1" applyAlignment="1">
      <alignment horizontal="right" vertical="center"/>
    </xf>
    <xf numFmtId="179" fontId="15" fillId="3" borderId="6" xfId="1" applyNumberFormat="1" applyFont="1" applyFill="1" applyBorder="1" applyAlignment="1">
      <alignment horizontal="right" vertical="center"/>
    </xf>
    <xf numFmtId="3" fontId="32" fillId="3" borderId="7" xfId="0" applyNumberFormat="1" applyFont="1" applyFill="1" applyBorder="1" applyAlignment="1">
      <alignment horizontal="center" vertical="center"/>
    </xf>
    <xf numFmtId="3" fontId="32" fillId="3" borderId="65" xfId="0" applyNumberFormat="1" applyFont="1" applyFill="1" applyBorder="1" applyAlignment="1">
      <alignment horizontal="center" vertical="center"/>
    </xf>
    <xf numFmtId="176" fontId="32" fillId="3" borderId="7" xfId="1" applyFont="1" applyFill="1" applyBorder="1" applyAlignment="1">
      <alignment horizontal="center" vertical="center"/>
    </xf>
    <xf numFmtId="176" fontId="32" fillId="3" borderId="65" xfId="1" applyFont="1" applyFill="1" applyBorder="1" applyAlignment="1">
      <alignment horizontal="center" vertical="center"/>
    </xf>
    <xf numFmtId="177" fontId="27" fillId="0" borderId="64" xfId="0" applyNumberFormat="1" applyFont="1" applyFill="1" applyBorder="1" applyAlignment="1">
      <alignment horizontal="right" vertical="center"/>
    </xf>
    <xf numFmtId="177" fontId="27" fillId="0" borderId="9" xfId="0" applyNumberFormat="1" applyFont="1" applyFill="1" applyBorder="1" applyAlignment="1">
      <alignment horizontal="right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27" fillId="0" borderId="9" xfId="0" applyNumberFormat="1" applyFont="1" applyFill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176" fontId="7" fillId="0" borderId="65" xfId="0" applyNumberFormat="1" applyFont="1" applyBorder="1" applyAlignment="1">
      <alignment horizontal="right" vertical="center"/>
    </xf>
    <xf numFmtId="179" fontId="15" fillId="0" borderId="6" xfId="1" applyNumberFormat="1" applyFont="1" applyBorder="1" applyAlignment="1">
      <alignment horizontal="right" vertical="center"/>
    </xf>
    <xf numFmtId="176" fontId="32" fillId="0" borderId="7" xfId="1" applyFont="1" applyFill="1" applyBorder="1" applyAlignment="1">
      <alignment horizontal="center" vertical="center"/>
    </xf>
    <xf numFmtId="176" fontId="32" fillId="0" borderId="65" xfId="1" applyFont="1" applyFill="1" applyBorder="1" applyAlignment="1">
      <alignment horizontal="center" vertical="center"/>
    </xf>
    <xf numFmtId="176" fontId="27" fillId="3" borderId="7" xfId="0" applyNumberFormat="1" applyFont="1" applyFill="1" applyBorder="1" applyAlignment="1">
      <alignment horizontal="center" vertical="center" shrinkToFit="1"/>
    </xf>
    <xf numFmtId="176" fontId="27" fillId="3" borderId="9" xfId="0" applyNumberFormat="1" applyFont="1" applyFill="1" applyBorder="1" applyAlignment="1">
      <alignment horizontal="center" vertical="center" shrinkToFit="1"/>
    </xf>
    <xf numFmtId="177" fontId="27" fillId="3" borderId="64" xfId="0" applyNumberFormat="1" applyFont="1" applyFill="1" applyBorder="1" applyAlignment="1">
      <alignment horizontal="right" vertical="center" shrinkToFit="1"/>
    </xf>
    <xf numFmtId="177" fontId="27" fillId="3" borderId="9" xfId="0" applyNumberFormat="1" applyFont="1" applyFill="1" applyBorder="1" applyAlignment="1">
      <alignment horizontal="right" vertical="center" shrinkToFit="1"/>
    </xf>
    <xf numFmtId="176" fontId="7" fillId="3" borderId="7" xfId="0" applyNumberFormat="1" applyFont="1" applyFill="1" applyBorder="1" applyAlignment="1">
      <alignment horizontal="right" vertical="center" shrinkToFit="1"/>
    </xf>
    <xf numFmtId="176" fontId="7" fillId="3" borderId="65" xfId="0" applyNumberFormat="1" applyFont="1" applyFill="1" applyBorder="1" applyAlignment="1">
      <alignment horizontal="right" vertical="center" shrinkToFit="1"/>
    </xf>
    <xf numFmtId="176" fontId="32" fillId="3" borderId="7" xfId="1" applyFont="1" applyFill="1" applyBorder="1" applyAlignment="1">
      <alignment horizontal="center" vertical="center" shrinkToFit="1"/>
    </xf>
    <xf numFmtId="176" fontId="32" fillId="3" borderId="65" xfId="1" applyFont="1" applyFill="1" applyBorder="1" applyAlignment="1">
      <alignment horizontal="center" vertical="center" shrinkToFit="1"/>
    </xf>
    <xf numFmtId="176" fontId="7" fillId="0" borderId="7" xfId="0" applyNumberFormat="1" applyFont="1" applyFill="1" applyBorder="1" applyAlignment="1">
      <alignment horizontal="right" vertical="center"/>
    </xf>
    <xf numFmtId="176" fontId="7" fillId="0" borderId="65" xfId="0" applyNumberFormat="1" applyFont="1" applyFill="1" applyBorder="1" applyAlignment="1">
      <alignment horizontal="right" vertical="center"/>
    </xf>
    <xf numFmtId="179" fontId="15" fillId="0" borderId="84" xfId="1" applyNumberFormat="1" applyFont="1" applyBorder="1" applyAlignment="1">
      <alignment horizontal="right" vertical="center"/>
    </xf>
    <xf numFmtId="177" fontId="27" fillId="0" borderId="64" xfId="0" applyNumberFormat="1" applyFont="1" applyFill="1" applyBorder="1" applyAlignment="1">
      <alignment horizontal="right" vertical="center" shrinkToFit="1"/>
    </xf>
    <xf numFmtId="177" fontId="27" fillId="0" borderId="9" xfId="0" applyNumberFormat="1" applyFont="1" applyFill="1" applyBorder="1" applyAlignment="1">
      <alignment horizontal="right" vertical="center" shrinkToFit="1"/>
    </xf>
    <xf numFmtId="177" fontId="27" fillId="0" borderId="76" xfId="0" applyNumberFormat="1" applyFont="1" applyFill="1" applyBorder="1" applyAlignment="1">
      <alignment horizontal="right" vertical="center"/>
    </xf>
    <xf numFmtId="177" fontId="27" fillId="0" borderId="4" xfId="0" applyNumberFormat="1" applyFont="1" applyFill="1" applyBorder="1" applyAlignment="1">
      <alignment horizontal="right" vertical="center"/>
    </xf>
    <xf numFmtId="176" fontId="27" fillId="0" borderId="2" xfId="0" applyNumberFormat="1" applyFont="1" applyFill="1" applyBorder="1" applyAlignment="1">
      <alignment horizontal="center" vertical="center" shrinkToFit="1"/>
    </xf>
    <xf numFmtId="176" fontId="27" fillId="0" borderId="4" xfId="0" applyNumberFormat="1" applyFont="1" applyFill="1" applyBorder="1" applyAlignment="1">
      <alignment shrinkToFit="1"/>
    </xf>
    <xf numFmtId="176" fontId="7" fillId="0" borderId="2" xfId="0" applyNumberFormat="1" applyFont="1" applyFill="1" applyBorder="1" applyAlignment="1">
      <alignment horizontal="right" vertical="center"/>
    </xf>
    <xf numFmtId="176" fontId="7" fillId="0" borderId="63" xfId="0" applyNumberFormat="1" applyFont="1" applyFill="1" applyBorder="1" applyAlignment="1">
      <alignment horizontal="right" vertical="center"/>
    </xf>
    <xf numFmtId="179" fontId="15" fillId="0" borderId="1" xfId="1" applyNumberFormat="1" applyFont="1" applyBorder="1" applyAlignment="1">
      <alignment horizontal="right" vertical="center"/>
    </xf>
    <xf numFmtId="176" fontId="32" fillId="0" borderId="2" xfId="1" applyFont="1" applyFill="1" applyBorder="1" applyAlignment="1">
      <alignment horizontal="center" vertical="center"/>
    </xf>
    <xf numFmtId="176" fontId="32" fillId="0" borderId="63" xfId="1" applyFont="1" applyFill="1" applyBorder="1" applyAlignment="1">
      <alignment horizontal="center" vertical="center"/>
    </xf>
    <xf numFmtId="179" fontId="15" fillId="0" borderId="82" xfId="1" applyNumberFormat="1" applyFont="1" applyBorder="1" applyAlignment="1">
      <alignment horizontal="right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 shrinkToFit="1"/>
    </xf>
    <xf numFmtId="0" fontId="2" fillId="0" borderId="45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0" borderId="59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58" xfId="0" applyFont="1" applyBorder="1" applyAlignment="1">
      <alignment horizontal="center" vertical="center" shrinkToFit="1"/>
    </xf>
    <xf numFmtId="0" fontId="2" fillId="0" borderId="5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 shrinkToFit="1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176" fontId="5" fillId="0" borderId="106" xfId="1" applyFont="1" applyBorder="1" applyAlignment="1">
      <alignment horizontal="right" vertical="center"/>
    </xf>
    <xf numFmtId="176" fontId="5" fillId="0" borderId="17" xfId="1" applyFont="1" applyBorder="1" applyAlignment="1">
      <alignment horizontal="right" vertical="center"/>
    </xf>
    <xf numFmtId="176" fontId="5" fillId="0" borderId="56" xfId="1" applyFont="1" applyBorder="1" applyAlignment="1">
      <alignment horizontal="right" vertical="center"/>
    </xf>
    <xf numFmtId="176" fontId="5" fillId="0" borderId="66" xfId="1" applyFont="1" applyBorder="1" applyAlignment="1">
      <alignment horizontal="right"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76" fontId="2" fillId="0" borderId="98" xfId="1" applyFont="1" applyBorder="1" applyAlignment="1">
      <alignment horizontal="center" vertical="center"/>
    </xf>
    <xf numFmtId="176" fontId="13" fillId="0" borderId="59" xfId="1" applyFont="1" applyBorder="1" applyAlignment="1">
      <alignment horizontal="right" vertical="center"/>
    </xf>
    <xf numFmtId="176" fontId="28" fillId="0" borderId="27" xfId="1" applyFont="1" applyBorder="1" applyAlignment="1">
      <alignment horizontal="right"/>
    </xf>
    <xf numFmtId="176" fontId="28" fillId="0" borderId="28" xfId="1" applyFont="1" applyBorder="1" applyAlignment="1">
      <alignment horizontal="right"/>
    </xf>
    <xf numFmtId="0" fontId="20" fillId="0" borderId="44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 shrinkToFit="1"/>
    </xf>
    <xf numFmtId="176" fontId="13" fillId="0" borderId="20" xfId="1" applyFont="1" applyBorder="1" applyAlignment="1">
      <alignment horizontal="right" vertical="center"/>
    </xf>
    <xf numFmtId="176" fontId="13" fillId="0" borderId="74" xfId="1" applyFont="1" applyBorder="1" applyAlignment="1">
      <alignment horizontal="right" vertical="center"/>
    </xf>
    <xf numFmtId="176" fontId="13" fillId="0" borderId="75" xfId="1" applyFont="1" applyBorder="1" applyAlignment="1">
      <alignment horizontal="right" vertical="center"/>
    </xf>
    <xf numFmtId="176" fontId="13" fillId="0" borderId="7" xfId="1" applyFont="1" applyBorder="1" applyAlignment="1">
      <alignment horizontal="right" vertical="center"/>
    </xf>
    <xf numFmtId="176" fontId="13" fillId="0" borderId="8" xfId="1" applyFont="1" applyBorder="1" applyAlignment="1">
      <alignment horizontal="right" vertical="center"/>
    </xf>
    <xf numFmtId="176" fontId="13" fillId="0" borderId="10" xfId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07" xfId="0" applyNumberFormat="1" applyFont="1" applyBorder="1" applyAlignment="1">
      <alignment horizontal="right" vertical="center" shrinkToFit="1"/>
    </xf>
    <xf numFmtId="176" fontId="5" fillId="0" borderId="108" xfId="0" applyNumberFormat="1" applyFont="1" applyBorder="1" applyAlignment="1">
      <alignment horizontal="right" vertical="center" shrinkToFit="1"/>
    </xf>
    <xf numFmtId="176" fontId="5" fillId="0" borderId="56" xfId="0" applyNumberFormat="1" applyFont="1" applyBorder="1" applyAlignment="1">
      <alignment horizontal="right" vertical="center"/>
    </xf>
    <xf numFmtId="176" fontId="5" fillId="0" borderId="66" xfId="0" applyNumberFormat="1" applyFont="1" applyBorder="1" applyAlignment="1">
      <alignment horizontal="right" vertical="center"/>
    </xf>
    <xf numFmtId="3" fontId="11" fillId="0" borderId="67" xfId="0" applyNumberFormat="1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horizontal="center" vertical="center"/>
    </xf>
    <xf numFmtId="3" fontId="11" fillId="0" borderId="56" xfId="0" applyNumberFormat="1" applyFont="1" applyFill="1" applyBorder="1" applyAlignment="1">
      <alignment horizontal="center" vertical="center"/>
    </xf>
    <xf numFmtId="3" fontId="11" fillId="0" borderId="56" xfId="0" applyNumberFormat="1" applyFont="1" applyFill="1" applyBorder="1" applyAlignment="1">
      <alignment horizontal="center" vertical="center" shrinkToFit="1"/>
    </xf>
    <xf numFmtId="0" fontId="11" fillId="0" borderId="66" xfId="0" applyFont="1" applyFill="1" applyBorder="1" applyAlignment="1">
      <alignment horizontal="center" vertical="center" shrinkToFit="1"/>
    </xf>
    <xf numFmtId="176" fontId="5" fillId="0" borderId="68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horizontal="right" vertical="center"/>
    </xf>
    <xf numFmtId="176" fontId="5" fillId="0" borderId="13" xfId="0" applyNumberFormat="1" applyFont="1" applyBorder="1" applyAlignment="1">
      <alignment horizontal="right" vertical="center"/>
    </xf>
    <xf numFmtId="176" fontId="5" fillId="0" borderId="69" xfId="0" applyNumberFormat="1" applyFont="1" applyBorder="1" applyAlignment="1">
      <alignment horizontal="right" vertical="center"/>
    </xf>
    <xf numFmtId="3" fontId="11" fillId="0" borderId="14" xfId="0" applyNumberFormat="1" applyFont="1" applyFill="1" applyBorder="1" applyAlignment="1">
      <alignment horizontal="center" vertical="center"/>
    </xf>
    <xf numFmtId="3" fontId="11" fillId="0" borderId="15" xfId="0" applyNumberFormat="1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horizontal="center" vertical="center"/>
    </xf>
    <xf numFmtId="3" fontId="11" fillId="0" borderId="13" xfId="0" applyNumberFormat="1" applyFont="1" applyFill="1" applyBorder="1" applyAlignment="1">
      <alignment horizontal="center" vertical="center"/>
    </xf>
    <xf numFmtId="3" fontId="11" fillId="0" borderId="69" xfId="0" applyNumberFormat="1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7" xfId="0" applyNumberFormat="1" applyFont="1" applyBorder="1" applyAlignment="1">
      <alignment horizontal="right" vertical="center"/>
    </xf>
    <xf numFmtId="176" fontId="5" fillId="0" borderId="65" xfId="0" applyNumberFormat="1" applyFont="1" applyBorder="1" applyAlignment="1">
      <alignment horizontal="right" vertical="center"/>
    </xf>
    <xf numFmtId="176" fontId="9" fillId="0" borderId="7" xfId="1" applyFont="1" applyBorder="1" applyAlignment="1">
      <alignment vertical="center"/>
    </xf>
    <xf numFmtId="176" fontId="10" fillId="0" borderId="9" xfId="1" applyFont="1" applyBorder="1" applyAlignment="1">
      <alignment vertical="center"/>
    </xf>
    <xf numFmtId="3" fontId="11" fillId="0" borderId="7" xfId="0" applyNumberFormat="1" applyFont="1" applyFill="1" applyBorder="1" applyAlignment="1">
      <alignment horizontal="center" vertical="center"/>
    </xf>
    <xf numFmtId="3" fontId="11" fillId="0" borderId="65" xfId="0" applyNumberFormat="1" applyFont="1" applyFill="1" applyBorder="1" applyAlignment="1">
      <alignment horizontal="center" vertical="center"/>
    </xf>
    <xf numFmtId="176" fontId="5" fillId="0" borderId="64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3" fontId="11" fillId="0" borderId="11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right" vertical="center" shrinkToFit="1"/>
    </xf>
    <xf numFmtId="176" fontId="5" fillId="0" borderId="9" xfId="0" applyNumberFormat="1" applyFont="1" applyFill="1" applyBorder="1" applyAlignment="1">
      <alignment horizontal="right" vertical="center" shrinkToFit="1"/>
    </xf>
    <xf numFmtId="176" fontId="5" fillId="0" borderId="7" xfId="0" applyNumberFormat="1" applyFont="1" applyFill="1" applyBorder="1" applyAlignment="1">
      <alignment horizontal="right" vertical="center" shrinkToFit="1"/>
    </xf>
    <xf numFmtId="176" fontId="5" fillId="0" borderId="65" xfId="0" applyNumberFormat="1" applyFont="1" applyFill="1" applyBorder="1" applyAlignment="1">
      <alignment horizontal="right" vertical="center" shrinkToFit="1"/>
    </xf>
    <xf numFmtId="3" fontId="11" fillId="0" borderId="7" xfId="0" applyNumberFormat="1" applyFont="1" applyFill="1" applyBorder="1" applyAlignment="1">
      <alignment horizontal="center" vertical="center" shrinkToFit="1"/>
    </xf>
    <xf numFmtId="3" fontId="11" fillId="0" borderId="65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5" xfId="0" applyNumberFormat="1" applyFont="1" applyFill="1" applyBorder="1" applyAlignment="1">
      <alignment horizontal="right" vertical="center"/>
    </xf>
    <xf numFmtId="176" fontId="9" fillId="0" borderId="9" xfId="1" applyFont="1" applyBorder="1" applyAlignment="1">
      <alignment vertical="center"/>
    </xf>
    <xf numFmtId="176" fontId="5" fillId="0" borderId="76" xfId="0" applyNumberFormat="1" applyFont="1" applyFill="1" applyBorder="1" applyAlignment="1">
      <alignment horizontal="right" vertical="center"/>
    </xf>
    <xf numFmtId="176" fontId="5" fillId="0" borderId="4" xfId="0" applyNumberFormat="1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9" fillId="0" borderId="2" xfId="1" applyFont="1" applyBorder="1" applyAlignment="1">
      <alignment horizontal="right" vertical="center"/>
    </xf>
    <xf numFmtId="176" fontId="10" fillId="0" borderId="4" xfId="1" applyFont="1" applyBorder="1" applyAlignment="1">
      <alignment horizontal="right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63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53" xfId="0" applyFont="1" applyBorder="1" applyAlignment="1">
      <alignment horizontal="center" vertical="center" shrinkToFit="1"/>
    </xf>
    <xf numFmtId="0" fontId="2" fillId="0" borderId="54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 shrinkToFit="1"/>
    </xf>
    <xf numFmtId="176" fontId="5" fillId="0" borderId="9" xfId="0" applyNumberFormat="1" applyFont="1" applyBorder="1" applyAlignment="1">
      <alignment horizontal="center" vertical="center" shrinkToFit="1"/>
    </xf>
    <xf numFmtId="176" fontId="27" fillId="0" borderId="7" xfId="0" applyNumberFormat="1" applyFont="1" applyBorder="1" applyAlignment="1">
      <alignment horizontal="center" vertical="center"/>
    </xf>
    <xf numFmtId="176" fontId="27" fillId="0" borderId="9" xfId="0" applyNumberFormat="1" applyFont="1" applyBorder="1" applyAlignment="1">
      <alignment horizontal="center" vertical="center"/>
    </xf>
    <xf numFmtId="176" fontId="27" fillId="0" borderId="2" xfId="0" applyNumberFormat="1" applyFont="1" applyBorder="1" applyAlignment="1">
      <alignment horizontal="center" vertical="center" shrinkToFit="1"/>
    </xf>
    <xf numFmtId="176" fontId="27" fillId="0" borderId="4" xfId="0" applyNumberFormat="1" applyFont="1" applyBorder="1" applyAlignment="1">
      <alignment shrinkToFit="1"/>
    </xf>
    <xf numFmtId="176" fontId="27" fillId="0" borderId="2" xfId="0" applyNumberFormat="1" applyFont="1" applyBorder="1" applyAlignment="1">
      <alignment horizontal="center" vertical="center"/>
    </xf>
    <xf numFmtId="176" fontId="27" fillId="0" borderId="4" xfId="0" applyNumberFormat="1" applyFont="1" applyBorder="1" applyAlignment="1">
      <alignment horizontal="center" vertical="center"/>
    </xf>
    <xf numFmtId="176" fontId="25" fillId="0" borderId="17" xfId="1" applyFont="1" applyBorder="1" applyAlignment="1">
      <alignment horizontal="center" vertical="center"/>
    </xf>
    <xf numFmtId="176" fontId="25" fillId="0" borderId="107" xfId="1" applyFont="1" applyBorder="1" applyAlignment="1">
      <alignment horizontal="center" vertical="center"/>
    </xf>
    <xf numFmtId="176" fontId="25" fillId="0" borderId="108" xfId="1" applyFont="1" applyBorder="1" applyAlignment="1">
      <alignment horizontal="center" vertical="center"/>
    </xf>
    <xf numFmtId="176" fontId="25" fillId="0" borderId="39" xfId="1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 shrinkToFit="1"/>
    </xf>
    <xf numFmtId="176" fontId="24" fillId="0" borderId="4" xfId="0" applyNumberFormat="1" applyFont="1" applyBorder="1" applyAlignment="1">
      <alignment shrinkToFit="1"/>
    </xf>
    <xf numFmtId="176" fontId="25" fillId="0" borderId="38" xfId="1" applyFont="1" applyBorder="1" applyAlignment="1">
      <alignment horizontal="center" vertical="center"/>
    </xf>
    <xf numFmtId="0" fontId="23" fillId="0" borderId="1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176" fontId="22" fillId="0" borderId="11" xfId="1" applyFont="1" applyBorder="1" applyAlignment="1">
      <alignment horizontal="right" vertical="center"/>
    </xf>
    <xf numFmtId="0" fontId="20" fillId="0" borderId="74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59" xfId="0" applyNumberFormat="1" applyFont="1" applyBorder="1" applyAlignment="1">
      <alignment horizontal="right" vertical="center" shrinkToFit="1"/>
    </xf>
    <xf numFmtId="176" fontId="5" fillId="0" borderId="58" xfId="0" applyNumberFormat="1" applyFont="1" applyBorder="1" applyAlignment="1">
      <alignment horizontal="right" vertical="center" shrinkToFit="1"/>
    </xf>
    <xf numFmtId="176" fontId="5" fillId="0" borderId="49" xfId="0" applyNumberFormat="1" applyFont="1" applyBorder="1" applyAlignment="1">
      <alignment horizontal="right" vertical="center"/>
    </xf>
    <xf numFmtId="176" fontId="5" fillId="0" borderId="50" xfId="0" applyNumberFormat="1" applyFont="1" applyBorder="1" applyAlignment="1">
      <alignment horizontal="right" vertical="center"/>
    </xf>
    <xf numFmtId="3" fontId="11" fillId="0" borderId="109" xfId="0" applyNumberFormat="1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3" fontId="11" fillId="0" borderId="49" xfId="0" applyNumberFormat="1" applyFont="1" applyFill="1" applyBorder="1" applyAlignment="1">
      <alignment horizontal="center" vertical="center"/>
    </xf>
    <xf numFmtId="3" fontId="11" fillId="0" borderId="49" xfId="0" applyNumberFormat="1" applyFont="1" applyFill="1" applyBorder="1" applyAlignment="1">
      <alignment horizontal="center" vertical="center" shrinkToFit="1"/>
    </xf>
    <xf numFmtId="0" fontId="11" fillId="0" borderId="50" xfId="0" applyFont="1" applyFill="1" applyBorder="1" applyAlignment="1">
      <alignment horizontal="center" vertical="center" shrinkToFit="1"/>
    </xf>
    <xf numFmtId="38" fontId="2" fillId="0" borderId="21" xfId="0" applyNumberFormat="1" applyFont="1" applyBorder="1" applyAlignment="1">
      <alignment horizontal="center" vertical="center"/>
    </xf>
    <xf numFmtId="38" fontId="2" fillId="0" borderId="0" xfId="0" applyNumberFormat="1" applyFont="1" applyBorder="1" applyAlignment="1">
      <alignment horizontal="center" vertical="center"/>
    </xf>
    <xf numFmtId="38" fontId="2" fillId="0" borderId="52" xfId="0" applyNumberFormat="1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53" xfId="0" applyNumberFormat="1" applyFont="1" applyBorder="1" applyAlignment="1">
      <alignment horizontal="center" vertical="center"/>
    </xf>
    <xf numFmtId="38" fontId="2" fillId="0" borderId="54" xfId="0" applyNumberFormat="1" applyFont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shrinkToFit="1"/>
    </xf>
    <xf numFmtId="176" fontId="5" fillId="0" borderId="26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center" vertical="center" shrinkToFit="1"/>
    </xf>
    <xf numFmtId="176" fontId="5" fillId="0" borderId="10" xfId="0" applyNumberFormat="1" applyFont="1" applyFill="1" applyBorder="1" applyAlignment="1">
      <alignment horizontal="center" vertical="center" shrinkToFit="1"/>
    </xf>
    <xf numFmtId="177" fontId="5" fillId="0" borderId="106" xfId="0" applyNumberFormat="1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177" fontId="5" fillId="0" borderId="56" xfId="0" applyNumberFormat="1" applyFont="1" applyBorder="1" applyAlignment="1">
      <alignment horizontal="right" vertical="center"/>
    </xf>
    <xf numFmtId="0" fontId="5" fillId="0" borderId="56" xfId="0" applyFont="1" applyBorder="1" applyAlignment="1">
      <alignment horizontal="right" vertical="center"/>
    </xf>
    <xf numFmtId="0" fontId="5" fillId="0" borderId="66" xfId="0" applyFont="1" applyBorder="1" applyAlignment="1">
      <alignment horizontal="right" vertical="center"/>
    </xf>
    <xf numFmtId="177" fontId="13" fillId="0" borderId="59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177" fontId="13" fillId="0" borderId="23" xfId="0" applyNumberFormat="1" applyFont="1" applyBorder="1" applyAlignment="1">
      <alignment horizontal="right" vertical="center"/>
    </xf>
    <xf numFmtId="177" fontId="13" fillId="0" borderId="24" xfId="0" applyNumberFormat="1" applyFont="1" applyBorder="1" applyAlignment="1">
      <alignment horizontal="right" vertical="center"/>
    </xf>
    <xf numFmtId="177" fontId="13" fillId="0" borderId="86" xfId="0" applyNumberFormat="1" applyFont="1" applyBorder="1" applyAlignment="1">
      <alignment horizontal="right" vertical="center"/>
    </xf>
    <xf numFmtId="177" fontId="13" fillId="0" borderId="13" xfId="0" applyNumberFormat="1" applyFont="1" applyBorder="1" applyAlignment="1">
      <alignment horizontal="right" vertical="center"/>
    </xf>
    <xf numFmtId="177" fontId="13" fillId="0" borderId="14" xfId="0" applyNumberFormat="1" applyFont="1" applyBorder="1" applyAlignment="1">
      <alignment horizontal="right" vertical="center"/>
    </xf>
    <xf numFmtId="177" fontId="13" fillId="0" borderId="16" xfId="0" applyNumberFormat="1" applyFont="1" applyBorder="1" applyAlignment="1">
      <alignment horizontal="right" vertical="center"/>
    </xf>
    <xf numFmtId="177" fontId="13" fillId="0" borderId="22" xfId="0" applyNumberFormat="1" applyFont="1" applyBorder="1" applyAlignment="1">
      <alignment horizontal="right" vertical="center"/>
    </xf>
    <xf numFmtId="177" fontId="13" fillId="0" borderId="53" xfId="0" applyNumberFormat="1" applyFont="1" applyBorder="1" applyAlignment="1">
      <alignment horizontal="right" vertical="center"/>
    </xf>
    <xf numFmtId="177" fontId="13" fillId="0" borderId="83" xfId="0" applyNumberFormat="1" applyFont="1" applyBorder="1" applyAlignment="1">
      <alignment horizontal="right" vertical="center"/>
    </xf>
    <xf numFmtId="177" fontId="13" fillId="0" borderId="2" xfId="0" applyNumberFormat="1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  <xf numFmtId="177" fontId="13" fillId="0" borderId="26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13" fillId="0" borderId="86" xfId="0" applyFont="1" applyBorder="1" applyAlignment="1">
      <alignment horizontal="right" vertical="center"/>
    </xf>
    <xf numFmtId="0" fontId="13" fillId="0" borderId="53" xfId="0" applyFont="1" applyBorder="1" applyAlignment="1">
      <alignment horizontal="right" vertical="center"/>
    </xf>
    <xf numFmtId="0" fontId="13" fillId="0" borderId="83" xfId="0" applyFont="1" applyBorder="1" applyAlignment="1">
      <alignment horizontal="right" vertical="center"/>
    </xf>
    <xf numFmtId="177" fontId="13" fillId="0" borderId="20" xfId="0" applyNumberFormat="1" applyFont="1" applyBorder="1" applyAlignment="1">
      <alignment horizontal="right" vertical="center"/>
    </xf>
    <xf numFmtId="0" fontId="13" fillId="0" borderId="74" xfId="0" applyFont="1" applyBorder="1" applyAlignment="1">
      <alignment horizontal="right" vertical="center"/>
    </xf>
    <xf numFmtId="0" fontId="13" fillId="0" borderId="75" xfId="0" applyFont="1" applyBorder="1" applyAlignment="1">
      <alignment horizontal="right" vertical="center"/>
    </xf>
    <xf numFmtId="177" fontId="13" fillId="0" borderId="7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35" fillId="0" borderId="8" xfId="0" applyFont="1" applyFill="1" applyBorder="1" applyAlignment="1"/>
    <xf numFmtId="0" fontId="36" fillId="0" borderId="7" xfId="0" applyFont="1" applyFill="1" applyBorder="1" applyAlignment="1">
      <alignment horizontal="left" vertical="center" indent="1"/>
    </xf>
    <xf numFmtId="0" fontId="37" fillId="0" borderId="0" xfId="0" applyFont="1" applyAlignment="1">
      <alignment vertical="center"/>
    </xf>
    <xf numFmtId="0" fontId="34" fillId="0" borderId="0" xfId="0" applyFont="1" applyFill="1" applyAlignment="1">
      <alignment vertical="center"/>
    </xf>
  </cellXfs>
  <cellStyles count="2">
    <cellStyle name="쉼표 [0]" xfId="1" builtinId="6"/>
    <cellStyle name="표준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10" zoomScale="110" zoomScaleNormal="110" workbookViewId="0">
      <selection activeCell="H23" sqref="H23"/>
    </sheetView>
  </sheetViews>
  <sheetFormatPr defaultRowHeight="14.25"/>
  <cols>
    <col min="1" max="2" width="3.44140625" style="1" customWidth="1"/>
    <col min="3" max="6" width="3.33203125" style="1" customWidth="1"/>
    <col min="7" max="7" width="5.21875" style="1" customWidth="1"/>
    <col min="8" max="8" width="4.6640625" style="1" customWidth="1"/>
    <col min="9" max="14" width="3.44140625" style="1" customWidth="1"/>
    <col min="15" max="15" width="4.77734375" style="1" customWidth="1"/>
    <col min="16" max="16" width="4.6640625" style="1" customWidth="1"/>
    <col min="17" max="19" width="5.33203125" style="1" customWidth="1"/>
    <col min="20" max="20" width="5.21875" style="1" customWidth="1"/>
    <col min="21" max="26" width="5.33203125" style="1" customWidth="1"/>
    <col min="27" max="28" width="3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484" t="s">
        <v>0</v>
      </c>
      <c r="B1" s="485"/>
      <c r="C1" s="250" t="s">
        <v>254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</v>
      </c>
      <c r="U1" s="251"/>
      <c r="V1" s="251"/>
      <c r="W1" s="251"/>
      <c r="X1" s="250" t="s">
        <v>3</v>
      </c>
      <c r="Y1" s="251"/>
      <c r="Z1" s="251"/>
      <c r="AA1" s="251"/>
      <c r="AB1" s="252"/>
    </row>
    <row r="2" spans="1:29" ht="33" customHeight="1" thickBot="1">
      <c r="A2" s="490" t="s">
        <v>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">
        <v>201</v>
      </c>
      <c r="U2" s="473"/>
      <c r="V2" s="473"/>
      <c r="W2" s="473"/>
      <c r="X2" s="473"/>
      <c r="Y2" s="473"/>
      <c r="Z2" s="473"/>
      <c r="AA2" s="473"/>
      <c r="AB2" s="491"/>
    </row>
    <row r="3" spans="1:29" ht="18" customHeight="1" thickTop="1">
      <c r="A3" s="471" t="s">
        <v>5</v>
      </c>
      <c r="B3" s="466"/>
      <c r="C3" s="472"/>
      <c r="D3" s="473"/>
      <c r="E3" s="473"/>
      <c r="F3" s="473"/>
      <c r="G3" s="473"/>
      <c r="H3" s="473"/>
      <c r="I3" s="474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7</v>
      </c>
      <c r="U3" s="466" t="s">
        <v>8</v>
      </c>
      <c r="V3" s="466"/>
      <c r="W3" s="466" t="s">
        <v>9</v>
      </c>
      <c r="X3" s="466"/>
      <c r="Y3" s="466" t="s">
        <v>10</v>
      </c>
      <c r="Z3" s="466"/>
      <c r="AA3" s="466" t="s">
        <v>11</v>
      </c>
      <c r="AB3" s="469"/>
    </row>
    <row r="4" spans="1:29" ht="18" customHeight="1">
      <c r="A4" s="471"/>
      <c r="B4" s="466"/>
      <c r="C4" s="472"/>
      <c r="D4" s="473"/>
      <c r="E4" s="473"/>
      <c r="F4" s="473"/>
      <c r="G4" s="473"/>
      <c r="H4" s="473"/>
      <c r="I4" s="474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29" ht="32.25" customHeight="1" thickBot="1">
      <c r="A5" s="266" t="s">
        <v>12</v>
      </c>
      <c r="B5" s="302"/>
      <c r="C5" s="480" t="s">
        <v>180</v>
      </c>
      <c r="D5" s="481"/>
      <c r="E5" s="481"/>
      <c r="F5" s="481"/>
      <c r="G5" s="481"/>
      <c r="H5" s="481"/>
      <c r="I5" s="481"/>
      <c r="J5" s="480" t="s">
        <v>13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9" ht="20.25" customHeight="1" thickTop="1">
      <c r="A6" s="492" t="s">
        <v>14</v>
      </c>
      <c r="B6" s="369" t="s">
        <v>15</v>
      </c>
      <c r="C6" s="369" t="s">
        <v>16</v>
      </c>
      <c r="D6" s="369"/>
      <c r="E6" s="369"/>
      <c r="F6" s="369"/>
      <c r="G6" s="369" t="s">
        <v>17</v>
      </c>
      <c r="H6" s="369"/>
      <c r="I6" s="369"/>
      <c r="J6" s="369"/>
      <c r="K6" s="369"/>
      <c r="L6" s="369"/>
      <c r="M6" s="494" t="s">
        <v>18</v>
      </c>
      <c r="N6" s="494" t="s">
        <v>19</v>
      </c>
      <c r="O6" s="459" t="s">
        <v>188</v>
      </c>
      <c r="P6" s="460"/>
      <c r="Q6" s="463" t="s">
        <v>21</v>
      </c>
      <c r="R6" s="463"/>
      <c r="S6" s="463"/>
      <c r="T6" s="463"/>
      <c r="U6" s="463"/>
      <c r="V6" s="464"/>
      <c r="W6" s="463" t="s">
        <v>22</v>
      </c>
      <c r="X6" s="463"/>
      <c r="Y6" s="463"/>
      <c r="Z6" s="463"/>
      <c r="AA6" s="463"/>
      <c r="AB6" s="464"/>
    </row>
    <row r="7" spans="1:29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189</v>
      </c>
      <c r="T7" s="466"/>
      <c r="U7" s="297" t="s">
        <v>25</v>
      </c>
      <c r="V7" s="467"/>
      <c r="W7" s="297" t="s">
        <v>23</v>
      </c>
      <c r="X7" s="297"/>
      <c r="Y7" s="296" t="s">
        <v>24</v>
      </c>
      <c r="Z7" s="465"/>
      <c r="AA7" s="297" t="s">
        <v>25</v>
      </c>
      <c r="AB7" s="467"/>
      <c r="AC7" s="2"/>
    </row>
    <row r="8" spans="1:29" ht="18.95" customHeight="1">
      <c r="A8" s="493"/>
      <c r="B8" s="3">
        <v>1</v>
      </c>
      <c r="C8" s="105" t="s">
        <v>186</v>
      </c>
      <c r="D8" s="106"/>
      <c r="E8" s="106"/>
      <c r="F8" s="107"/>
      <c r="G8" s="7" t="str">
        <f>CRA!C5</f>
        <v>CRA</v>
      </c>
      <c r="H8" s="8"/>
      <c r="I8" s="8"/>
      <c r="J8" s="8"/>
      <c r="K8" s="8"/>
      <c r="L8" s="9"/>
      <c r="M8" s="3" t="s">
        <v>26</v>
      </c>
      <c r="N8" s="114">
        <f>CRA!N3</f>
        <v>50</v>
      </c>
      <c r="O8" s="88">
        <f>ROUND(CRA!G44,-3)</f>
        <v>21021000</v>
      </c>
      <c r="P8" s="89"/>
      <c r="Q8" s="449">
        <v>28763000</v>
      </c>
      <c r="R8" s="450"/>
      <c r="S8" s="451">
        <f>N8*O8</f>
        <v>1051050000</v>
      </c>
      <c r="T8" s="452"/>
      <c r="U8" s="453">
        <f>Q8*N8</f>
        <v>1438150000</v>
      </c>
      <c r="V8" s="454"/>
      <c r="W8" s="458">
        <f>O8-Q8</f>
        <v>-7742000</v>
      </c>
      <c r="X8" s="455"/>
      <c r="Y8" s="455">
        <f>S8-U8</f>
        <v>-387100000</v>
      </c>
      <c r="Z8" s="455"/>
      <c r="AA8" s="456"/>
      <c r="AB8" s="457"/>
      <c r="AC8" s="13"/>
    </row>
    <row r="9" spans="1:29" s="127" customFormat="1" ht="18.95" customHeight="1">
      <c r="A9" s="493"/>
      <c r="B9" s="116">
        <v>2</v>
      </c>
      <c r="C9" s="117" t="s">
        <v>186</v>
      </c>
      <c r="D9" s="118"/>
      <c r="E9" s="118"/>
      <c r="F9" s="119"/>
      <c r="G9" s="120" t="str">
        <f>CCP!C5</f>
        <v>CCP</v>
      </c>
      <c r="H9" s="121"/>
      <c r="I9" s="121"/>
      <c r="J9" s="121"/>
      <c r="K9" s="121"/>
      <c r="L9" s="122"/>
      <c r="M9" s="116" t="str">
        <f>CCP!M8</f>
        <v>EA</v>
      </c>
      <c r="N9" s="123">
        <f>CCP!N3</f>
        <v>50</v>
      </c>
      <c r="O9" s="124">
        <f>ROUND(CCP!G44,-3)</f>
        <v>4904000</v>
      </c>
      <c r="P9" s="125"/>
      <c r="Q9" s="415">
        <v>2373000</v>
      </c>
      <c r="R9" s="416"/>
      <c r="S9" s="417">
        <f t="shared" ref="S9:S21" si="0">N9*O9</f>
        <v>245200000</v>
      </c>
      <c r="T9" s="418"/>
      <c r="U9" s="440">
        <f t="shared" ref="U9:U27" si="1">Q9*N9</f>
        <v>118650000</v>
      </c>
      <c r="V9" s="441"/>
      <c r="W9" s="421">
        <f t="shared" ref="W9:W25" si="2">O9-Q9</f>
        <v>2531000</v>
      </c>
      <c r="X9" s="422"/>
      <c r="Y9" s="422">
        <f t="shared" ref="Y9:Y26" si="3">S9-U9</f>
        <v>126550000</v>
      </c>
      <c r="Z9" s="422"/>
      <c r="AA9" s="442"/>
      <c r="AB9" s="443"/>
      <c r="AC9" s="126"/>
    </row>
    <row r="10" spans="1:29" ht="18.95" customHeight="1">
      <c r="A10" s="493"/>
      <c r="B10" s="14">
        <v>3</v>
      </c>
      <c r="C10" s="99" t="s">
        <v>187</v>
      </c>
      <c r="D10" s="100"/>
      <c r="E10" s="100"/>
      <c r="F10" s="101"/>
      <c r="G10" s="18" t="str">
        <f>AAR!C5</f>
        <v>AAR</v>
      </c>
      <c r="H10" s="19"/>
      <c r="I10" s="19"/>
      <c r="J10" s="19"/>
      <c r="K10" s="19"/>
      <c r="L10" s="20"/>
      <c r="M10" s="14" t="str">
        <f>AAR!M9</f>
        <v>EA</v>
      </c>
      <c r="N10" s="115">
        <f>AAR!N3</f>
        <v>50</v>
      </c>
      <c r="O10" s="86">
        <f>ROUND(AAR!G44,-3)</f>
        <v>6994000</v>
      </c>
      <c r="P10" s="90"/>
      <c r="Q10" s="427">
        <v>17223000</v>
      </c>
      <c r="R10" s="428"/>
      <c r="S10" s="429">
        <f t="shared" si="0"/>
        <v>349700000</v>
      </c>
      <c r="T10" s="430"/>
      <c r="U10" s="444">
        <f t="shared" si="1"/>
        <v>861150000</v>
      </c>
      <c r="V10" s="445"/>
      <c r="W10" s="446">
        <f t="shared" si="2"/>
        <v>-10229000</v>
      </c>
      <c r="X10" s="433"/>
      <c r="Y10" s="433">
        <f t="shared" si="3"/>
        <v>-511450000</v>
      </c>
      <c r="Z10" s="433"/>
      <c r="AA10" s="434"/>
      <c r="AB10" s="435"/>
      <c r="AC10" s="13"/>
    </row>
    <row r="11" spans="1:29" s="127" customFormat="1" ht="18.95" customHeight="1">
      <c r="A11" s="493"/>
      <c r="B11" s="116">
        <v>4</v>
      </c>
      <c r="C11" s="117" t="s">
        <v>187</v>
      </c>
      <c r="D11" s="118"/>
      <c r="E11" s="118"/>
      <c r="F11" s="119"/>
      <c r="G11" s="120" t="str">
        <f>DPO!C5</f>
        <v>DPO</v>
      </c>
      <c r="H11" s="121"/>
      <c r="I11" s="121"/>
      <c r="J11" s="121"/>
      <c r="K11" s="121"/>
      <c r="L11" s="122"/>
      <c r="M11" s="116" t="s">
        <v>26</v>
      </c>
      <c r="N11" s="123">
        <f>DPO!N3</f>
        <v>50</v>
      </c>
      <c r="O11" s="124">
        <f>ROUND(DPO!G44,-3)</f>
        <v>4827000</v>
      </c>
      <c r="P11" s="125"/>
      <c r="Q11" s="415">
        <v>3253000</v>
      </c>
      <c r="R11" s="416"/>
      <c r="S11" s="417">
        <f t="shared" si="0"/>
        <v>241350000</v>
      </c>
      <c r="T11" s="418"/>
      <c r="U11" s="419">
        <f t="shared" si="1"/>
        <v>162650000</v>
      </c>
      <c r="V11" s="420"/>
      <c r="W11" s="421">
        <f t="shared" si="2"/>
        <v>1574000</v>
      </c>
      <c r="X11" s="422"/>
      <c r="Y11" s="422">
        <f t="shared" si="3"/>
        <v>78700000</v>
      </c>
      <c r="Z11" s="422"/>
      <c r="AA11" s="425"/>
      <c r="AB11" s="426"/>
      <c r="AC11" s="126"/>
    </row>
    <row r="12" spans="1:29" s="127" customFormat="1" ht="18.95" customHeight="1">
      <c r="A12" s="493"/>
      <c r="B12" s="116">
        <v>5</v>
      </c>
      <c r="C12" s="117" t="s">
        <v>187</v>
      </c>
      <c r="D12" s="118"/>
      <c r="E12" s="118"/>
      <c r="F12" s="119"/>
      <c r="G12" s="128" t="str">
        <f>DMA!C5</f>
        <v>DMA</v>
      </c>
      <c r="H12" s="121"/>
      <c r="I12" s="121"/>
      <c r="J12" s="121"/>
      <c r="K12" s="121"/>
      <c r="L12" s="122"/>
      <c r="M12" s="116" t="s">
        <v>26</v>
      </c>
      <c r="N12" s="123">
        <f>DMA!N3</f>
        <v>50</v>
      </c>
      <c r="O12" s="124">
        <f>ROUND(DMA!G44,-3)</f>
        <v>826000</v>
      </c>
      <c r="P12" s="125"/>
      <c r="Q12" s="415">
        <v>592000</v>
      </c>
      <c r="R12" s="416"/>
      <c r="S12" s="417">
        <f t="shared" si="0"/>
        <v>41300000</v>
      </c>
      <c r="T12" s="418"/>
      <c r="U12" s="419">
        <f t="shared" si="1"/>
        <v>29600000</v>
      </c>
      <c r="V12" s="420"/>
      <c r="W12" s="421">
        <f t="shared" si="2"/>
        <v>234000</v>
      </c>
      <c r="X12" s="422"/>
      <c r="Y12" s="422">
        <f t="shared" si="3"/>
        <v>11700000</v>
      </c>
      <c r="Z12" s="422"/>
      <c r="AA12" s="425"/>
      <c r="AB12" s="426"/>
      <c r="AC12" s="126"/>
    </row>
    <row r="13" spans="1:29" s="127" customFormat="1" ht="18.95" customHeight="1">
      <c r="A13" s="493"/>
      <c r="B13" s="116">
        <v>6</v>
      </c>
      <c r="C13" s="117" t="s">
        <v>187</v>
      </c>
      <c r="D13" s="118"/>
      <c r="E13" s="118"/>
      <c r="F13" s="119"/>
      <c r="G13" s="120" t="str">
        <f>CSP!C5</f>
        <v>CSP</v>
      </c>
      <c r="H13" s="121"/>
      <c r="I13" s="121"/>
      <c r="J13" s="121"/>
      <c r="K13" s="121"/>
      <c r="L13" s="122"/>
      <c r="M13" s="116" t="s">
        <v>26</v>
      </c>
      <c r="N13" s="129">
        <f>CSP!N3</f>
        <v>50</v>
      </c>
      <c r="O13" s="124">
        <f>ROUND(CSP!G44,-3)</f>
        <v>471000</v>
      </c>
      <c r="P13" s="125"/>
      <c r="Q13" s="415">
        <v>328000</v>
      </c>
      <c r="R13" s="416"/>
      <c r="S13" s="417">
        <f t="shared" si="0"/>
        <v>23550000</v>
      </c>
      <c r="T13" s="418"/>
      <c r="U13" s="419">
        <f t="shared" si="1"/>
        <v>16400000</v>
      </c>
      <c r="V13" s="420"/>
      <c r="W13" s="421">
        <f t="shared" si="2"/>
        <v>143000</v>
      </c>
      <c r="X13" s="422"/>
      <c r="Y13" s="422">
        <f t="shared" si="3"/>
        <v>7150000</v>
      </c>
      <c r="Z13" s="422"/>
      <c r="AA13" s="425"/>
      <c r="AB13" s="426"/>
      <c r="AC13" s="126"/>
    </row>
    <row r="14" spans="1:29" s="127" customFormat="1" ht="18.95" customHeight="1">
      <c r="A14" s="493"/>
      <c r="B14" s="116">
        <v>7</v>
      </c>
      <c r="C14" s="117" t="s">
        <v>187</v>
      </c>
      <c r="D14" s="118"/>
      <c r="E14" s="118"/>
      <c r="F14" s="119"/>
      <c r="G14" s="120" t="str">
        <f>CPO!C5</f>
        <v>CPO</v>
      </c>
      <c r="H14" s="121"/>
      <c r="I14" s="121"/>
      <c r="J14" s="121"/>
      <c r="K14" s="121"/>
      <c r="L14" s="122"/>
      <c r="M14" s="116" t="s">
        <v>26</v>
      </c>
      <c r="N14" s="123">
        <v>100</v>
      </c>
      <c r="O14" s="124">
        <f>ROUND(CPO!G44,-3)</f>
        <v>4595000</v>
      </c>
      <c r="P14" s="125"/>
      <c r="Q14" s="415">
        <v>2613000</v>
      </c>
      <c r="R14" s="416"/>
      <c r="S14" s="417">
        <f t="shared" si="0"/>
        <v>459500000</v>
      </c>
      <c r="T14" s="418"/>
      <c r="U14" s="419">
        <f t="shared" si="1"/>
        <v>261300000</v>
      </c>
      <c r="V14" s="420"/>
      <c r="W14" s="421">
        <f t="shared" si="2"/>
        <v>1982000</v>
      </c>
      <c r="X14" s="422"/>
      <c r="Y14" s="422">
        <f t="shared" si="3"/>
        <v>198200000</v>
      </c>
      <c r="Z14" s="422"/>
      <c r="AA14" s="425"/>
      <c r="AB14" s="426"/>
      <c r="AC14" s="126"/>
    </row>
    <row r="15" spans="1:29" ht="18.95" customHeight="1">
      <c r="A15" s="493"/>
      <c r="B15" s="14">
        <v>8</v>
      </c>
      <c r="C15" s="99" t="s">
        <v>187</v>
      </c>
      <c r="D15" s="100"/>
      <c r="E15" s="100"/>
      <c r="F15" s="101"/>
      <c r="G15" s="18" t="str">
        <f>PEI!C5</f>
        <v>PEI</v>
      </c>
      <c r="H15" s="19"/>
      <c r="I15" s="19"/>
      <c r="J15" s="19"/>
      <c r="K15" s="19"/>
      <c r="L15" s="20"/>
      <c r="M15" s="14" t="s">
        <v>26</v>
      </c>
      <c r="N15" s="115">
        <v>100</v>
      </c>
      <c r="O15" s="86">
        <f>ROUND(PEI!G44,-3)</f>
        <v>3791000</v>
      </c>
      <c r="P15" s="90"/>
      <c r="Q15" s="447">
        <v>3860000</v>
      </c>
      <c r="R15" s="448"/>
      <c r="S15" s="429">
        <f t="shared" si="0"/>
        <v>379100000</v>
      </c>
      <c r="T15" s="430"/>
      <c r="U15" s="444">
        <f t="shared" si="1"/>
        <v>386000000</v>
      </c>
      <c r="V15" s="445"/>
      <c r="W15" s="446">
        <f t="shared" si="2"/>
        <v>-69000</v>
      </c>
      <c r="X15" s="433"/>
      <c r="Y15" s="433">
        <f t="shared" si="3"/>
        <v>-6900000</v>
      </c>
      <c r="Z15" s="433"/>
      <c r="AA15" s="434"/>
      <c r="AB15" s="435"/>
      <c r="AC15" s="13"/>
    </row>
    <row r="16" spans="1:29" s="127" customFormat="1" ht="18.95" customHeight="1">
      <c r="A16" s="493"/>
      <c r="B16" s="116">
        <v>9</v>
      </c>
      <c r="C16" s="117" t="s">
        <v>187</v>
      </c>
      <c r="D16" s="118"/>
      <c r="E16" s="118"/>
      <c r="F16" s="119"/>
      <c r="G16" s="120" t="str">
        <f>ISP!C5</f>
        <v>ISP</v>
      </c>
      <c r="H16" s="121"/>
      <c r="I16" s="121"/>
      <c r="J16" s="121"/>
      <c r="K16" s="121"/>
      <c r="L16" s="122"/>
      <c r="M16" s="116" t="s">
        <v>26</v>
      </c>
      <c r="N16" s="123">
        <v>400</v>
      </c>
      <c r="O16" s="124">
        <f>ROUND(ISP!G44,-3)</f>
        <v>463000</v>
      </c>
      <c r="P16" s="125"/>
      <c r="Q16" s="415">
        <v>438000</v>
      </c>
      <c r="R16" s="416"/>
      <c r="S16" s="417">
        <f t="shared" si="0"/>
        <v>185200000</v>
      </c>
      <c r="T16" s="418"/>
      <c r="U16" s="419">
        <f t="shared" si="1"/>
        <v>175200000</v>
      </c>
      <c r="V16" s="420"/>
      <c r="W16" s="421">
        <f t="shared" si="2"/>
        <v>25000</v>
      </c>
      <c r="X16" s="422"/>
      <c r="Y16" s="422">
        <f t="shared" si="3"/>
        <v>10000000</v>
      </c>
      <c r="Z16" s="422"/>
      <c r="AA16" s="425"/>
      <c r="AB16" s="426"/>
      <c r="AC16" s="126"/>
    </row>
    <row r="17" spans="1:29" s="127" customFormat="1" ht="18.95" customHeight="1">
      <c r="A17" s="493"/>
      <c r="B17" s="116">
        <v>10</v>
      </c>
      <c r="C17" s="117" t="s">
        <v>187</v>
      </c>
      <c r="D17" s="118"/>
      <c r="E17" s="118"/>
      <c r="F17" s="119"/>
      <c r="G17" s="120" t="str">
        <f>ESP!C5</f>
        <v>ESP</v>
      </c>
      <c r="H17" s="121"/>
      <c r="I17" s="121"/>
      <c r="J17" s="121"/>
      <c r="K17" s="121"/>
      <c r="L17" s="122"/>
      <c r="M17" s="116" t="s">
        <v>26</v>
      </c>
      <c r="N17" s="123">
        <v>200</v>
      </c>
      <c r="O17" s="124">
        <f>ROUND(ESP!G44,-3)</f>
        <v>436000</v>
      </c>
      <c r="P17" s="125"/>
      <c r="Q17" s="415">
        <v>325000</v>
      </c>
      <c r="R17" s="416"/>
      <c r="S17" s="417">
        <f t="shared" si="0"/>
        <v>87200000</v>
      </c>
      <c r="T17" s="418"/>
      <c r="U17" s="419">
        <f t="shared" si="1"/>
        <v>65000000</v>
      </c>
      <c r="V17" s="420"/>
      <c r="W17" s="421">
        <f t="shared" si="2"/>
        <v>111000</v>
      </c>
      <c r="X17" s="422"/>
      <c r="Y17" s="422">
        <f t="shared" si="3"/>
        <v>22200000</v>
      </c>
      <c r="Z17" s="422"/>
      <c r="AA17" s="425"/>
      <c r="AB17" s="426"/>
      <c r="AC17" s="126"/>
    </row>
    <row r="18" spans="1:29" ht="18.95" customHeight="1">
      <c r="A18" s="493"/>
      <c r="B18" s="14">
        <v>11</v>
      </c>
      <c r="C18" s="99" t="s">
        <v>187</v>
      </c>
      <c r="D18" s="100"/>
      <c r="E18" s="100"/>
      <c r="F18" s="101"/>
      <c r="G18" s="18" t="str">
        <f>'TRF1'!C5</f>
        <v>TRF1</v>
      </c>
      <c r="H18" s="19"/>
      <c r="I18" s="19"/>
      <c r="J18" s="19"/>
      <c r="K18" s="19"/>
      <c r="L18" s="20"/>
      <c r="M18" s="14" t="s">
        <v>26</v>
      </c>
      <c r="N18" s="115">
        <v>200</v>
      </c>
      <c r="O18" s="86">
        <f>ROUND('TRF1'!G44,-3)</f>
        <v>387000</v>
      </c>
      <c r="P18" s="90"/>
      <c r="Q18" s="427">
        <v>404000</v>
      </c>
      <c r="R18" s="428"/>
      <c r="S18" s="429">
        <f t="shared" si="0"/>
        <v>77400000</v>
      </c>
      <c r="T18" s="430"/>
      <c r="U18" s="444">
        <f t="shared" si="1"/>
        <v>80800000</v>
      </c>
      <c r="V18" s="445"/>
      <c r="W18" s="446">
        <f t="shared" si="2"/>
        <v>-17000</v>
      </c>
      <c r="X18" s="433"/>
      <c r="Y18" s="433">
        <f t="shared" si="3"/>
        <v>-3400000</v>
      </c>
      <c r="Z18" s="433"/>
      <c r="AA18" s="434"/>
      <c r="AB18" s="435"/>
      <c r="AC18" s="13"/>
    </row>
    <row r="19" spans="1:29" ht="18.95" customHeight="1">
      <c r="A19" s="493"/>
      <c r="B19" s="14">
        <v>12</v>
      </c>
      <c r="C19" s="99" t="s">
        <v>187</v>
      </c>
      <c r="D19" s="100"/>
      <c r="E19" s="100"/>
      <c r="F19" s="101"/>
      <c r="G19" s="18" t="str">
        <f>'TRF2'!C5</f>
        <v>TRF2</v>
      </c>
      <c r="H19" s="19"/>
      <c r="I19" s="19"/>
      <c r="J19" s="19"/>
      <c r="K19" s="19"/>
      <c r="L19" s="20"/>
      <c r="M19" s="14" t="s">
        <v>26</v>
      </c>
      <c r="N19" s="115">
        <v>100</v>
      </c>
      <c r="O19" s="86">
        <f>ROUND('TRF2'!G44,-3)</f>
        <v>315000</v>
      </c>
      <c r="P19" s="90"/>
      <c r="Q19" s="427">
        <v>614000</v>
      </c>
      <c r="R19" s="428"/>
      <c r="S19" s="429">
        <f t="shared" si="0"/>
        <v>31500000</v>
      </c>
      <c r="T19" s="430"/>
      <c r="U19" s="444">
        <f t="shared" si="1"/>
        <v>61400000</v>
      </c>
      <c r="V19" s="445"/>
      <c r="W19" s="446">
        <f t="shared" si="2"/>
        <v>-299000</v>
      </c>
      <c r="X19" s="433"/>
      <c r="Y19" s="433">
        <f t="shared" si="3"/>
        <v>-29900000</v>
      </c>
      <c r="Z19" s="433"/>
      <c r="AA19" s="434"/>
      <c r="AB19" s="435"/>
      <c r="AC19" s="13"/>
    </row>
    <row r="20" spans="1:29" s="127" customFormat="1" ht="18.95" customHeight="1">
      <c r="A20" s="493"/>
      <c r="B20" s="116">
        <v>13</v>
      </c>
      <c r="C20" s="117" t="s">
        <v>187</v>
      </c>
      <c r="D20" s="118"/>
      <c r="E20" s="118"/>
      <c r="F20" s="119"/>
      <c r="G20" s="120" t="str">
        <f>FDI!C5</f>
        <v xml:space="preserve">FDI </v>
      </c>
      <c r="H20" s="121"/>
      <c r="I20" s="121"/>
      <c r="J20" s="121"/>
      <c r="K20" s="121"/>
      <c r="L20" s="122"/>
      <c r="M20" s="116" t="s">
        <v>26</v>
      </c>
      <c r="N20" s="123">
        <v>50</v>
      </c>
      <c r="O20" s="124">
        <f>ROUND(FDI!G44,-3)</f>
        <v>4506000</v>
      </c>
      <c r="P20" s="125"/>
      <c r="Q20" s="415">
        <v>2552000</v>
      </c>
      <c r="R20" s="416"/>
      <c r="S20" s="417">
        <f t="shared" si="0"/>
        <v>225300000</v>
      </c>
      <c r="T20" s="418"/>
      <c r="U20" s="419">
        <f t="shared" si="1"/>
        <v>127600000</v>
      </c>
      <c r="V20" s="420"/>
      <c r="W20" s="421">
        <f t="shared" si="2"/>
        <v>1954000</v>
      </c>
      <c r="X20" s="422"/>
      <c r="Y20" s="422">
        <f t="shared" si="3"/>
        <v>97700000</v>
      </c>
      <c r="Z20" s="422"/>
      <c r="AA20" s="425"/>
      <c r="AB20" s="426"/>
      <c r="AC20" s="126"/>
    </row>
    <row r="21" spans="1:29" s="127" customFormat="1" ht="18.95" customHeight="1">
      <c r="A21" s="493"/>
      <c r="B21" s="116">
        <v>14</v>
      </c>
      <c r="C21" s="117" t="s">
        <v>187</v>
      </c>
      <c r="D21" s="118"/>
      <c r="E21" s="118"/>
      <c r="F21" s="119"/>
      <c r="G21" s="120" t="str">
        <f>SDI!C5</f>
        <v>SDI</v>
      </c>
      <c r="H21" s="121"/>
      <c r="I21" s="121"/>
      <c r="J21" s="121"/>
      <c r="K21" s="121"/>
      <c r="L21" s="122"/>
      <c r="M21" s="116" t="s">
        <v>26</v>
      </c>
      <c r="N21" s="123">
        <v>200</v>
      </c>
      <c r="O21" s="124">
        <f>ROUND(SDI!G44,-3)</f>
        <v>4146000</v>
      </c>
      <c r="P21" s="125"/>
      <c r="Q21" s="438">
        <v>2738000</v>
      </c>
      <c r="R21" s="439"/>
      <c r="S21" s="417">
        <f t="shared" si="0"/>
        <v>829200000</v>
      </c>
      <c r="T21" s="418"/>
      <c r="U21" s="440">
        <f t="shared" si="1"/>
        <v>547600000</v>
      </c>
      <c r="V21" s="441"/>
      <c r="W21" s="421">
        <f t="shared" si="2"/>
        <v>1408000</v>
      </c>
      <c r="X21" s="422"/>
      <c r="Y21" s="422">
        <f t="shared" si="3"/>
        <v>281600000</v>
      </c>
      <c r="Z21" s="422"/>
      <c r="AA21" s="442"/>
      <c r="AB21" s="443"/>
      <c r="AC21" s="126"/>
    </row>
    <row r="22" spans="1:29" ht="18.95" customHeight="1">
      <c r="A22" s="493"/>
      <c r="B22" s="24">
        <v>15</v>
      </c>
      <c r="C22" s="99" t="s">
        <v>187</v>
      </c>
      <c r="D22" s="100"/>
      <c r="E22" s="100"/>
      <c r="F22" s="101"/>
      <c r="G22" s="18" t="str">
        <f>PII!C5</f>
        <v>PII</v>
      </c>
      <c r="H22" s="19"/>
      <c r="I22" s="19"/>
      <c r="J22" s="19"/>
      <c r="K22" s="19"/>
      <c r="L22" s="20"/>
      <c r="M22" s="14" t="s">
        <v>26</v>
      </c>
      <c r="N22" s="115">
        <v>100</v>
      </c>
      <c r="O22" s="86">
        <f>ROUND(PII!G44,-3)</f>
        <v>3346000</v>
      </c>
      <c r="P22" s="90"/>
      <c r="Q22" s="427">
        <v>3688000</v>
      </c>
      <c r="R22" s="428"/>
      <c r="S22" s="429">
        <f>N22*O22</f>
        <v>334600000</v>
      </c>
      <c r="T22" s="430"/>
      <c r="U22" s="431">
        <f t="shared" si="1"/>
        <v>368800000</v>
      </c>
      <c r="V22" s="432"/>
      <c r="W22" s="446">
        <f t="shared" si="2"/>
        <v>-342000</v>
      </c>
      <c r="X22" s="433"/>
      <c r="Y22" s="433">
        <f t="shared" si="3"/>
        <v>-34200000</v>
      </c>
      <c r="Z22" s="433"/>
      <c r="AA22" s="434"/>
      <c r="AB22" s="435"/>
      <c r="AC22" s="13"/>
    </row>
    <row r="23" spans="1:29" s="127" customFormat="1" ht="18.95" customHeight="1">
      <c r="A23" s="493"/>
      <c r="B23" s="116">
        <v>16</v>
      </c>
      <c r="C23" s="117" t="s">
        <v>186</v>
      </c>
      <c r="D23" s="118"/>
      <c r="E23" s="118"/>
      <c r="F23" s="119"/>
      <c r="G23" s="120" t="str">
        <f>PID!C5</f>
        <v>PID</v>
      </c>
      <c r="H23" s="121"/>
      <c r="I23" s="121"/>
      <c r="J23" s="121"/>
      <c r="K23" s="121"/>
      <c r="L23" s="122"/>
      <c r="M23" s="116" t="s">
        <v>26</v>
      </c>
      <c r="N23" s="123">
        <v>300</v>
      </c>
      <c r="O23" s="124">
        <f>ROUND(PID!G44,-3)</f>
        <v>4088000</v>
      </c>
      <c r="P23" s="125"/>
      <c r="Q23" s="415">
        <v>2788000</v>
      </c>
      <c r="R23" s="416"/>
      <c r="S23" s="436">
        <f>N23*O23</f>
        <v>1226400000</v>
      </c>
      <c r="T23" s="437"/>
      <c r="U23" s="419">
        <f t="shared" si="1"/>
        <v>836400000</v>
      </c>
      <c r="V23" s="420"/>
      <c r="W23" s="421">
        <f t="shared" si="2"/>
        <v>1300000</v>
      </c>
      <c r="X23" s="422"/>
      <c r="Y23" s="422">
        <f t="shared" si="3"/>
        <v>390000000</v>
      </c>
      <c r="Z23" s="422"/>
      <c r="AA23" s="425"/>
      <c r="AB23" s="426"/>
      <c r="AC23" s="126"/>
    </row>
    <row r="24" spans="1:29" s="127" customFormat="1" ht="18.95" customHeight="1">
      <c r="A24" s="493"/>
      <c r="B24" s="116">
        <v>17</v>
      </c>
      <c r="C24" s="117" t="s">
        <v>186</v>
      </c>
      <c r="D24" s="118"/>
      <c r="E24" s="118"/>
      <c r="F24" s="119"/>
      <c r="G24" s="120" t="str">
        <f>'JCR1'!C5</f>
        <v>JCR1</v>
      </c>
      <c r="H24" s="121"/>
      <c r="I24" s="121"/>
      <c r="J24" s="121"/>
      <c r="K24" s="121"/>
      <c r="L24" s="122"/>
      <c r="M24" s="116" t="s">
        <v>191</v>
      </c>
      <c r="N24" s="123">
        <v>25</v>
      </c>
      <c r="O24" s="124">
        <f>ROUND('JCR1'!G44,-3)</f>
        <v>2886000</v>
      </c>
      <c r="P24" s="125"/>
      <c r="Q24" s="415">
        <v>2788000</v>
      </c>
      <c r="R24" s="416"/>
      <c r="S24" s="417">
        <f>N24*O24</f>
        <v>72150000</v>
      </c>
      <c r="T24" s="418"/>
      <c r="U24" s="419">
        <f t="shared" si="1"/>
        <v>69700000</v>
      </c>
      <c r="V24" s="420"/>
      <c r="W24" s="421">
        <f t="shared" si="2"/>
        <v>98000</v>
      </c>
      <c r="X24" s="422"/>
      <c r="Y24" s="422">
        <f t="shared" si="3"/>
        <v>2450000</v>
      </c>
      <c r="Z24" s="422"/>
      <c r="AA24" s="425"/>
      <c r="AB24" s="426"/>
      <c r="AC24" s="126"/>
    </row>
    <row r="25" spans="1:29" s="127" customFormat="1" ht="18.95" customHeight="1">
      <c r="A25" s="493"/>
      <c r="B25" s="116">
        <v>18</v>
      </c>
      <c r="C25" s="117" t="s">
        <v>186</v>
      </c>
      <c r="D25" s="118"/>
      <c r="E25" s="118"/>
      <c r="F25" s="119"/>
      <c r="G25" s="120" t="str">
        <f>'CBL1'!C5</f>
        <v>CBL1</v>
      </c>
      <c r="H25" s="121"/>
      <c r="I25" s="121"/>
      <c r="J25" s="121"/>
      <c r="K25" s="121"/>
      <c r="L25" s="122"/>
      <c r="M25" s="116" t="s">
        <v>26</v>
      </c>
      <c r="N25" s="123">
        <f>'CBL1'!N3</f>
        <v>50</v>
      </c>
      <c r="O25" s="124">
        <f>ROUND('CBL1'!G44,-3)</f>
        <v>6832000</v>
      </c>
      <c r="P25" s="125"/>
      <c r="Q25" s="415">
        <v>7000</v>
      </c>
      <c r="R25" s="416"/>
      <c r="S25" s="417">
        <f>N25*O25</f>
        <v>341600000</v>
      </c>
      <c r="T25" s="418"/>
      <c r="U25" s="419">
        <f t="shared" si="1"/>
        <v>350000</v>
      </c>
      <c r="V25" s="420"/>
      <c r="W25" s="421">
        <f t="shared" si="2"/>
        <v>6825000</v>
      </c>
      <c r="X25" s="422"/>
      <c r="Y25" s="422">
        <f t="shared" si="3"/>
        <v>341250000</v>
      </c>
      <c r="Z25" s="422"/>
      <c r="AA25" s="425"/>
      <c r="AB25" s="426"/>
      <c r="AC25" s="130"/>
    </row>
    <row r="26" spans="1:29" s="127" customFormat="1" ht="18.95" customHeight="1">
      <c r="A26" s="493"/>
      <c r="B26" s="116">
        <v>19</v>
      </c>
      <c r="C26" s="117" t="s">
        <v>184</v>
      </c>
      <c r="D26" s="118"/>
      <c r="E26" s="118"/>
      <c r="F26" s="119"/>
      <c r="G26" s="120" t="str">
        <f>'JCR2'!C5</f>
        <v>JCR2</v>
      </c>
      <c r="H26" s="121"/>
      <c r="I26" s="121"/>
      <c r="J26" s="121"/>
      <c r="K26" s="121"/>
      <c r="L26" s="122"/>
      <c r="M26" s="116" t="s">
        <v>199</v>
      </c>
      <c r="N26" s="123">
        <v>25</v>
      </c>
      <c r="O26" s="124">
        <f>ROUND('JCR2'!G44,-3)</f>
        <v>618000</v>
      </c>
      <c r="P26" s="131"/>
      <c r="Q26" s="415">
        <v>0</v>
      </c>
      <c r="R26" s="416"/>
      <c r="S26" s="417">
        <f t="shared" ref="S26:S27" si="4">N26*O26</f>
        <v>15450000</v>
      </c>
      <c r="T26" s="418"/>
      <c r="U26" s="419">
        <f t="shared" si="1"/>
        <v>0</v>
      </c>
      <c r="V26" s="420"/>
      <c r="W26" s="421">
        <f t="shared" ref="W26" si="5">O26-Q26</f>
        <v>618000</v>
      </c>
      <c r="X26" s="422"/>
      <c r="Y26" s="422">
        <f t="shared" si="3"/>
        <v>15450000</v>
      </c>
      <c r="Z26" s="422"/>
      <c r="AA26" s="423"/>
      <c r="AB26" s="424"/>
      <c r="AC26" s="126"/>
    </row>
    <row r="27" spans="1:29" s="127" customFormat="1" ht="18.95" customHeight="1">
      <c r="A27" s="493"/>
      <c r="B27" s="132">
        <v>20</v>
      </c>
      <c r="C27" s="133" t="s">
        <v>184</v>
      </c>
      <c r="D27" s="134"/>
      <c r="E27" s="134"/>
      <c r="F27" s="135"/>
      <c r="G27" s="136" t="str">
        <f>'CBL2'!C5</f>
        <v>CBL2</v>
      </c>
      <c r="H27" s="137"/>
      <c r="I27" s="137"/>
      <c r="J27" s="137"/>
      <c r="K27" s="137"/>
      <c r="L27" s="138"/>
      <c r="M27" s="132" t="s">
        <v>199</v>
      </c>
      <c r="N27" s="139">
        <f>'CBL2'!N3</f>
        <v>50</v>
      </c>
      <c r="O27" s="140">
        <f>ROUND('CBL2'!G44,-3)</f>
        <v>646000</v>
      </c>
      <c r="P27" s="141"/>
      <c r="Q27" s="405">
        <f>249000+194000</f>
        <v>443000</v>
      </c>
      <c r="R27" s="406"/>
      <c r="S27" s="407">
        <f t="shared" si="4"/>
        <v>32300000</v>
      </c>
      <c r="T27" s="408"/>
      <c r="U27" s="409">
        <f t="shared" si="1"/>
        <v>22150000</v>
      </c>
      <c r="V27" s="410"/>
      <c r="W27" s="411">
        <f t="shared" ref="W27" si="6">O27-Q27</f>
        <v>203000</v>
      </c>
      <c r="X27" s="412"/>
      <c r="Y27" s="412">
        <f t="shared" ref="Y27" si="7">S27-U27</f>
        <v>10150000</v>
      </c>
      <c r="Z27" s="412"/>
      <c r="AA27" s="413"/>
      <c r="AB27" s="414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395">
        <f>SUM(Q8:R27)</f>
        <v>75790000</v>
      </c>
      <c r="R28" s="395"/>
      <c r="S28" s="396">
        <f>SUM(S8:T27)</f>
        <v>6249050000</v>
      </c>
      <c r="T28" s="397"/>
      <c r="U28" s="398">
        <f>SUM(U8:V27)</f>
        <v>5628900000</v>
      </c>
      <c r="V28" s="399"/>
      <c r="W28" s="400"/>
      <c r="X28" s="401"/>
      <c r="Y28" s="402">
        <f>SUM(Y8:Z27)</f>
        <v>620150000</v>
      </c>
      <c r="Z28" s="402"/>
      <c r="AA28" s="403"/>
      <c r="AB28" s="404"/>
    </row>
    <row r="29" spans="1:29" ht="21" customHeight="1" thickTop="1">
      <c r="A29" s="373" t="s">
        <v>27</v>
      </c>
      <c r="B29" s="374"/>
      <c r="C29" s="374"/>
      <c r="D29" s="374"/>
      <c r="E29" s="374"/>
      <c r="F29" s="374"/>
      <c r="G29" s="375" t="s">
        <v>28</v>
      </c>
      <c r="H29" s="374"/>
      <c r="I29" s="376"/>
      <c r="J29" s="373" t="s">
        <v>29</v>
      </c>
      <c r="K29" s="374"/>
      <c r="L29" s="376"/>
      <c r="M29" s="377" t="s">
        <v>30</v>
      </c>
      <c r="N29" s="380" t="s">
        <v>31</v>
      </c>
      <c r="O29" s="381"/>
      <c r="P29" s="368"/>
      <c r="Q29" s="360" t="s">
        <v>32</v>
      </c>
      <c r="R29" s="361"/>
      <c r="S29" s="360" t="s">
        <v>33</v>
      </c>
      <c r="T29" s="361"/>
      <c r="U29" s="360" t="s">
        <v>34</v>
      </c>
      <c r="V29" s="364"/>
      <c r="W29" s="366" t="s">
        <v>32</v>
      </c>
      <c r="X29" s="361"/>
      <c r="Y29" s="360" t="s">
        <v>33</v>
      </c>
      <c r="Z29" s="368"/>
      <c r="AA29" s="360" t="s">
        <v>34</v>
      </c>
      <c r="AB29" s="364"/>
    </row>
    <row r="30" spans="1:29" ht="21" customHeight="1">
      <c r="A30" s="38">
        <v>1</v>
      </c>
      <c r="B30" s="225"/>
      <c r="C30" s="274" t="s">
        <v>35</v>
      </c>
      <c r="D30" s="274"/>
      <c r="E30" s="274"/>
      <c r="F30" s="274"/>
      <c r="G30" s="370">
        <f>Q28</f>
        <v>75790000</v>
      </c>
      <c r="H30" s="371"/>
      <c r="I30" s="372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36</v>
      </c>
      <c r="D31" s="324"/>
      <c r="E31" s="324"/>
      <c r="F31" s="324"/>
      <c r="G31" s="382">
        <f>S28+S87</f>
        <v>6549050000</v>
      </c>
      <c r="H31" s="383"/>
      <c r="I31" s="384"/>
      <c r="J31" s="385"/>
      <c r="K31" s="386"/>
      <c r="L31" s="387"/>
      <c r="M31" s="378"/>
      <c r="N31" s="388"/>
      <c r="O31" s="388"/>
      <c r="P31" s="388"/>
      <c r="Q31" s="388"/>
      <c r="R31" s="388"/>
      <c r="S31" s="389"/>
      <c r="T31" s="389"/>
      <c r="U31" s="390"/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37</v>
      </c>
      <c r="D32" s="292"/>
      <c r="E32" s="292"/>
      <c r="F32" s="292"/>
      <c r="G32" s="354">
        <f>U28</f>
        <v>5628900000</v>
      </c>
      <c r="H32" s="355"/>
      <c r="I32" s="356"/>
      <c r="J32" s="357"/>
      <c r="K32" s="358"/>
      <c r="L32" s="359"/>
      <c r="M32" s="378"/>
      <c r="N32" s="313"/>
      <c r="O32" s="314"/>
      <c r="P32" s="315"/>
      <c r="Q32" s="313"/>
      <c r="R32" s="315"/>
      <c r="S32" s="326"/>
      <c r="T32" s="327"/>
      <c r="U32" s="328"/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38</v>
      </c>
      <c r="D33" s="297"/>
      <c r="E33" s="297"/>
      <c r="F33" s="297"/>
      <c r="G33" s="318">
        <f>(G30+G31+G32)</f>
        <v>12253740000</v>
      </c>
      <c r="H33" s="319"/>
      <c r="I33" s="320"/>
      <c r="J33" s="349"/>
      <c r="K33" s="350"/>
      <c r="L33" s="351"/>
      <c r="M33" s="378"/>
      <c r="N33" s="313"/>
      <c r="O33" s="314"/>
      <c r="P33" s="315"/>
      <c r="Q33" s="313"/>
      <c r="R33" s="315"/>
      <c r="S33" s="326"/>
      <c r="T33" s="327"/>
      <c r="U33" s="328"/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39</v>
      </c>
      <c r="D34" s="339"/>
      <c r="E34" s="339"/>
      <c r="F34" s="339"/>
      <c r="G34" s="340">
        <f>U38</f>
        <v>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40</v>
      </c>
      <c r="D35" s="306"/>
      <c r="E35" s="306"/>
      <c r="F35" s="306"/>
      <c r="G35" s="307">
        <f>G34*0.1</f>
        <v>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41</v>
      </c>
      <c r="D36" s="292"/>
      <c r="E36" s="292"/>
      <c r="F36" s="292"/>
      <c r="G36" s="333">
        <f>G34+G35</f>
        <v>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42</v>
      </c>
      <c r="C37" s="297"/>
      <c r="D37" s="297"/>
      <c r="E37" s="297"/>
      <c r="F37" s="297"/>
      <c r="G37" s="318">
        <f>G33+G36</f>
        <v>12253740000</v>
      </c>
      <c r="H37" s="319"/>
      <c r="I37" s="320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43</v>
      </c>
      <c r="C38" s="297"/>
      <c r="D38" s="297"/>
      <c r="E38" s="297"/>
      <c r="F38" s="297"/>
      <c r="G38" s="253">
        <v>0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44</v>
      </c>
      <c r="C39" s="43"/>
      <c r="D39" s="43"/>
      <c r="E39" s="43"/>
      <c r="F39" s="43"/>
      <c r="G39" s="253">
        <f>G36*0.15</f>
        <v>0</v>
      </c>
      <c r="H39" s="254"/>
      <c r="I39" s="255"/>
      <c r="J39" s="268"/>
      <c r="K39" s="269"/>
      <c r="L39" s="270"/>
      <c r="M39" s="271" t="s">
        <v>45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46</v>
      </c>
      <c r="C40" s="43"/>
      <c r="D40" s="43"/>
      <c r="E40" s="43"/>
      <c r="F40" s="43"/>
      <c r="G40" s="253">
        <f>(G36+G39)*0.15</f>
        <v>0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47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91" t="s">
        <v>190</v>
      </c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48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49</v>
      </c>
      <c r="C43" s="274"/>
      <c r="D43" s="274"/>
      <c r="E43" s="274"/>
      <c r="F43" s="274"/>
      <c r="G43" s="253">
        <v>0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7</v>
      </c>
      <c r="U43" s="278" t="s">
        <v>8</v>
      </c>
      <c r="V43" s="278"/>
      <c r="W43" s="278" t="s">
        <v>50</v>
      </c>
      <c r="X43" s="278"/>
      <c r="Y43" s="278" t="s">
        <v>51</v>
      </c>
      <c r="Z43" s="278"/>
      <c r="AA43" s="278" t="s">
        <v>52</v>
      </c>
      <c r="AB43" s="279"/>
      <c r="AC43" s="25"/>
    </row>
    <row r="44" spans="1:33" ht="21" customHeight="1" thickBot="1">
      <c r="A44" s="38">
        <v>15</v>
      </c>
      <c r="B44" s="280" t="s">
        <v>28</v>
      </c>
      <c r="C44" s="281"/>
      <c r="D44" s="281"/>
      <c r="E44" s="281"/>
      <c r="F44" s="281"/>
      <c r="G44" s="219">
        <f>SUM(G37:I43)</f>
        <v>12253740000</v>
      </c>
      <c r="H44" s="220"/>
      <c r="I44" s="221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53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54</v>
      </c>
      <c r="N45" s="286"/>
      <c r="O45" s="286"/>
      <c r="P45" s="217"/>
      <c r="Q45" s="218"/>
      <c r="R45" s="218"/>
      <c r="S45" s="218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55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5</v>
      </c>
      <c r="B47" s="240"/>
      <c r="C47" s="241"/>
      <c r="D47" s="242"/>
      <c r="E47" s="242"/>
      <c r="F47" s="242"/>
      <c r="G47" s="242"/>
      <c r="H47" s="242"/>
      <c r="I47" s="242"/>
      <c r="J47" s="243" t="s">
        <v>56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2</v>
      </c>
      <c r="U47" s="242"/>
      <c r="V47" s="242"/>
      <c r="W47" s="242"/>
      <c r="X47" s="250" t="s">
        <v>3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232" t="s">
        <v>12</v>
      </c>
      <c r="B48" s="233"/>
      <c r="C48" s="234" t="str">
        <f>C5</f>
        <v>방송, 표시기</v>
      </c>
      <c r="D48" s="235"/>
      <c r="E48" s="235"/>
      <c r="F48" s="235"/>
      <c r="G48" s="235"/>
      <c r="H48" s="235"/>
      <c r="I48" s="235"/>
      <c r="J48" s="246"/>
      <c r="K48" s="247"/>
      <c r="L48" s="247"/>
      <c r="M48" s="247"/>
      <c r="N48" s="247"/>
      <c r="O48" s="247"/>
      <c r="P48" s="247"/>
      <c r="Q48" s="247"/>
      <c r="R48" s="247"/>
      <c r="S48" s="248"/>
      <c r="T48" s="235" t="str">
        <f>T2</f>
        <v>2011  년    4 월    11 일</v>
      </c>
      <c r="U48" s="235"/>
      <c r="V48" s="235"/>
      <c r="W48" s="235"/>
      <c r="X48" s="235"/>
      <c r="Y48" s="235"/>
      <c r="Z48" s="235"/>
      <c r="AA48" s="235"/>
      <c r="AB48" s="236"/>
      <c r="AD48" s="49"/>
      <c r="AF48" s="50"/>
      <c r="AG48" s="50"/>
    </row>
    <row r="49" spans="1:33" ht="22.5" customHeight="1" thickTop="1">
      <c r="A49" s="227" t="s">
        <v>14</v>
      </c>
      <c r="B49" s="200" t="s">
        <v>15</v>
      </c>
      <c r="C49" s="200" t="s">
        <v>16</v>
      </c>
      <c r="D49" s="200"/>
      <c r="E49" s="200"/>
      <c r="F49" s="200"/>
      <c r="G49" s="200" t="s">
        <v>17</v>
      </c>
      <c r="H49" s="200"/>
      <c r="I49" s="200"/>
      <c r="J49" s="200"/>
      <c r="K49" s="200"/>
      <c r="L49" s="200"/>
      <c r="M49" s="195" t="s">
        <v>18</v>
      </c>
      <c r="N49" s="195" t="s">
        <v>19</v>
      </c>
      <c r="O49" s="200" t="s">
        <v>20</v>
      </c>
      <c r="P49" s="201"/>
      <c r="Q49" s="203" t="s">
        <v>21</v>
      </c>
      <c r="R49" s="204"/>
      <c r="S49" s="204"/>
      <c r="T49" s="204"/>
      <c r="U49" s="204"/>
      <c r="V49" s="205"/>
      <c r="W49" s="204" t="s">
        <v>57</v>
      </c>
      <c r="X49" s="204"/>
      <c r="Y49" s="204"/>
      <c r="Z49" s="204"/>
      <c r="AA49" s="204"/>
      <c r="AB49" s="205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23</v>
      </c>
      <c r="R50" s="207"/>
      <c r="S50" s="208" t="s">
        <v>24</v>
      </c>
      <c r="T50" s="208"/>
      <c r="U50" s="209" t="s">
        <v>25</v>
      </c>
      <c r="V50" s="210"/>
      <c r="W50" s="209" t="s">
        <v>23</v>
      </c>
      <c r="X50" s="209"/>
      <c r="Y50" s="211" t="s">
        <v>24</v>
      </c>
      <c r="Z50" s="207"/>
      <c r="AA50" s="209" t="s">
        <v>25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 t="s">
        <v>256</v>
      </c>
      <c r="H51" s="8"/>
      <c r="I51" s="8"/>
      <c r="J51" s="8"/>
      <c r="K51" s="8"/>
      <c r="L51" s="9"/>
      <c r="M51" s="51"/>
      <c r="N51" s="54"/>
      <c r="O51" s="55">
        <v>100000000</v>
      </c>
      <c r="P51" s="56"/>
      <c r="Q51" s="212"/>
      <c r="R51" s="213"/>
      <c r="S51" s="214">
        <f>O51</f>
        <v>100000000</v>
      </c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 t="s">
        <v>257</v>
      </c>
      <c r="H52" s="59"/>
      <c r="I52" s="59"/>
      <c r="J52" s="59"/>
      <c r="K52" s="59"/>
      <c r="L52" s="60"/>
      <c r="M52" s="24"/>
      <c r="N52" s="61"/>
      <c r="O52" s="62">
        <v>200000000</v>
      </c>
      <c r="P52" s="63"/>
      <c r="Q52" s="187"/>
      <c r="R52" s="188"/>
      <c r="S52" s="214">
        <f>O52</f>
        <v>200000000</v>
      </c>
      <c r="T52" s="215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2"/>
      <c r="P53" s="63"/>
      <c r="Q53" s="187"/>
      <c r="R53" s="188"/>
      <c r="S53" s="193"/>
      <c r="T53" s="194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2"/>
      <c r="P54" s="63"/>
      <c r="Q54" s="187"/>
      <c r="R54" s="188"/>
      <c r="S54" s="193"/>
      <c r="T54" s="194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144">
        <v>0</v>
      </c>
      <c r="R87" s="145"/>
      <c r="S87" s="146">
        <f>SUM(S51:T86)</f>
        <v>300000000</v>
      </c>
      <c r="T87" s="146"/>
      <c r="U87" s="146">
        <v>0</v>
      </c>
      <c r="V87" s="147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55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38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20:X20"/>
    <mergeCell ref="W21:X21"/>
    <mergeCell ref="W22:X22"/>
    <mergeCell ref="W23:X23"/>
    <mergeCell ref="W24:X24"/>
    <mergeCell ref="W14:X14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W8:X8"/>
    <mergeCell ref="W9:X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W10:X10"/>
    <mergeCell ref="W11:X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W12:X12"/>
    <mergeCell ref="W13:X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W15:X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W16:X16"/>
    <mergeCell ref="W17:X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W18:X18"/>
    <mergeCell ref="W19:X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W25:X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" right="0.21" top="0.59055118110236227" bottom="0.19685039370078741" header="0.62992125984251968" footer="0.15748031496062992"/>
  <pageSetup paperSize="9" scale="77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8"/>
  <sheetViews>
    <sheetView showGridLines="0" topLeftCell="A7" workbookViewId="0">
      <selection activeCell="K54" sqref="K54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4.44140625" style="1" customWidth="1"/>
    <col min="17" max="17" width="3.44140625" style="1" customWidth="1"/>
    <col min="18" max="18" width="5.44140625" style="1" customWidth="1"/>
    <col min="19" max="19" width="4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17.88671875" style="1" bestFit="1" customWidth="1"/>
    <col min="30" max="16384" width="8.88671875" style="1"/>
  </cols>
  <sheetData>
    <row r="1" spans="1:28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200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28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28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570">
        <v>50</v>
      </c>
      <c r="O3" s="571"/>
      <c r="P3" s="571"/>
      <c r="Q3" s="571"/>
      <c r="R3" s="571"/>
      <c r="S3" s="572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28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573"/>
      <c r="O4" s="574"/>
      <c r="P4" s="574"/>
      <c r="Q4" s="574"/>
      <c r="R4" s="574"/>
      <c r="S4" s="575"/>
      <c r="T4" s="478"/>
      <c r="U4" s="466"/>
      <c r="V4" s="466"/>
      <c r="W4" s="466"/>
      <c r="X4" s="466"/>
      <c r="Y4" s="466"/>
      <c r="Z4" s="466"/>
      <c r="AA4" s="466"/>
      <c r="AB4" s="469"/>
    </row>
    <row r="5" spans="1:28" ht="32.25" customHeight="1" thickBot="1">
      <c r="A5" s="266" t="s">
        <v>71</v>
      </c>
      <c r="B5" s="302"/>
      <c r="C5" s="480" t="s">
        <v>202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8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</row>
    <row r="7" spans="1:28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</row>
    <row r="8" spans="1:28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260</v>
      </c>
      <c r="H8" s="8"/>
      <c r="I8" s="8"/>
      <c r="J8" s="8"/>
      <c r="K8" s="8"/>
      <c r="L8" s="9"/>
      <c r="M8" s="3" t="s">
        <v>85</v>
      </c>
      <c r="N8" s="85">
        <v>1</v>
      </c>
      <c r="O8" s="88">
        <v>400000</v>
      </c>
      <c r="P8" s="89"/>
      <c r="Q8" s="562"/>
      <c r="R8" s="563"/>
      <c r="S8" s="214">
        <f t="shared" ref="S8:S16" si="0">N8*O8</f>
        <v>400000</v>
      </c>
      <c r="T8" s="215"/>
      <c r="U8" s="564"/>
      <c r="V8" s="565"/>
      <c r="W8" s="11"/>
      <c r="X8" s="12"/>
      <c r="Y8" s="566"/>
      <c r="Z8" s="567"/>
      <c r="AA8" s="568"/>
      <c r="AB8" s="569"/>
    </row>
    <row r="9" spans="1:28" ht="18.95" customHeight="1">
      <c r="A9" s="493"/>
      <c r="B9" s="14">
        <v>2</v>
      </c>
      <c r="C9" s="15"/>
      <c r="D9" s="16"/>
      <c r="E9" s="16"/>
      <c r="F9" s="17"/>
      <c r="G9" s="18" t="s">
        <v>261</v>
      </c>
      <c r="H9" s="19"/>
      <c r="I9" s="19"/>
      <c r="J9" s="19"/>
      <c r="K9" s="19"/>
      <c r="L9" s="20"/>
      <c r="M9" s="14" t="s">
        <v>85</v>
      </c>
      <c r="N9" s="21">
        <v>1</v>
      </c>
      <c r="O9" s="86">
        <v>1350000</v>
      </c>
      <c r="P9" s="90"/>
      <c r="Q9" s="539"/>
      <c r="R9" s="540"/>
      <c r="S9" s="165">
        <f t="shared" si="0"/>
        <v>1350000</v>
      </c>
      <c r="T9" s="166"/>
      <c r="U9" s="555"/>
      <c r="V9" s="556"/>
      <c r="W9" s="22"/>
      <c r="X9" s="23"/>
      <c r="Y9" s="545"/>
      <c r="Z9" s="546"/>
      <c r="AA9" s="557"/>
      <c r="AB9" s="558"/>
    </row>
    <row r="10" spans="1:28" ht="18.95" customHeight="1">
      <c r="A10" s="493"/>
      <c r="B10" s="14">
        <v>3</v>
      </c>
      <c r="C10" s="15"/>
      <c r="D10" s="16"/>
      <c r="E10" s="16"/>
      <c r="F10" s="17"/>
      <c r="G10" s="18" t="s">
        <v>262</v>
      </c>
      <c r="H10" s="19"/>
      <c r="I10" s="19"/>
      <c r="J10" s="19"/>
      <c r="K10" s="19"/>
      <c r="L10" s="20"/>
      <c r="M10" s="14" t="s">
        <v>85</v>
      </c>
      <c r="N10" s="21">
        <v>1</v>
      </c>
      <c r="O10" s="86">
        <v>350000</v>
      </c>
      <c r="P10" s="90"/>
      <c r="Q10" s="539"/>
      <c r="R10" s="540"/>
      <c r="S10" s="165">
        <f t="shared" si="0"/>
        <v>350000</v>
      </c>
      <c r="T10" s="166"/>
      <c r="U10" s="559"/>
      <c r="V10" s="560"/>
      <c r="W10" s="22"/>
      <c r="X10" s="23"/>
      <c r="Y10" s="545"/>
      <c r="Z10" s="561"/>
      <c r="AA10" s="547"/>
      <c r="AB10" s="548"/>
    </row>
    <row r="11" spans="1:28" ht="18.95" customHeight="1">
      <c r="A11" s="493"/>
      <c r="B11" s="14">
        <v>4</v>
      </c>
      <c r="C11" s="15"/>
      <c r="D11" s="16"/>
      <c r="E11" s="16"/>
      <c r="F11" s="17"/>
      <c r="G11" s="18" t="s">
        <v>263</v>
      </c>
      <c r="H11" s="19"/>
      <c r="I11" s="19"/>
      <c r="J11" s="19"/>
      <c r="K11" s="19"/>
      <c r="L11" s="20"/>
      <c r="M11" s="14" t="s">
        <v>85</v>
      </c>
      <c r="N11" s="21">
        <v>1</v>
      </c>
      <c r="O11" s="86">
        <v>750000</v>
      </c>
      <c r="P11" s="90"/>
      <c r="Q11" s="539"/>
      <c r="R11" s="540"/>
      <c r="S11" s="165">
        <f t="shared" si="0"/>
        <v>750000</v>
      </c>
      <c r="T11" s="166"/>
      <c r="U11" s="559"/>
      <c r="V11" s="560"/>
      <c r="W11" s="22"/>
      <c r="X11" s="23"/>
      <c r="Y11" s="545"/>
      <c r="Z11" s="561"/>
      <c r="AA11" s="547"/>
      <c r="AB11" s="548"/>
    </row>
    <row r="12" spans="1:28" ht="18.95" customHeight="1">
      <c r="A12" s="493"/>
      <c r="B12" s="14">
        <v>5</v>
      </c>
      <c r="C12" s="87"/>
      <c r="D12" s="16"/>
      <c r="E12" s="16"/>
      <c r="F12" s="17"/>
      <c r="G12" s="18" t="s">
        <v>264</v>
      </c>
      <c r="H12" s="19"/>
      <c r="I12" s="19"/>
      <c r="J12" s="19"/>
      <c r="K12" s="19"/>
      <c r="L12" s="20"/>
      <c r="M12" s="14" t="s">
        <v>85</v>
      </c>
      <c r="N12" s="21">
        <v>1</v>
      </c>
      <c r="O12" s="86">
        <v>800000</v>
      </c>
      <c r="P12" s="90"/>
      <c r="Q12" s="539"/>
      <c r="R12" s="540"/>
      <c r="S12" s="165">
        <f t="shared" si="0"/>
        <v>800000</v>
      </c>
      <c r="T12" s="166"/>
      <c r="U12" s="559"/>
      <c r="V12" s="560"/>
      <c r="W12" s="22"/>
      <c r="X12" s="23"/>
      <c r="Y12" s="545"/>
      <c r="Z12" s="561"/>
      <c r="AA12" s="547"/>
      <c r="AB12" s="548"/>
    </row>
    <row r="13" spans="1:28" ht="18.95" customHeight="1">
      <c r="A13" s="493"/>
      <c r="B13" s="14">
        <v>6</v>
      </c>
      <c r="C13" s="87"/>
      <c r="D13" s="16"/>
      <c r="E13" s="16"/>
      <c r="F13" s="17"/>
      <c r="G13" s="18" t="s">
        <v>265</v>
      </c>
      <c r="H13" s="19"/>
      <c r="I13" s="19"/>
      <c r="J13" s="19"/>
      <c r="K13" s="19"/>
      <c r="L13" s="20"/>
      <c r="M13" s="14" t="s">
        <v>85</v>
      </c>
      <c r="N13" s="21">
        <v>1</v>
      </c>
      <c r="O13" s="86">
        <v>660000</v>
      </c>
      <c r="P13" s="90"/>
      <c r="Q13" s="539"/>
      <c r="R13" s="540"/>
      <c r="S13" s="541">
        <f t="shared" si="0"/>
        <v>660000</v>
      </c>
      <c r="T13" s="542"/>
      <c r="U13" s="559"/>
      <c r="V13" s="560"/>
      <c r="W13" s="22"/>
      <c r="X13" s="23"/>
      <c r="Y13" s="545"/>
      <c r="Z13" s="561"/>
      <c r="AA13" s="547"/>
      <c r="AB13" s="548"/>
    </row>
    <row r="14" spans="1:28" ht="18.95" customHeight="1">
      <c r="A14" s="493"/>
      <c r="B14" s="14">
        <v>7</v>
      </c>
      <c r="C14" s="87"/>
      <c r="D14" s="16"/>
      <c r="E14" s="16"/>
      <c r="F14" s="17"/>
      <c r="G14" s="18" t="s">
        <v>266</v>
      </c>
      <c r="H14" s="19"/>
      <c r="I14" s="19"/>
      <c r="J14" s="19"/>
      <c r="K14" s="19"/>
      <c r="L14" s="20"/>
      <c r="M14" s="14" t="s">
        <v>85</v>
      </c>
      <c r="N14" s="21">
        <v>1</v>
      </c>
      <c r="O14" s="86">
        <v>2500000</v>
      </c>
      <c r="P14" s="90"/>
      <c r="Q14" s="539"/>
      <c r="R14" s="540"/>
      <c r="S14" s="541">
        <f t="shared" si="0"/>
        <v>2500000</v>
      </c>
      <c r="T14" s="542"/>
      <c r="U14" s="559"/>
      <c r="V14" s="560"/>
      <c r="W14" s="22"/>
      <c r="X14" s="23"/>
      <c r="Y14" s="545"/>
      <c r="Z14" s="561"/>
      <c r="AA14" s="547"/>
      <c r="AB14" s="548"/>
    </row>
    <row r="15" spans="1:28" ht="18.95" customHeight="1">
      <c r="A15" s="493"/>
      <c r="B15" s="14">
        <v>8</v>
      </c>
      <c r="C15" s="99"/>
      <c r="D15" s="100"/>
      <c r="E15" s="100"/>
      <c r="F15" s="101"/>
      <c r="G15" s="18" t="s">
        <v>267</v>
      </c>
      <c r="H15" s="19"/>
      <c r="I15" s="19"/>
      <c r="J15" s="19"/>
      <c r="K15" s="19"/>
      <c r="L15" s="20"/>
      <c r="M15" s="14" t="s">
        <v>85</v>
      </c>
      <c r="N15" s="21">
        <v>1</v>
      </c>
      <c r="O15" s="86">
        <v>800000</v>
      </c>
      <c r="P15" s="90"/>
      <c r="Q15" s="553"/>
      <c r="R15" s="554"/>
      <c r="S15" s="541">
        <f t="shared" si="0"/>
        <v>800000</v>
      </c>
      <c r="T15" s="542"/>
      <c r="U15" s="559"/>
      <c r="V15" s="560"/>
      <c r="W15" s="22"/>
      <c r="X15" s="23"/>
      <c r="Y15" s="545"/>
      <c r="Z15" s="546"/>
      <c r="AA15" s="547"/>
      <c r="AB15" s="548"/>
    </row>
    <row r="16" spans="1:28" ht="18.95" customHeight="1">
      <c r="A16" s="493"/>
      <c r="B16" s="14">
        <v>9</v>
      </c>
      <c r="C16" s="15"/>
      <c r="D16" s="16"/>
      <c r="E16" s="16"/>
      <c r="F16" s="17"/>
      <c r="G16" s="18" t="s">
        <v>268</v>
      </c>
      <c r="H16" s="19"/>
      <c r="I16" s="19"/>
      <c r="J16" s="19"/>
      <c r="K16" s="19"/>
      <c r="L16" s="20"/>
      <c r="M16" s="14" t="s">
        <v>85</v>
      </c>
      <c r="N16" s="21">
        <v>1</v>
      </c>
      <c r="O16" s="86">
        <v>580000</v>
      </c>
      <c r="P16" s="90"/>
      <c r="Q16" s="539"/>
      <c r="R16" s="540"/>
      <c r="S16" s="541">
        <f t="shared" si="0"/>
        <v>580000</v>
      </c>
      <c r="T16" s="542"/>
      <c r="U16" s="559"/>
      <c r="V16" s="560"/>
      <c r="W16" s="22"/>
      <c r="X16" s="23"/>
      <c r="Y16" s="545"/>
      <c r="Z16" s="546"/>
      <c r="AA16" s="547"/>
      <c r="AB16" s="548"/>
    </row>
    <row r="17" spans="1:28" ht="18.95" customHeight="1">
      <c r="A17" s="493"/>
      <c r="B17" s="14">
        <v>10</v>
      </c>
      <c r="C17" s="15"/>
      <c r="D17" s="16"/>
      <c r="E17" s="16"/>
      <c r="F17" s="17"/>
      <c r="G17" s="18" t="s">
        <v>269</v>
      </c>
      <c r="H17" s="19"/>
      <c r="I17" s="19"/>
      <c r="J17" s="19"/>
      <c r="K17" s="19"/>
      <c r="L17" s="20"/>
      <c r="M17" s="14" t="s">
        <v>85</v>
      </c>
      <c r="N17" s="21">
        <v>1</v>
      </c>
      <c r="O17" s="86">
        <v>580000</v>
      </c>
      <c r="P17" s="90"/>
      <c r="Q17" s="539"/>
      <c r="R17" s="540"/>
      <c r="S17" s="541">
        <f t="shared" ref="S17:S26" si="1">N17*O17</f>
        <v>580000</v>
      </c>
      <c r="T17" s="542"/>
      <c r="U17" s="559"/>
      <c r="V17" s="560"/>
      <c r="W17" s="22"/>
      <c r="X17" s="23"/>
      <c r="Y17" s="545"/>
      <c r="Z17" s="546"/>
      <c r="AA17" s="547"/>
      <c r="AB17" s="548"/>
    </row>
    <row r="18" spans="1:28" ht="18.95" customHeight="1">
      <c r="A18" s="493"/>
      <c r="B18" s="14">
        <v>11</v>
      </c>
      <c r="C18" s="15"/>
      <c r="D18" s="16"/>
      <c r="E18" s="16"/>
      <c r="F18" s="17"/>
      <c r="G18" s="18" t="s">
        <v>270</v>
      </c>
      <c r="H18" s="19"/>
      <c r="I18" s="19"/>
      <c r="J18" s="19"/>
      <c r="K18" s="19"/>
      <c r="L18" s="20"/>
      <c r="M18" s="14" t="s">
        <v>85</v>
      </c>
      <c r="N18" s="21">
        <v>1</v>
      </c>
      <c r="O18" s="86">
        <v>580000</v>
      </c>
      <c r="P18" s="90"/>
      <c r="Q18" s="539"/>
      <c r="R18" s="540"/>
      <c r="S18" s="541">
        <f t="shared" si="1"/>
        <v>580000</v>
      </c>
      <c r="T18" s="542"/>
      <c r="U18" s="559"/>
      <c r="V18" s="560"/>
      <c r="W18" s="22"/>
      <c r="X18" s="23"/>
      <c r="Y18" s="545"/>
      <c r="Z18" s="546"/>
      <c r="AA18" s="547"/>
      <c r="AB18" s="548"/>
    </row>
    <row r="19" spans="1:28" ht="18.95" customHeight="1">
      <c r="A19" s="493"/>
      <c r="B19" s="14">
        <v>12</v>
      </c>
      <c r="C19" s="15"/>
      <c r="D19" s="16"/>
      <c r="E19" s="16"/>
      <c r="F19" s="17"/>
      <c r="G19" s="18" t="s">
        <v>271</v>
      </c>
      <c r="H19" s="19"/>
      <c r="I19" s="19"/>
      <c r="J19" s="19"/>
      <c r="K19" s="19"/>
      <c r="L19" s="20"/>
      <c r="M19" s="14" t="s">
        <v>85</v>
      </c>
      <c r="N19" s="21">
        <v>1</v>
      </c>
      <c r="O19" s="86">
        <v>995000</v>
      </c>
      <c r="P19" s="90"/>
      <c r="Q19" s="539"/>
      <c r="R19" s="540"/>
      <c r="S19" s="541">
        <f t="shared" si="1"/>
        <v>995000</v>
      </c>
      <c r="T19" s="542"/>
      <c r="U19" s="559"/>
      <c r="V19" s="560"/>
      <c r="W19" s="22"/>
      <c r="X19" s="23"/>
      <c r="Y19" s="545"/>
      <c r="Z19" s="546"/>
      <c r="AA19" s="547"/>
      <c r="AB19" s="548"/>
    </row>
    <row r="20" spans="1:28" ht="18.95" customHeight="1">
      <c r="A20" s="493"/>
      <c r="B20" s="14">
        <v>13</v>
      </c>
      <c r="C20" s="15"/>
      <c r="D20" s="16"/>
      <c r="E20" s="16"/>
      <c r="F20" s="17"/>
      <c r="G20" s="18" t="s">
        <v>272</v>
      </c>
      <c r="H20" s="19"/>
      <c r="I20" s="19"/>
      <c r="J20" s="19"/>
      <c r="K20" s="19"/>
      <c r="L20" s="20"/>
      <c r="M20" s="14" t="s">
        <v>85</v>
      </c>
      <c r="N20" s="21">
        <v>1</v>
      </c>
      <c r="O20" s="86">
        <v>1903500</v>
      </c>
      <c r="P20" s="90"/>
      <c r="Q20" s="539"/>
      <c r="R20" s="540"/>
      <c r="S20" s="541">
        <f t="shared" si="1"/>
        <v>1903500</v>
      </c>
      <c r="T20" s="542"/>
      <c r="U20" s="559"/>
      <c r="V20" s="560"/>
      <c r="W20" s="22"/>
      <c r="X20" s="23"/>
      <c r="Y20" s="545"/>
      <c r="Z20" s="546"/>
      <c r="AA20" s="547"/>
      <c r="AB20" s="548"/>
    </row>
    <row r="21" spans="1:28" ht="18.95" customHeight="1">
      <c r="A21" s="493"/>
      <c r="B21" s="14">
        <v>14</v>
      </c>
      <c r="C21" s="15"/>
      <c r="D21" s="16"/>
      <c r="E21" s="16"/>
      <c r="F21" s="17"/>
      <c r="G21" s="18" t="s">
        <v>273</v>
      </c>
      <c r="H21" s="19"/>
      <c r="I21" s="19"/>
      <c r="J21" s="19"/>
      <c r="K21" s="19"/>
      <c r="L21" s="20"/>
      <c r="M21" s="14" t="s">
        <v>85</v>
      </c>
      <c r="N21" s="21">
        <v>1</v>
      </c>
      <c r="O21" s="86">
        <f>928800*1.5</f>
        <v>1393200</v>
      </c>
      <c r="P21" s="90"/>
      <c r="Q21" s="553"/>
      <c r="R21" s="554"/>
      <c r="S21" s="541">
        <f t="shared" si="1"/>
        <v>1393200</v>
      </c>
      <c r="T21" s="542"/>
      <c r="U21" s="555"/>
      <c r="V21" s="556"/>
      <c r="W21" s="22"/>
      <c r="X21" s="23"/>
      <c r="Y21" s="545"/>
      <c r="Z21" s="546"/>
      <c r="AA21" s="557"/>
      <c r="AB21" s="558"/>
    </row>
    <row r="22" spans="1:28" ht="18.95" customHeight="1">
      <c r="A22" s="493"/>
      <c r="B22" s="24">
        <v>15</v>
      </c>
      <c r="C22" s="15" t="s">
        <v>193</v>
      </c>
      <c r="D22" s="16"/>
      <c r="E22" s="16"/>
      <c r="F22" s="17"/>
      <c r="G22" s="18" t="s">
        <v>274</v>
      </c>
      <c r="H22" s="19"/>
      <c r="I22" s="19"/>
      <c r="J22" s="19"/>
      <c r="K22" s="19"/>
      <c r="L22" s="20"/>
      <c r="M22" s="14" t="s">
        <v>85</v>
      </c>
      <c r="N22" s="21">
        <v>1</v>
      </c>
      <c r="O22" s="86">
        <v>1632000</v>
      </c>
      <c r="P22" s="90"/>
      <c r="Q22" s="539"/>
      <c r="R22" s="540"/>
      <c r="S22" s="541">
        <f t="shared" si="1"/>
        <v>1632000</v>
      </c>
      <c r="T22" s="542"/>
      <c r="U22" s="543"/>
      <c r="V22" s="544"/>
      <c r="W22" s="22"/>
      <c r="X22" s="23"/>
      <c r="Y22" s="545"/>
      <c r="Z22" s="546"/>
      <c r="AA22" s="547"/>
      <c r="AB22" s="548"/>
    </row>
    <row r="23" spans="1:28" ht="18.95" customHeight="1">
      <c r="A23" s="493"/>
      <c r="B23" s="24">
        <v>16</v>
      </c>
      <c r="C23" s="15" t="s">
        <v>194</v>
      </c>
      <c r="D23" s="16"/>
      <c r="E23" s="16"/>
      <c r="F23" s="17"/>
      <c r="G23" s="18" t="s">
        <v>275</v>
      </c>
      <c r="H23" s="19"/>
      <c r="I23" s="19"/>
      <c r="J23" s="19"/>
      <c r="K23" s="19"/>
      <c r="L23" s="20"/>
      <c r="M23" s="14" t="s">
        <v>85</v>
      </c>
      <c r="N23" s="21">
        <v>1</v>
      </c>
      <c r="O23" s="86">
        <v>1555200</v>
      </c>
      <c r="P23" s="90"/>
      <c r="Q23" s="539"/>
      <c r="R23" s="540"/>
      <c r="S23" s="541">
        <f t="shared" si="1"/>
        <v>1555200</v>
      </c>
      <c r="T23" s="542"/>
      <c r="U23" s="543"/>
      <c r="V23" s="544"/>
      <c r="W23" s="22"/>
      <c r="X23" s="23"/>
      <c r="Y23" s="545"/>
      <c r="Z23" s="546"/>
      <c r="AA23" s="547"/>
      <c r="AB23" s="548"/>
    </row>
    <row r="24" spans="1:28" ht="18.95" customHeight="1">
      <c r="A24" s="493"/>
      <c r="B24" s="24">
        <v>17</v>
      </c>
      <c r="C24" s="15" t="s">
        <v>195</v>
      </c>
      <c r="D24" s="16"/>
      <c r="E24" s="16"/>
      <c r="F24" s="17"/>
      <c r="G24" s="18" t="s">
        <v>286</v>
      </c>
      <c r="H24" s="19"/>
      <c r="I24" s="19"/>
      <c r="J24" s="19"/>
      <c r="K24" s="19"/>
      <c r="L24" s="20"/>
      <c r="M24" s="14" t="s">
        <v>85</v>
      </c>
      <c r="N24" s="21">
        <v>1</v>
      </c>
      <c r="O24" s="86">
        <v>58050</v>
      </c>
      <c r="P24" s="90"/>
      <c r="Q24" s="549"/>
      <c r="R24" s="550"/>
      <c r="S24" s="165">
        <f t="shared" si="1"/>
        <v>58050</v>
      </c>
      <c r="T24" s="166"/>
      <c r="U24" s="543"/>
      <c r="V24" s="544"/>
      <c r="W24" s="22"/>
      <c r="X24" s="23"/>
      <c r="Y24" s="545"/>
      <c r="Z24" s="546"/>
      <c r="AA24" s="547"/>
      <c r="AB24" s="548"/>
    </row>
    <row r="25" spans="1:28" ht="18.95" customHeight="1">
      <c r="A25" s="493"/>
      <c r="B25" s="24">
        <v>18</v>
      </c>
      <c r="C25" s="15" t="s">
        <v>195</v>
      </c>
      <c r="D25" s="16"/>
      <c r="E25" s="16"/>
      <c r="F25" s="17"/>
      <c r="G25" s="18" t="s">
        <v>276</v>
      </c>
      <c r="H25" s="19"/>
      <c r="I25" s="19"/>
      <c r="J25" s="19"/>
      <c r="K25" s="19"/>
      <c r="L25" s="20"/>
      <c r="M25" s="14" t="s">
        <v>85</v>
      </c>
      <c r="N25" s="21">
        <v>1</v>
      </c>
      <c r="O25" s="86">
        <v>218700</v>
      </c>
      <c r="P25" s="90"/>
      <c r="Q25" s="549"/>
      <c r="R25" s="550"/>
      <c r="S25" s="165">
        <f t="shared" si="1"/>
        <v>218700</v>
      </c>
      <c r="T25" s="166"/>
      <c r="U25" s="543"/>
      <c r="V25" s="544"/>
      <c r="W25" s="22"/>
      <c r="X25" s="23"/>
      <c r="Y25" s="545"/>
      <c r="Z25" s="546"/>
      <c r="AA25" s="547"/>
      <c r="AB25" s="548"/>
    </row>
    <row r="26" spans="1:28" ht="18.95" customHeight="1">
      <c r="A26" s="493"/>
      <c r="B26" s="24">
        <v>19</v>
      </c>
      <c r="C26" s="103" t="s">
        <v>196</v>
      </c>
      <c r="D26" s="16"/>
      <c r="E26" s="16"/>
      <c r="F26" s="17"/>
      <c r="G26" s="18" t="s">
        <v>277</v>
      </c>
      <c r="H26" s="19"/>
      <c r="I26" s="19"/>
      <c r="J26" s="19"/>
      <c r="K26" s="19"/>
      <c r="L26" s="20"/>
      <c r="M26" s="14" t="s">
        <v>85</v>
      </c>
      <c r="N26" s="21">
        <v>8</v>
      </c>
      <c r="O26" s="86">
        <f>33750*1.3</f>
        <v>43875</v>
      </c>
      <c r="P26" s="90"/>
      <c r="Q26" s="549"/>
      <c r="R26" s="550"/>
      <c r="S26" s="165">
        <f t="shared" si="1"/>
        <v>351000</v>
      </c>
      <c r="T26" s="166"/>
      <c r="U26" s="543"/>
      <c r="V26" s="544"/>
      <c r="W26" s="551"/>
      <c r="X26" s="552"/>
      <c r="Y26" s="545"/>
      <c r="Z26" s="546"/>
      <c r="AA26" s="547"/>
      <c r="AB26" s="548"/>
    </row>
    <row r="27" spans="1:28" ht="18.95" customHeight="1">
      <c r="A27" s="493"/>
      <c r="B27" s="26">
        <v>20</v>
      </c>
      <c r="C27" s="104" t="s">
        <v>197</v>
      </c>
      <c r="D27" s="28"/>
      <c r="E27" s="28"/>
      <c r="F27" s="29"/>
      <c r="G27" s="30" t="s">
        <v>278</v>
      </c>
      <c r="H27" s="31"/>
      <c r="I27" s="31"/>
      <c r="J27" s="31"/>
      <c r="K27" s="31"/>
      <c r="L27" s="32"/>
      <c r="M27" s="33" t="s">
        <v>26</v>
      </c>
      <c r="N27" s="34">
        <v>1</v>
      </c>
      <c r="O27" s="72">
        <v>137700</v>
      </c>
      <c r="P27" s="80"/>
      <c r="Q27" s="529"/>
      <c r="R27" s="530"/>
      <c r="S27" s="155">
        <f t="shared" ref="S27" si="2">N27*O27</f>
        <v>137700</v>
      </c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8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17594350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8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8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8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17682100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25</v>
      </c>
      <c r="R31" s="388"/>
      <c r="S31" s="389">
        <v>24000</v>
      </c>
      <c r="T31" s="389"/>
      <c r="U31" s="390">
        <f>S31*Q31</f>
        <v>600000</v>
      </c>
      <c r="V31" s="391"/>
      <c r="W31" s="392"/>
      <c r="X31" s="393"/>
      <c r="Y31" s="394"/>
      <c r="Z31" s="394"/>
      <c r="AA31" s="352"/>
      <c r="AB31" s="353"/>
    </row>
    <row r="32" spans="1:28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36</v>
      </c>
      <c r="R32" s="315"/>
      <c r="S32" s="326">
        <v>24000</v>
      </c>
      <c r="T32" s="327"/>
      <c r="U32" s="328">
        <f>S32*Q32</f>
        <v>864000</v>
      </c>
      <c r="V32" s="329"/>
      <c r="W32" s="346"/>
      <c r="X32" s="347"/>
      <c r="Y32" s="348"/>
      <c r="Z32" s="348"/>
      <c r="AA32" s="336"/>
      <c r="AB32" s="337"/>
    </row>
    <row r="33" spans="1:32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17682100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14</v>
      </c>
      <c r="R33" s="315"/>
      <c r="S33" s="326">
        <v>24000</v>
      </c>
      <c r="T33" s="327"/>
      <c r="U33" s="328">
        <f>S33*Q33</f>
        <v>336000</v>
      </c>
      <c r="V33" s="329"/>
      <c r="W33" s="346"/>
      <c r="X33" s="347"/>
      <c r="Y33" s="348"/>
      <c r="Z33" s="348"/>
      <c r="AA33" s="336"/>
      <c r="AB33" s="337"/>
    </row>
    <row r="34" spans="1:32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1800000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2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180000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2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1980000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2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19662100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2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176821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1800000</v>
      </c>
      <c r="V38" s="265"/>
      <c r="W38" s="266"/>
      <c r="X38" s="267"/>
      <c r="Y38" s="267"/>
      <c r="Z38" s="302"/>
      <c r="AA38" s="303"/>
      <c r="AB38" s="304"/>
    </row>
    <row r="39" spans="1:32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297000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2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341550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2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30000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2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</row>
    <row r="43" spans="1:32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513242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</row>
    <row r="44" spans="1:32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21020713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2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2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2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C47" s="49"/>
      <c r="AE47" s="50"/>
      <c r="AF47" s="50"/>
    </row>
    <row r="48" spans="1:32" ht="33" customHeight="1" thickBot="1">
      <c r="A48" s="510" t="s">
        <v>71</v>
      </c>
      <c r="B48" s="511"/>
      <c r="C48" s="480" t="str">
        <f>C5</f>
        <v>CRA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81" t="str">
        <f>T2</f>
        <v>2011  년    4 월    11 일</v>
      </c>
      <c r="U48" s="481"/>
      <c r="V48" s="481"/>
      <c r="W48" s="481"/>
      <c r="X48" s="481"/>
      <c r="Y48" s="481"/>
      <c r="Z48" s="481"/>
      <c r="AA48" s="481"/>
      <c r="AB48" s="512"/>
      <c r="AC48" s="49"/>
      <c r="AE48" s="50"/>
      <c r="AF48" s="50"/>
    </row>
    <row r="49" spans="1:32" ht="22.5" customHeight="1" thickTop="1">
      <c r="A49" s="509" t="s">
        <v>73</v>
      </c>
      <c r="B49" s="500" t="s">
        <v>74</v>
      </c>
      <c r="C49" s="500" t="s">
        <v>75</v>
      </c>
      <c r="D49" s="500"/>
      <c r="E49" s="500"/>
      <c r="F49" s="500"/>
      <c r="G49" s="500" t="s">
        <v>76</v>
      </c>
      <c r="H49" s="500"/>
      <c r="I49" s="500"/>
      <c r="J49" s="500"/>
      <c r="K49" s="500"/>
      <c r="L49" s="500"/>
      <c r="M49" s="499" t="s">
        <v>77</v>
      </c>
      <c r="N49" s="499" t="s">
        <v>78</v>
      </c>
      <c r="O49" s="500" t="s">
        <v>79</v>
      </c>
      <c r="P49" s="501"/>
      <c r="Q49" s="502" t="s">
        <v>80</v>
      </c>
      <c r="R49" s="503"/>
      <c r="S49" s="503"/>
      <c r="T49" s="503"/>
      <c r="U49" s="503"/>
      <c r="V49" s="504"/>
      <c r="W49" s="503" t="s">
        <v>119</v>
      </c>
      <c r="X49" s="503"/>
      <c r="Y49" s="503"/>
      <c r="Z49" s="503"/>
      <c r="AA49" s="503"/>
      <c r="AB49" s="504"/>
      <c r="AC49" s="49"/>
    </row>
    <row r="50" spans="1:32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C50" s="49"/>
    </row>
    <row r="51" spans="1:32" ht="22.5" customHeight="1">
      <c r="A51" s="228"/>
      <c r="B51" s="51">
        <v>21</v>
      </c>
      <c r="C51" s="4" t="s">
        <v>198</v>
      </c>
      <c r="D51" s="5"/>
      <c r="E51" s="5"/>
      <c r="F51" s="6"/>
      <c r="G51" s="111" t="s">
        <v>281</v>
      </c>
      <c r="H51" s="8"/>
      <c r="I51" s="8"/>
      <c r="J51" s="8"/>
      <c r="K51" s="8"/>
      <c r="L51" s="9"/>
      <c r="M51" s="3" t="s">
        <v>199</v>
      </c>
      <c r="N51" s="10">
        <v>1</v>
      </c>
      <c r="O51" s="78">
        <f>67500*1.3</f>
        <v>87750</v>
      </c>
      <c r="P51" s="79"/>
      <c r="Q51" s="212"/>
      <c r="R51" s="213"/>
      <c r="S51" s="214">
        <f>N51*O51</f>
        <v>87750</v>
      </c>
      <c r="T51" s="215"/>
      <c r="U51" s="230"/>
      <c r="V51" s="231"/>
      <c r="W51" s="216"/>
      <c r="X51" s="198"/>
      <c r="Y51" s="197"/>
      <c r="Z51" s="198"/>
      <c r="AA51" s="197"/>
      <c r="AB51" s="199"/>
      <c r="AC51" s="49"/>
    </row>
    <row r="52" spans="1:32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C52" s="49"/>
    </row>
    <row r="53" spans="1:32" ht="22.5" customHeight="1">
      <c r="A53" s="228"/>
      <c r="B53" s="24">
        <v>23</v>
      </c>
      <c r="C53" s="15"/>
      <c r="D53" s="16"/>
      <c r="E53" s="16"/>
      <c r="F53" s="17"/>
      <c r="G53" s="112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C53" s="49"/>
    </row>
    <row r="54" spans="1:32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C54" s="49"/>
    </row>
    <row r="55" spans="1:32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C55" s="49"/>
    </row>
    <row r="56" spans="1:32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C56" s="49"/>
    </row>
    <row r="57" spans="1:32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C57" s="49"/>
    </row>
    <row r="58" spans="1:32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C58" s="49"/>
      <c r="AD58" s="177"/>
      <c r="AE58" s="178"/>
      <c r="AF58" s="178"/>
    </row>
    <row r="59" spans="1:32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C59" s="49"/>
      <c r="AD59" s="177"/>
      <c r="AE59" s="178"/>
      <c r="AF59" s="178"/>
    </row>
    <row r="60" spans="1:32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C60" s="49"/>
    </row>
    <row r="61" spans="1:32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C61" s="49"/>
    </row>
    <row r="62" spans="1:32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C62" s="49"/>
    </row>
    <row r="63" spans="1:32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C63" s="49"/>
    </row>
    <row r="64" spans="1:32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C64" s="49"/>
    </row>
    <row r="65" spans="1:29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C65" s="49"/>
    </row>
    <row r="66" spans="1:29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C66" s="49"/>
    </row>
    <row r="67" spans="1:29" ht="22.5" customHeight="1">
      <c r="A67" s="228"/>
      <c r="B67" s="24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C67" s="49"/>
    </row>
    <row r="68" spans="1:29" ht="22.5" customHeight="1">
      <c r="A68" s="228"/>
      <c r="B68" s="24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C68" s="49"/>
    </row>
    <row r="69" spans="1:29" ht="22.5" customHeight="1">
      <c r="A69" s="228"/>
      <c r="B69" s="24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C69" s="49"/>
    </row>
    <row r="70" spans="1:29" ht="22.5" customHeight="1">
      <c r="A70" s="228"/>
      <c r="B70" s="24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C70" s="49"/>
    </row>
    <row r="71" spans="1:29" ht="22.5" customHeight="1">
      <c r="A71" s="228"/>
      <c r="B71" s="24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4"/>
      <c r="P71" s="65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C71" s="49"/>
    </row>
    <row r="72" spans="1:29" ht="22.5" customHeight="1">
      <c r="A72" s="228"/>
      <c r="B72" s="24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4"/>
      <c r="P72" s="65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C72" s="49"/>
    </row>
    <row r="73" spans="1:29" ht="22.5" customHeight="1">
      <c r="A73" s="228"/>
      <c r="B73" s="24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4"/>
      <c r="P73" s="65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C73" s="49"/>
    </row>
    <row r="74" spans="1:29" ht="22.5" customHeight="1">
      <c r="A74" s="228"/>
      <c r="B74" s="24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4"/>
      <c r="P74" s="65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C74" s="49"/>
    </row>
    <row r="75" spans="1:29" ht="22.5" customHeight="1">
      <c r="A75" s="228"/>
      <c r="B75" s="24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4"/>
      <c r="P75" s="65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C75" s="49"/>
    </row>
    <row r="76" spans="1:29" ht="22.5" customHeight="1">
      <c r="A76" s="228"/>
      <c r="B76" s="24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4"/>
      <c r="P76" s="65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C76" s="49"/>
    </row>
    <row r="77" spans="1:29" ht="22.5" customHeight="1">
      <c r="A77" s="228"/>
      <c r="B77" s="24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4"/>
      <c r="P77" s="65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C77" s="49"/>
    </row>
    <row r="78" spans="1:29" ht="22.5" customHeight="1">
      <c r="A78" s="228"/>
      <c r="B78" s="24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4"/>
      <c r="P78" s="65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C78" s="49"/>
    </row>
    <row r="79" spans="1:29" ht="22.5" customHeight="1">
      <c r="A79" s="228"/>
      <c r="B79" s="24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4"/>
      <c r="P79" s="65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C79" s="49"/>
    </row>
    <row r="80" spans="1:29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C80" s="49"/>
    </row>
    <row r="81" spans="1:29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C81" s="49"/>
    </row>
    <row r="82" spans="1:29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C82" s="49"/>
    </row>
    <row r="83" spans="1:29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C83" s="49"/>
    </row>
    <row r="84" spans="1:29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C84" s="49"/>
    </row>
    <row r="85" spans="1:29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C85" s="49"/>
    </row>
    <row r="86" spans="1:29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C86" s="49"/>
    </row>
    <row r="87" spans="1:29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>
        <f>SUM(Q51:R66)</f>
        <v>0</v>
      </c>
      <c r="R87" s="496"/>
      <c r="S87" s="497">
        <f>SUM(S51:T86)</f>
        <v>87750</v>
      </c>
      <c r="T87" s="497"/>
      <c r="U87" s="497">
        <f>SUM(U51:V65)</f>
        <v>0</v>
      </c>
      <c r="V87" s="498"/>
      <c r="W87" s="148"/>
      <c r="X87" s="149"/>
      <c r="Y87" s="150"/>
      <c r="Z87" s="151"/>
      <c r="AA87" s="148"/>
      <c r="AB87" s="152"/>
      <c r="AC87" s="49"/>
    </row>
    <row r="88" spans="1:29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C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D58:AF58"/>
    <mergeCell ref="Q57:R57"/>
    <mergeCell ref="S57:T57"/>
    <mergeCell ref="U57:V57"/>
    <mergeCell ref="W57:X57"/>
    <mergeCell ref="Y59:Z59"/>
    <mergeCell ref="AA59:AB59"/>
    <mergeCell ref="AD59:AF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" right="0.27559055118110237" top="0.59055118110236227" bottom="0.19685039370078741" header="0.62992125984251968" footer="0.15748031496062992"/>
  <pageSetup paperSize="9" scale="78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H18" sqref="H18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29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29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570">
        <v>50</v>
      </c>
      <c r="O3" s="571"/>
      <c r="P3" s="571"/>
      <c r="Q3" s="571"/>
      <c r="R3" s="571"/>
      <c r="S3" s="572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29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573"/>
      <c r="O4" s="574"/>
      <c r="P4" s="574"/>
      <c r="Q4" s="574"/>
      <c r="R4" s="574"/>
      <c r="S4" s="575"/>
      <c r="T4" s="478"/>
      <c r="U4" s="466"/>
      <c r="V4" s="466"/>
      <c r="W4" s="466"/>
      <c r="X4" s="466"/>
      <c r="Y4" s="466"/>
      <c r="Z4" s="466"/>
      <c r="AA4" s="466"/>
      <c r="AB4" s="469"/>
    </row>
    <row r="5" spans="1:29" ht="32.25" customHeight="1" thickBot="1">
      <c r="A5" s="266" t="s">
        <v>71</v>
      </c>
      <c r="B5" s="302"/>
      <c r="C5" s="480" t="s">
        <v>203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9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</row>
    <row r="7" spans="1:29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</row>
    <row r="8" spans="1:29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279</v>
      </c>
      <c r="H8" s="8"/>
      <c r="I8" s="8"/>
      <c r="J8" s="8"/>
      <c r="K8" s="8"/>
      <c r="L8" s="9"/>
      <c r="M8" s="3" t="s">
        <v>85</v>
      </c>
      <c r="N8" s="85">
        <v>1</v>
      </c>
      <c r="O8" s="55">
        <f>1620000*1.4</f>
        <v>2268000</v>
      </c>
      <c r="P8" s="79"/>
      <c r="Q8" s="562"/>
      <c r="R8" s="563"/>
      <c r="S8" s="214">
        <f t="shared" ref="S8:S13" si="0">N8*O8</f>
        <v>2268000</v>
      </c>
      <c r="T8" s="215"/>
      <c r="U8" s="564"/>
      <c r="V8" s="565"/>
      <c r="W8" s="11"/>
      <c r="X8" s="12"/>
      <c r="Y8" s="566"/>
      <c r="Z8" s="567"/>
      <c r="AA8" s="568"/>
      <c r="AB8" s="569"/>
      <c r="AC8" s="13"/>
    </row>
    <row r="9" spans="1:29" ht="18.95" customHeight="1">
      <c r="A9" s="493"/>
      <c r="B9" s="14">
        <v>2</v>
      </c>
      <c r="C9" s="15" t="s">
        <v>193</v>
      </c>
      <c r="D9" s="16"/>
      <c r="E9" s="16"/>
      <c r="F9" s="17"/>
      <c r="G9" s="18" t="s">
        <v>274</v>
      </c>
      <c r="H9" s="19"/>
      <c r="I9" s="19"/>
      <c r="J9" s="19"/>
      <c r="K9" s="19"/>
      <c r="L9" s="20"/>
      <c r="M9" s="14" t="s">
        <v>179</v>
      </c>
      <c r="N9" s="21">
        <v>1</v>
      </c>
      <c r="O9" s="62">
        <v>1000000</v>
      </c>
      <c r="P9" s="65"/>
      <c r="Q9" s="539"/>
      <c r="R9" s="540"/>
      <c r="S9" s="581">
        <f t="shared" si="0"/>
        <v>1000000</v>
      </c>
      <c r="T9" s="582"/>
      <c r="U9" s="555"/>
      <c r="V9" s="556"/>
      <c r="W9" s="22"/>
      <c r="X9" s="23"/>
      <c r="Y9" s="545"/>
      <c r="Z9" s="546"/>
      <c r="AA9" s="557"/>
      <c r="AB9" s="558"/>
      <c r="AC9" s="13"/>
    </row>
    <row r="10" spans="1:29" ht="18.95" customHeight="1">
      <c r="A10" s="493"/>
      <c r="B10" s="14">
        <v>3</v>
      </c>
      <c r="C10" s="15" t="s">
        <v>194</v>
      </c>
      <c r="D10" s="16"/>
      <c r="E10" s="16"/>
      <c r="F10" s="17"/>
      <c r="G10" s="18" t="s">
        <v>280</v>
      </c>
      <c r="H10" s="19"/>
      <c r="I10" s="19"/>
      <c r="J10" s="19"/>
      <c r="K10" s="19"/>
      <c r="L10" s="20"/>
      <c r="M10" s="14" t="s">
        <v>179</v>
      </c>
      <c r="N10" s="21">
        <v>1</v>
      </c>
      <c r="O10" s="86">
        <v>135000</v>
      </c>
      <c r="P10" s="65"/>
      <c r="Q10" s="539"/>
      <c r="R10" s="540"/>
      <c r="S10" s="165">
        <f t="shared" si="0"/>
        <v>135000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13"/>
    </row>
    <row r="11" spans="1:29" ht="18.95" customHeight="1">
      <c r="A11" s="493"/>
      <c r="B11" s="14">
        <v>4</v>
      </c>
      <c r="C11" s="15" t="s">
        <v>195</v>
      </c>
      <c r="D11" s="16"/>
      <c r="E11" s="16"/>
      <c r="F11" s="17"/>
      <c r="G11" s="18" t="s">
        <v>276</v>
      </c>
      <c r="H11" s="19"/>
      <c r="I11" s="19"/>
      <c r="J11" s="19"/>
      <c r="K11" s="19"/>
      <c r="L11" s="20"/>
      <c r="M11" s="14" t="s">
        <v>179</v>
      </c>
      <c r="N11" s="21">
        <v>1</v>
      </c>
      <c r="O11" s="86">
        <v>87128</v>
      </c>
      <c r="P11" s="65"/>
      <c r="Q11" s="539"/>
      <c r="R11" s="540"/>
      <c r="S11" s="541">
        <f t="shared" si="0"/>
        <v>87128</v>
      </c>
      <c r="T11" s="542"/>
      <c r="U11" s="559"/>
      <c r="V11" s="560"/>
      <c r="W11" s="22"/>
      <c r="X11" s="23"/>
      <c r="Y11" s="545"/>
      <c r="Z11" s="561"/>
      <c r="AA11" s="547"/>
      <c r="AB11" s="548"/>
      <c r="AC11" s="13"/>
    </row>
    <row r="12" spans="1:29" ht="18.95" customHeight="1">
      <c r="A12" s="493"/>
      <c r="B12" s="14">
        <v>5</v>
      </c>
      <c r="C12" s="15" t="s">
        <v>204</v>
      </c>
      <c r="D12" s="16"/>
      <c r="E12" s="16"/>
      <c r="F12" s="17"/>
      <c r="G12" s="18" t="s">
        <v>278</v>
      </c>
      <c r="H12" s="19"/>
      <c r="I12" s="19"/>
      <c r="J12" s="19"/>
      <c r="K12" s="19"/>
      <c r="L12" s="20"/>
      <c r="M12" s="14" t="s">
        <v>179</v>
      </c>
      <c r="N12" s="21">
        <v>1</v>
      </c>
      <c r="O12" s="86">
        <v>13500</v>
      </c>
      <c r="P12" s="65"/>
      <c r="Q12" s="539"/>
      <c r="R12" s="540"/>
      <c r="S12" s="165">
        <f t="shared" si="0"/>
        <v>13500</v>
      </c>
      <c r="T12" s="166"/>
      <c r="U12" s="559"/>
      <c r="V12" s="560"/>
      <c r="W12" s="22"/>
      <c r="X12" s="23"/>
      <c r="Y12" s="545"/>
      <c r="Z12" s="561"/>
      <c r="AA12" s="547"/>
      <c r="AB12" s="548"/>
      <c r="AC12" s="13"/>
    </row>
    <row r="13" spans="1:29" ht="18.95" customHeight="1">
      <c r="A13" s="493"/>
      <c r="B13" s="14">
        <v>6</v>
      </c>
      <c r="C13" s="15" t="s">
        <v>255</v>
      </c>
      <c r="D13" s="16"/>
      <c r="E13" s="16"/>
      <c r="F13" s="17"/>
      <c r="G13" s="18" t="s">
        <v>283</v>
      </c>
      <c r="H13" s="19"/>
      <c r="I13" s="19"/>
      <c r="J13" s="19"/>
      <c r="K13" s="19"/>
      <c r="L13" s="20"/>
      <c r="M13" s="14" t="s">
        <v>179</v>
      </c>
      <c r="N13" s="21">
        <v>1</v>
      </c>
      <c r="O13" s="86">
        <v>94500</v>
      </c>
      <c r="P13" s="65"/>
      <c r="Q13" s="539"/>
      <c r="R13" s="540"/>
      <c r="S13" s="165">
        <f t="shared" si="0"/>
        <v>94500</v>
      </c>
      <c r="T13" s="166"/>
      <c r="U13" s="559"/>
      <c r="V13" s="560"/>
      <c r="W13" s="22"/>
      <c r="X13" s="23"/>
      <c r="Y13" s="545"/>
      <c r="Z13" s="561"/>
      <c r="AA13" s="547"/>
      <c r="AB13" s="548"/>
      <c r="AC13" s="13"/>
    </row>
    <row r="14" spans="1:29" ht="18.95" customHeight="1">
      <c r="A14" s="493"/>
      <c r="B14" s="14">
        <v>7</v>
      </c>
      <c r="C14" s="15" t="s">
        <v>205</v>
      </c>
      <c r="D14" s="16"/>
      <c r="E14" s="16"/>
      <c r="F14" s="17"/>
      <c r="G14" s="18" t="s">
        <v>277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6">
        <v>33750</v>
      </c>
      <c r="P14" s="65"/>
      <c r="Q14" s="539"/>
      <c r="R14" s="540"/>
      <c r="S14" s="165">
        <f t="shared" ref="S14" si="1">N14*O14</f>
        <v>33750</v>
      </c>
      <c r="T14" s="166"/>
      <c r="U14" s="559"/>
      <c r="V14" s="560"/>
      <c r="W14" s="22"/>
      <c r="X14" s="23"/>
      <c r="Y14" s="545"/>
      <c r="Z14" s="561"/>
      <c r="AA14" s="547"/>
      <c r="AB14" s="548"/>
      <c r="AC14" s="13"/>
    </row>
    <row r="15" spans="1:29" ht="18.95" customHeight="1">
      <c r="A15" s="493"/>
      <c r="B15" s="14">
        <v>8</v>
      </c>
      <c r="C15" s="87" t="s">
        <v>206</v>
      </c>
      <c r="D15" s="16"/>
      <c r="E15" s="16"/>
      <c r="F15" s="17"/>
      <c r="G15" s="18" t="s">
        <v>278</v>
      </c>
      <c r="H15" s="19"/>
      <c r="I15" s="19"/>
      <c r="J15" s="19"/>
      <c r="K15" s="19"/>
      <c r="L15" s="20"/>
      <c r="M15" s="14" t="s">
        <v>207</v>
      </c>
      <c r="N15" s="21">
        <v>1</v>
      </c>
      <c r="O15" s="86">
        <v>22950</v>
      </c>
      <c r="P15" s="65"/>
      <c r="Q15" s="553"/>
      <c r="R15" s="554"/>
      <c r="S15" s="165">
        <f t="shared" ref="S15" si="2">N15*O15</f>
        <v>22950</v>
      </c>
      <c r="T15" s="166"/>
      <c r="U15" s="559"/>
      <c r="V15" s="560"/>
      <c r="W15" s="22"/>
      <c r="X15" s="23"/>
      <c r="Y15" s="545"/>
      <c r="Z15" s="546"/>
      <c r="AA15" s="547"/>
      <c r="AB15" s="548"/>
      <c r="AC15" s="13"/>
    </row>
    <row r="16" spans="1:29" ht="18.95" customHeight="1">
      <c r="A16" s="493"/>
      <c r="B16" s="14">
        <v>9</v>
      </c>
      <c r="C16" s="15" t="s">
        <v>198</v>
      </c>
      <c r="D16" s="16"/>
      <c r="E16" s="16"/>
      <c r="F16" s="17"/>
      <c r="G16" s="18" t="s">
        <v>282</v>
      </c>
      <c r="H16" s="19"/>
      <c r="I16" s="19"/>
      <c r="J16" s="19"/>
      <c r="K16" s="19"/>
      <c r="L16" s="20"/>
      <c r="M16" s="14" t="s">
        <v>26</v>
      </c>
      <c r="N16" s="21">
        <v>1</v>
      </c>
      <c r="O16" s="86">
        <v>130000</v>
      </c>
      <c r="P16" s="65"/>
      <c r="Q16" s="539"/>
      <c r="R16" s="540"/>
      <c r="S16" s="165">
        <f t="shared" ref="S16" si="3">N16*O16</f>
        <v>130000</v>
      </c>
      <c r="T16" s="166"/>
      <c r="U16" s="559"/>
      <c r="V16" s="560"/>
      <c r="W16" s="22"/>
      <c r="X16" s="23"/>
      <c r="Y16" s="545"/>
      <c r="Z16" s="546"/>
      <c r="AA16" s="547"/>
      <c r="AB16" s="548"/>
      <c r="AC16" s="13"/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/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/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/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/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3784828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3784828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8</v>
      </c>
      <c r="R31" s="388"/>
      <c r="S31" s="389">
        <v>24000</v>
      </c>
      <c r="T31" s="389"/>
      <c r="U31" s="390">
        <f>S31*Q31</f>
        <v>192000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12</v>
      </c>
      <c r="R32" s="315"/>
      <c r="S32" s="326">
        <v>24000</v>
      </c>
      <c r="T32" s="327"/>
      <c r="U32" s="328">
        <f>S32*Q32</f>
        <v>288000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3784828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5</v>
      </c>
      <c r="R33" s="315"/>
      <c r="S33" s="326">
        <v>24000</v>
      </c>
      <c r="T33" s="327"/>
      <c r="U33" s="328">
        <f>S33*Q33</f>
        <v>120000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600000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60000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660000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4444828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37848.28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600000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99000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113850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208896.56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4904422.84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/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580" t="s">
        <v>71</v>
      </c>
      <c r="B48" s="207"/>
      <c r="C48" s="480" t="str">
        <f>C5</f>
        <v>CCP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">
        <v>63</v>
      </c>
      <c r="U48" s="473"/>
      <c r="V48" s="473"/>
      <c r="W48" s="473"/>
      <c r="X48" s="473"/>
      <c r="Y48" s="473"/>
      <c r="Z48" s="473"/>
      <c r="AA48" s="473"/>
      <c r="AB48" s="491"/>
      <c r="AD48" s="49"/>
      <c r="AF48" s="50"/>
      <c r="AG48" s="50"/>
    </row>
    <row r="49" spans="1:33" ht="22.5" customHeight="1" thickTop="1">
      <c r="A49" s="509" t="s">
        <v>73</v>
      </c>
      <c r="B49" s="500" t="s">
        <v>74</v>
      </c>
      <c r="C49" s="500" t="s">
        <v>75</v>
      </c>
      <c r="D49" s="500"/>
      <c r="E49" s="500"/>
      <c r="F49" s="500"/>
      <c r="G49" s="500" t="s">
        <v>76</v>
      </c>
      <c r="H49" s="500"/>
      <c r="I49" s="500"/>
      <c r="J49" s="500"/>
      <c r="K49" s="500"/>
      <c r="L49" s="500"/>
      <c r="M49" s="499" t="s">
        <v>77</v>
      </c>
      <c r="N49" s="499" t="s">
        <v>78</v>
      </c>
      <c r="O49" s="500" t="s">
        <v>79</v>
      </c>
      <c r="P49" s="501"/>
      <c r="Q49" s="502" t="s">
        <v>80</v>
      </c>
      <c r="R49" s="503"/>
      <c r="S49" s="503"/>
      <c r="T49" s="503"/>
      <c r="U49" s="503"/>
      <c r="V49" s="504"/>
      <c r="W49" s="503" t="s">
        <v>119</v>
      </c>
      <c r="X49" s="503"/>
      <c r="Y49" s="503"/>
      <c r="Z49" s="503"/>
      <c r="AA49" s="503"/>
      <c r="AB49" s="504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/>
      <c r="R87" s="496"/>
      <c r="S87" s="497"/>
      <c r="T87" s="497"/>
      <c r="U87" s="497"/>
      <c r="V87" s="49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H19" sqref="H19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484" t="s">
        <v>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</v>
      </c>
      <c r="U1" s="251"/>
      <c r="V1" s="251"/>
      <c r="W1" s="251"/>
      <c r="X1" s="250" t="s">
        <v>3</v>
      </c>
      <c r="Y1" s="251"/>
      <c r="Z1" s="251"/>
      <c r="AA1" s="251"/>
      <c r="AB1" s="252"/>
    </row>
    <row r="2" spans="1:29" ht="33" customHeight="1" thickBot="1">
      <c r="A2" s="490" t="s">
        <v>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29" ht="18" customHeight="1" thickTop="1">
      <c r="A3" s="471" t="s">
        <v>5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570">
        <v>50</v>
      </c>
      <c r="O3" s="571"/>
      <c r="P3" s="571"/>
      <c r="Q3" s="571"/>
      <c r="R3" s="571"/>
      <c r="S3" s="572"/>
      <c r="T3" s="477" t="s">
        <v>7</v>
      </c>
      <c r="U3" s="466" t="s">
        <v>8</v>
      </c>
      <c r="V3" s="466"/>
      <c r="W3" s="466" t="s">
        <v>9</v>
      </c>
      <c r="X3" s="466"/>
      <c r="Y3" s="466" t="s">
        <v>10</v>
      </c>
      <c r="Z3" s="466"/>
      <c r="AA3" s="466" t="s">
        <v>11</v>
      </c>
      <c r="AB3" s="469"/>
    </row>
    <row r="4" spans="1:29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573"/>
      <c r="O4" s="574"/>
      <c r="P4" s="574"/>
      <c r="Q4" s="574"/>
      <c r="R4" s="574"/>
      <c r="S4" s="575"/>
      <c r="T4" s="478"/>
      <c r="U4" s="466"/>
      <c r="V4" s="466"/>
      <c r="W4" s="466"/>
      <c r="X4" s="466"/>
      <c r="Y4" s="466"/>
      <c r="Z4" s="466"/>
      <c r="AA4" s="466"/>
      <c r="AB4" s="469"/>
    </row>
    <row r="5" spans="1:29" ht="32.25" customHeight="1" thickBot="1">
      <c r="A5" s="266" t="s">
        <v>12</v>
      </c>
      <c r="B5" s="302"/>
      <c r="C5" s="480" t="s">
        <v>208</v>
      </c>
      <c r="D5" s="481"/>
      <c r="E5" s="481"/>
      <c r="F5" s="481"/>
      <c r="G5" s="481"/>
      <c r="H5" s="481"/>
      <c r="I5" s="481"/>
      <c r="J5" s="480" t="s">
        <v>13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9" ht="20.25" customHeight="1" thickTop="1">
      <c r="A6" s="492" t="s">
        <v>14</v>
      </c>
      <c r="B6" s="369" t="s">
        <v>15</v>
      </c>
      <c r="C6" s="369" t="s">
        <v>16</v>
      </c>
      <c r="D6" s="369"/>
      <c r="E6" s="369"/>
      <c r="F6" s="369"/>
      <c r="G6" s="369" t="s">
        <v>17</v>
      </c>
      <c r="H6" s="369"/>
      <c r="I6" s="369"/>
      <c r="J6" s="369"/>
      <c r="K6" s="369"/>
      <c r="L6" s="369"/>
      <c r="M6" s="494" t="s">
        <v>18</v>
      </c>
      <c r="N6" s="494" t="s">
        <v>19</v>
      </c>
      <c r="O6" s="459" t="s">
        <v>20</v>
      </c>
      <c r="P6" s="460"/>
      <c r="Q6" s="463" t="s">
        <v>21</v>
      </c>
      <c r="R6" s="463"/>
      <c r="S6" s="463"/>
      <c r="T6" s="463"/>
      <c r="U6" s="463"/>
      <c r="V6" s="464"/>
      <c r="W6" s="463" t="s">
        <v>22</v>
      </c>
      <c r="X6" s="463"/>
      <c r="Y6" s="463"/>
      <c r="Z6" s="463"/>
      <c r="AA6" s="463"/>
      <c r="AB6" s="464"/>
    </row>
    <row r="7" spans="1:29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24</v>
      </c>
      <c r="T7" s="466"/>
      <c r="U7" s="297" t="s">
        <v>25</v>
      </c>
      <c r="V7" s="467"/>
      <c r="W7" s="297" t="s">
        <v>23</v>
      </c>
      <c r="X7" s="297"/>
      <c r="Y7" s="296" t="s">
        <v>24</v>
      </c>
      <c r="Z7" s="465"/>
      <c r="AA7" s="297" t="s">
        <v>25</v>
      </c>
      <c r="AB7" s="467"/>
      <c r="AC7" s="2"/>
    </row>
    <row r="8" spans="1:29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284</v>
      </c>
      <c r="H8" s="8"/>
      <c r="I8" s="8"/>
      <c r="J8" s="8"/>
      <c r="K8" s="8"/>
      <c r="L8" s="9"/>
      <c r="M8" s="3" t="s">
        <v>26</v>
      </c>
      <c r="N8" s="85">
        <v>1</v>
      </c>
      <c r="O8" s="88">
        <f>599400*1.5</f>
        <v>899100</v>
      </c>
      <c r="P8" s="79"/>
      <c r="Q8" s="562"/>
      <c r="R8" s="563"/>
      <c r="S8" s="585">
        <f t="shared" ref="S8:S16" si="0">N8*O8</f>
        <v>899100</v>
      </c>
      <c r="T8" s="586"/>
      <c r="U8" s="564"/>
      <c r="V8" s="565"/>
      <c r="W8" s="11"/>
      <c r="X8" s="12"/>
      <c r="Y8" s="566"/>
      <c r="Z8" s="567"/>
      <c r="AA8" s="568"/>
      <c r="AB8" s="569"/>
      <c r="AC8" s="13"/>
    </row>
    <row r="9" spans="1:29" ht="18.95" customHeight="1">
      <c r="A9" s="493"/>
      <c r="B9" s="14">
        <v>2</v>
      </c>
      <c r="C9" s="15"/>
      <c r="D9" s="16"/>
      <c r="E9" s="16"/>
      <c r="F9" s="17"/>
      <c r="G9" s="18" t="s">
        <v>284</v>
      </c>
      <c r="H9" s="19"/>
      <c r="I9" s="19"/>
      <c r="J9" s="19"/>
      <c r="K9" s="19"/>
      <c r="L9" s="20"/>
      <c r="M9" s="14" t="s">
        <v>179</v>
      </c>
      <c r="N9" s="21">
        <v>1</v>
      </c>
      <c r="O9" s="86">
        <f>414450*1.5</f>
        <v>621675</v>
      </c>
      <c r="P9" s="65"/>
      <c r="Q9" s="539"/>
      <c r="R9" s="540"/>
      <c r="S9" s="583">
        <f t="shared" si="0"/>
        <v>621675</v>
      </c>
      <c r="T9" s="584"/>
      <c r="U9" s="555"/>
      <c r="V9" s="556"/>
      <c r="W9" s="22"/>
      <c r="X9" s="23"/>
      <c r="Y9" s="545"/>
      <c r="Z9" s="546"/>
      <c r="AA9" s="557"/>
      <c r="AB9" s="558"/>
      <c r="AC9" s="13"/>
    </row>
    <row r="10" spans="1:29" ht="18.95" customHeight="1">
      <c r="A10" s="493"/>
      <c r="B10" s="14">
        <v>3</v>
      </c>
      <c r="C10" s="15"/>
      <c r="D10" s="16"/>
      <c r="E10" s="16"/>
      <c r="F10" s="17"/>
      <c r="G10" s="18" t="s">
        <v>285</v>
      </c>
      <c r="H10" s="19"/>
      <c r="I10" s="19"/>
      <c r="J10" s="19"/>
      <c r="K10" s="19"/>
      <c r="L10" s="20"/>
      <c r="M10" s="14" t="s">
        <v>179</v>
      </c>
      <c r="N10" s="21">
        <v>1</v>
      </c>
      <c r="O10" s="86">
        <f>202500*1.5</f>
        <v>303750</v>
      </c>
      <c r="P10" s="65"/>
      <c r="Q10" s="539"/>
      <c r="R10" s="540"/>
      <c r="S10" s="583">
        <f t="shared" si="0"/>
        <v>303750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/>
    </row>
    <row r="11" spans="1:29" ht="18.95" customHeight="1">
      <c r="A11" s="493"/>
      <c r="B11" s="14">
        <v>4</v>
      </c>
      <c r="C11" s="15"/>
      <c r="D11" s="16"/>
      <c r="E11" s="16"/>
      <c r="F11" s="17"/>
      <c r="G11" s="18" t="s">
        <v>260</v>
      </c>
      <c r="H11" s="19"/>
      <c r="I11" s="19"/>
      <c r="J11" s="19"/>
      <c r="K11" s="19"/>
      <c r="L11" s="20"/>
      <c r="M11" s="14" t="s">
        <v>179</v>
      </c>
      <c r="N11" s="21">
        <v>1</v>
      </c>
      <c r="O11" s="86">
        <f>337500*1.5</f>
        <v>506250</v>
      </c>
      <c r="P11" s="65"/>
      <c r="Q11" s="539"/>
      <c r="R11" s="540"/>
      <c r="S11" s="429">
        <f t="shared" si="0"/>
        <v>506250</v>
      </c>
      <c r="T11" s="430"/>
      <c r="U11" s="559"/>
      <c r="V11" s="560"/>
      <c r="W11" s="22"/>
      <c r="X11" s="23"/>
      <c r="Y11" s="545"/>
      <c r="Z11" s="561"/>
      <c r="AA11" s="547"/>
      <c r="AB11" s="548"/>
      <c r="AC11" s="13"/>
    </row>
    <row r="12" spans="1:29" ht="18.95" customHeight="1">
      <c r="A12" s="493"/>
      <c r="B12" s="14">
        <v>5</v>
      </c>
      <c r="C12" s="15" t="s">
        <v>209</v>
      </c>
      <c r="D12" s="16"/>
      <c r="E12" s="16"/>
      <c r="F12" s="17"/>
      <c r="G12" s="18" t="s">
        <v>274</v>
      </c>
      <c r="H12" s="19"/>
      <c r="I12" s="19"/>
      <c r="J12" s="19"/>
      <c r="K12" s="19"/>
      <c r="L12" s="20"/>
      <c r="M12" s="14" t="s">
        <v>179</v>
      </c>
      <c r="N12" s="21">
        <v>1</v>
      </c>
      <c r="O12" s="62">
        <v>2700000</v>
      </c>
      <c r="P12" s="65"/>
      <c r="Q12" s="539"/>
      <c r="R12" s="540"/>
      <c r="S12" s="583">
        <f t="shared" si="0"/>
        <v>2700000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/>
    </row>
    <row r="13" spans="1:29" ht="18.95" customHeight="1">
      <c r="A13" s="493"/>
      <c r="B13" s="14">
        <v>6</v>
      </c>
      <c r="C13" s="15" t="s">
        <v>194</v>
      </c>
      <c r="D13" s="16"/>
      <c r="E13" s="16"/>
      <c r="F13" s="17"/>
      <c r="G13" s="18" t="s">
        <v>280</v>
      </c>
      <c r="H13" s="19"/>
      <c r="I13" s="19"/>
      <c r="J13" s="19"/>
      <c r="K13" s="19"/>
      <c r="L13" s="20"/>
      <c r="M13" s="14" t="s">
        <v>179</v>
      </c>
      <c r="N13" s="21">
        <v>1</v>
      </c>
      <c r="O13" s="86">
        <v>344250</v>
      </c>
      <c r="P13" s="65"/>
      <c r="Q13" s="539"/>
      <c r="R13" s="540"/>
      <c r="S13" s="583">
        <f t="shared" si="0"/>
        <v>344250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/>
    </row>
    <row r="14" spans="1:29" ht="18.95" customHeight="1">
      <c r="A14" s="493"/>
      <c r="B14" s="14">
        <v>7</v>
      </c>
      <c r="C14" s="15" t="s">
        <v>195</v>
      </c>
      <c r="D14" s="16"/>
      <c r="E14" s="16"/>
      <c r="F14" s="17"/>
      <c r="G14" s="18" t="s">
        <v>286</v>
      </c>
      <c r="H14" s="19"/>
      <c r="I14" s="19"/>
      <c r="J14" s="19"/>
      <c r="K14" s="19"/>
      <c r="L14" s="20"/>
      <c r="M14" s="14" t="s">
        <v>26</v>
      </c>
      <c r="N14" s="21">
        <v>2</v>
      </c>
      <c r="O14" s="86">
        <v>87128</v>
      </c>
      <c r="P14" s="65"/>
      <c r="Q14" s="539"/>
      <c r="R14" s="540"/>
      <c r="S14" s="583">
        <f t="shared" si="0"/>
        <v>174256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/>
    </row>
    <row r="15" spans="1:29" ht="18.95" customHeight="1">
      <c r="A15" s="493"/>
      <c r="B15" s="14">
        <v>8</v>
      </c>
      <c r="C15" s="87"/>
      <c r="D15" s="16"/>
      <c r="E15" s="16"/>
      <c r="F15" s="17"/>
      <c r="G15" s="18" t="s">
        <v>276</v>
      </c>
      <c r="H15" s="19"/>
      <c r="I15" s="19"/>
      <c r="J15" s="19"/>
      <c r="K15" s="19"/>
      <c r="L15" s="20"/>
      <c r="M15" s="14" t="s">
        <v>207</v>
      </c>
      <c r="N15" s="21">
        <v>1</v>
      </c>
      <c r="O15" s="86">
        <v>31467</v>
      </c>
      <c r="P15" s="65"/>
      <c r="Q15" s="553"/>
      <c r="R15" s="554"/>
      <c r="S15" s="583">
        <f t="shared" si="0"/>
        <v>31467</v>
      </c>
      <c r="T15" s="584"/>
      <c r="U15" s="559"/>
      <c r="V15" s="560"/>
      <c r="W15" s="22"/>
      <c r="X15" s="23"/>
      <c r="Y15" s="545"/>
      <c r="Z15" s="546"/>
      <c r="AA15" s="547"/>
      <c r="AB15" s="548"/>
      <c r="AC15" s="13"/>
    </row>
    <row r="16" spans="1:29" ht="18.95" customHeight="1">
      <c r="A16" s="493"/>
      <c r="B16" s="14">
        <v>9</v>
      </c>
      <c r="C16" s="15" t="s">
        <v>210</v>
      </c>
      <c r="D16" s="16"/>
      <c r="E16" s="16"/>
      <c r="F16" s="17"/>
      <c r="G16" s="18" t="s">
        <v>277</v>
      </c>
      <c r="H16" s="19"/>
      <c r="I16" s="19"/>
      <c r="J16" s="19"/>
      <c r="K16" s="19"/>
      <c r="L16" s="20"/>
      <c r="M16" s="14" t="s">
        <v>26</v>
      </c>
      <c r="N16" s="21">
        <v>1</v>
      </c>
      <c r="O16" s="86">
        <v>33750</v>
      </c>
      <c r="P16" s="65"/>
      <c r="Q16" s="539"/>
      <c r="R16" s="540"/>
      <c r="S16" s="583">
        <f t="shared" si="0"/>
        <v>33750</v>
      </c>
      <c r="T16" s="584"/>
      <c r="U16" s="559"/>
      <c r="V16" s="560"/>
      <c r="W16" s="22"/>
      <c r="X16" s="23"/>
      <c r="Y16" s="545"/>
      <c r="Z16" s="546"/>
      <c r="AA16" s="547"/>
      <c r="AB16" s="548"/>
      <c r="AC16" s="13"/>
    </row>
    <row r="17" spans="1:29" ht="18.95" customHeight="1">
      <c r="A17" s="493"/>
      <c r="B17" s="14">
        <v>10</v>
      </c>
      <c r="C17" s="15" t="s">
        <v>211</v>
      </c>
      <c r="D17" s="16"/>
      <c r="E17" s="16"/>
      <c r="F17" s="17"/>
      <c r="G17" s="18" t="s">
        <v>287</v>
      </c>
      <c r="H17" s="19"/>
      <c r="I17" s="19"/>
      <c r="J17" s="19"/>
      <c r="K17" s="19"/>
      <c r="L17" s="20"/>
      <c r="M17" s="14"/>
      <c r="N17" s="21">
        <v>1</v>
      </c>
      <c r="O17" s="64">
        <v>130000</v>
      </c>
      <c r="P17" s="65"/>
      <c r="Q17" s="539"/>
      <c r="R17" s="540"/>
      <c r="S17" s="583">
        <f t="shared" ref="S17" si="1">N17*O17</f>
        <v>130000</v>
      </c>
      <c r="T17" s="584"/>
      <c r="U17" s="559"/>
      <c r="V17" s="560"/>
      <c r="W17" s="22"/>
      <c r="X17" s="23"/>
      <c r="Y17" s="545"/>
      <c r="Z17" s="546"/>
      <c r="AA17" s="547"/>
      <c r="AB17" s="548"/>
      <c r="AC17" s="13"/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/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/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/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19">
        <f>SUM(Q8:R27)</f>
        <v>0</v>
      </c>
      <c r="R28" s="519"/>
      <c r="S28" s="520">
        <f>SUM(S8:T27)</f>
        <v>5744498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27</v>
      </c>
      <c r="B29" s="374"/>
      <c r="C29" s="374"/>
      <c r="D29" s="374"/>
      <c r="E29" s="374"/>
      <c r="F29" s="374"/>
      <c r="G29" s="375" t="s">
        <v>28</v>
      </c>
      <c r="H29" s="374"/>
      <c r="I29" s="376"/>
      <c r="J29" s="373" t="s">
        <v>29</v>
      </c>
      <c r="K29" s="374"/>
      <c r="L29" s="376"/>
      <c r="M29" s="377" t="s">
        <v>30</v>
      </c>
      <c r="N29" s="380" t="s">
        <v>31</v>
      </c>
      <c r="O29" s="381"/>
      <c r="P29" s="368"/>
      <c r="Q29" s="360" t="s">
        <v>32</v>
      </c>
      <c r="R29" s="361"/>
      <c r="S29" s="360" t="s">
        <v>33</v>
      </c>
      <c r="T29" s="361"/>
      <c r="U29" s="360" t="s">
        <v>34</v>
      </c>
      <c r="V29" s="364"/>
      <c r="W29" s="366" t="s">
        <v>32</v>
      </c>
      <c r="X29" s="361"/>
      <c r="Y29" s="360" t="s">
        <v>33</v>
      </c>
      <c r="Z29" s="368"/>
      <c r="AA29" s="360" t="s">
        <v>34</v>
      </c>
      <c r="AB29" s="364"/>
    </row>
    <row r="30" spans="1:29" ht="21" customHeight="1">
      <c r="A30" s="38">
        <v>1</v>
      </c>
      <c r="B30" s="225"/>
      <c r="C30" s="274" t="s">
        <v>35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36</v>
      </c>
      <c r="D31" s="324"/>
      <c r="E31" s="324"/>
      <c r="F31" s="324"/>
      <c r="G31" s="516">
        <f>S28+S87</f>
        <v>5744498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8</v>
      </c>
      <c r="R31" s="388"/>
      <c r="S31" s="389">
        <v>24000</v>
      </c>
      <c r="T31" s="389"/>
      <c r="U31" s="390">
        <f>S31*Q31</f>
        <v>192000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37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13</v>
      </c>
      <c r="R32" s="315"/>
      <c r="S32" s="326">
        <v>24000</v>
      </c>
      <c r="T32" s="327"/>
      <c r="U32" s="328">
        <f>S32*Q32</f>
        <v>312000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38</v>
      </c>
      <c r="D33" s="297"/>
      <c r="E33" s="297"/>
      <c r="F33" s="297"/>
      <c r="G33" s="253">
        <f>(G30+G31+G32)</f>
        <v>5744498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6</v>
      </c>
      <c r="R33" s="315"/>
      <c r="S33" s="326">
        <v>24000</v>
      </c>
      <c r="T33" s="327"/>
      <c r="U33" s="328">
        <f>S33*Q33</f>
        <v>144000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39</v>
      </c>
      <c r="D34" s="339"/>
      <c r="E34" s="339"/>
      <c r="F34" s="339"/>
      <c r="G34" s="340">
        <f>U38</f>
        <v>648000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40</v>
      </c>
      <c r="D35" s="306"/>
      <c r="E35" s="306"/>
      <c r="F35" s="306"/>
      <c r="G35" s="307">
        <f>G34*0.1</f>
        <v>64800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41</v>
      </c>
      <c r="D36" s="292"/>
      <c r="E36" s="292"/>
      <c r="F36" s="292"/>
      <c r="G36" s="333">
        <f>G34+G35</f>
        <v>712800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42</v>
      </c>
      <c r="C37" s="297"/>
      <c r="D37" s="297"/>
      <c r="E37" s="297"/>
      <c r="F37" s="297"/>
      <c r="G37" s="253">
        <f>G33+G36</f>
        <v>6457298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43</v>
      </c>
      <c r="C38" s="297"/>
      <c r="D38" s="297"/>
      <c r="E38" s="297"/>
      <c r="F38" s="297"/>
      <c r="G38" s="253">
        <f>((G30*0.01)+(G31*0.01)+(G32*0.02))</f>
        <v>57444.98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648000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44</v>
      </c>
      <c r="C39" s="43"/>
      <c r="D39" s="43"/>
      <c r="E39" s="43"/>
      <c r="F39" s="43"/>
      <c r="G39" s="253">
        <f>G36*0.15</f>
        <v>106920</v>
      </c>
      <c r="H39" s="254"/>
      <c r="I39" s="255"/>
      <c r="J39" s="268"/>
      <c r="K39" s="269"/>
      <c r="L39" s="270"/>
      <c r="M39" s="271" t="s">
        <v>45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46</v>
      </c>
      <c r="C40" s="43"/>
      <c r="D40" s="43"/>
      <c r="E40" s="43"/>
      <c r="F40" s="43"/>
      <c r="G40" s="253">
        <f>(G36+G39)*0.15</f>
        <v>122958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47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48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49</v>
      </c>
      <c r="C43" s="274"/>
      <c r="D43" s="274"/>
      <c r="E43" s="274"/>
      <c r="F43" s="274"/>
      <c r="G43" s="253">
        <f>(G37+6000000)/N3</f>
        <v>249145.96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7</v>
      </c>
      <c r="U43" s="278" t="s">
        <v>8</v>
      </c>
      <c r="V43" s="278"/>
      <c r="W43" s="278" t="s">
        <v>50</v>
      </c>
      <c r="X43" s="278"/>
      <c r="Y43" s="278" t="s">
        <v>51</v>
      </c>
      <c r="Z43" s="278"/>
      <c r="AA43" s="278" t="s">
        <v>52</v>
      </c>
      <c r="AB43" s="279"/>
      <c r="AC43" s="25"/>
    </row>
    <row r="44" spans="1:33" ht="21" customHeight="1" thickBot="1">
      <c r="A44" s="38">
        <v>15</v>
      </c>
      <c r="B44" s="280" t="s">
        <v>28</v>
      </c>
      <c r="C44" s="281"/>
      <c r="D44" s="281"/>
      <c r="E44" s="281"/>
      <c r="F44" s="281"/>
      <c r="G44" s="506">
        <f>SUM(G37:I43)</f>
        <v>6993766.9400000004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53</v>
      </c>
      <c r="B45" s="262"/>
      <c r="C45" s="262"/>
      <c r="D45" s="262"/>
      <c r="E45" s="262"/>
      <c r="F45" s="262"/>
      <c r="G45" s="262"/>
      <c r="H45" s="262"/>
      <c r="I45" s="263"/>
      <c r="J45" s="282"/>
      <c r="K45" s="283"/>
      <c r="L45" s="284"/>
      <c r="M45" s="285" t="s">
        <v>54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55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5</v>
      </c>
      <c r="B47" s="240"/>
      <c r="C47" s="241"/>
      <c r="D47" s="242"/>
      <c r="E47" s="242"/>
      <c r="F47" s="242"/>
      <c r="G47" s="242"/>
      <c r="H47" s="242"/>
      <c r="I47" s="242"/>
      <c r="J47" s="243" t="s">
        <v>56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2</v>
      </c>
      <c r="U47" s="242"/>
      <c r="V47" s="242"/>
      <c r="W47" s="242"/>
      <c r="X47" s="250" t="s">
        <v>3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580" t="s">
        <v>12</v>
      </c>
      <c r="B48" s="207"/>
      <c r="C48" s="480" t="str">
        <f>C5</f>
        <v>AAR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">
        <v>63</v>
      </c>
      <c r="U48" s="473"/>
      <c r="V48" s="473"/>
      <c r="W48" s="473"/>
      <c r="X48" s="473"/>
      <c r="Y48" s="473"/>
      <c r="Z48" s="473"/>
      <c r="AA48" s="473"/>
      <c r="AB48" s="491"/>
      <c r="AD48" s="49"/>
      <c r="AF48" s="50"/>
      <c r="AG48" s="50"/>
    </row>
    <row r="49" spans="1:33" ht="22.5" customHeight="1" thickTop="1">
      <c r="A49" s="509" t="s">
        <v>14</v>
      </c>
      <c r="B49" s="500" t="s">
        <v>15</v>
      </c>
      <c r="C49" s="500" t="s">
        <v>16</v>
      </c>
      <c r="D49" s="500"/>
      <c r="E49" s="500"/>
      <c r="F49" s="500"/>
      <c r="G49" s="500" t="s">
        <v>17</v>
      </c>
      <c r="H49" s="500"/>
      <c r="I49" s="500"/>
      <c r="J49" s="500"/>
      <c r="K49" s="500"/>
      <c r="L49" s="500"/>
      <c r="M49" s="499" t="s">
        <v>18</v>
      </c>
      <c r="N49" s="499" t="s">
        <v>19</v>
      </c>
      <c r="O49" s="500" t="s">
        <v>20</v>
      </c>
      <c r="P49" s="501"/>
      <c r="Q49" s="502" t="s">
        <v>21</v>
      </c>
      <c r="R49" s="503"/>
      <c r="S49" s="503"/>
      <c r="T49" s="503"/>
      <c r="U49" s="503"/>
      <c r="V49" s="504"/>
      <c r="W49" s="503" t="s">
        <v>57</v>
      </c>
      <c r="X49" s="503"/>
      <c r="Y49" s="503"/>
      <c r="Z49" s="503"/>
      <c r="AA49" s="503"/>
      <c r="AB49" s="504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23</v>
      </c>
      <c r="R50" s="207"/>
      <c r="S50" s="208" t="s">
        <v>24</v>
      </c>
      <c r="T50" s="208"/>
      <c r="U50" s="209" t="s">
        <v>25</v>
      </c>
      <c r="V50" s="210"/>
      <c r="W50" s="209" t="s">
        <v>23</v>
      </c>
      <c r="X50" s="209"/>
      <c r="Y50" s="211" t="s">
        <v>24</v>
      </c>
      <c r="Z50" s="207"/>
      <c r="AA50" s="209" t="s">
        <v>25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/>
      <c r="R87" s="496"/>
      <c r="S87" s="497"/>
      <c r="T87" s="497"/>
      <c r="U87" s="497"/>
      <c r="V87" s="49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55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88"/>
  <sheetViews>
    <sheetView showGridLines="0" zoomScale="85" zoomScaleNormal="85" workbookViewId="0">
      <selection activeCell="AD11" sqref="AD11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120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121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122</v>
      </c>
      <c r="U1" s="251"/>
      <c r="V1" s="251"/>
      <c r="W1" s="251"/>
      <c r="X1" s="250" t="s">
        <v>123</v>
      </c>
      <c r="Y1" s="251"/>
      <c r="Z1" s="251"/>
      <c r="AA1" s="251"/>
      <c r="AB1" s="252"/>
    </row>
    <row r="2" spans="1:30" ht="33" customHeight="1" thickBot="1">
      <c r="A2" s="490" t="s">
        <v>124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126</v>
      </c>
      <c r="B3" s="466"/>
      <c r="C3" s="234"/>
      <c r="D3" s="235"/>
      <c r="E3" s="235"/>
      <c r="F3" s="235"/>
      <c r="G3" s="235"/>
      <c r="H3" s="235"/>
      <c r="I3" s="576"/>
      <c r="J3" s="475" t="s">
        <v>127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128</v>
      </c>
      <c r="U3" s="466" t="s">
        <v>129</v>
      </c>
      <c r="V3" s="466"/>
      <c r="W3" s="466" t="s">
        <v>130</v>
      </c>
      <c r="X3" s="466"/>
      <c r="Y3" s="466" t="s">
        <v>131</v>
      </c>
      <c r="Z3" s="466"/>
      <c r="AA3" s="466" t="s">
        <v>132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133</v>
      </c>
      <c r="B5" s="302"/>
      <c r="C5" s="480" t="s">
        <v>212</v>
      </c>
      <c r="D5" s="481"/>
      <c r="E5" s="481"/>
      <c r="F5" s="481"/>
      <c r="G5" s="481"/>
      <c r="H5" s="481"/>
      <c r="I5" s="481"/>
      <c r="J5" s="480" t="s">
        <v>134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135</v>
      </c>
      <c r="B6" s="369" t="s">
        <v>136</v>
      </c>
      <c r="C6" s="369" t="s">
        <v>137</v>
      </c>
      <c r="D6" s="369"/>
      <c r="E6" s="369"/>
      <c r="F6" s="369"/>
      <c r="G6" s="369" t="s">
        <v>138</v>
      </c>
      <c r="H6" s="369"/>
      <c r="I6" s="369"/>
      <c r="J6" s="369"/>
      <c r="K6" s="369"/>
      <c r="L6" s="369"/>
      <c r="M6" s="494" t="s">
        <v>139</v>
      </c>
      <c r="N6" s="494" t="s">
        <v>140</v>
      </c>
      <c r="O6" s="459" t="s">
        <v>141</v>
      </c>
      <c r="P6" s="460"/>
      <c r="Q6" s="463" t="s">
        <v>142</v>
      </c>
      <c r="R6" s="463"/>
      <c r="S6" s="463"/>
      <c r="T6" s="463"/>
      <c r="U6" s="463"/>
      <c r="V6" s="464"/>
      <c r="W6" s="463" t="s">
        <v>143</v>
      </c>
      <c r="X6" s="463"/>
      <c r="Y6" s="463"/>
      <c r="Z6" s="463"/>
      <c r="AA6" s="463"/>
      <c r="AB6" s="464"/>
      <c r="AD6" s="113"/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144</v>
      </c>
      <c r="R7" s="465"/>
      <c r="S7" s="466" t="s">
        <v>145</v>
      </c>
      <c r="T7" s="466"/>
      <c r="U7" s="297" t="s">
        <v>146</v>
      </c>
      <c r="V7" s="467"/>
      <c r="W7" s="297" t="s">
        <v>144</v>
      </c>
      <c r="X7" s="297"/>
      <c r="Y7" s="296" t="s">
        <v>145</v>
      </c>
      <c r="Z7" s="465"/>
      <c r="AA7" s="297" t="s">
        <v>146</v>
      </c>
      <c r="AB7" s="467"/>
      <c r="AC7" s="2"/>
      <c r="AD7" s="655" t="s">
        <v>321</v>
      </c>
    </row>
    <row r="8" spans="1:30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288</v>
      </c>
      <c r="H8" s="8"/>
      <c r="I8" s="8"/>
      <c r="J8" s="8"/>
      <c r="K8" s="8"/>
      <c r="L8" s="9"/>
      <c r="M8" s="14" t="s">
        <v>181</v>
      </c>
      <c r="N8" s="85">
        <v>1</v>
      </c>
      <c r="O8" s="55">
        <f>1116450*1.3</f>
        <v>1451385</v>
      </c>
      <c r="P8" s="79"/>
      <c r="Q8" s="562"/>
      <c r="R8" s="563"/>
      <c r="S8" s="587">
        <f t="shared" ref="S8:S16" si="0">N8*O8</f>
        <v>1451385</v>
      </c>
      <c r="T8" s="588"/>
      <c r="U8" s="564"/>
      <c r="V8" s="565"/>
      <c r="W8" s="11"/>
      <c r="X8" s="12"/>
      <c r="Y8" s="566"/>
      <c r="Z8" s="567"/>
      <c r="AA8" s="568"/>
      <c r="AB8" s="569"/>
      <c r="AC8" s="13"/>
      <c r="AD8" s="654" t="s">
        <v>313</v>
      </c>
    </row>
    <row r="9" spans="1:30" ht="18.95" customHeight="1">
      <c r="A9" s="493"/>
      <c r="B9" s="14">
        <v>2</v>
      </c>
      <c r="C9" s="15" t="s">
        <v>193</v>
      </c>
      <c r="D9" s="16"/>
      <c r="E9" s="16"/>
      <c r="F9" s="17"/>
      <c r="G9" s="18" t="s">
        <v>289</v>
      </c>
      <c r="H9" s="19"/>
      <c r="I9" s="19"/>
      <c r="J9" s="19"/>
      <c r="K9" s="19"/>
      <c r="L9" s="20"/>
      <c r="M9" s="14" t="s">
        <v>181</v>
      </c>
      <c r="N9" s="21">
        <v>1</v>
      </c>
      <c r="O9" s="62">
        <v>1000000</v>
      </c>
      <c r="P9" s="65"/>
      <c r="Q9" s="539"/>
      <c r="R9" s="540"/>
      <c r="S9" s="583">
        <f t="shared" si="0"/>
        <v>1000000</v>
      </c>
      <c r="T9" s="584"/>
      <c r="U9" s="555"/>
      <c r="V9" s="556"/>
      <c r="W9" s="22"/>
      <c r="X9" s="23"/>
      <c r="Y9" s="545"/>
      <c r="Z9" s="546"/>
      <c r="AA9" s="557"/>
      <c r="AB9" s="558"/>
      <c r="AC9" s="13"/>
      <c r="AD9" s="654" t="s">
        <v>314</v>
      </c>
    </row>
    <row r="10" spans="1:30" ht="18.95" customHeight="1">
      <c r="A10" s="493"/>
      <c r="B10" s="14">
        <v>3</v>
      </c>
      <c r="C10" s="15" t="s">
        <v>194</v>
      </c>
      <c r="D10" s="16"/>
      <c r="E10" s="16"/>
      <c r="F10" s="17"/>
      <c r="G10" s="18" t="s">
        <v>280</v>
      </c>
      <c r="H10" s="19"/>
      <c r="I10" s="19"/>
      <c r="J10" s="19"/>
      <c r="K10" s="19"/>
      <c r="L10" s="20"/>
      <c r="M10" s="14" t="s">
        <v>181</v>
      </c>
      <c r="N10" s="21">
        <v>1</v>
      </c>
      <c r="O10" s="86">
        <v>189000</v>
      </c>
      <c r="P10" s="65"/>
      <c r="Q10" s="539"/>
      <c r="R10" s="540"/>
      <c r="S10" s="583">
        <f t="shared" si="0"/>
        <v>189000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/>
      <c r="AD10" s="654" t="s">
        <v>315</v>
      </c>
    </row>
    <row r="11" spans="1:30" ht="18.95" customHeight="1">
      <c r="A11" s="493"/>
      <c r="B11" s="14">
        <v>4</v>
      </c>
      <c r="C11" s="15" t="s">
        <v>195</v>
      </c>
      <c r="D11" s="16"/>
      <c r="E11" s="16"/>
      <c r="F11" s="17"/>
      <c r="G11" s="18" t="s">
        <v>309</v>
      </c>
      <c r="H11" s="19"/>
      <c r="I11" s="19"/>
      <c r="J11" s="19"/>
      <c r="K11" s="19"/>
      <c r="L11" s="20"/>
      <c r="M11" s="14" t="s">
        <v>181</v>
      </c>
      <c r="N11" s="21">
        <v>1</v>
      </c>
      <c r="O11" s="86">
        <v>197627</v>
      </c>
      <c r="P11" s="65"/>
      <c r="Q11" s="539"/>
      <c r="R11" s="540"/>
      <c r="S11" s="583">
        <f t="shared" si="0"/>
        <v>197627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/>
      <c r="AD11" s="654" t="s">
        <v>317</v>
      </c>
    </row>
    <row r="12" spans="1:30" ht="18.95" customHeight="1">
      <c r="A12" s="493"/>
      <c r="B12" s="14">
        <v>5</v>
      </c>
      <c r="C12" s="15" t="s">
        <v>213</v>
      </c>
      <c r="D12" s="16"/>
      <c r="E12" s="16"/>
      <c r="F12" s="17"/>
      <c r="G12" s="18" t="s">
        <v>283</v>
      </c>
      <c r="H12" s="19"/>
      <c r="I12" s="19"/>
      <c r="J12" s="19"/>
      <c r="K12" s="19"/>
      <c r="L12" s="20"/>
      <c r="M12" s="14" t="s">
        <v>181</v>
      </c>
      <c r="N12" s="21">
        <v>1</v>
      </c>
      <c r="O12" s="86">
        <v>21735</v>
      </c>
      <c r="P12" s="65"/>
      <c r="Q12" s="539"/>
      <c r="R12" s="540"/>
      <c r="S12" s="583">
        <f t="shared" si="0"/>
        <v>21735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/>
      <c r="AD12" s="654" t="s">
        <v>318</v>
      </c>
    </row>
    <row r="13" spans="1:30" ht="18.95" customHeight="1">
      <c r="A13" s="493"/>
      <c r="B13" s="14">
        <v>6</v>
      </c>
      <c r="C13" s="15" t="s">
        <v>214</v>
      </c>
      <c r="D13" s="16"/>
      <c r="E13" s="16"/>
      <c r="F13" s="17"/>
      <c r="G13" s="18" t="s">
        <v>290</v>
      </c>
      <c r="H13" s="19"/>
      <c r="I13" s="19"/>
      <c r="J13" s="19"/>
      <c r="K13" s="19"/>
      <c r="L13" s="20"/>
      <c r="M13" s="14" t="s">
        <v>181</v>
      </c>
      <c r="N13" s="21">
        <v>1</v>
      </c>
      <c r="O13" s="86">
        <v>24003</v>
      </c>
      <c r="P13" s="65"/>
      <c r="Q13" s="539"/>
      <c r="R13" s="540"/>
      <c r="S13" s="583">
        <f t="shared" si="0"/>
        <v>24003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/>
      <c r="AD13" s="654" t="s">
        <v>320</v>
      </c>
    </row>
    <row r="14" spans="1:30" ht="18.95" customHeight="1">
      <c r="A14" s="493"/>
      <c r="B14" s="14">
        <v>7</v>
      </c>
      <c r="C14" s="15" t="s">
        <v>215</v>
      </c>
      <c r="D14" s="16"/>
      <c r="E14" s="16"/>
      <c r="F14" s="17"/>
      <c r="G14" s="18" t="s">
        <v>291</v>
      </c>
      <c r="H14" s="19"/>
      <c r="I14" s="19"/>
      <c r="J14" s="19"/>
      <c r="K14" s="19"/>
      <c r="L14" s="20"/>
      <c r="M14" s="14" t="s">
        <v>181</v>
      </c>
      <c r="N14" s="21">
        <v>6</v>
      </c>
      <c r="O14" s="86">
        <f>102600*1.2</f>
        <v>123120</v>
      </c>
      <c r="P14" s="65"/>
      <c r="Q14" s="539"/>
      <c r="R14" s="540"/>
      <c r="S14" s="583">
        <f t="shared" si="0"/>
        <v>738720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/>
    </row>
    <row r="15" spans="1:30" ht="18.95" customHeight="1">
      <c r="A15" s="493"/>
      <c r="B15" s="14">
        <v>8</v>
      </c>
      <c r="C15" s="15" t="s">
        <v>216</v>
      </c>
      <c r="D15" s="16"/>
      <c r="E15" s="16"/>
      <c r="F15" s="17"/>
      <c r="G15" s="18" t="s">
        <v>283</v>
      </c>
      <c r="H15" s="19"/>
      <c r="I15" s="19"/>
      <c r="J15" s="19"/>
      <c r="K15" s="19"/>
      <c r="L15" s="20"/>
      <c r="M15" s="14" t="s">
        <v>181</v>
      </c>
      <c r="N15" s="21">
        <v>1</v>
      </c>
      <c r="O15" s="86">
        <v>1350</v>
      </c>
      <c r="P15" s="65"/>
      <c r="Q15" s="553"/>
      <c r="R15" s="554"/>
      <c r="S15" s="583">
        <f t="shared" si="0"/>
        <v>1350</v>
      </c>
      <c r="T15" s="584"/>
      <c r="U15" s="559"/>
      <c r="V15" s="560"/>
      <c r="W15" s="22"/>
      <c r="X15" s="23"/>
      <c r="Y15" s="545"/>
      <c r="Z15" s="546"/>
      <c r="AA15" s="547"/>
      <c r="AB15" s="548"/>
      <c r="AC15" s="13"/>
    </row>
    <row r="16" spans="1:30" ht="18.95" customHeight="1">
      <c r="A16" s="493"/>
      <c r="B16" s="14">
        <v>9</v>
      </c>
      <c r="C16" s="15" t="s">
        <v>198</v>
      </c>
      <c r="D16" s="16"/>
      <c r="E16" s="16"/>
      <c r="F16" s="17"/>
      <c r="G16" s="18" t="s">
        <v>287</v>
      </c>
      <c r="H16" s="19"/>
      <c r="I16" s="19"/>
      <c r="J16" s="19"/>
      <c r="K16" s="19"/>
      <c r="L16" s="20"/>
      <c r="M16" s="14" t="s">
        <v>181</v>
      </c>
      <c r="N16" s="21">
        <v>1</v>
      </c>
      <c r="O16" s="86">
        <v>120000</v>
      </c>
      <c r="P16" s="65"/>
      <c r="Q16" s="539"/>
      <c r="R16" s="540"/>
      <c r="S16" s="583">
        <f t="shared" si="0"/>
        <v>120000</v>
      </c>
      <c r="T16" s="584"/>
      <c r="U16" s="559"/>
      <c r="V16" s="560"/>
      <c r="W16" s="22"/>
      <c r="X16" s="23"/>
      <c r="Y16" s="545"/>
      <c r="Z16" s="546"/>
      <c r="AA16" s="547"/>
      <c r="AB16" s="548"/>
      <c r="AC16" s="13"/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/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13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/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13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/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/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3743820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148</v>
      </c>
      <c r="B29" s="374"/>
      <c r="C29" s="374"/>
      <c r="D29" s="374"/>
      <c r="E29" s="374"/>
      <c r="F29" s="374"/>
      <c r="G29" s="375" t="s">
        <v>149</v>
      </c>
      <c r="H29" s="374"/>
      <c r="I29" s="376"/>
      <c r="J29" s="373" t="s">
        <v>150</v>
      </c>
      <c r="K29" s="374"/>
      <c r="L29" s="376"/>
      <c r="M29" s="377" t="s">
        <v>151</v>
      </c>
      <c r="N29" s="380" t="s">
        <v>152</v>
      </c>
      <c r="O29" s="381"/>
      <c r="P29" s="368"/>
      <c r="Q29" s="360" t="s">
        <v>153</v>
      </c>
      <c r="R29" s="361"/>
      <c r="S29" s="360" t="s">
        <v>154</v>
      </c>
      <c r="T29" s="361"/>
      <c r="U29" s="360" t="s">
        <v>155</v>
      </c>
      <c r="V29" s="364"/>
      <c r="W29" s="366" t="s">
        <v>153</v>
      </c>
      <c r="X29" s="361"/>
      <c r="Y29" s="360" t="s">
        <v>154</v>
      </c>
      <c r="Z29" s="368"/>
      <c r="AA29" s="360" t="s">
        <v>155</v>
      </c>
      <c r="AB29" s="364"/>
    </row>
    <row r="30" spans="1:29" ht="21" customHeight="1">
      <c r="A30" s="38">
        <v>1</v>
      </c>
      <c r="B30" s="225"/>
      <c r="C30" s="274" t="s">
        <v>156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157</v>
      </c>
      <c r="D31" s="324"/>
      <c r="E31" s="324"/>
      <c r="F31" s="324"/>
      <c r="G31" s="516">
        <f>S28+S87</f>
        <v>3743820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6</v>
      </c>
      <c r="R31" s="388"/>
      <c r="S31" s="389">
        <v>24000</v>
      </c>
      <c r="T31" s="389"/>
      <c r="U31" s="390">
        <f>S31*Q31</f>
        <v>144000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158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12</v>
      </c>
      <c r="R32" s="315"/>
      <c r="S32" s="326">
        <v>24000</v>
      </c>
      <c r="T32" s="327"/>
      <c r="U32" s="328">
        <f>S32*Q32</f>
        <v>288000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159</v>
      </c>
      <c r="D33" s="297"/>
      <c r="E33" s="297"/>
      <c r="F33" s="297"/>
      <c r="G33" s="253">
        <f>(G30+G31+G32)</f>
        <v>3743820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6</v>
      </c>
      <c r="R33" s="315"/>
      <c r="S33" s="326">
        <v>24000</v>
      </c>
      <c r="T33" s="327"/>
      <c r="U33" s="328">
        <f>S33*Q33</f>
        <v>144000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160</v>
      </c>
      <c r="D34" s="339"/>
      <c r="E34" s="339"/>
      <c r="F34" s="339"/>
      <c r="G34" s="340">
        <f>U38</f>
        <v>576000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161</v>
      </c>
      <c r="D35" s="306"/>
      <c r="E35" s="306"/>
      <c r="F35" s="306"/>
      <c r="G35" s="307">
        <f>G34*0.1</f>
        <v>57600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162</v>
      </c>
      <c r="D36" s="292"/>
      <c r="E36" s="292"/>
      <c r="F36" s="292"/>
      <c r="G36" s="333">
        <f>G34+G35</f>
        <v>633600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163</v>
      </c>
      <c r="C37" s="297"/>
      <c r="D37" s="297"/>
      <c r="E37" s="297"/>
      <c r="F37" s="297"/>
      <c r="G37" s="253">
        <f>G33+G36</f>
        <v>4377420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164</v>
      </c>
      <c r="C38" s="297"/>
      <c r="D38" s="297"/>
      <c r="E38" s="297"/>
      <c r="F38" s="297"/>
      <c r="G38" s="253">
        <f>((G30*0.01)+(G31*0.01)+(G32*0.02))</f>
        <v>37438.200000000004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576000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165</v>
      </c>
      <c r="C39" s="43"/>
      <c r="D39" s="43"/>
      <c r="E39" s="43"/>
      <c r="F39" s="43"/>
      <c r="G39" s="253">
        <f>G36*0.15</f>
        <v>95040</v>
      </c>
      <c r="H39" s="254"/>
      <c r="I39" s="255"/>
      <c r="J39" s="268"/>
      <c r="K39" s="269"/>
      <c r="L39" s="270"/>
      <c r="M39" s="271" t="s">
        <v>166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167</v>
      </c>
      <c r="C40" s="43"/>
      <c r="D40" s="43"/>
      <c r="E40" s="43"/>
      <c r="F40" s="43"/>
      <c r="G40" s="253">
        <f>(G36+G39)*0.15</f>
        <v>109296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168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169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170</v>
      </c>
      <c r="C43" s="274"/>
      <c r="D43" s="274"/>
      <c r="E43" s="274"/>
      <c r="F43" s="274"/>
      <c r="G43" s="253">
        <f>(G37+6000000)/N3</f>
        <v>207548.4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128</v>
      </c>
      <c r="U43" s="278" t="s">
        <v>129</v>
      </c>
      <c r="V43" s="278"/>
      <c r="W43" s="278" t="s">
        <v>171</v>
      </c>
      <c r="X43" s="278"/>
      <c r="Y43" s="278" t="s">
        <v>172</v>
      </c>
      <c r="Z43" s="278"/>
      <c r="AA43" s="278" t="s">
        <v>173</v>
      </c>
      <c r="AB43" s="279"/>
      <c r="AC43" s="25"/>
    </row>
    <row r="44" spans="1:33" ht="21" customHeight="1" thickBot="1">
      <c r="A44" s="38">
        <v>15</v>
      </c>
      <c r="B44" s="280" t="s">
        <v>149</v>
      </c>
      <c r="C44" s="281"/>
      <c r="D44" s="281"/>
      <c r="E44" s="281"/>
      <c r="F44" s="281"/>
      <c r="G44" s="506">
        <f>SUM(G37:I43)</f>
        <v>4826742.6000000006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174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175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176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126</v>
      </c>
      <c r="B47" s="240"/>
      <c r="C47" s="241"/>
      <c r="D47" s="242"/>
      <c r="E47" s="242"/>
      <c r="F47" s="242"/>
      <c r="G47" s="242"/>
      <c r="H47" s="242"/>
      <c r="I47" s="242"/>
      <c r="J47" s="243" t="s">
        <v>177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122</v>
      </c>
      <c r="U47" s="242"/>
      <c r="V47" s="242"/>
      <c r="W47" s="242"/>
      <c r="X47" s="250" t="s">
        <v>123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580" t="s">
        <v>133</v>
      </c>
      <c r="B48" s="207"/>
      <c r="C48" s="480" t="str">
        <f>C5</f>
        <v>DPO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">
        <v>125</v>
      </c>
      <c r="U48" s="473"/>
      <c r="V48" s="473"/>
      <c r="W48" s="473"/>
      <c r="X48" s="473"/>
      <c r="Y48" s="473"/>
      <c r="Z48" s="473"/>
      <c r="AA48" s="473"/>
      <c r="AB48" s="491"/>
      <c r="AD48" s="49"/>
      <c r="AF48" s="50"/>
      <c r="AG48" s="50"/>
    </row>
    <row r="49" spans="1:33" ht="22.5" customHeight="1" thickTop="1">
      <c r="A49" s="509" t="s">
        <v>135</v>
      </c>
      <c r="B49" s="500" t="s">
        <v>136</v>
      </c>
      <c r="C49" s="500" t="s">
        <v>137</v>
      </c>
      <c r="D49" s="500"/>
      <c r="E49" s="500"/>
      <c r="F49" s="500"/>
      <c r="G49" s="500" t="s">
        <v>138</v>
      </c>
      <c r="H49" s="500"/>
      <c r="I49" s="500"/>
      <c r="J49" s="500"/>
      <c r="K49" s="500"/>
      <c r="L49" s="500"/>
      <c r="M49" s="499" t="s">
        <v>139</v>
      </c>
      <c r="N49" s="499" t="s">
        <v>140</v>
      </c>
      <c r="O49" s="500" t="s">
        <v>141</v>
      </c>
      <c r="P49" s="501"/>
      <c r="Q49" s="502" t="s">
        <v>142</v>
      </c>
      <c r="R49" s="503"/>
      <c r="S49" s="503"/>
      <c r="T49" s="503"/>
      <c r="U49" s="503"/>
      <c r="V49" s="504"/>
      <c r="W49" s="503" t="s">
        <v>178</v>
      </c>
      <c r="X49" s="503"/>
      <c r="Y49" s="503"/>
      <c r="Z49" s="503"/>
      <c r="AA49" s="503"/>
      <c r="AB49" s="504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144</v>
      </c>
      <c r="R50" s="207"/>
      <c r="S50" s="208" t="s">
        <v>145</v>
      </c>
      <c r="T50" s="208"/>
      <c r="U50" s="209" t="s">
        <v>146</v>
      </c>
      <c r="V50" s="210"/>
      <c r="W50" s="209" t="s">
        <v>144</v>
      </c>
      <c r="X50" s="209"/>
      <c r="Y50" s="211" t="s">
        <v>145</v>
      </c>
      <c r="Z50" s="207"/>
      <c r="AA50" s="209" t="s">
        <v>146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/>
      <c r="R87" s="496"/>
      <c r="S87" s="497"/>
      <c r="T87" s="497"/>
      <c r="U87" s="497"/>
      <c r="V87" s="49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176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88"/>
  <sheetViews>
    <sheetView showGridLines="0" zoomScale="85" zoomScaleNormal="85" workbookViewId="0">
      <selection activeCell="AF11" sqref="AF11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120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122</v>
      </c>
      <c r="U1" s="251"/>
      <c r="V1" s="251"/>
      <c r="W1" s="251"/>
      <c r="X1" s="250" t="s">
        <v>123</v>
      </c>
      <c r="Y1" s="251"/>
      <c r="Z1" s="251"/>
      <c r="AA1" s="251"/>
      <c r="AB1" s="252"/>
    </row>
    <row r="2" spans="1:30" ht="33" customHeight="1" thickBot="1">
      <c r="A2" s="490" t="s">
        <v>124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126</v>
      </c>
      <c r="B3" s="466"/>
      <c r="C3" s="234"/>
      <c r="D3" s="235"/>
      <c r="E3" s="235"/>
      <c r="F3" s="235"/>
      <c r="G3" s="235"/>
      <c r="H3" s="235"/>
      <c r="I3" s="576"/>
      <c r="J3" s="475" t="s">
        <v>127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128</v>
      </c>
      <c r="U3" s="466" t="s">
        <v>129</v>
      </c>
      <c r="V3" s="466"/>
      <c r="W3" s="466" t="s">
        <v>130</v>
      </c>
      <c r="X3" s="466"/>
      <c r="Y3" s="466" t="s">
        <v>10</v>
      </c>
      <c r="Z3" s="466"/>
      <c r="AA3" s="466" t="s">
        <v>132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71</v>
      </c>
      <c r="B5" s="302"/>
      <c r="C5" s="480" t="s">
        <v>217</v>
      </c>
      <c r="D5" s="481"/>
      <c r="E5" s="481"/>
      <c r="F5" s="481"/>
      <c r="G5" s="481"/>
      <c r="H5" s="481"/>
      <c r="I5" s="481"/>
      <c r="J5" s="480" t="s">
        <v>134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135</v>
      </c>
      <c r="B6" s="369" t="s">
        <v>136</v>
      </c>
      <c r="C6" s="369" t="s">
        <v>137</v>
      </c>
      <c r="D6" s="369"/>
      <c r="E6" s="369"/>
      <c r="F6" s="369"/>
      <c r="G6" s="369" t="s">
        <v>138</v>
      </c>
      <c r="H6" s="369"/>
      <c r="I6" s="369"/>
      <c r="J6" s="369"/>
      <c r="K6" s="369"/>
      <c r="L6" s="369"/>
      <c r="M6" s="494" t="s">
        <v>139</v>
      </c>
      <c r="N6" s="494" t="s">
        <v>140</v>
      </c>
      <c r="O6" s="459" t="s">
        <v>141</v>
      </c>
      <c r="P6" s="460"/>
      <c r="Q6" s="463" t="s">
        <v>142</v>
      </c>
      <c r="R6" s="463"/>
      <c r="S6" s="463"/>
      <c r="T6" s="463"/>
      <c r="U6" s="463"/>
      <c r="V6" s="464"/>
      <c r="W6" s="463" t="s">
        <v>143</v>
      </c>
      <c r="X6" s="463"/>
      <c r="Y6" s="463"/>
      <c r="Z6" s="463"/>
      <c r="AA6" s="463"/>
      <c r="AB6" s="464"/>
      <c r="AD6" s="656" t="s">
        <v>312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144</v>
      </c>
      <c r="R7" s="465"/>
      <c r="S7" s="466" t="s">
        <v>145</v>
      </c>
      <c r="T7" s="466"/>
      <c r="U7" s="297" t="s">
        <v>146</v>
      </c>
      <c r="V7" s="467"/>
      <c r="W7" s="297" t="s">
        <v>144</v>
      </c>
      <c r="X7" s="297"/>
      <c r="Y7" s="296" t="s">
        <v>145</v>
      </c>
      <c r="Z7" s="465"/>
      <c r="AA7" s="297" t="s">
        <v>146</v>
      </c>
      <c r="AB7" s="467"/>
      <c r="AC7" s="2"/>
      <c r="AD7" s="657" t="s">
        <v>316</v>
      </c>
    </row>
    <row r="8" spans="1:30" ht="18.95" customHeight="1">
      <c r="A8" s="493"/>
      <c r="B8" s="3">
        <v>1</v>
      </c>
      <c r="C8" s="4" t="s">
        <v>218</v>
      </c>
      <c r="D8" s="5"/>
      <c r="E8" s="5"/>
      <c r="F8" s="6"/>
      <c r="G8" s="7" t="s">
        <v>311</v>
      </c>
      <c r="H8" s="8"/>
      <c r="I8" s="8"/>
      <c r="J8" s="8"/>
      <c r="K8" s="8"/>
      <c r="L8" s="9"/>
      <c r="M8" s="3" t="s">
        <v>147</v>
      </c>
      <c r="N8" s="85">
        <v>1</v>
      </c>
      <c r="O8" s="78">
        <v>410000</v>
      </c>
      <c r="P8" s="79"/>
      <c r="Q8" s="562"/>
      <c r="R8" s="563"/>
      <c r="S8" s="593">
        <f>N8*O8</f>
        <v>410000</v>
      </c>
      <c r="T8" s="594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451000</v>
      </c>
    </row>
    <row r="9" spans="1:30" ht="18.95" customHeight="1">
      <c r="A9" s="493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64"/>
      <c r="P9" s="65"/>
      <c r="Q9" s="539"/>
      <c r="R9" s="540"/>
      <c r="S9" s="583">
        <f>N9*O9</f>
        <v>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24" si="0">ROUND(O9*1.1,-2)</f>
        <v>0</v>
      </c>
    </row>
    <row r="10" spans="1:30" ht="18.95" customHeight="1">
      <c r="A10" s="493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64"/>
      <c r="P10" s="65"/>
      <c r="Q10" s="539"/>
      <c r="R10" s="540"/>
      <c r="S10" s="165">
        <f>N10*O10</f>
        <v>0</v>
      </c>
      <c r="T10" s="166"/>
      <c r="U10" s="559"/>
      <c r="V10" s="560"/>
      <c r="W10" s="22"/>
      <c r="X10" s="23"/>
      <c r="Y10" s="545"/>
      <c r="Z10" s="546"/>
      <c r="AA10" s="547"/>
      <c r="AB10" s="548"/>
      <c r="AC10" s="13">
        <f t="shared" si="0"/>
        <v>0</v>
      </c>
    </row>
    <row r="11" spans="1:30" ht="18.95" customHeight="1">
      <c r="A11" s="493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64"/>
      <c r="P11" s="65"/>
      <c r="Q11" s="539"/>
      <c r="R11" s="540"/>
      <c r="S11" s="165">
        <f>N11*O11</f>
        <v>0</v>
      </c>
      <c r="T11" s="166"/>
      <c r="U11" s="559"/>
      <c r="V11" s="560"/>
      <c r="W11" s="22"/>
      <c r="X11" s="23"/>
      <c r="Y11" s="545"/>
      <c r="Z11" s="546"/>
      <c r="AA11" s="547"/>
      <c r="AB11" s="548"/>
      <c r="AC11" s="13">
        <f t="shared" si="0"/>
        <v>0</v>
      </c>
    </row>
    <row r="12" spans="1:30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39"/>
      <c r="R12" s="540"/>
      <c r="S12" s="165"/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0"/>
        <v>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39"/>
      <c r="R13" s="540"/>
      <c r="S13" s="165"/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0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39"/>
      <c r="R14" s="540"/>
      <c r="S14" s="165"/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0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0"/>
        <v>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0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0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0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0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0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0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0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0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0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410000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148</v>
      </c>
      <c r="B29" s="374"/>
      <c r="C29" s="374"/>
      <c r="D29" s="374"/>
      <c r="E29" s="374"/>
      <c r="F29" s="374"/>
      <c r="G29" s="375" t="s">
        <v>149</v>
      </c>
      <c r="H29" s="374"/>
      <c r="I29" s="376"/>
      <c r="J29" s="373" t="s">
        <v>150</v>
      </c>
      <c r="K29" s="374"/>
      <c r="L29" s="376"/>
      <c r="M29" s="377" t="s">
        <v>151</v>
      </c>
      <c r="N29" s="380" t="s">
        <v>152</v>
      </c>
      <c r="O29" s="381"/>
      <c r="P29" s="368"/>
      <c r="Q29" s="360" t="s">
        <v>153</v>
      </c>
      <c r="R29" s="361"/>
      <c r="S29" s="360" t="s">
        <v>154</v>
      </c>
      <c r="T29" s="361"/>
      <c r="U29" s="360" t="s">
        <v>155</v>
      </c>
      <c r="V29" s="364"/>
      <c r="W29" s="366" t="s">
        <v>153</v>
      </c>
      <c r="X29" s="361"/>
      <c r="Y29" s="360" t="s">
        <v>154</v>
      </c>
      <c r="Z29" s="368"/>
      <c r="AA29" s="360" t="s">
        <v>155</v>
      </c>
      <c r="AB29" s="364"/>
    </row>
    <row r="30" spans="1:29" ht="21" customHeight="1">
      <c r="A30" s="38">
        <v>1</v>
      </c>
      <c r="B30" s="225"/>
      <c r="C30" s="274" t="s">
        <v>156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157</v>
      </c>
      <c r="D31" s="324"/>
      <c r="E31" s="324"/>
      <c r="F31" s="324"/>
      <c r="G31" s="516">
        <f>S28+S87</f>
        <v>410000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4</v>
      </c>
      <c r="R31" s="388"/>
      <c r="S31" s="389">
        <v>24000</v>
      </c>
      <c r="T31" s="389"/>
      <c r="U31" s="390">
        <f>S31*Q31</f>
        <v>96000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158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100</v>
      </c>
      <c r="O32" s="314"/>
      <c r="P32" s="315"/>
      <c r="Q32" s="313">
        <v>4</v>
      </c>
      <c r="R32" s="315"/>
      <c r="S32" s="326">
        <v>24000</v>
      </c>
      <c r="T32" s="327"/>
      <c r="U32" s="328">
        <f>S32*Q32</f>
        <v>96000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159</v>
      </c>
      <c r="D33" s="297"/>
      <c r="E33" s="297"/>
      <c r="F33" s="297"/>
      <c r="G33" s="253">
        <f>(G30+G31+G32)</f>
        <v>410000</v>
      </c>
      <c r="H33" s="254"/>
      <c r="I33" s="255"/>
      <c r="J33" s="349"/>
      <c r="K33" s="350"/>
      <c r="L33" s="351"/>
      <c r="M33" s="378"/>
      <c r="N33" s="313"/>
      <c r="O33" s="314"/>
      <c r="P33" s="315"/>
      <c r="Q33" s="313"/>
      <c r="R33" s="315"/>
      <c r="S33" s="326"/>
      <c r="T33" s="327"/>
      <c r="U33" s="328"/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160</v>
      </c>
      <c r="D34" s="339"/>
      <c r="E34" s="339"/>
      <c r="F34" s="339"/>
      <c r="G34" s="340">
        <f>U38</f>
        <v>192000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161</v>
      </c>
      <c r="D35" s="306"/>
      <c r="E35" s="306"/>
      <c r="F35" s="306"/>
      <c r="G35" s="307">
        <f>G34*0.1</f>
        <v>19200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162</v>
      </c>
      <c r="D36" s="292"/>
      <c r="E36" s="292"/>
      <c r="F36" s="292"/>
      <c r="G36" s="333">
        <f>G34+G35</f>
        <v>211200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163</v>
      </c>
      <c r="C37" s="297"/>
      <c r="D37" s="297"/>
      <c r="E37" s="297"/>
      <c r="F37" s="297"/>
      <c r="G37" s="253">
        <f>G33+G36</f>
        <v>621200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164</v>
      </c>
      <c r="C38" s="297"/>
      <c r="D38" s="297"/>
      <c r="E38" s="297"/>
      <c r="F38" s="297"/>
      <c r="G38" s="253">
        <f>((G30*0.01)+(G31*0.01)+(G32*0.02))</f>
        <v>4100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192000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165</v>
      </c>
      <c r="C39" s="43"/>
      <c r="D39" s="43"/>
      <c r="E39" s="43"/>
      <c r="F39" s="43"/>
      <c r="G39" s="253">
        <f>G36*0.15</f>
        <v>31680</v>
      </c>
      <c r="H39" s="254"/>
      <c r="I39" s="255"/>
      <c r="J39" s="268"/>
      <c r="K39" s="269"/>
      <c r="L39" s="270"/>
      <c r="M39" s="271" t="s">
        <v>166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167</v>
      </c>
      <c r="C40" s="43"/>
      <c r="D40" s="43"/>
      <c r="E40" s="43"/>
      <c r="F40" s="43"/>
      <c r="G40" s="253">
        <f>(G36+G39)*0.15</f>
        <v>36432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168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169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170</v>
      </c>
      <c r="C43" s="274"/>
      <c r="D43" s="274"/>
      <c r="E43" s="274"/>
      <c r="F43" s="274"/>
      <c r="G43" s="253">
        <f>(G37+6000000)/N3</f>
        <v>132424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128</v>
      </c>
      <c r="U43" s="278" t="s">
        <v>129</v>
      </c>
      <c r="V43" s="278"/>
      <c r="W43" s="278" t="s">
        <v>171</v>
      </c>
      <c r="X43" s="278"/>
      <c r="Y43" s="278" t="s">
        <v>172</v>
      </c>
      <c r="Z43" s="278"/>
      <c r="AA43" s="278" t="s">
        <v>173</v>
      </c>
      <c r="AB43" s="279"/>
      <c r="AC43" s="25"/>
    </row>
    <row r="44" spans="1:33" ht="21" customHeight="1" thickBot="1">
      <c r="A44" s="38">
        <v>15</v>
      </c>
      <c r="B44" s="280" t="s">
        <v>149</v>
      </c>
      <c r="C44" s="281"/>
      <c r="D44" s="281"/>
      <c r="E44" s="281"/>
      <c r="F44" s="281"/>
      <c r="G44" s="506">
        <f>SUM(G37:I43)</f>
        <v>825836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174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175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176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126</v>
      </c>
      <c r="B47" s="240"/>
      <c r="C47" s="241"/>
      <c r="D47" s="242"/>
      <c r="E47" s="242"/>
      <c r="F47" s="242"/>
      <c r="G47" s="242"/>
      <c r="H47" s="242"/>
      <c r="I47" s="242"/>
      <c r="J47" s="243" t="s">
        <v>177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122</v>
      </c>
      <c r="U47" s="242"/>
      <c r="V47" s="242"/>
      <c r="W47" s="242"/>
      <c r="X47" s="250" t="s">
        <v>123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580" t="s">
        <v>133</v>
      </c>
      <c r="B48" s="207"/>
      <c r="C48" s="480" t="str">
        <f>C5</f>
        <v>DMA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tr">
        <f>T2</f>
        <v>2011  년    4 월    11 일</v>
      </c>
      <c r="U48" s="473"/>
      <c r="V48" s="473"/>
      <c r="W48" s="473"/>
      <c r="X48" s="473"/>
      <c r="Y48" s="473"/>
      <c r="Z48" s="473"/>
      <c r="AA48" s="473"/>
      <c r="AB48" s="491"/>
      <c r="AD48" s="49"/>
      <c r="AF48" s="50"/>
      <c r="AG48" s="50"/>
    </row>
    <row r="49" spans="1:33" ht="22.5" customHeight="1" thickTop="1">
      <c r="A49" s="509" t="s">
        <v>135</v>
      </c>
      <c r="B49" s="500" t="s">
        <v>136</v>
      </c>
      <c r="C49" s="500" t="s">
        <v>137</v>
      </c>
      <c r="D49" s="500"/>
      <c r="E49" s="500"/>
      <c r="F49" s="500"/>
      <c r="G49" s="500" t="s">
        <v>138</v>
      </c>
      <c r="H49" s="500"/>
      <c r="I49" s="500"/>
      <c r="J49" s="500"/>
      <c r="K49" s="500"/>
      <c r="L49" s="500"/>
      <c r="M49" s="499" t="s">
        <v>139</v>
      </c>
      <c r="N49" s="499" t="s">
        <v>140</v>
      </c>
      <c r="O49" s="500" t="s">
        <v>141</v>
      </c>
      <c r="P49" s="501"/>
      <c r="Q49" s="502" t="s">
        <v>142</v>
      </c>
      <c r="R49" s="503"/>
      <c r="S49" s="503"/>
      <c r="T49" s="503"/>
      <c r="U49" s="503"/>
      <c r="V49" s="504"/>
      <c r="W49" s="503" t="s">
        <v>178</v>
      </c>
      <c r="X49" s="503"/>
      <c r="Y49" s="503"/>
      <c r="Z49" s="503"/>
      <c r="AA49" s="503"/>
      <c r="AB49" s="504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144</v>
      </c>
      <c r="R50" s="207"/>
      <c r="S50" s="208" t="s">
        <v>145</v>
      </c>
      <c r="T50" s="208"/>
      <c r="U50" s="209" t="s">
        <v>146</v>
      </c>
      <c r="V50" s="210"/>
      <c r="W50" s="209" t="s">
        <v>144</v>
      </c>
      <c r="X50" s="209"/>
      <c r="Y50" s="211" t="s">
        <v>145</v>
      </c>
      <c r="Z50" s="207"/>
      <c r="AA50" s="209" t="s">
        <v>146</v>
      </c>
      <c r="AB50" s="210"/>
      <c r="AD50" s="49"/>
    </row>
    <row r="51" spans="1:33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9"/>
      <c r="E52" s="59"/>
      <c r="F52" s="60"/>
      <c r="G52" s="18"/>
      <c r="H52" s="19"/>
      <c r="I52" s="19"/>
      <c r="J52" s="19"/>
      <c r="K52" s="19"/>
      <c r="L52" s="2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9"/>
      <c r="E53" s="59"/>
      <c r="F53" s="60"/>
      <c r="G53" s="18"/>
      <c r="H53" s="19"/>
      <c r="I53" s="19"/>
      <c r="J53" s="19"/>
      <c r="K53" s="19"/>
      <c r="L53" s="2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9"/>
      <c r="E54" s="59"/>
      <c r="F54" s="60"/>
      <c r="G54" s="18"/>
      <c r="H54" s="19"/>
      <c r="I54" s="19"/>
      <c r="J54" s="19"/>
      <c r="K54" s="19"/>
      <c r="L54" s="2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9"/>
      <c r="E55" s="59"/>
      <c r="F55" s="60"/>
      <c r="G55" s="18"/>
      <c r="H55" s="19"/>
      <c r="I55" s="19"/>
      <c r="J55" s="19"/>
      <c r="K55" s="19"/>
      <c r="L55" s="2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9"/>
      <c r="E56" s="59"/>
      <c r="F56" s="60"/>
      <c r="G56" s="18"/>
      <c r="H56" s="19"/>
      <c r="I56" s="19"/>
      <c r="J56" s="19"/>
      <c r="K56" s="19"/>
      <c r="L56" s="2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9"/>
      <c r="E57" s="59"/>
      <c r="F57" s="60"/>
      <c r="G57" s="18"/>
      <c r="H57" s="19"/>
      <c r="I57" s="19"/>
      <c r="J57" s="19"/>
      <c r="K57" s="19"/>
      <c r="L57" s="2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9"/>
      <c r="E58" s="59"/>
      <c r="F58" s="60"/>
      <c r="G58" s="18"/>
      <c r="H58" s="19"/>
      <c r="I58" s="19"/>
      <c r="J58" s="19"/>
      <c r="K58" s="19"/>
      <c r="L58" s="2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9"/>
      <c r="E59" s="59"/>
      <c r="F59" s="60"/>
      <c r="G59" s="18"/>
      <c r="H59" s="19"/>
      <c r="I59" s="19"/>
      <c r="J59" s="19"/>
      <c r="K59" s="19"/>
      <c r="L59" s="2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9"/>
      <c r="E60" s="59"/>
      <c r="F60" s="60"/>
      <c r="G60" s="18"/>
      <c r="H60" s="19"/>
      <c r="I60" s="19"/>
      <c r="J60" s="19"/>
      <c r="K60" s="19"/>
      <c r="L60" s="2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9"/>
      <c r="E61" s="59"/>
      <c r="F61" s="60"/>
      <c r="G61" s="18"/>
      <c r="H61" s="19"/>
      <c r="I61" s="19"/>
      <c r="J61" s="19"/>
      <c r="K61" s="19"/>
      <c r="L61" s="2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9"/>
      <c r="E62" s="59"/>
      <c r="F62" s="60"/>
      <c r="G62" s="18"/>
      <c r="H62" s="19"/>
      <c r="I62" s="19"/>
      <c r="J62" s="19"/>
      <c r="K62" s="19"/>
      <c r="L62" s="2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9"/>
      <c r="E63" s="59"/>
      <c r="F63" s="60"/>
      <c r="G63" s="18"/>
      <c r="H63" s="19"/>
      <c r="I63" s="19"/>
      <c r="J63" s="19"/>
      <c r="K63" s="19"/>
      <c r="L63" s="2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9"/>
      <c r="E64" s="59"/>
      <c r="F64" s="60"/>
      <c r="G64" s="18"/>
      <c r="H64" s="19"/>
      <c r="I64" s="19"/>
      <c r="J64" s="19"/>
      <c r="K64" s="19"/>
      <c r="L64" s="2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9"/>
      <c r="E65" s="59"/>
      <c r="F65" s="60"/>
      <c r="G65" s="18"/>
      <c r="H65" s="19"/>
      <c r="I65" s="19"/>
      <c r="J65" s="19"/>
      <c r="K65" s="19"/>
      <c r="L65" s="2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9"/>
      <c r="E66" s="59"/>
      <c r="F66" s="60"/>
      <c r="G66" s="18"/>
      <c r="H66" s="19"/>
      <c r="I66" s="19"/>
      <c r="J66" s="19"/>
      <c r="K66" s="19"/>
      <c r="L66" s="2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9"/>
      <c r="E67" s="59"/>
      <c r="F67" s="60"/>
      <c r="G67" s="18"/>
      <c r="H67" s="19"/>
      <c r="I67" s="19"/>
      <c r="J67" s="19"/>
      <c r="K67" s="19"/>
      <c r="L67" s="2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9"/>
      <c r="E68" s="59"/>
      <c r="F68" s="60"/>
      <c r="G68" s="18"/>
      <c r="H68" s="19"/>
      <c r="I68" s="19"/>
      <c r="J68" s="19"/>
      <c r="K68" s="19"/>
      <c r="L68" s="2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9"/>
      <c r="E69" s="59"/>
      <c r="F69" s="60"/>
      <c r="G69" s="18"/>
      <c r="H69" s="19"/>
      <c r="I69" s="19"/>
      <c r="J69" s="19"/>
      <c r="K69" s="19"/>
      <c r="L69" s="2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9"/>
      <c r="E70" s="59"/>
      <c r="F70" s="60"/>
      <c r="G70" s="18"/>
      <c r="H70" s="19"/>
      <c r="I70" s="19"/>
      <c r="J70" s="19"/>
      <c r="K70" s="19"/>
      <c r="L70" s="2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9"/>
      <c r="E71" s="59"/>
      <c r="F71" s="60"/>
      <c r="G71" s="18"/>
      <c r="H71" s="19"/>
      <c r="I71" s="19"/>
      <c r="J71" s="19"/>
      <c r="K71" s="19"/>
      <c r="L71" s="20"/>
      <c r="M71" s="24"/>
      <c r="N71" s="61"/>
      <c r="O71" s="64"/>
      <c r="P71" s="65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9"/>
      <c r="E72" s="59"/>
      <c r="F72" s="60"/>
      <c r="G72" s="18"/>
      <c r="H72" s="19"/>
      <c r="I72" s="19"/>
      <c r="J72" s="19"/>
      <c r="K72" s="19"/>
      <c r="L72" s="20"/>
      <c r="M72" s="24"/>
      <c r="N72" s="61"/>
      <c r="O72" s="64"/>
      <c r="P72" s="65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/>
      <c r="R87" s="496"/>
      <c r="S87" s="497"/>
      <c r="T87" s="497"/>
      <c r="U87" s="497"/>
      <c r="V87" s="498"/>
      <c r="W87" s="589"/>
      <c r="X87" s="589"/>
      <c r="Y87" s="590"/>
      <c r="Z87" s="591"/>
      <c r="AA87" s="589"/>
      <c r="AB87" s="59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176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88"/>
  <sheetViews>
    <sheetView showGridLines="0" zoomScale="85" zoomScaleNormal="85" workbookViewId="0">
      <selection activeCell="AD6" sqref="AD6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30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614">
        <v>50</v>
      </c>
      <c r="O3" s="615"/>
      <c r="P3" s="615"/>
      <c r="Q3" s="615"/>
      <c r="R3" s="615"/>
      <c r="S3" s="616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617"/>
      <c r="O4" s="618"/>
      <c r="P4" s="618"/>
      <c r="Q4" s="618"/>
      <c r="R4" s="618"/>
      <c r="S4" s="619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71</v>
      </c>
      <c r="B5" s="302"/>
      <c r="C5" s="480" t="s">
        <v>219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D6" s="113" t="s">
        <v>319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  <c r="AD7" s="654" t="s">
        <v>322</v>
      </c>
    </row>
    <row r="8" spans="1:30" ht="18.95" customHeight="1">
      <c r="A8" s="493"/>
      <c r="B8" s="3">
        <v>1</v>
      </c>
      <c r="C8" s="4" t="s">
        <v>220</v>
      </c>
      <c r="D8" s="5"/>
      <c r="E8" s="5"/>
      <c r="F8" s="6"/>
      <c r="G8" s="7" t="s">
        <v>280</v>
      </c>
      <c r="H8" s="8"/>
      <c r="I8" s="8"/>
      <c r="J8" s="8"/>
      <c r="K8" s="8"/>
      <c r="L8" s="9"/>
      <c r="M8" s="3" t="s">
        <v>85</v>
      </c>
      <c r="N8" s="85">
        <v>1</v>
      </c>
      <c r="O8" s="78">
        <v>110000</v>
      </c>
      <c r="P8" s="79"/>
      <c r="Q8" s="562"/>
      <c r="R8" s="563"/>
      <c r="S8" s="214">
        <f>N8*O8</f>
        <v>110000</v>
      </c>
      <c r="T8" s="215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121000</v>
      </c>
    </row>
    <row r="9" spans="1:30" ht="18.95" customHeight="1">
      <c r="A9" s="493"/>
      <c r="B9" s="14">
        <v>2</v>
      </c>
      <c r="C9" s="15" t="s">
        <v>198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85</v>
      </c>
      <c r="N9" s="21">
        <v>1</v>
      </c>
      <c r="O9" s="64">
        <v>80000</v>
      </c>
      <c r="P9" s="65"/>
      <c r="Q9" s="539"/>
      <c r="R9" s="540"/>
      <c r="S9" s="165">
        <f>N9*O9</f>
        <v>80000</v>
      </c>
      <c r="T9" s="166"/>
      <c r="U9" s="555"/>
      <c r="V9" s="556"/>
      <c r="W9" s="22"/>
      <c r="X9" s="23"/>
      <c r="Y9" s="545"/>
      <c r="Z9" s="546"/>
      <c r="AA9" s="557"/>
      <c r="AB9" s="558"/>
      <c r="AC9" s="13">
        <f t="shared" ref="AC9:AC14" si="0">ROUND(O9*1.1,-2)</f>
        <v>88000</v>
      </c>
    </row>
    <row r="10" spans="1:30" ht="18.95" customHeight="1">
      <c r="A10" s="493"/>
      <c r="B10" s="14">
        <v>3</v>
      </c>
      <c r="C10" s="15" t="s">
        <v>214</v>
      </c>
      <c r="D10" s="16"/>
      <c r="E10" s="16"/>
      <c r="F10" s="17"/>
      <c r="G10" s="18" t="s">
        <v>293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f>21600*1.15</f>
        <v>24839.999999999996</v>
      </c>
      <c r="P10" s="65"/>
      <c r="Q10" s="539"/>
      <c r="R10" s="540"/>
      <c r="S10" s="165">
        <f>N10*O10</f>
        <v>24839.999999999996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13">
        <f t="shared" si="0"/>
        <v>27300</v>
      </c>
    </row>
    <row r="11" spans="1:30" ht="18.95" customHeight="1">
      <c r="A11" s="493"/>
      <c r="B11" s="14">
        <v>4</v>
      </c>
      <c r="C11" s="15" t="s">
        <v>221</v>
      </c>
      <c r="D11" s="16"/>
      <c r="E11" s="16"/>
      <c r="F11" s="17"/>
      <c r="G11" s="18" t="s">
        <v>294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17550</v>
      </c>
      <c r="P11" s="65"/>
      <c r="Q11" s="539"/>
      <c r="R11" s="540"/>
      <c r="S11" s="165">
        <f>N11*O11</f>
        <v>17550</v>
      </c>
      <c r="T11" s="166"/>
      <c r="U11" s="559"/>
      <c r="V11" s="560"/>
      <c r="W11" s="22"/>
      <c r="X11" s="23"/>
      <c r="Y11" s="545"/>
      <c r="Z11" s="561"/>
      <c r="AA11" s="547"/>
      <c r="AB11" s="548"/>
      <c r="AC11" s="13">
        <f t="shared" si="0"/>
        <v>19300</v>
      </c>
    </row>
    <row r="12" spans="1:30" ht="18.95" customHeight="1">
      <c r="A12" s="493"/>
      <c r="B12" s="14">
        <v>5</v>
      </c>
      <c r="C12" s="15" t="s">
        <v>222</v>
      </c>
      <c r="D12" s="16"/>
      <c r="E12" s="16"/>
      <c r="F12" s="17"/>
      <c r="G12" s="18" t="s">
        <v>295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4">
        <v>5400</v>
      </c>
      <c r="P12" s="65"/>
      <c r="Q12" s="539"/>
      <c r="R12" s="540"/>
      <c r="S12" s="165">
        <f>N12*O12</f>
        <v>5400</v>
      </c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0"/>
        <v>5900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39"/>
      <c r="R13" s="540"/>
      <c r="S13" s="165"/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0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13"/>
      <c r="I14" s="19"/>
      <c r="J14" s="19"/>
      <c r="K14" s="19"/>
      <c r="L14" s="20"/>
      <c r="M14" s="14"/>
      <c r="N14" s="21"/>
      <c r="O14" s="64"/>
      <c r="P14" s="65"/>
      <c r="Q14" s="539"/>
      <c r="R14" s="540"/>
      <c r="S14" s="165"/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0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/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/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/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/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/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/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3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81"/>
      <c r="P28" s="82"/>
      <c r="Q28" s="604">
        <f>SUM(Q8:R27)</f>
        <v>0</v>
      </c>
      <c r="R28" s="604"/>
      <c r="S28" s="605">
        <f>SUM(S8:T27)</f>
        <v>237790</v>
      </c>
      <c r="T28" s="606"/>
      <c r="U28" s="607">
        <f>SUM(U8:V27)</f>
        <v>0</v>
      </c>
      <c r="V28" s="608"/>
      <c r="W28" s="609"/>
      <c r="X28" s="610"/>
      <c r="Y28" s="611"/>
      <c r="Z28" s="610"/>
      <c r="AA28" s="612"/>
      <c r="AB28" s="613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237790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1</v>
      </c>
      <c r="R31" s="388"/>
      <c r="S31" s="389">
        <v>24000</v>
      </c>
      <c r="T31" s="389"/>
      <c r="U31" s="390">
        <f>S31*Q31</f>
        <v>24000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</v>
      </c>
      <c r="R32" s="315"/>
      <c r="S32" s="326">
        <v>24000</v>
      </c>
      <c r="T32" s="327"/>
      <c r="U32" s="328">
        <f>S32*Q32</f>
        <v>24000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237790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1</v>
      </c>
      <c r="R33" s="315"/>
      <c r="S33" s="326">
        <v>24000</v>
      </c>
      <c r="T33" s="327"/>
      <c r="U33" s="328">
        <f>S33*Q33</f>
        <v>24000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72000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7200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79200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316990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2377.9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72000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11880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13662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126339.8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471249.7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580" t="s">
        <v>71</v>
      </c>
      <c r="B48" s="207"/>
      <c r="C48" s="480" t="str">
        <f>C5</f>
        <v>CSP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">
        <v>63</v>
      </c>
      <c r="U48" s="473"/>
      <c r="V48" s="473"/>
      <c r="W48" s="473"/>
      <c r="X48" s="473"/>
      <c r="Y48" s="473"/>
      <c r="Z48" s="473"/>
      <c r="AA48" s="473"/>
      <c r="AB48" s="491"/>
      <c r="AD48" s="49"/>
      <c r="AF48" s="50"/>
      <c r="AG48" s="50"/>
    </row>
    <row r="49" spans="1:33" ht="22.5" customHeight="1" thickTop="1">
      <c r="A49" s="509" t="s">
        <v>73</v>
      </c>
      <c r="B49" s="500" t="s">
        <v>74</v>
      </c>
      <c r="C49" s="500" t="s">
        <v>75</v>
      </c>
      <c r="D49" s="500"/>
      <c r="E49" s="500"/>
      <c r="F49" s="500"/>
      <c r="G49" s="500" t="s">
        <v>76</v>
      </c>
      <c r="H49" s="500"/>
      <c r="I49" s="500"/>
      <c r="J49" s="500"/>
      <c r="K49" s="500"/>
      <c r="L49" s="500"/>
      <c r="M49" s="499" t="s">
        <v>77</v>
      </c>
      <c r="N49" s="499" t="s">
        <v>78</v>
      </c>
      <c r="O49" s="500" t="s">
        <v>79</v>
      </c>
      <c r="P49" s="501"/>
      <c r="Q49" s="502" t="s">
        <v>80</v>
      </c>
      <c r="R49" s="503"/>
      <c r="S49" s="503"/>
      <c r="T49" s="503"/>
      <c r="U49" s="503"/>
      <c r="V49" s="504"/>
      <c r="W49" s="232" t="s">
        <v>119</v>
      </c>
      <c r="X49" s="601"/>
      <c r="Y49" s="601"/>
      <c r="Z49" s="601"/>
      <c r="AA49" s="601"/>
      <c r="AB49" s="602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580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603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600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600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600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600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59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59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598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598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598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598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598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598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598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598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598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598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598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598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597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597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597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597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597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597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597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597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597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597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597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597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597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597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597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597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596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/>
      <c r="R87" s="496"/>
      <c r="S87" s="497"/>
      <c r="T87" s="497"/>
      <c r="U87" s="497"/>
      <c r="V87" s="498"/>
      <c r="W87" s="595"/>
      <c r="X87" s="589"/>
      <c r="Y87" s="590"/>
      <c r="Z87" s="591"/>
      <c r="AA87" s="590"/>
      <c r="AB87" s="59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88"/>
  <sheetViews>
    <sheetView showGridLines="0" zoomScale="85" zoomScaleNormal="85" workbookViewId="0">
      <selection activeCell="AD20" sqref="AD20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30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71</v>
      </c>
      <c r="B5" s="302"/>
      <c r="C5" s="480" t="s">
        <v>223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D6" s="655" t="s">
        <v>321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  <c r="AD7" s="654" t="s">
        <v>313</v>
      </c>
    </row>
    <row r="8" spans="1:30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296</v>
      </c>
      <c r="H8" s="8"/>
      <c r="I8" s="8"/>
      <c r="J8" s="8"/>
      <c r="K8" s="8"/>
      <c r="L8" s="9"/>
      <c r="M8" s="3" t="s">
        <v>85</v>
      </c>
      <c r="N8" s="85">
        <v>1</v>
      </c>
      <c r="O8" s="620">
        <v>1530000</v>
      </c>
      <c r="P8" s="621"/>
      <c r="Q8" s="562"/>
      <c r="R8" s="563"/>
      <c r="S8" s="214">
        <f t="shared" ref="S8:S13" si="0">N8*O8</f>
        <v>1530000</v>
      </c>
      <c r="T8" s="215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1683000</v>
      </c>
      <c r="AD8" s="654" t="s">
        <v>317</v>
      </c>
    </row>
    <row r="9" spans="1:30" ht="18.95" customHeight="1">
      <c r="A9" s="493"/>
      <c r="B9" s="14">
        <v>2</v>
      </c>
      <c r="C9" s="15" t="s">
        <v>193</v>
      </c>
      <c r="D9" s="16"/>
      <c r="E9" s="16"/>
      <c r="F9" s="17"/>
      <c r="G9" s="18" t="s">
        <v>289</v>
      </c>
      <c r="H9" s="19"/>
      <c r="I9" s="19"/>
      <c r="J9" s="19"/>
      <c r="K9" s="19"/>
      <c r="L9" s="20"/>
      <c r="M9" s="14" t="s">
        <v>85</v>
      </c>
      <c r="N9" s="21">
        <v>1</v>
      </c>
      <c r="O9" s="622">
        <v>1000000</v>
      </c>
      <c r="P9" s="623"/>
      <c r="Q9" s="539"/>
      <c r="R9" s="540"/>
      <c r="S9" s="581">
        <f t="shared" si="0"/>
        <v>1000000</v>
      </c>
      <c r="T9" s="582"/>
      <c r="U9" s="555"/>
      <c r="V9" s="556"/>
      <c r="W9" s="22"/>
      <c r="X9" s="23"/>
      <c r="Y9" s="545"/>
      <c r="Z9" s="546"/>
      <c r="AA9" s="557"/>
      <c r="AB9" s="558"/>
      <c r="AC9" s="13">
        <f t="shared" ref="AC9:AC72" si="1">ROUND(O9*1.1,-2)</f>
        <v>1100000</v>
      </c>
      <c r="AD9" s="654" t="s">
        <v>320</v>
      </c>
    </row>
    <row r="10" spans="1:30" ht="18.95" customHeight="1">
      <c r="A10" s="493"/>
      <c r="B10" s="14">
        <v>3</v>
      </c>
      <c r="C10" s="15" t="s">
        <v>194</v>
      </c>
      <c r="D10" s="16"/>
      <c r="E10" s="16"/>
      <c r="F10" s="17"/>
      <c r="G10" s="18" t="s">
        <v>280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v>189000</v>
      </c>
      <c r="P10" s="65"/>
      <c r="Q10" s="539"/>
      <c r="R10" s="540"/>
      <c r="S10" s="165">
        <f t="shared" si="0"/>
        <v>189000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207900</v>
      </c>
      <c r="AD10" s="654" t="s">
        <v>314</v>
      </c>
    </row>
    <row r="11" spans="1:30" ht="18.95" customHeight="1">
      <c r="A11" s="493"/>
      <c r="B11" s="14">
        <v>4</v>
      </c>
      <c r="C11" s="15" t="s">
        <v>195</v>
      </c>
      <c r="D11" s="16"/>
      <c r="E11" s="16"/>
      <c r="F11" s="17"/>
      <c r="G11" s="18" t="s">
        <v>309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131435</v>
      </c>
      <c r="P11" s="65"/>
      <c r="Q11" s="539"/>
      <c r="R11" s="540"/>
      <c r="S11" s="541">
        <f t="shared" si="0"/>
        <v>131435</v>
      </c>
      <c r="T11" s="542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144600</v>
      </c>
    </row>
    <row r="12" spans="1:30" ht="18.95" customHeight="1">
      <c r="A12" s="493"/>
      <c r="B12" s="14">
        <v>5</v>
      </c>
      <c r="C12" s="15" t="s">
        <v>218</v>
      </c>
      <c r="D12" s="16"/>
      <c r="E12" s="16"/>
      <c r="F12" s="17"/>
      <c r="G12" s="18" t="s">
        <v>283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4">
        <v>21735</v>
      </c>
      <c r="P12" s="65"/>
      <c r="Q12" s="539"/>
      <c r="R12" s="540"/>
      <c r="S12" s="165">
        <f t="shared" si="0"/>
        <v>21735</v>
      </c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23900</v>
      </c>
    </row>
    <row r="13" spans="1:30" ht="18.95" customHeight="1">
      <c r="A13" s="493"/>
      <c r="B13" s="14">
        <v>6</v>
      </c>
      <c r="C13" s="15" t="s">
        <v>224</v>
      </c>
      <c r="D13" s="16"/>
      <c r="E13" s="16"/>
      <c r="F13" s="17"/>
      <c r="G13" s="18" t="s">
        <v>297</v>
      </c>
      <c r="H13" s="19"/>
      <c r="I13" s="19"/>
      <c r="J13" s="19"/>
      <c r="K13" s="19"/>
      <c r="L13" s="20"/>
      <c r="M13" s="14" t="s">
        <v>85</v>
      </c>
      <c r="N13" s="21">
        <v>1</v>
      </c>
      <c r="O13" s="64">
        <v>24003</v>
      </c>
      <c r="P13" s="65"/>
      <c r="Q13" s="539"/>
      <c r="R13" s="540"/>
      <c r="S13" s="165">
        <f t="shared" si="0"/>
        <v>24003</v>
      </c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26400</v>
      </c>
    </row>
    <row r="14" spans="1:30" ht="18.95" customHeight="1">
      <c r="A14" s="493"/>
      <c r="B14" s="14">
        <v>7</v>
      </c>
      <c r="C14" s="15" t="s">
        <v>225</v>
      </c>
      <c r="D14" s="16"/>
      <c r="E14" s="16"/>
      <c r="F14" s="17"/>
      <c r="G14" s="18" t="s">
        <v>291</v>
      </c>
      <c r="H14" s="19"/>
      <c r="I14" s="19"/>
      <c r="J14" s="19"/>
      <c r="K14" s="19"/>
      <c r="L14" s="20"/>
      <c r="M14" s="14" t="s">
        <v>26</v>
      </c>
      <c r="N14" s="21">
        <v>6</v>
      </c>
      <c r="O14" s="64">
        <v>102600</v>
      </c>
      <c r="P14" s="65"/>
      <c r="Q14" s="539"/>
      <c r="R14" s="540"/>
      <c r="S14" s="165">
        <f t="shared" ref="S14" si="2">N14*O14</f>
        <v>615600</v>
      </c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112900</v>
      </c>
    </row>
    <row r="15" spans="1:30" ht="18.95" customHeight="1">
      <c r="A15" s="493"/>
      <c r="B15" s="14">
        <v>8</v>
      </c>
      <c r="C15" s="87" t="s">
        <v>226</v>
      </c>
      <c r="D15" s="16"/>
      <c r="E15" s="16"/>
      <c r="F15" s="17"/>
      <c r="G15" s="18" t="s">
        <v>287</v>
      </c>
      <c r="H15" s="19"/>
      <c r="I15" s="19"/>
      <c r="J15" s="19"/>
      <c r="K15" s="19"/>
      <c r="L15" s="20"/>
      <c r="M15" s="14" t="s">
        <v>227</v>
      </c>
      <c r="N15" s="21">
        <v>1</v>
      </c>
      <c r="O15" s="64">
        <v>110000</v>
      </c>
      <c r="P15" s="65"/>
      <c r="Q15" s="553"/>
      <c r="R15" s="554"/>
      <c r="S15" s="165">
        <f t="shared" ref="S15" si="3">N15*O15</f>
        <v>110000</v>
      </c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121000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1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1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1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1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1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1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  <c r="AC27" s="13">
        <f t="shared" si="1"/>
        <v>0</v>
      </c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3621773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  <c r="AC28" s="13">
        <f t="shared" si="1"/>
        <v>0</v>
      </c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  <c r="AC29" s="13">
        <f t="shared" si="1"/>
        <v>0</v>
      </c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  <c r="AC30" s="13">
        <f t="shared" si="1"/>
        <v>0</v>
      </c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3621773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7</v>
      </c>
      <c r="R31" s="388"/>
      <c r="S31" s="389">
        <v>24000</v>
      </c>
      <c r="T31" s="389"/>
      <c r="U31" s="390">
        <f>S31*Q31</f>
        <v>168000</v>
      </c>
      <c r="V31" s="391"/>
      <c r="W31" s="392"/>
      <c r="X31" s="393"/>
      <c r="Y31" s="394"/>
      <c r="Z31" s="394"/>
      <c r="AA31" s="352"/>
      <c r="AB31" s="353"/>
      <c r="AC31" s="13">
        <f t="shared" si="1"/>
        <v>0</v>
      </c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10</v>
      </c>
      <c r="R32" s="315"/>
      <c r="S32" s="326">
        <v>24000</v>
      </c>
      <c r="T32" s="327"/>
      <c r="U32" s="328">
        <f>S32*Q32</f>
        <v>240000</v>
      </c>
      <c r="V32" s="329"/>
      <c r="W32" s="346"/>
      <c r="X32" s="347"/>
      <c r="Y32" s="348"/>
      <c r="Z32" s="348"/>
      <c r="AA32" s="336"/>
      <c r="AB32" s="337"/>
      <c r="AC32" s="13">
        <f t="shared" si="1"/>
        <v>0</v>
      </c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3621773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4</v>
      </c>
      <c r="R33" s="315"/>
      <c r="S33" s="326">
        <v>24000</v>
      </c>
      <c r="T33" s="327"/>
      <c r="U33" s="328">
        <f>S33*Q33</f>
        <v>96000</v>
      </c>
      <c r="V33" s="329"/>
      <c r="W33" s="346"/>
      <c r="X33" s="347"/>
      <c r="Y33" s="348"/>
      <c r="Z33" s="348"/>
      <c r="AA33" s="336"/>
      <c r="AB33" s="337"/>
      <c r="AC33" s="13">
        <f t="shared" si="1"/>
        <v>0</v>
      </c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504000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  <c r="AC34" s="13">
        <f t="shared" si="1"/>
        <v>0</v>
      </c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50400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  <c r="AC35" s="13">
        <f t="shared" si="1"/>
        <v>0</v>
      </c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554400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  <c r="AC36" s="13">
        <f t="shared" si="1"/>
        <v>0</v>
      </c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4176173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  <c r="AC37" s="13">
        <f t="shared" si="1"/>
        <v>0</v>
      </c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36217.730000000003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504000</v>
      </c>
      <c r="V38" s="265"/>
      <c r="W38" s="266"/>
      <c r="X38" s="267"/>
      <c r="Y38" s="267"/>
      <c r="Z38" s="302"/>
      <c r="AA38" s="303"/>
      <c r="AB38" s="304"/>
      <c r="AC38" s="13">
        <f t="shared" si="1"/>
        <v>0</v>
      </c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83160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95634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203523.46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13">
        <f t="shared" si="1"/>
        <v>0</v>
      </c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4594708.1900000004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  <c r="AC44" s="13">
        <f t="shared" si="1"/>
        <v>0</v>
      </c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  <c r="AC45" s="13">
        <f t="shared" si="1"/>
        <v>0</v>
      </c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  <c r="AC46" s="13">
        <f t="shared" si="1"/>
        <v>0</v>
      </c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C47" s="13">
        <f t="shared" si="1"/>
        <v>0</v>
      </c>
      <c r="AD47" s="49"/>
      <c r="AF47" s="50"/>
      <c r="AG47" s="50"/>
    </row>
    <row r="48" spans="1:33" ht="33" customHeight="1" thickBot="1">
      <c r="A48" s="580" t="s">
        <v>71</v>
      </c>
      <c r="B48" s="207"/>
      <c r="C48" s="480" t="str">
        <f>C5</f>
        <v>CPO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">
        <v>63</v>
      </c>
      <c r="U48" s="473"/>
      <c r="V48" s="473"/>
      <c r="W48" s="473"/>
      <c r="X48" s="473"/>
      <c r="Y48" s="473"/>
      <c r="Z48" s="473"/>
      <c r="AA48" s="473"/>
      <c r="AB48" s="491"/>
      <c r="AC48" s="13">
        <f t="shared" si="1"/>
        <v>0</v>
      </c>
      <c r="AD48" s="49"/>
      <c r="AF48" s="50"/>
      <c r="AG48" s="50"/>
    </row>
    <row r="49" spans="1:33" ht="22.5" customHeight="1" thickTop="1">
      <c r="A49" s="509" t="s">
        <v>73</v>
      </c>
      <c r="B49" s="500" t="s">
        <v>74</v>
      </c>
      <c r="C49" s="500" t="s">
        <v>75</v>
      </c>
      <c r="D49" s="500"/>
      <c r="E49" s="500"/>
      <c r="F49" s="500"/>
      <c r="G49" s="500" t="s">
        <v>76</v>
      </c>
      <c r="H49" s="500"/>
      <c r="I49" s="500"/>
      <c r="J49" s="500"/>
      <c r="K49" s="500"/>
      <c r="L49" s="500"/>
      <c r="M49" s="499" t="s">
        <v>77</v>
      </c>
      <c r="N49" s="499" t="s">
        <v>78</v>
      </c>
      <c r="O49" s="500" t="s">
        <v>79</v>
      </c>
      <c r="P49" s="501"/>
      <c r="Q49" s="502" t="s">
        <v>80</v>
      </c>
      <c r="R49" s="503"/>
      <c r="S49" s="503"/>
      <c r="T49" s="503"/>
      <c r="U49" s="503"/>
      <c r="V49" s="504"/>
      <c r="W49" s="503" t="s">
        <v>119</v>
      </c>
      <c r="X49" s="503"/>
      <c r="Y49" s="503"/>
      <c r="Z49" s="503"/>
      <c r="AA49" s="503"/>
      <c r="AB49" s="504"/>
      <c r="AC49" s="13" t="e">
        <f t="shared" si="1"/>
        <v>#VALUE!</v>
      </c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C50" s="13">
        <f t="shared" si="1"/>
        <v>0</v>
      </c>
      <c r="AD50" s="49"/>
    </row>
    <row r="51" spans="1:33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C51" s="13">
        <f t="shared" si="1"/>
        <v>0</v>
      </c>
      <c r="AD51" s="49"/>
    </row>
    <row r="52" spans="1:33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C52" s="13">
        <f t="shared" si="1"/>
        <v>0</v>
      </c>
      <c r="AD52" s="49"/>
    </row>
    <row r="53" spans="1:33" ht="22.5" customHeight="1">
      <c r="A53" s="228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C53" s="13">
        <f t="shared" si="1"/>
        <v>0</v>
      </c>
      <c r="AD53" s="49"/>
    </row>
    <row r="54" spans="1:33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C54" s="13">
        <f t="shared" si="1"/>
        <v>0</v>
      </c>
      <c r="AD54" s="49"/>
    </row>
    <row r="55" spans="1:33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C55" s="13">
        <f t="shared" si="1"/>
        <v>0</v>
      </c>
      <c r="AD55" s="49"/>
    </row>
    <row r="56" spans="1:33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C56" s="13">
        <f t="shared" si="1"/>
        <v>0</v>
      </c>
      <c r="AD56" s="49"/>
    </row>
    <row r="57" spans="1:33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C57" s="13">
        <f t="shared" si="1"/>
        <v>0</v>
      </c>
      <c r="AD57" s="49"/>
    </row>
    <row r="58" spans="1:33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C58" s="13">
        <f t="shared" si="1"/>
        <v>0</v>
      </c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C59" s="13">
        <f t="shared" si="1"/>
        <v>0</v>
      </c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C60" s="13">
        <f t="shared" si="1"/>
        <v>0</v>
      </c>
      <c r="AD60" s="49"/>
    </row>
    <row r="61" spans="1:33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C61" s="13">
        <f t="shared" si="1"/>
        <v>0</v>
      </c>
      <c r="AD61" s="49"/>
    </row>
    <row r="62" spans="1:33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C62" s="13">
        <f t="shared" si="1"/>
        <v>0</v>
      </c>
      <c r="AD62" s="49"/>
    </row>
    <row r="63" spans="1:33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C63" s="13">
        <f t="shared" si="1"/>
        <v>0</v>
      </c>
      <c r="AD63" s="49"/>
    </row>
    <row r="64" spans="1:33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C64" s="13">
        <f t="shared" si="1"/>
        <v>0</v>
      </c>
      <c r="AD64" s="49"/>
    </row>
    <row r="65" spans="1:30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C65" s="13">
        <f t="shared" si="1"/>
        <v>0</v>
      </c>
      <c r="AD65" s="49"/>
    </row>
    <row r="66" spans="1:30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C66" s="13">
        <f t="shared" si="1"/>
        <v>0</v>
      </c>
      <c r="AD66" s="49"/>
    </row>
    <row r="67" spans="1:30" ht="22.5" customHeight="1">
      <c r="A67" s="228"/>
      <c r="B67" s="24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C67" s="13">
        <f t="shared" si="1"/>
        <v>0</v>
      </c>
      <c r="AD67" s="49"/>
    </row>
    <row r="68" spans="1:30" ht="22.5" customHeight="1">
      <c r="A68" s="228"/>
      <c r="B68" s="24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C68" s="13">
        <f t="shared" si="1"/>
        <v>0</v>
      </c>
      <c r="AD68" s="49"/>
    </row>
    <row r="69" spans="1:30" ht="22.5" customHeight="1">
      <c r="A69" s="228"/>
      <c r="B69" s="24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C69" s="13">
        <f t="shared" si="1"/>
        <v>0</v>
      </c>
      <c r="AD69" s="49"/>
    </row>
    <row r="70" spans="1:30" ht="22.5" customHeight="1">
      <c r="A70" s="228"/>
      <c r="B70" s="24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C70" s="13">
        <f t="shared" si="1"/>
        <v>0</v>
      </c>
      <c r="AD70" s="49"/>
    </row>
    <row r="71" spans="1:30" ht="22.5" customHeight="1">
      <c r="A71" s="228"/>
      <c r="B71" s="24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4"/>
      <c r="P71" s="65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C71" s="13">
        <f t="shared" si="1"/>
        <v>0</v>
      </c>
      <c r="AD71" s="49"/>
    </row>
    <row r="72" spans="1:30" ht="22.5" customHeight="1">
      <c r="A72" s="228"/>
      <c r="B72" s="24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4"/>
      <c r="P72" s="65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C72" s="13">
        <f t="shared" si="1"/>
        <v>0</v>
      </c>
      <c r="AD72" s="49"/>
    </row>
    <row r="73" spans="1:30" ht="22.5" customHeight="1">
      <c r="A73" s="228"/>
      <c r="B73" s="24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4"/>
      <c r="P73" s="65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C73" s="13">
        <f t="shared" ref="AC73:AC88" si="4">ROUND(O73*1.1,-2)</f>
        <v>0</v>
      </c>
      <c r="AD73" s="49"/>
    </row>
    <row r="74" spans="1:30" ht="22.5" customHeight="1">
      <c r="A74" s="228"/>
      <c r="B74" s="24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4"/>
      <c r="P74" s="65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C74" s="13">
        <f t="shared" si="4"/>
        <v>0</v>
      </c>
      <c r="AD74" s="49"/>
    </row>
    <row r="75" spans="1:30" ht="22.5" customHeight="1">
      <c r="A75" s="228"/>
      <c r="B75" s="24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4"/>
      <c r="P75" s="65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C75" s="13">
        <f t="shared" si="4"/>
        <v>0</v>
      </c>
      <c r="AD75" s="49"/>
    </row>
    <row r="76" spans="1:30" ht="22.5" customHeight="1">
      <c r="A76" s="228"/>
      <c r="B76" s="24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4"/>
      <c r="P76" s="65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C76" s="13">
        <f t="shared" si="4"/>
        <v>0</v>
      </c>
      <c r="AD76" s="49"/>
    </row>
    <row r="77" spans="1:30" ht="22.5" customHeight="1">
      <c r="A77" s="228"/>
      <c r="B77" s="24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4"/>
      <c r="P77" s="65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C77" s="13">
        <f t="shared" si="4"/>
        <v>0</v>
      </c>
      <c r="AD77" s="49"/>
    </row>
    <row r="78" spans="1:30" ht="22.5" customHeight="1">
      <c r="A78" s="228"/>
      <c r="B78" s="24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4"/>
      <c r="P78" s="65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C78" s="13">
        <f t="shared" si="4"/>
        <v>0</v>
      </c>
      <c r="AD78" s="49"/>
    </row>
    <row r="79" spans="1:30" ht="22.5" customHeight="1">
      <c r="A79" s="228"/>
      <c r="B79" s="24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4"/>
      <c r="P79" s="65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C79" s="13">
        <f t="shared" si="4"/>
        <v>0</v>
      </c>
      <c r="AD79" s="49"/>
    </row>
    <row r="80" spans="1:30" ht="22.5" customHeight="1">
      <c r="A80" s="228"/>
      <c r="B80" s="24">
        <v>50</v>
      </c>
      <c r="C80" s="15"/>
      <c r="D80" s="16"/>
      <c r="E80" s="16"/>
      <c r="F80" s="17"/>
      <c r="G80" s="18"/>
      <c r="H80" s="19"/>
      <c r="I80" s="19"/>
      <c r="J80" s="19"/>
      <c r="K80" s="19"/>
      <c r="L80" s="20"/>
      <c r="M80" s="14"/>
      <c r="N80" s="21"/>
      <c r="O80" s="64"/>
      <c r="P80" s="65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C80" s="13">
        <f t="shared" si="4"/>
        <v>0</v>
      </c>
      <c r="AD80" s="49"/>
    </row>
    <row r="81" spans="1:30" ht="22.5" customHeight="1">
      <c r="A81" s="228"/>
      <c r="B81" s="24">
        <v>51</v>
      </c>
      <c r="C81" s="15"/>
      <c r="D81" s="16"/>
      <c r="E81" s="16"/>
      <c r="F81" s="17"/>
      <c r="G81" s="18"/>
      <c r="H81" s="19"/>
      <c r="I81" s="19"/>
      <c r="J81" s="19"/>
      <c r="K81" s="19"/>
      <c r="L81" s="20"/>
      <c r="M81" s="14"/>
      <c r="N81" s="21"/>
      <c r="O81" s="64"/>
      <c r="P81" s="65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C81" s="13">
        <f t="shared" si="4"/>
        <v>0</v>
      </c>
      <c r="AD81" s="49"/>
    </row>
    <row r="82" spans="1:30" ht="22.5" customHeight="1">
      <c r="A82" s="228"/>
      <c r="B82" s="24">
        <v>52</v>
      </c>
      <c r="C82" s="15"/>
      <c r="D82" s="16"/>
      <c r="E82" s="16"/>
      <c r="F82" s="17"/>
      <c r="G82" s="18"/>
      <c r="H82" s="19"/>
      <c r="I82" s="19"/>
      <c r="J82" s="19"/>
      <c r="K82" s="19"/>
      <c r="L82" s="20"/>
      <c r="M82" s="14"/>
      <c r="N82" s="21"/>
      <c r="O82" s="64"/>
      <c r="P82" s="65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C82" s="13">
        <f t="shared" si="4"/>
        <v>0</v>
      </c>
      <c r="AD82" s="49"/>
    </row>
    <row r="83" spans="1:30" ht="22.5" customHeight="1">
      <c r="A83" s="228"/>
      <c r="B83" s="24">
        <v>53</v>
      </c>
      <c r="C83" s="15"/>
      <c r="D83" s="16"/>
      <c r="E83" s="16"/>
      <c r="F83" s="17"/>
      <c r="G83" s="18"/>
      <c r="H83" s="19"/>
      <c r="I83" s="19"/>
      <c r="J83" s="19"/>
      <c r="K83" s="19"/>
      <c r="L83" s="20"/>
      <c r="M83" s="14"/>
      <c r="N83" s="21"/>
      <c r="O83" s="64"/>
      <c r="P83" s="65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C83" s="13">
        <f t="shared" si="4"/>
        <v>0</v>
      </c>
      <c r="AD83" s="49"/>
    </row>
    <row r="84" spans="1:30" ht="22.5" customHeight="1">
      <c r="A84" s="228"/>
      <c r="B84" s="24">
        <v>54</v>
      </c>
      <c r="C84" s="15"/>
      <c r="D84" s="16"/>
      <c r="E84" s="16"/>
      <c r="F84" s="17"/>
      <c r="G84" s="18"/>
      <c r="H84" s="19"/>
      <c r="I84" s="19"/>
      <c r="J84" s="19"/>
      <c r="K84" s="19"/>
      <c r="L84" s="20"/>
      <c r="M84" s="14"/>
      <c r="N84" s="21"/>
      <c r="O84" s="64"/>
      <c r="P84" s="65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C84" s="13">
        <f t="shared" si="4"/>
        <v>0</v>
      </c>
      <c r="AD84" s="49"/>
    </row>
    <row r="85" spans="1:30" ht="22.5" customHeight="1">
      <c r="A85" s="228"/>
      <c r="B85" s="24">
        <v>55</v>
      </c>
      <c r="C85" s="15"/>
      <c r="D85" s="16"/>
      <c r="E85" s="16"/>
      <c r="F85" s="17"/>
      <c r="G85" s="18"/>
      <c r="H85" s="19"/>
      <c r="I85" s="19"/>
      <c r="J85" s="19"/>
      <c r="K85" s="19"/>
      <c r="L85" s="20"/>
      <c r="M85" s="14"/>
      <c r="N85" s="21"/>
      <c r="O85" s="64"/>
      <c r="P85" s="65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C85" s="13">
        <f t="shared" si="4"/>
        <v>0</v>
      </c>
      <c r="AD85" s="49"/>
    </row>
    <row r="86" spans="1:30" ht="22.5" customHeight="1">
      <c r="A86" s="228"/>
      <c r="B86" s="26">
        <v>56</v>
      </c>
      <c r="C86" s="27"/>
      <c r="D86" s="28"/>
      <c r="E86" s="28"/>
      <c r="F86" s="29"/>
      <c r="G86" s="30"/>
      <c r="H86" s="31"/>
      <c r="I86" s="31"/>
      <c r="J86" s="31"/>
      <c r="K86" s="31"/>
      <c r="L86" s="32"/>
      <c r="M86" s="33"/>
      <c r="N86" s="34"/>
      <c r="O86" s="72"/>
      <c r="P86" s="80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C86" s="13">
        <f t="shared" si="4"/>
        <v>0</v>
      </c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>
        <f>SUM(Q51:R66)</f>
        <v>0</v>
      </c>
      <c r="R87" s="496"/>
      <c r="S87" s="497">
        <f>SUM(S51:T86)</f>
        <v>0</v>
      </c>
      <c r="T87" s="497"/>
      <c r="U87" s="497">
        <f>SUM(U51:V65)</f>
        <v>0</v>
      </c>
      <c r="V87" s="498"/>
      <c r="W87" s="148"/>
      <c r="X87" s="149"/>
      <c r="Y87" s="150"/>
      <c r="Z87" s="151"/>
      <c r="AA87" s="148"/>
      <c r="AB87" s="152"/>
      <c r="AC87" s="13">
        <f t="shared" si="4"/>
        <v>0</v>
      </c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C88" s="13">
        <f t="shared" si="4"/>
        <v>0</v>
      </c>
      <c r="AD88" s="49"/>
    </row>
  </sheetData>
  <mergeCells count="522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U38:V38"/>
    <mergeCell ref="W38:X3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Q61:R61"/>
    <mergeCell ref="S61:T61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3:R63"/>
    <mergeCell ref="S63:T63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Q65:R65"/>
    <mergeCell ref="S65:T65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U70:V70"/>
    <mergeCell ref="W70:X70"/>
    <mergeCell ref="Y70:Z70"/>
    <mergeCell ref="AA70:AB70"/>
    <mergeCell ref="Q70:R70"/>
    <mergeCell ref="S70:T70"/>
    <mergeCell ref="Q73:R73"/>
    <mergeCell ref="S73:T73"/>
    <mergeCell ref="U73:V73"/>
    <mergeCell ref="W73:X73"/>
    <mergeCell ref="Y73:Z73"/>
    <mergeCell ref="AA73:AB73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U82:V82"/>
    <mergeCell ref="W82:X82"/>
    <mergeCell ref="Y82:Z82"/>
    <mergeCell ref="AA82:AB82"/>
    <mergeCell ref="AA83:AB83"/>
    <mergeCell ref="U87:V87"/>
    <mergeCell ref="W87:X87"/>
    <mergeCell ref="Y87:Z87"/>
    <mergeCell ref="AA87:AB87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S86:T86"/>
    <mergeCell ref="U86:V86"/>
    <mergeCell ref="W86:X86"/>
    <mergeCell ref="Y86:Z86"/>
    <mergeCell ref="AA86:AB86"/>
    <mergeCell ref="O8:P8"/>
    <mergeCell ref="O9:P9"/>
    <mergeCell ref="J88:S88"/>
    <mergeCell ref="A49:A87"/>
    <mergeCell ref="B49:B50"/>
    <mergeCell ref="C49:F50"/>
    <mergeCell ref="G49:L50"/>
    <mergeCell ref="M49:M50"/>
    <mergeCell ref="N49:N50"/>
    <mergeCell ref="Q87:R87"/>
    <mergeCell ref="S87:T87"/>
    <mergeCell ref="Q86:R86"/>
    <mergeCell ref="Q82:R82"/>
    <mergeCell ref="S82:T82"/>
    <mergeCell ref="Q80:R80"/>
    <mergeCell ref="S80:T80"/>
    <mergeCell ref="Q78:R78"/>
    <mergeCell ref="S78:T78"/>
    <mergeCell ref="Q76:R76"/>
    <mergeCell ref="S76:T76"/>
    <mergeCell ref="Q74:R74"/>
    <mergeCell ref="S74:T74"/>
    <mergeCell ref="Q72:R72"/>
    <mergeCell ref="S72:T72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88"/>
  <sheetViews>
    <sheetView showGridLines="0" workbookViewId="0">
      <selection activeCell="AC6" sqref="AC6"/>
    </sheetView>
  </sheetViews>
  <sheetFormatPr defaultColWidth="3.44140625"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17.88671875" style="1" bestFit="1" customWidth="1"/>
    <col min="30" max="255" width="8.88671875" style="1" customWidth="1"/>
    <col min="256" max="16384" width="3.44140625" style="1"/>
  </cols>
  <sheetData>
    <row r="1" spans="1:29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29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CPO!T2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29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29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29" ht="32.25" customHeight="1" thickBot="1">
      <c r="A5" s="266" t="s">
        <v>71</v>
      </c>
      <c r="B5" s="302"/>
      <c r="C5" s="480" t="s">
        <v>228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9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C6" s="655"/>
    </row>
    <row r="7" spans="1:29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654"/>
    </row>
    <row r="8" spans="1:29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296</v>
      </c>
      <c r="H8" s="8"/>
      <c r="I8" s="8"/>
      <c r="J8" s="8"/>
      <c r="K8" s="8"/>
      <c r="L8" s="9"/>
      <c r="M8" s="3" t="s">
        <v>85</v>
      </c>
      <c r="N8" s="85">
        <v>1</v>
      </c>
      <c r="O8" s="620">
        <v>1397250</v>
      </c>
      <c r="P8" s="621"/>
      <c r="Q8" s="562"/>
      <c r="R8" s="563"/>
      <c r="S8" s="214">
        <f>N8*O8</f>
        <v>1397250</v>
      </c>
      <c r="T8" s="215"/>
      <c r="U8" s="564"/>
      <c r="V8" s="565"/>
      <c r="W8" s="11"/>
      <c r="X8" s="12"/>
      <c r="Y8" s="566"/>
      <c r="Z8" s="567"/>
      <c r="AA8" s="568"/>
      <c r="AB8" s="569"/>
      <c r="AC8" s="654"/>
    </row>
    <row r="9" spans="1:29" ht="18.95" customHeight="1">
      <c r="A9" s="493"/>
      <c r="B9" s="14">
        <v>2</v>
      </c>
      <c r="C9" s="15" t="s">
        <v>193</v>
      </c>
      <c r="D9" s="16"/>
      <c r="E9" s="16"/>
      <c r="F9" s="17"/>
      <c r="G9" s="18" t="s">
        <v>289</v>
      </c>
      <c r="H9" s="19"/>
      <c r="I9" s="19"/>
      <c r="J9" s="19"/>
      <c r="K9" s="19"/>
      <c r="L9" s="20"/>
      <c r="M9" s="14" t="s">
        <v>85</v>
      </c>
      <c r="N9" s="21">
        <v>1</v>
      </c>
      <c r="O9" s="109">
        <v>1000000</v>
      </c>
      <c r="P9" s="110"/>
      <c r="Q9" s="553"/>
      <c r="R9" s="554"/>
      <c r="S9" s="581">
        <f>N9*O9</f>
        <v>1000000</v>
      </c>
      <c r="T9" s="582"/>
      <c r="U9" s="555"/>
      <c r="V9" s="556"/>
      <c r="W9" s="22"/>
      <c r="X9" s="23"/>
      <c r="Y9" s="545"/>
      <c r="Z9" s="546"/>
      <c r="AA9" s="557"/>
      <c r="AB9" s="558"/>
      <c r="AC9" s="654"/>
    </row>
    <row r="10" spans="1:29" ht="18.95" customHeight="1">
      <c r="A10" s="493"/>
      <c r="B10" s="14">
        <v>3</v>
      </c>
      <c r="C10" s="15" t="s">
        <v>194</v>
      </c>
      <c r="D10" s="16"/>
      <c r="E10" s="16"/>
      <c r="F10" s="17"/>
      <c r="G10" s="18" t="s">
        <v>280</v>
      </c>
      <c r="H10" s="19"/>
      <c r="I10" s="19"/>
      <c r="J10" s="19"/>
      <c r="K10" s="19"/>
      <c r="L10" s="20"/>
      <c r="M10" s="14" t="s">
        <v>26</v>
      </c>
      <c r="N10" s="21">
        <v>1</v>
      </c>
      <c r="O10" s="64">
        <v>216000</v>
      </c>
      <c r="P10" s="65"/>
      <c r="Q10" s="539"/>
      <c r="R10" s="540"/>
      <c r="S10" s="165">
        <f t="shared" ref="S10:S15" si="0">N10*O10</f>
        <v>216000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654"/>
    </row>
    <row r="11" spans="1:29" ht="18.95" customHeight="1">
      <c r="A11" s="493"/>
      <c r="B11" s="14">
        <v>4</v>
      </c>
      <c r="C11" s="15" t="s">
        <v>195</v>
      </c>
      <c r="D11" s="16"/>
      <c r="E11" s="16"/>
      <c r="F11" s="17"/>
      <c r="G11" s="18" t="s">
        <v>276</v>
      </c>
      <c r="H11" s="19"/>
      <c r="I11" s="19"/>
      <c r="J11" s="19"/>
      <c r="K11" s="19"/>
      <c r="L11" s="20"/>
      <c r="M11" s="14" t="s">
        <v>26</v>
      </c>
      <c r="N11" s="21">
        <v>1</v>
      </c>
      <c r="O11" s="64">
        <v>269657</v>
      </c>
      <c r="P11" s="65"/>
      <c r="Q11" s="539"/>
      <c r="R11" s="540"/>
      <c r="S11" s="165">
        <f t="shared" si="0"/>
        <v>269657</v>
      </c>
      <c r="T11" s="166"/>
      <c r="U11" s="559"/>
      <c r="V11" s="560"/>
      <c r="W11" s="22"/>
      <c r="X11" s="23"/>
      <c r="Y11" s="545"/>
      <c r="Z11" s="561"/>
      <c r="AA11" s="547"/>
      <c r="AB11" s="548"/>
    </row>
    <row r="12" spans="1:29" ht="18.95" customHeight="1">
      <c r="A12" s="493"/>
      <c r="B12" s="14">
        <v>5</v>
      </c>
      <c r="C12" s="15" t="s">
        <v>218</v>
      </c>
      <c r="D12" s="16"/>
      <c r="E12" s="16"/>
      <c r="F12" s="17"/>
      <c r="G12" s="18" t="s">
        <v>283</v>
      </c>
      <c r="H12" s="19"/>
      <c r="I12" s="19"/>
      <c r="J12" s="19"/>
      <c r="K12" s="19"/>
      <c r="L12" s="20"/>
      <c r="M12" s="14" t="s">
        <v>229</v>
      </c>
      <c r="N12" s="21">
        <v>1</v>
      </c>
      <c r="O12" s="64">
        <v>21735</v>
      </c>
      <c r="P12" s="65"/>
      <c r="Q12" s="539"/>
      <c r="R12" s="540"/>
      <c r="S12" s="165">
        <f t="shared" si="0"/>
        <v>21735</v>
      </c>
      <c r="T12" s="166"/>
      <c r="U12" s="559"/>
      <c r="V12" s="560"/>
      <c r="W12" s="22"/>
      <c r="X12" s="23"/>
      <c r="Y12" s="545"/>
      <c r="Z12" s="561"/>
      <c r="AA12" s="547"/>
      <c r="AB12" s="548"/>
    </row>
    <row r="13" spans="1:29" ht="18.95" customHeight="1">
      <c r="A13" s="493"/>
      <c r="B13" s="14">
        <v>6</v>
      </c>
      <c r="C13" s="15" t="s">
        <v>224</v>
      </c>
      <c r="D13" s="16"/>
      <c r="E13" s="16"/>
      <c r="F13" s="17"/>
      <c r="G13" s="18" t="s">
        <v>297</v>
      </c>
      <c r="H13" s="19"/>
      <c r="I13" s="19"/>
      <c r="J13" s="19"/>
      <c r="K13" s="19"/>
      <c r="L13" s="20"/>
      <c r="M13" s="14" t="s">
        <v>26</v>
      </c>
      <c r="N13" s="21">
        <v>1</v>
      </c>
      <c r="O13" s="64">
        <v>24003</v>
      </c>
      <c r="P13" s="65"/>
      <c r="Q13" s="539"/>
      <c r="R13" s="540"/>
      <c r="S13" s="165">
        <f t="shared" si="0"/>
        <v>24003</v>
      </c>
      <c r="T13" s="166"/>
      <c r="U13" s="559"/>
      <c r="V13" s="560"/>
      <c r="W13" s="22"/>
      <c r="X13" s="23"/>
      <c r="Y13" s="545"/>
      <c r="Z13" s="561"/>
      <c r="AA13" s="547"/>
      <c r="AB13" s="548"/>
    </row>
    <row r="14" spans="1:29" ht="18.95" customHeight="1">
      <c r="A14" s="493"/>
      <c r="B14" s="14">
        <v>7</v>
      </c>
      <c r="C14" s="15" t="s">
        <v>225</v>
      </c>
      <c r="D14" s="16"/>
      <c r="E14" s="16"/>
      <c r="F14" s="17"/>
      <c r="G14" s="18" t="s">
        <v>291</v>
      </c>
      <c r="H14" s="19"/>
      <c r="I14" s="19"/>
      <c r="J14" s="19"/>
      <c r="K14" s="19"/>
      <c r="L14" s="20"/>
      <c r="M14" s="14" t="s">
        <v>229</v>
      </c>
      <c r="N14" s="21">
        <v>1</v>
      </c>
      <c r="O14" s="64">
        <v>155250</v>
      </c>
      <c r="P14" s="65"/>
      <c r="Q14" s="539"/>
      <c r="R14" s="540"/>
      <c r="S14" s="165">
        <f t="shared" si="0"/>
        <v>155250</v>
      </c>
      <c r="T14" s="166"/>
      <c r="U14" s="559"/>
      <c r="V14" s="560"/>
      <c r="W14" s="22"/>
      <c r="X14" s="23"/>
      <c r="Y14" s="545"/>
      <c r="Z14" s="561"/>
      <c r="AA14" s="547"/>
      <c r="AB14" s="548"/>
    </row>
    <row r="15" spans="1:29" ht="18.95" customHeight="1">
      <c r="A15" s="493"/>
      <c r="B15" s="14">
        <v>8</v>
      </c>
      <c r="C15" s="87" t="s">
        <v>226</v>
      </c>
      <c r="D15" s="16"/>
      <c r="E15" s="16"/>
      <c r="F15" s="17"/>
      <c r="G15" s="18" t="s">
        <v>287</v>
      </c>
      <c r="H15" s="19"/>
      <c r="I15" s="19"/>
      <c r="J15" s="19"/>
      <c r="K15" s="19"/>
      <c r="L15" s="20"/>
      <c r="M15" s="14" t="s">
        <v>229</v>
      </c>
      <c r="N15" s="21">
        <v>1</v>
      </c>
      <c r="O15" s="64">
        <v>67500</v>
      </c>
      <c r="P15" s="65"/>
      <c r="Q15" s="553"/>
      <c r="R15" s="554"/>
      <c r="S15" s="165">
        <f t="shared" si="0"/>
        <v>67500</v>
      </c>
      <c r="T15" s="166"/>
      <c r="U15" s="559"/>
      <c r="V15" s="560"/>
      <c r="W15" s="22"/>
      <c r="X15" s="23"/>
      <c r="Y15" s="545"/>
      <c r="Z15" s="546"/>
      <c r="AA15" s="547"/>
      <c r="AB15" s="548"/>
    </row>
    <row r="16" spans="1:29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</row>
    <row r="17" spans="1:28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</row>
    <row r="18" spans="1:28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</row>
    <row r="19" spans="1:28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</row>
    <row r="20" spans="1:28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</row>
    <row r="21" spans="1:28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</row>
    <row r="22" spans="1:28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</row>
    <row r="23" spans="1:28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</row>
    <row r="24" spans="1:28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</row>
    <row r="25" spans="1:28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</row>
    <row r="26" spans="1:28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</row>
    <row r="27" spans="1:28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8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3151395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8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8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8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3151395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4</v>
      </c>
      <c r="R31" s="388"/>
      <c r="S31" s="389">
        <v>24000</v>
      </c>
      <c r="T31" s="389"/>
      <c r="U31" s="390">
        <f>S31*Q31</f>
        <v>96000</v>
      </c>
      <c r="V31" s="391"/>
      <c r="W31" s="392"/>
      <c r="X31" s="393"/>
      <c r="Y31" s="394"/>
      <c r="Z31" s="394"/>
      <c r="AA31" s="352"/>
      <c r="AB31" s="353"/>
    </row>
    <row r="32" spans="1:28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6</v>
      </c>
      <c r="R32" s="315"/>
      <c r="S32" s="326">
        <v>24000</v>
      </c>
      <c r="T32" s="327"/>
      <c r="U32" s="328">
        <f>S32*Q32</f>
        <v>144000</v>
      </c>
      <c r="V32" s="329"/>
      <c r="W32" s="346"/>
      <c r="X32" s="347"/>
      <c r="Y32" s="348"/>
      <c r="Z32" s="348"/>
      <c r="AA32" s="336"/>
      <c r="AB32" s="337"/>
    </row>
    <row r="33" spans="1:32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3151395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2</v>
      </c>
      <c r="R33" s="315"/>
      <c r="S33" s="326">
        <v>24000</v>
      </c>
      <c r="T33" s="327"/>
      <c r="U33" s="328">
        <f>S33*Q33</f>
        <v>48000</v>
      </c>
      <c r="V33" s="329"/>
      <c r="W33" s="346"/>
      <c r="X33" s="347"/>
      <c r="Y33" s="348"/>
      <c r="Z33" s="348"/>
      <c r="AA33" s="336"/>
      <c r="AB33" s="337"/>
    </row>
    <row r="34" spans="1:32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288000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2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28800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2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316800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2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3468195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2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31513.95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SUM(U31:V33)</f>
        <v>288000</v>
      </c>
      <c r="V38" s="265"/>
      <c r="W38" s="266"/>
      <c r="X38" s="267"/>
      <c r="Y38" s="267"/>
      <c r="Z38" s="302"/>
      <c r="AA38" s="303"/>
      <c r="AB38" s="304"/>
    </row>
    <row r="39" spans="1:32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47520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2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54648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2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2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</row>
    <row r="43" spans="1:32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189363.9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</row>
    <row r="44" spans="1:32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3791240.85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2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2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2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C47" s="49"/>
      <c r="AE47" s="50"/>
      <c r="AF47" s="50"/>
    </row>
    <row r="48" spans="1:32" ht="33" customHeight="1" thickBot="1">
      <c r="A48" s="580" t="s">
        <v>71</v>
      </c>
      <c r="B48" s="207"/>
      <c r="C48" s="480" t="str">
        <f>C5</f>
        <v>PEI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">
        <v>63</v>
      </c>
      <c r="U48" s="473"/>
      <c r="V48" s="473"/>
      <c r="W48" s="473"/>
      <c r="X48" s="473"/>
      <c r="Y48" s="473"/>
      <c r="Z48" s="473"/>
      <c r="AA48" s="473"/>
      <c r="AB48" s="491"/>
      <c r="AC48" s="49"/>
      <c r="AE48" s="50"/>
      <c r="AF48" s="50"/>
    </row>
    <row r="49" spans="1:32" ht="22.5" customHeight="1" thickTop="1">
      <c r="A49" s="509" t="s">
        <v>73</v>
      </c>
      <c r="B49" s="500" t="s">
        <v>74</v>
      </c>
      <c r="C49" s="500" t="s">
        <v>75</v>
      </c>
      <c r="D49" s="500"/>
      <c r="E49" s="500"/>
      <c r="F49" s="500"/>
      <c r="G49" s="500" t="s">
        <v>76</v>
      </c>
      <c r="H49" s="500"/>
      <c r="I49" s="500"/>
      <c r="J49" s="500"/>
      <c r="K49" s="500"/>
      <c r="L49" s="500"/>
      <c r="M49" s="499" t="s">
        <v>77</v>
      </c>
      <c r="N49" s="499" t="s">
        <v>78</v>
      </c>
      <c r="O49" s="500" t="s">
        <v>79</v>
      </c>
      <c r="P49" s="501"/>
      <c r="Q49" s="502" t="s">
        <v>80</v>
      </c>
      <c r="R49" s="503"/>
      <c r="S49" s="503"/>
      <c r="T49" s="503"/>
      <c r="U49" s="503"/>
      <c r="V49" s="504"/>
      <c r="W49" s="503" t="s">
        <v>119</v>
      </c>
      <c r="X49" s="503"/>
      <c r="Y49" s="503"/>
      <c r="Z49" s="503"/>
      <c r="AA49" s="503"/>
      <c r="AB49" s="504"/>
      <c r="AC49" s="49"/>
    </row>
    <row r="50" spans="1:32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C50" s="49"/>
    </row>
    <row r="51" spans="1:32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C51" s="49"/>
    </row>
    <row r="52" spans="1:32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C52" s="49"/>
    </row>
    <row r="53" spans="1:32" ht="22.5" customHeight="1">
      <c r="A53" s="228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C53" s="49"/>
    </row>
    <row r="54" spans="1:32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C54" s="49"/>
    </row>
    <row r="55" spans="1:32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C55" s="49"/>
    </row>
    <row r="56" spans="1:32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C56" s="49"/>
    </row>
    <row r="57" spans="1:32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C57" s="49"/>
    </row>
    <row r="58" spans="1:32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C58" s="49"/>
      <c r="AD58" s="177"/>
      <c r="AE58" s="178"/>
      <c r="AF58" s="178"/>
    </row>
    <row r="59" spans="1:32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C59" s="49"/>
      <c r="AD59" s="177"/>
      <c r="AE59" s="178"/>
      <c r="AF59" s="178"/>
    </row>
    <row r="60" spans="1:32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C60" s="49"/>
    </row>
    <row r="61" spans="1:32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C61" s="49"/>
    </row>
    <row r="62" spans="1:32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C62" s="49"/>
    </row>
    <row r="63" spans="1:32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C63" s="49"/>
    </row>
    <row r="64" spans="1:32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C64" s="49"/>
    </row>
    <row r="65" spans="1:29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C65" s="49"/>
    </row>
    <row r="66" spans="1:29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C66" s="49"/>
    </row>
    <row r="67" spans="1:29" ht="22.5" customHeight="1">
      <c r="A67" s="228"/>
      <c r="B67" s="24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C67" s="49"/>
    </row>
    <row r="68" spans="1:29" ht="22.5" customHeight="1">
      <c r="A68" s="228"/>
      <c r="B68" s="24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C68" s="49"/>
    </row>
    <row r="69" spans="1:29" ht="22.5" customHeight="1">
      <c r="A69" s="228"/>
      <c r="B69" s="24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C69" s="49"/>
    </row>
    <row r="70" spans="1:29" ht="22.5" customHeight="1">
      <c r="A70" s="228"/>
      <c r="B70" s="24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C70" s="49"/>
    </row>
    <row r="71" spans="1:29" ht="22.5" customHeight="1">
      <c r="A71" s="228"/>
      <c r="B71" s="24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4"/>
      <c r="P71" s="65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C71" s="49"/>
    </row>
    <row r="72" spans="1:29" ht="22.5" customHeight="1">
      <c r="A72" s="228"/>
      <c r="B72" s="24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4"/>
      <c r="P72" s="65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C72" s="49"/>
    </row>
    <row r="73" spans="1:29" ht="22.5" customHeight="1">
      <c r="A73" s="228"/>
      <c r="B73" s="24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4"/>
      <c r="P73" s="65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C73" s="49"/>
    </row>
    <row r="74" spans="1:29" ht="22.5" customHeight="1">
      <c r="A74" s="228"/>
      <c r="B74" s="24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4"/>
      <c r="P74" s="65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C74" s="49"/>
    </row>
    <row r="75" spans="1:29" ht="22.5" customHeight="1">
      <c r="A75" s="228"/>
      <c r="B75" s="24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4"/>
      <c r="P75" s="65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C75" s="49"/>
    </row>
    <row r="76" spans="1:29" ht="22.5" customHeight="1">
      <c r="A76" s="228"/>
      <c r="B76" s="24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4"/>
      <c r="P76" s="65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C76" s="49"/>
    </row>
    <row r="77" spans="1:29" ht="22.5" customHeight="1">
      <c r="A77" s="228"/>
      <c r="B77" s="24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4"/>
      <c r="P77" s="65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C77" s="49"/>
    </row>
    <row r="78" spans="1:29" ht="22.5" customHeight="1">
      <c r="A78" s="228"/>
      <c r="B78" s="24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4"/>
      <c r="P78" s="65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C78" s="49"/>
    </row>
    <row r="79" spans="1:29" ht="22.5" customHeight="1">
      <c r="A79" s="228"/>
      <c r="B79" s="24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4"/>
      <c r="P79" s="65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C79" s="49"/>
    </row>
    <row r="80" spans="1:29" ht="22.5" customHeight="1">
      <c r="A80" s="228"/>
      <c r="B80" s="24">
        <v>50</v>
      </c>
      <c r="C80" s="15"/>
      <c r="D80" s="16"/>
      <c r="E80" s="16"/>
      <c r="F80" s="17"/>
      <c r="G80" s="18"/>
      <c r="H80" s="19"/>
      <c r="I80" s="19"/>
      <c r="J80" s="19"/>
      <c r="K80" s="19"/>
      <c r="L80" s="20"/>
      <c r="M80" s="14"/>
      <c r="N80" s="21"/>
      <c r="O80" s="64"/>
      <c r="P80" s="65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C80" s="49"/>
    </row>
    <row r="81" spans="1:29" ht="22.5" customHeight="1">
      <c r="A81" s="228"/>
      <c r="B81" s="24">
        <v>51</v>
      </c>
      <c r="C81" s="15"/>
      <c r="D81" s="16"/>
      <c r="E81" s="16"/>
      <c r="F81" s="17"/>
      <c r="G81" s="18"/>
      <c r="H81" s="19"/>
      <c r="I81" s="19"/>
      <c r="J81" s="19"/>
      <c r="K81" s="19"/>
      <c r="L81" s="20"/>
      <c r="M81" s="14"/>
      <c r="N81" s="21"/>
      <c r="O81" s="64"/>
      <c r="P81" s="65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C81" s="49"/>
    </row>
    <row r="82" spans="1:29" ht="22.5" customHeight="1">
      <c r="A82" s="228"/>
      <c r="B82" s="24">
        <v>52</v>
      </c>
      <c r="C82" s="15"/>
      <c r="D82" s="16"/>
      <c r="E82" s="16"/>
      <c r="F82" s="17"/>
      <c r="G82" s="18"/>
      <c r="H82" s="19"/>
      <c r="I82" s="19"/>
      <c r="J82" s="19"/>
      <c r="K82" s="19"/>
      <c r="L82" s="20"/>
      <c r="M82" s="14"/>
      <c r="N82" s="21"/>
      <c r="O82" s="64"/>
      <c r="P82" s="65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C82" s="49"/>
    </row>
    <row r="83" spans="1:29" ht="22.5" customHeight="1">
      <c r="A83" s="228"/>
      <c r="B83" s="24">
        <v>53</v>
      </c>
      <c r="C83" s="15"/>
      <c r="D83" s="16"/>
      <c r="E83" s="16"/>
      <c r="F83" s="17"/>
      <c r="G83" s="18"/>
      <c r="H83" s="19"/>
      <c r="I83" s="19"/>
      <c r="J83" s="19"/>
      <c r="K83" s="19"/>
      <c r="L83" s="20"/>
      <c r="M83" s="14"/>
      <c r="N83" s="21"/>
      <c r="O83" s="64"/>
      <c r="P83" s="65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C83" s="49"/>
    </row>
    <row r="84" spans="1:29" ht="22.5" customHeight="1">
      <c r="A84" s="228"/>
      <c r="B84" s="24">
        <v>54</v>
      </c>
      <c r="C84" s="15"/>
      <c r="D84" s="16"/>
      <c r="E84" s="16"/>
      <c r="F84" s="17"/>
      <c r="G84" s="18"/>
      <c r="H84" s="19"/>
      <c r="I84" s="19"/>
      <c r="J84" s="19"/>
      <c r="K84" s="19"/>
      <c r="L84" s="20"/>
      <c r="M84" s="14"/>
      <c r="N84" s="21"/>
      <c r="O84" s="64"/>
      <c r="P84" s="65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C84" s="49"/>
    </row>
    <row r="85" spans="1:29" ht="22.5" customHeight="1">
      <c r="A85" s="228"/>
      <c r="B85" s="24">
        <v>55</v>
      </c>
      <c r="C85" s="15"/>
      <c r="D85" s="16"/>
      <c r="E85" s="16"/>
      <c r="F85" s="17"/>
      <c r="G85" s="18"/>
      <c r="H85" s="19"/>
      <c r="I85" s="19"/>
      <c r="J85" s="19"/>
      <c r="K85" s="19"/>
      <c r="L85" s="20"/>
      <c r="M85" s="14"/>
      <c r="N85" s="21"/>
      <c r="O85" s="64"/>
      <c r="P85" s="65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C85" s="49"/>
    </row>
    <row r="86" spans="1:29" ht="22.5" customHeight="1">
      <c r="A86" s="228"/>
      <c r="B86" s="26">
        <v>56</v>
      </c>
      <c r="C86" s="27"/>
      <c r="D86" s="28"/>
      <c r="E86" s="28"/>
      <c r="F86" s="29"/>
      <c r="G86" s="30"/>
      <c r="H86" s="31"/>
      <c r="I86" s="31"/>
      <c r="J86" s="31"/>
      <c r="K86" s="31"/>
      <c r="L86" s="32"/>
      <c r="M86" s="33"/>
      <c r="N86" s="34"/>
      <c r="O86" s="72"/>
      <c r="P86" s="80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C86" s="49"/>
    </row>
    <row r="87" spans="1:29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5">
        <f>SUM(Q51:R66)</f>
        <v>0</v>
      </c>
      <c r="R87" s="496"/>
      <c r="S87" s="497">
        <f>SUM(S51:T86)</f>
        <v>0</v>
      </c>
      <c r="T87" s="497"/>
      <c r="U87" s="497">
        <f>SUM(U51:V65)</f>
        <v>0</v>
      </c>
      <c r="V87" s="498"/>
      <c r="W87" s="148"/>
      <c r="X87" s="149"/>
      <c r="Y87" s="150"/>
      <c r="Z87" s="151"/>
      <c r="AA87" s="148"/>
      <c r="AB87" s="152"/>
      <c r="AC87" s="49"/>
    </row>
    <row r="88" spans="1:29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C88" s="49"/>
    </row>
  </sheetData>
  <mergeCells count="521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U38:V38"/>
    <mergeCell ref="W38:X3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Q60:R60"/>
    <mergeCell ref="S60:T60"/>
    <mergeCell ref="U60:V60"/>
    <mergeCell ref="W60:X60"/>
    <mergeCell ref="Y60:Z60"/>
    <mergeCell ref="AA60:AB60"/>
    <mergeCell ref="AD58:AF58"/>
    <mergeCell ref="Q59:R59"/>
    <mergeCell ref="S59:T59"/>
    <mergeCell ref="U59:V59"/>
    <mergeCell ref="W59:X59"/>
    <mergeCell ref="Y59:Z59"/>
    <mergeCell ref="AA59:AB59"/>
    <mergeCell ref="AD59:AF59"/>
    <mergeCell ref="Q58:R58"/>
    <mergeCell ref="S58:T58"/>
    <mergeCell ref="U58:V58"/>
    <mergeCell ref="W58:X58"/>
    <mergeCell ref="Y58:Z58"/>
    <mergeCell ref="AA58:AB58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S70:T70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S83:T83"/>
    <mergeCell ref="U83:V83"/>
    <mergeCell ref="W83:X83"/>
    <mergeCell ref="Y83:Z83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AA83:AB83"/>
    <mergeCell ref="Q83:R83"/>
    <mergeCell ref="U87:V87"/>
    <mergeCell ref="W87:X87"/>
    <mergeCell ref="Y87:Z87"/>
    <mergeCell ref="AA87:AB87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S86:T86"/>
    <mergeCell ref="U86:V86"/>
    <mergeCell ref="W86:X86"/>
    <mergeCell ref="Y86:Z86"/>
    <mergeCell ref="AA86:AB86"/>
    <mergeCell ref="O8:P8"/>
    <mergeCell ref="J88:S88"/>
    <mergeCell ref="A49:A87"/>
    <mergeCell ref="B49:B50"/>
    <mergeCell ref="C49:F50"/>
    <mergeCell ref="G49:L50"/>
    <mergeCell ref="M49:M50"/>
    <mergeCell ref="N49:N50"/>
    <mergeCell ref="Q87:R87"/>
    <mergeCell ref="S87:T87"/>
    <mergeCell ref="Q86:R86"/>
    <mergeCell ref="Q82:R82"/>
    <mergeCell ref="S82:T82"/>
    <mergeCell ref="Q80:R80"/>
    <mergeCell ref="S80:T80"/>
    <mergeCell ref="Q78:R78"/>
    <mergeCell ref="S78:T78"/>
    <mergeCell ref="Q76:R76"/>
    <mergeCell ref="S76:T76"/>
    <mergeCell ref="Q74:R74"/>
    <mergeCell ref="S74:T74"/>
    <mergeCell ref="Q72:R72"/>
    <mergeCell ref="S72:T72"/>
    <mergeCell ref="Q70:R70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AD16" sqref="AD16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3.88671875" style="1" customWidth="1"/>
    <col min="16" max="16" width="4" style="1" customWidth="1"/>
    <col min="17" max="17" width="3.44140625" style="1" customWidth="1"/>
    <col min="18" max="18" width="5.44140625" style="1" customWidth="1"/>
    <col min="19" max="19" width="3.5546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30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71</v>
      </c>
      <c r="B5" s="302"/>
      <c r="C5" s="480" t="s">
        <v>230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D6" s="113" t="s">
        <v>319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  <c r="AD7" s="654" t="s">
        <v>324</v>
      </c>
    </row>
    <row r="8" spans="1:30" ht="18.95" customHeight="1">
      <c r="A8" s="493"/>
      <c r="B8" s="3">
        <v>1</v>
      </c>
      <c r="C8" s="4" t="s">
        <v>194</v>
      </c>
      <c r="D8" s="5"/>
      <c r="E8" s="5"/>
      <c r="F8" s="6"/>
      <c r="G8" s="7" t="s">
        <v>280</v>
      </c>
      <c r="H8" s="8"/>
      <c r="I8" s="8"/>
      <c r="J8" s="8"/>
      <c r="K8" s="8"/>
      <c r="L8" s="9"/>
      <c r="M8" s="3" t="s">
        <v>85</v>
      </c>
      <c r="N8" s="10">
        <v>1</v>
      </c>
      <c r="O8" s="78">
        <v>67500</v>
      </c>
      <c r="P8" s="79"/>
      <c r="Q8" s="562"/>
      <c r="R8" s="563"/>
      <c r="S8" s="214">
        <f>N8*O8</f>
        <v>67500</v>
      </c>
      <c r="T8" s="215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74300</v>
      </c>
    </row>
    <row r="9" spans="1:30" ht="18.95" customHeight="1">
      <c r="A9" s="493"/>
      <c r="B9" s="14">
        <v>2</v>
      </c>
      <c r="C9" s="15" t="s">
        <v>192</v>
      </c>
      <c r="D9" s="16"/>
      <c r="E9" s="16"/>
      <c r="F9" s="17"/>
      <c r="G9" s="18" t="s">
        <v>298</v>
      </c>
      <c r="H9" s="19"/>
      <c r="I9" s="19"/>
      <c r="J9" s="19"/>
      <c r="K9" s="19"/>
      <c r="L9" s="20"/>
      <c r="M9" s="14" t="s">
        <v>85</v>
      </c>
      <c r="N9" s="21">
        <v>1</v>
      </c>
      <c r="O9" s="64">
        <v>47250</v>
      </c>
      <c r="P9" s="65"/>
      <c r="Q9" s="539"/>
      <c r="R9" s="540"/>
      <c r="S9" s="165">
        <f t="shared" ref="S9:S19" si="0">N9*O9</f>
        <v>47250</v>
      </c>
      <c r="T9" s="166"/>
      <c r="U9" s="555"/>
      <c r="V9" s="556"/>
      <c r="W9" s="22"/>
      <c r="X9" s="23"/>
      <c r="Y9" s="545"/>
      <c r="Z9" s="561"/>
      <c r="AA9" s="557"/>
      <c r="AB9" s="558"/>
      <c r="AC9" s="13">
        <f t="shared" ref="AC9:AC19" si="1">ROUND(O9*1.1,-2)</f>
        <v>52000</v>
      </c>
    </row>
    <row r="10" spans="1:30" ht="18.95" customHeight="1">
      <c r="A10" s="493"/>
      <c r="B10" s="14">
        <v>3</v>
      </c>
      <c r="C10" s="15" t="s">
        <v>323</v>
      </c>
      <c r="D10" s="16"/>
      <c r="E10" s="16"/>
      <c r="F10" s="17"/>
      <c r="G10" s="18" t="s">
        <v>299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v>26325</v>
      </c>
      <c r="P10" s="65"/>
      <c r="Q10" s="539"/>
      <c r="R10" s="540"/>
      <c r="S10" s="165">
        <f t="shared" si="0"/>
        <v>26325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29000</v>
      </c>
    </row>
    <row r="11" spans="1:30" ht="18.95" customHeight="1">
      <c r="A11" s="493"/>
      <c r="B11" s="14">
        <v>4</v>
      </c>
      <c r="C11" s="15" t="s">
        <v>224</v>
      </c>
      <c r="D11" s="16"/>
      <c r="E11" s="16"/>
      <c r="F11" s="17"/>
      <c r="G11" s="18" t="s">
        <v>297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21600</v>
      </c>
      <c r="P11" s="65"/>
      <c r="Q11" s="539"/>
      <c r="R11" s="540"/>
      <c r="S11" s="165">
        <f t="shared" si="0"/>
        <v>21600</v>
      </c>
      <c r="T11" s="166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23800</v>
      </c>
    </row>
    <row r="12" spans="1:30" ht="18.95" customHeight="1">
      <c r="A12" s="493"/>
      <c r="B12" s="14">
        <v>5</v>
      </c>
      <c r="C12" s="15" t="s">
        <v>226</v>
      </c>
      <c r="D12" s="16"/>
      <c r="E12" s="16"/>
      <c r="F12" s="17"/>
      <c r="G12" s="18" t="s">
        <v>287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4">
        <v>67500</v>
      </c>
      <c r="P12" s="65"/>
      <c r="Q12" s="539"/>
      <c r="R12" s="540"/>
      <c r="S12" s="165">
        <f t="shared" si="0"/>
        <v>67500</v>
      </c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74300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39"/>
      <c r="R13" s="540"/>
      <c r="S13" s="165">
        <f t="shared" si="0"/>
        <v>0</v>
      </c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13"/>
      <c r="I14" s="19"/>
      <c r="J14" s="19"/>
      <c r="K14" s="19"/>
      <c r="L14" s="20"/>
      <c r="M14" s="14"/>
      <c r="N14" s="21"/>
      <c r="O14" s="64"/>
      <c r="P14" s="65"/>
      <c r="Q14" s="539"/>
      <c r="R14" s="540"/>
      <c r="S14" s="165">
        <f t="shared" si="0"/>
        <v>0</v>
      </c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>
        <f t="shared" si="0"/>
        <v>0</v>
      </c>
      <c r="T15" s="166"/>
      <c r="U15" s="559"/>
      <c r="V15" s="560"/>
      <c r="W15" s="22"/>
      <c r="X15" s="23"/>
      <c r="Y15" s="545"/>
      <c r="Z15" s="561"/>
      <c r="AA15" s="547"/>
      <c r="AB15" s="548"/>
      <c r="AC15" s="13">
        <f t="shared" si="1"/>
        <v>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>
        <f t="shared" si="0"/>
        <v>0</v>
      </c>
      <c r="T16" s="166"/>
      <c r="U16" s="559"/>
      <c r="V16" s="560"/>
      <c r="W16" s="22"/>
      <c r="X16" s="23"/>
      <c r="Y16" s="545"/>
      <c r="Z16" s="561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>
        <f t="shared" si="0"/>
        <v>0</v>
      </c>
      <c r="T17" s="166"/>
      <c r="U17" s="559"/>
      <c r="V17" s="560"/>
      <c r="W17" s="22"/>
      <c r="X17" s="23"/>
      <c r="Y17" s="545"/>
      <c r="Z17" s="561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>
        <f t="shared" si="0"/>
        <v>0</v>
      </c>
      <c r="T18" s="166"/>
      <c r="U18" s="559"/>
      <c r="V18" s="560"/>
      <c r="W18" s="22"/>
      <c r="X18" s="23"/>
      <c r="Y18" s="545"/>
      <c r="Z18" s="561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>
        <f t="shared" si="0"/>
        <v>0</v>
      </c>
      <c r="T19" s="166"/>
      <c r="U19" s="559"/>
      <c r="V19" s="560"/>
      <c r="W19" s="22"/>
      <c r="X19" s="23"/>
      <c r="Y19" s="545"/>
      <c r="Z19" s="561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>
        <f t="shared" ref="S20:S27" si="2">N20*O20</f>
        <v>0</v>
      </c>
      <c r="T20" s="166"/>
      <c r="U20" s="559"/>
      <c r="V20" s="560"/>
      <c r="W20" s="22"/>
      <c r="X20" s="23"/>
      <c r="Y20" s="545"/>
      <c r="Z20" s="561"/>
      <c r="AA20" s="547"/>
      <c r="AB20" s="548"/>
      <c r="AC20" s="13"/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>
        <f t="shared" si="2"/>
        <v>0</v>
      </c>
      <c r="T21" s="166"/>
      <c r="U21" s="555"/>
      <c r="V21" s="556"/>
      <c r="W21" s="22"/>
      <c r="X21" s="23"/>
      <c r="Y21" s="545"/>
      <c r="Z21" s="561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>
        <f t="shared" si="2"/>
        <v>0</v>
      </c>
      <c r="T22" s="166"/>
      <c r="U22" s="543"/>
      <c r="V22" s="544"/>
      <c r="W22" s="22"/>
      <c r="X22" s="23"/>
      <c r="Y22" s="545"/>
      <c r="Z22" s="561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>
        <f t="shared" si="2"/>
        <v>0</v>
      </c>
      <c r="T23" s="166"/>
      <c r="U23" s="543"/>
      <c r="V23" s="544"/>
      <c r="W23" s="22"/>
      <c r="X23" s="23"/>
      <c r="Y23" s="545"/>
      <c r="Z23" s="561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>
        <f t="shared" si="2"/>
        <v>0</v>
      </c>
      <c r="T24" s="166"/>
      <c r="U24" s="543"/>
      <c r="V24" s="544"/>
      <c r="W24" s="22"/>
      <c r="X24" s="23"/>
      <c r="Y24" s="545"/>
      <c r="Z24" s="561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>
        <f t="shared" si="2"/>
        <v>0</v>
      </c>
      <c r="T25" s="166"/>
      <c r="U25" s="543"/>
      <c r="V25" s="544"/>
      <c r="W25" s="22"/>
      <c r="X25" s="23"/>
      <c r="Y25" s="545"/>
      <c r="Z25" s="561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>
        <f t="shared" si="2"/>
        <v>0</v>
      </c>
      <c r="T26" s="166"/>
      <c r="U26" s="543"/>
      <c r="V26" s="544"/>
      <c r="W26" s="551"/>
      <c r="X26" s="552"/>
      <c r="Y26" s="545"/>
      <c r="Z26" s="561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3"/>
      <c r="O27" s="83"/>
      <c r="P27" s="84"/>
      <c r="Q27" s="529"/>
      <c r="R27" s="530"/>
      <c r="S27" s="165">
        <f t="shared" si="2"/>
        <v>0</v>
      </c>
      <c r="T27" s="166"/>
      <c r="U27" s="543"/>
      <c r="V27" s="544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81"/>
      <c r="P28" s="82"/>
      <c r="Q28" s="604">
        <f>SUM(Q8:R27)</f>
        <v>0</v>
      </c>
      <c r="R28" s="604"/>
      <c r="S28" s="605">
        <f>SUM(S8:T27)</f>
        <v>230175</v>
      </c>
      <c r="T28" s="606"/>
      <c r="U28" s="607">
        <f>SUM(U8:V27)</f>
        <v>0</v>
      </c>
      <c r="V28" s="608"/>
      <c r="W28" s="609"/>
      <c r="X28" s="610"/>
      <c r="Y28" s="611"/>
      <c r="Z28" s="610"/>
      <c r="AA28" s="612"/>
      <c r="AB28" s="613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230175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1</v>
      </c>
      <c r="R31" s="388"/>
      <c r="S31" s="389">
        <v>24000</v>
      </c>
      <c r="T31" s="389"/>
      <c r="U31" s="390">
        <f>S31*Q31</f>
        <v>24000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</v>
      </c>
      <c r="R32" s="315"/>
      <c r="S32" s="326">
        <v>24000</v>
      </c>
      <c r="T32" s="327"/>
      <c r="U32" s="328">
        <f>S32*Q32</f>
        <v>24000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230175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1</v>
      </c>
      <c r="R33" s="315"/>
      <c r="S33" s="326">
        <v>24000</v>
      </c>
      <c r="T33" s="327"/>
      <c r="U33" s="328">
        <f>S33*Q33</f>
        <v>24000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72000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7200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79200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309375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2301.75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72000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11880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13662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126187.5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463406.25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510" t="s">
        <v>71</v>
      </c>
      <c r="B48" s="511"/>
      <c r="C48" s="480" t="str">
        <f>C5</f>
        <v>ISP</v>
      </c>
      <c r="D48" s="481"/>
      <c r="E48" s="481"/>
      <c r="F48" s="481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81" t="str">
        <f>T2</f>
        <v>2011  년    4 월    11 일</v>
      </c>
      <c r="U48" s="481"/>
      <c r="V48" s="481"/>
      <c r="W48" s="481"/>
      <c r="X48" s="481"/>
      <c r="Y48" s="481"/>
      <c r="Z48" s="481"/>
      <c r="AA48" s="481"/>
      <c r="AB48" s="512"/>
      <c r="AD48" s="49"/>
      <c r="AF48" s="50"/>
      <c r="AG48" s="50"/>
    </row>
    <row r="49" spans="1:33" ht="22.5" customHeight="1" thickTop="1">
      <c r="A49" s="509" t="s">
        <v>73</v>
      </c>
      <c r="B49" s="500" t="s">
        <v>74</v>
      </c>
      <c r="C49" s="500" t="s">
        <v>75</v>
      </c>
      <c r="D49" s="500"/>
      <c r="E49" s="500"/>
      <c r="F49" s="500"/>
      <c r="G49" s="500" t="s">
        <v>76</v>
      </c>
      <c r="H49" s="500"/>
      <c r="I49" s="500"/>
      <c r="J49" s="500"/>
      <c r="K49" s="500"/>
      <c r="L49" s="500"/>
      <c r="M49" s="499" t="s">
        <v>77</v>
      </c>
      <c r="N49" s="499" t="s">
        <v>78</v>
      </c>
      <c r="O49" s="500" t="s">
        <v>79</v>
      </c>
      <c r="P49" s="501"/>
      <c r="Q49" s="502" t="s">
        <v>80</v>
      </c>
      <c r="R49" s="503"/>
      <c r="S49" s="503"/>
      <c r="T49" s="503"/>
      <c r="U49" s="503"/>
      <c r="V49" s="504"/>
      <c r="W49" s="503" t="s">
        <v>119</v>
      </c>
      <c r="X49" s="503"/>
      <c r="Y49" s="503"/>
      <c r="Z49" s="503"/>
      <c r="AA49" s="503"/>
      <c r="AB49" s="504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566"/>
      <c r="Z51" s="567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545"/>
      <c r="Z52" s="561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545"/>
      <c r="Z53" s="561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545"/>
      <c r="Z54" s="561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545"/>
      <c r="Z55" s="561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545"/>
      <c r="Z56" s="561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545"/>
      <c r="Z57" s="561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545"/>
      <c r="Z58" s="561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545"/>
      <c r="Z59" s="561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>
        <f>SUM(S51:T86)</f>
        <v>0</v>
      </c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88"/>
  <sheetViews>
    <sheetView showGridLines="0" zoomScale="85" zoomScaleNormal="85" workbookViewId="0">
      <selection activeCell="AF10" sqref="AF10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30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71</v>
      </c>
      <c r="B5" s="302"/>
      <c r="C5" s="480" t="s">
        <v>231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D6" s="113" t="s">
        <v>319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  <c r="AD7" s="654"/>
    </row>
    <row r="8" spans="1:30" ht="18.95" customHeight="1">
      <c r="A8" s="493"/>
      <c r="B8" s="3">
        <v>1</v>
      </c>
      <c r="C8" s="4" t="s">
        <v>194</v>
      </c>
      <c r="D8" s="5"/>
      <c r="E8" s="5"/>
      <c r="F8" s="6"/>
      <c r="G8" s="7" t="s">
        <v>280</v>
      </c>
      <c r="H8" s="8"/>
      <c r="I8" s="8"/>
      <c r="J8" s="8"/>
      <c r="K8" s="8"/>
      <c r="L8" s="9"/>
      <c r="M8" s="3" t="s">
        <v>85</v>
      </c>
      <c r="N8" s="10">
        <v>1</v>
      </c>
      <c r="O8" s="78">
        <v>67500</v>
      </c>
      <c r="P8" s="79"/>
      <c r="Q8" s="562"/>
      <c r="R8" s="563"/>
      <c r="S8" s="214">
        <f>N8*O8</f>
        <v>67500</v>
      </c>
      <c r="T8" s="215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74300</v>
      </c>
    </row>
    <row r="9" spans="1:30" ht="18.95" customHeight="1">
      <c r="A9" s="493"/>
      <c r="B9" s="14">
        <v>2</v>
      </c>
      <c r="C9" s="15" t="s">
        <v>192</v>
      </c>
      <c r="D9" s="16"/>
      <c r="E9" s="16"/>
      <c r="F9" s="17"/>
      <c r="G9" s="18" t="s">
        <v>298</v>
      </c>
      <c r="H9" s="19"/>
      <c r="I9" s="19"/>
      <c r="J9" s="19"/>
      <c r="K9" s="19"/>
      <c r="L9" s="20"/>
      <c r="M9" s="14" t="s">
        <v>85</v>
      </c>
      <c r="N9" s="21">
        <v>1</v>
      </c>
      <c r="O9" s="64">
        <v>47250</v>
      </c>
      <c r="P9" s="65"/>
      <c r="Q9" s="539"/>
      <c r="R9" s="540"/>
      <c r="S9" s="165">
        <f t="shared" ref="S9:S16" si="0">N9*O9</f>
        <v>47250</v>
      </c>
      <c r="T9" s="166"/>
      <c r="U9" s="555"/>
      <c r="V9" s="556"/>
      <c r="W9" s="22"/>
      <c r="X9" s="23"/>
      <c r="Y9" s="545"/>
      <c r="Z9" s="546"/>
      <c r="AA9" s="557"/>
      <c r="AB9" s="558"/>
      <c r="AC9" s="13">
        <f t="shared" ref="AC9:AC20" si="1">ROUND(O9*1.1,-2)</f>
        <v>52000</v>
      </c>
    </row>
    <row r="10" spans="1:30" ht="18.95" customHeight="1">
      <c r="A10" s="493"/>
      <c r="B10" s="14">
        <v>3</v>
      </c>
      <c r="C10" s="15" t="s">
        <v>224</v>
      </c>
      <c r="D10" s="16"/>
      <c r="E10" s="16"/>
      <c r="F10" s="17"/>
      <c r="G10" s="18" t="s">
        <v>290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v>21600</v>
      </c>
      <c r="P10" s="65"/>
      <c r="Q10" s="539"/>
      <c r="R10" s="540"/>
      <c r="S10" s="165">
        <f t="shared" si="0"/>
        <v>21600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23800</v>
      </c>
    </row>
    <row r="11" spans="1:30" ht="18.95" customHeight="1">
      <c r="A11" s="493"/>
      <c r="B11" s="14">
        <v>4</v>
      </c>
      <c r="C11" s="15" t="s">
        <v>226</v>
      </c>
      <c r="D11" s="16"/>
      <c r="E11" s="16"/>
      <c r="F11" s="17"/>
      <c r="G11" s="18" t="s">
        <v>287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67500</v>
      </c>
      <c r="P11" s="65"/>
      <c r="Q11" s="539"/>
      <c r="R11" s="540"/>
      <c r="S11" s="165">
        <f t="shared" si="0"/>
        <v>67500</v>
      </c>
      <c r="T11" s="166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74300</v>
      </c>
    </row>
    <row r="12" spans="1:30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39"/>
      <c r="R12" s="540"/>
      <c r="S12" s="165">
        <f t="shared" si="0"/>
        <v>0</v>
      </c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13"/>
      <c r="I13" s="19"/>
      <c r="J13" s="19"/>
      <c r="K13" s="19"/>
      <c r="L13" s="20"/>
      <c r="M13" s="14"/>
      <c r="N13" s="21"/>
      <c r="O13" s="64"/>
      <c r="P13" s="65"/>
      <c r="Q13" s="539"/>
      <c r="R13" s="540"/>
      <c r="S13" s="165">
        <f t="shared" si="0"/>
        <v>0</v>
      </c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39"/>
      <c r="R14" s="540"/>
      <c r="S14" s="165">
        <f t="shared" si="0"/>
        <v>0</v>
      </c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>
        <f t="shared" si="0"/>
        <v>0</v>
      </c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>
        <f t="shared" si="0"/>
        <v>0</v>
      </c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>
        <f>N17*O17</f>
        <v>0</v>
      </c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3"/>
      <c r="O27" s="83"/>
      <c r="P27" s="84"/>
      <c r="Q27" s="529"/>
      <c r="R27" s="530"/>
      <c r="S27" s="165"/>
      <c r="T27" s="166"/>
      <c r="U27" s="543"/>
      <c r="V27" s="544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81"/>
      <c r="P28" s="82"/>
      <c r="Q28" s="604">
        <f>SUM(Q8:R27)</f>
        <v>0</v>
      </c>
      <c r="R28" s="604"/>
      <c r="S28" s="605">
        <f>SUM(S8:T27)</f>
        <v>203850</v>
      </c>
      <c r="T28" s="606"/>
      <c r="U28" s="607">
        <f>SUM(U8:V27)</f>
        <v>0</v>
      </c>
      <c r="V28" s="608"/>
      <c r="W28" s="609"/>
      <c r="X28" s="610"/>
      <c r="Y28" s="611"/>
      <c r="Z28" s="610"/>
      <c r="AA28" s="612"/>
      <c r="AB28" s="613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203850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1</v>
      </c>
      <c r="R31" s="388"/>
      <c r="S31" s="389">
        <v>24000</v>
      </c>
      <c r="T31" s="389"/>
      <c r="U31" s="390">
        <f>S31*Q31</f>
        <v>24000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</v>
      </c>
      <c r="R32" s="315"/>
      <c r="S32" s="326">
        <v>24000</v>
      </c>
      <c r="T32" s="327"/>
      <c r="U32" s="328">
        <f>S32*Q32</f>
        <v>24000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203850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1</v>
      </c>
      <c r="R33" s="315"/>
      <c r="S33" s="326">
        <v>24000</v>
      </c>
      <c r="T33" s="327"/>
      <c r="U33" s="328">
        <f>S33*Q33</f>
        <v>24000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72000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7200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79200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283050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2038.5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72000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11880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13662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125661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436291.5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232" t="s">
        <v>71</v>
      </c>
      <c r="B48" s="233"/>
      <c r="C48" s="234" t="str">
        <f>C5</f>
        <v>ESP</v>
      </c>
      <c r="D48" s="235"/>
      <c r="E48" s="235"/>
      <c r="F48" s="235"/>
      <c r="G48" s="235"/>
      <c r="H48" s="235"/>
      <c r="I48" s="235"/>
      <c r="J48" s="246"/>
      <c r="K48" s="247"/>
      <c r="L48" s="247"/>
      <c r="M48" s="247"/>
      <c r="N48" s="247"/>
      <c r="O48" s="247"/>
      <c r="P48" s="247"/>
      <c r="Q48" s="247"/>
      <c r="R48" s="247"/>
      <c r="S48" s="248"/>
      <c r="T48" s="235" t="s">
        <v>63</v>
      </c>
      <c r="U48" s="235"/>
      <c r="V48" s="235"/>
      <c r="W48" s="235"/>
      <c r="X48" s="235"/>
      <c r="Y48" s="235"/>
      <c r="Z48" s="235"/>
      <c r="AA48" s="235"/>
      <c r="AB48" s="236"/>
      <c r="AD48" s="49"/>
      <c r="AF48" s="50"/>
      <c r="AG48" s="50"/>
    </row>
    <row r="49" spans="1:33" ht="22.5" customHeight="1" thickTop="1">
      <c r="A49" s="227" t="s">
        <v>73</v>
      </c>
      <c r="B49" s="200" t="s">
        <v>74</v>
      </c>
      <c r="C49" s="200" t="s">
        <v>75</v>
      </c>
      <c r="D49" s="200"/>
      <c r="E49" s="200"/>
      <c r="F49" s="200"/>
      <c r="G49" s="200" t="s">
        <v>76</v>
      </c>
      <c r="H49" s="200"/>
      <c r="I49" s="200"/>
      <c r="J49" s="200"/>
      <c r="K49" s="200"/>
      <c r="L49" s="200"/>
      <c r="M49" s="195" t="s">
        <v>77</v>
      </c>
      <c r="N49" s="195" t="s">
        <v>78</v>
      </c>
      <c r="O49" s="200" t="s">
        <v>79</v>
      </c>
      <c r="P49" s="201"/>
      <c r="Q49" s="203" t="s">
        <v>80</v>
      </c>
      <c r="R49" s="204"/>
      <c r="S49" s="204"/>
      <c r="T49" s="204"/>
      <c r="U49" s="204"/>
      <c r="V49" s="205"/>
      <c r="W49" s="204" t="s">
        <v>119</v>
      </c>
      <c r="X49" s="204"/>
      <c r="Y49" s="204"/>
      <c r="Z49" s="204"/>
      <c r="AA49" s="204"/>
      <c r="AB49" s="205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2" sqref="G12"/>
    </sheetView>
  </sheetViews>
  <sheetFormatPr defaultRowHeight="14.25"/>
  <cols>
    <col min="1" max="2" width="3.44140625" style="1" customWidth="1"/>
    <col min="3" max="6" width="3.33203125" style="1" customWidth="1"/>
    <col min="7" max="13" width="3.44140625" style="1" customWidth="1"/>
    <col min="14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484" t="s">
        <v>58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59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29" ht="33" customHeight="1" thickBot="1">
      <c r="A2" s="490" t="s">
        <v>62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29" ht="18" customHeight="1" thickTop="1">
      <c r="A3" s="471" t="s">
        <v>64</v>
      </c>
      <c r="B3" s="466"/>
      <c r="C3" s="234"/>
      <c r="D3" s="235"/>
      <c r="E3" s="235"/>
      <c r="F3" s="235"/>
      <c r="G3" s="235"/>
      <c r="H3" s="235"/>
      <c r="I3" s="576"/>
      <c r="J3" s="475" t="s">
        <v>65</v>
      </c>
      <c r="K3" s="463"/>
      <c r="L3" s="463"/>
      <c r="M3" s="476"/>
      <c r="N3" s="570">
        <v>50</v>
      </c>
      <c r="O3" s="571"/>
      <c r="P3" s="571"/>
      <c r="Q3" s="571"/>
      <c r="R3" s="571"/>
      <c r="S3" s="572"/>
      <c r="T3" s="477" t="s">
        <v>66</v>
      </c>
      <c r="U3" s="466" t="s">
        <v>67</v>
      </c>
      <c r="V3" s="466"/>
      <c r="W3" s="466" t="s">
        <v>68</v>
      </c>
      <c r="X3" s="466"/>
      <c r="Y3" s="466" t="s">
        <v>69</v>
      </c>
      <c r="Z3" s="466"/>
      <c r="AA3" s="466" t="s">
        <v>70</v>
      </c>
      <c r="AB3" s="469"/>
    </row>
    <row r="4" spans="1:29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573"/>
      <c r="O4" s="574"/>
      <c r="P4" s="574"/>
      <c r="Q4" s="574"/>
      <c r="R4" s="574"/>
      <c r="S4" s="575"/>
      <c r="T4" s="478"/>
      <c r="U4" s="466"/>
      <c r="V4" s="466"/>
      <c r="W4" s="466"/>
      <c r="X4" s="466"/>
      <c r="Y4" s="466"/>
      <c r="Z4" s="466"/>
      <c r="AA4" s="466"/>
      <c r="AB4" s="469"/>
    </row>
    <row r="5" spans="1:29" ht="32.25" customHeight="1" thickBot="1">
      <c r="A5" s="266" t="s">
        <v>71</v>
      </c>
      <c r="B5" s="302"/>
      <c r="C5" s="480" t="s">
        <v>233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9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</row>
    <row r="7" spans="1:29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</row>
    <row r="8" spans="1:29" ht="18.95" customHeight="1">
      <c r="A8" s="493"/>
      <c r="B8" s="3">
        <v>1</v>
      </c>
      <c r="C8" s="4" t="s">
        <v>194</v>
      </c>
      <c r="D8" s="5"/>
      <c r="E8" s="5"/>
      <c r="F8" s="6"/>
      <c r="G8" s="7" t="s">
        <v>280</v>
      </c>
      <c r="H8" s="8"/>
      <c r="I8" s="8"/>
      <c r="J8" s="8"/>
      <c r="K8" s="8"/>
      <c r="L8" s="9"/>
      <c r="M8" s="3" t="s">
        <v>85</v>
      </c>
      <c r="N8" s="7">
        <v>1</v>
      </c>
      <c r="O8" s="78">
        <v>14850</v>
      </c>
      <c r="P8" s="79"/>
      <c r="Q8" s="562"/>
      <c r="R8" s="563"/>
      <c r="S8" s="214">
        <f>N8*O8</f>
        <v>14850</v>
      </c>
      <c r="T8" s="215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16300</v>
      </c>
    </row>
    <row r="9" spans="1:29" ht="18.95" customHeight="1">
      <c r="A9" s="493"/>
      <c r="B9" s="14">
        <v>2</v>
      </c>
      <c r="C9" s="15" t="s">
        <v>192</v>
      </c>
      <c r="D9" s="16"/>
      <c r="E9" s="16"/>
      <c r="F9" s="17"/>
      <c r="G9" s="18" t="s">
        <v>298</v>
      </c>
      <c r="H9" s="19"/>
      <c r="I9" s="19"/>
      <c r="J9" s="19"/>
      <c r="K9" s="19"/>
      <c r="L9" s="20"/>
      <c r="M9" s="14" t="s">
        <v>85</v>
      </c>
      <c r="N9" s="18">
        <v>1</v>
      </c>
      <c r="O9" s="64">
        <v>47250</v>
      </c>
      <c r="P9" s="65"/>
      <c r="Q9" s="539"/>
      <c r="R9" s="540"/>
      <c r="S9" s="165">
        <f>N9*O9</f>
        <v>47250</v>
      </c>
      <c r="T9" s="166"/>
      <c r="U9" s="555"/>
      <c r="V9" s="556"/>
      <c r="W9" s="22"/>
      <c r="X9" s="23"/>
      <c r="Y9" s="545"/>
      <c r="Z9" s="546"/>
      <c r="AA9" s="557"/>
      <c r="AB9" s="558"/>
      <c r="AC9" s="13">
        <f t="shared" ref="AC9:AC19" si="0">ROUND(O9*1.1,-2)</f>
        <v>52000</v>
      </c>
    </row>
    <row r="10" spans="1:29" ht="18.95" customHeight="1">
      <c r="A10" s="493"/>
      <c r="B10" s="14">
        <v>3</v>
      </c>
      <c r="C10" s="15" t="s">
        <v>232</v>
      </c>
      <c r="D10" s="16"/>
      <c r="E10" s="16"/>
      <c r="F10" s="17"/>
      <c r="G10" s="18" t="s">
        <v>299</v>
      </c>
      <c r="H10" s="19"/>
      <c r="I10" s="19"/>
      <c r="J10" s="19"/>
      <c r="K10" s="19"/>
      <c r="L10" s="20"/>
      <c r="M10" s="14" t="s">
        <v>26</v>
      </c>
      <c r="N10" s="18">
        <v>1</v>
      </c>
      <c r="O10" s="64">
        <v>26325</v>
      </c>
      <c r="P10" s="65"/>
      <c r="Q10" s="539"/>
      <c r="R10" s="540"/>
      <c r="S10" s="165">
        <f>N10*O10</f>
        <v>26325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13">
        <f t="shared" si="0"/>
        <v>29000</v>
      </c>
    </row>
    <row r="11" spans="1:29" ht="18.95" customHeight="1">
      <c r="A11" s="493"/>
      <c r="B11" s="14">
        <v>4</v>
      </c>
      <c r="C11" s="15" t="s">
        <v>226</v>
      </c>
      <c r="D11" s="100"/>
      <c r="E11" s="100"/>
      <c r="F11" s="101"/>
      <c r="G11" s="18" t="s">
        <v>287</v>
      </c>
      <c r="H11" s="19"/>
      <c r="I11" s="19"/>
      <c r="J11" s="19"/>
      <c r="K11" s="19"/>
      <c r="L11" s="20"/>
      <c r="M11" s="14" t="s">
        <v>26</v>
      </c>
      <c r="N11" s="18">
        <v>1</v>
      </c>
      <c r="O11" s="64">
        <v>67500</v>
      </c>
      <c r="P11" s="65"/>
      <c r="Q11" s="539"/>
      <c r="R11" s="540"/>
      <c r="S11" s="541">
        <f>N11*O11</f>
        <v>67500</v>
      </c>
      <c r="T11" s="542"/>
      <c r="U11" s="559"/>
      <c r="V11" s="560"/>
      <c r="W11" s="22"/>
      <c r="X11" s="23"/>
      <c r="Y11" s="545"/>
      <c r="Z11" s="561"/>
      <c r="AA11" s="547"/>
      <c r="AB11" s="548"/>
      <c r="AC11" s="13">
        <f t="shared" si="0"/>
        <v>74300</v>
      </c>
    </row>
    <row r="12" spans="1:29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39"/>
      <c r="R12" s="540"/>
      <c r="S12" s="165"/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0"/>
        <v>0</v>
      </c>
    </row>
    <row r="13" spans="1:29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39"/>
      <c r="R13" s="540"/>
      <c r="S13" s="165"/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0"/>
        <v>0</v>
      </c>
    </row>
    <row r="14" spans="1:29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39"/>
      <c r="R14" s="540"/>
      <c r="S14" s="165"/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0"/>
        <v>0</v>
      </c>
    </row>
    <row r="15" spans="1:29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0"/>
        <v>0</v>
      </c>
    </row>
    <row r="16" spans="1:29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0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0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0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0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/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155925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155925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1</v>
      </c>
      <c r="R31" s="388"/>
      <c r="S31" s="389">
        <v>24000</v>
      </c>
      <c r="T31" s="389"/>
      <c r="U31" s="390">
        <f>S31*Q31</f>
        <v>24000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</v>
      </c>
      <c r="R32" s="315"/>
      <c r="S32" s="326">
        <v>24000</v>
      </c>
      <c r="T32" s="327"/>
      <c r="U32" s="328">
        <f>S32*Q32</f>
        <v>24000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155925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1</v>
      </c>
      <c r="R33" s="315"/>
      <c r="S33" s="326">
        <v>24000</v>
      </c>
      <c r="T33" s="327"/>
      <c r="U33" s="328">
        <f>S33*Q33</f>
        <v>24000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72000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7200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79200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235125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1559.25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72000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11880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13662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124702.5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386928.75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232" t="s">
        <v>71</v>
      </c>
      <c r="B48" s="233"/>
      <c r="C48" s="234" t="str">
        <f>C5</f>
        <v>TRF1</v>
      </c>
      <c r="D48" s="235"/>
      <c r="E48" s="235"/>
      <c r="F48" s="235"/>
      <c r="G48" s="235"/>
      <c r="H48" s="235"/>
      <c r="I48" s="235"/>
      <c r="J48" s="246"/>
      <c r="K48" s="247"/>
      <c r="L48" s="247"/>
      <c r="M48" s="247"/>
      <c r="N48" s="247"/>
      <c r="O48" s="247"/>
      <c r="P48" s="247"/>
      <c r="Q48" s="247"/>
      <c r="R48" s="247"/>
      <c r="S48" s="248"/>
      <c r="T48" s="235" t="s">
        <v>63</v>
      </c>
      <c r="U48" s="235"/>
      <c r="V48" s="235"/>
      <c r="W48" s="235"/>
      <c r="X48" s="235"/>
      <c r="Y48" s="235"/>
      <c r="Z48" s="235"/>
      <c r="AA48" s="235"/>
      <c r="AB48" s="236"/>
      <c r="AD48" s="49"/>
      <c r="AF48" s="50"/>
      <c r="AG48" s="50"/>
    </row>
    <row r="49" spans="1:33" ht="22.5" customHeight="1" thickTop="1">
      <c r="A49" s="227" t="s">
        <v>73</v>
      </c>
      <c r="B49" s="200" t="s">
        <v>74</v>
      </c>
      <c r="C49" s="200" t="s">
        <v>75</v>
      </c>
      <c r="D49" s="200"/>
      <c r="E49" s="200"/>
      <c r="F49" s="200"/>
      <c r="G49" s="200" t="s">
        <v>76</v>
      </c>
      <c r="H49" s="200"/>
      <c r="I49" s="200"/>
      <c r="J49" s="200"/>
      <c r="K49" s="200"/>
      <c r="L49" s="200"/>
      <c r="M49" s="195" t="s">
        <v>77</v>
      </c>
      <c r="N49" s="195" t="s">
        <v>78</v>
      </c>
      <c r="O49" s="200" t="s">
        <v>79</v>
      </c>
      <c r="P49" s="201"/>
      <c r="Q49" s="203" t="s">
        <v>80</v>
      </c>
      <c r="R49" s="204"/>
      <c r="S49" s="204"/>
      <c r="T49" s="204"/>
      <c r="U49" s="204"/>
      <c r="V49" s="205"/>
      <c r="W49" s="204" t="s">
        <v>119</v>
      </c>
      <c r="X49" s="204"/>
      <c r="Y49" s="204"/>
      <c r="Z49" s="204"/>
      <c r="AA49" s="204"/>
      <c r="AB49" s="205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1" sqref="G11"/>
    </sheetView>
  </sheetViews>
  <sheetFormatPr defaultRowHeight="14.25"/>
  <cols>
    <col min="1" max="2" width="3.44140625" style="1" customWidth="1"/>
    <col min="3" max="6" width="3.33203125" style="1" customWidth="1"/>
    <col min="7" max="13" width="3.44140625" style="1" customWidth="1"/>
    <col min="14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484" t="s">
        <v>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</v>
      </c>
      <c r="U1" s="251"/>
      <c r="V1" s="251"/>
      <c r="W1" s="251"/>
      <c r="X1" s="250" t="s">
        <v>3</v>
      </c>
      <c r="Y1" s="251"/>
      <c r="Z1" s="251"/>
      <c r="AA1" s="251"/>
      <c r="AB1" s="252"/>
    </row>
    <row r="2" spans="1:29" ht="33" customHeight="1" thickBot="1">
      <c r="A2" s="490" t="s">
        <v>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29" ht="18" customHeight="1" thickTop="1">
      <c r="A3" s="471" t="s">
        <v>5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570">
        <v>50</v>
      </c>
      <c r="O3" s="571"/>
      <c r="P3" s="571"/>
      <c r="Q3" s="571"/>
      <c r="R3" s="571"/>
      <c r="S3" s="572"/>
      <c r="T3" s="477" t="s">
        <v>7</v>
      </c>
      <c r="U3" s="466" t="s">
        <v>8</v>
      </c>
      <c r="V3" s="466"/>
      <c r="W3" s="466" t="s">
        <v>9</v>
      </c>
      <c r="X3" s="466"/>
      <c r="Y3" s="466" t="s">
        <v>10</v>
      </c>
      <c r="Z3" s="466"/>
      <c r="AA3" s="466" t="s">
        <v>11</v>
      </c>
      <c r="AB3" s="469"/>
    </row>
    <row r="4" spans="1:29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573"/>
      <c r="O4" s="574"/>
      <c r="P4" s="574"/>
      <c r="Q4" s="574"/>
      <c r="R4" s="574"/>
      <c r="S4" s="575"/>
      <c r="T4" s="478"/>
      <c r="U4" s="466"/>
      <c r="V4" s="466"/>
      <c r="W4" s="466"/>
      <c r="X4" s="466"/>
      <c r="Y4" s="466"/>
      <c r="Z4" s="466"/>
      <c r="AA4" s="466"/>
      <c r="AB4" s="469"/>
    </row>
    <row r="5" spans="1:29" ht="32.25" customHeight="1" thickBot="1">
      <c r="A5" s="266" t="s">
        <v>12</v>
      </c>
      <c r="B5" s="302"/>
      <c r="C5" s="480" t="s">
        <v>234</v>
      </c>
      <c r="D5" s="481"/>
      <c r="E5" s="481"/>
      <c r="F5" s="481"/>
      <c r="G5" s="481"/>
      <c r="H5" s="481"/>
      <c r="I5" s="481"/>
      <c r="J5" s="480" t="s">
        <v>13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9" ht="20.25" customHeight="1" thickTop="1">
      <c r="A6" s="492" t="s">
        <v>14</v>
      </c>
      <c r="B6" s="369" t="s">
        <v>15</v>
      </c>
      <c r="C6" s="369" t="s">
        <v>16</v>
      </c>
      <c r="D6" s="369"/>
      <c r="E6" s="369"/>
      <c r="F6" s="369"/>
      <c r="G6" s="369" t="s">
        <v>17</v>
      </c>
      <c r="H6" s="369"/>
      <c r="I6" s="369"/>
      <c r="J6" s="369"/>
      <c r="K6" s="369"/>
      <c r="L6" s="369"/>
      <c r="M6" s="494" t="s">
        <v>18</v>
      </c>
      <c r="N6" s="494" t="s">
        <v>19</v>
      </c>
      <c r="O6" s="459" t="s">
        <v>20</v>
      </c>
      <c r="P6" s="460"/>
      <c r="Q6" s="463" t="s">
        <v>21</v>
      </c>
      <c r="R6" s="463"/>
      <c r="S6" s="463"/>
      <c r="T6" s="463"/>
      <c r="U6" s="463"/>
      <c r="V6" s="464"/>
      <c r="W6" s="463" t="s">
        <v>22</v>
      </c>
      <c r="X6" s="463"/>
      <c r="Y6" s="463"/>
      <c r="Z6" s="463"/>
      <c r="AA6" s="463"/>
      <c r="AB6" s="464"/>
    </row>
    <row r="7" spans="1:29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24</v>
      </c>
      <c r="T7" s="466"/>
      <c r="U7" s="297" t="s">
        <v>25</v>
      </c>
      <c r="V7" s="467"/>
      <c r="W7" s="297" t="s">
        <v>23</v>
      </c>
      <c r="X7" s="297"/>
      <c r="Y7" s="296" t="s">
        <v>24</v>
      </c>
      <c r="Z7" s="465"/>
      <c r="AA7" s="297" t="s">
        <v>25</v>
      </c>
      <c r="AB7" s="467"/>
      <c r="AC7" s="2"/>
    </row>
    <row r="8" spans="1:29" ht="18.95" customHeight="1">
      <c r="A8" s="493"/>
      <c r="B8" s="3">
        <v>1</v>
      </c>
      <c r="C8" s="4" t="s">
        <v>194</v>
      </c>
      <c r="D8" s="5"/>
      <c r="E8" s="5"/>
      <c r="F8" s="6"/>
      <c r="G8" s="7" t="s">
        <v>280</v>
      </c>
      <c r="H8" s="8"/>
      <c r="I8" s="8"/>
      <c r="J8" s="8"/>
      <c r="K8" s="8"/>
      <c r="L8" s="9"/>
      <c r="M8" s="3" t="s">
        <v>26</v>
      </c>
      <c r="N8" s="7">
        <v>1</v>
      </c>
      <c r="O8" s="78">
        <v>1350</v>
      </c>
      <c r="P8" s="79"/>
      <c r="Q8" s="562"/>
      <c r="R8" s="563"/>
      <c r="S8" s="214">
        <f>N8*O8</f>
        <v>1350</v>
      </c>
      <c r="T8" s="215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1500</v>
      </c>
    </row>
    <row r="9" spans="1:29" ht="18.95" customHeight="1">
      <c r="A9" s="493"/>
      <c r="B9" s="14">
        <v>2</v>
      </c>
      <c r="C9" s="15" t="s">
        <v>195</v>
      </c>
      <c r="D9" s="16"/>
      <c r="E9" s="16"/>
      <c r="F9" s="17"/>
      <c r="G9" s="18" t="s">
        <v>276</v>
      </c>
      <c r="H9" s="19"/>
      <c r="I9" s="19"/>
      <c r="J9" s="19"/>
      <c r="K9" s="19"/>
      <c r="L9" s="20"/>
      <c r="M9" s="14" t="s">
        <v>26</v>
      </c>
      <c r="N9" s="18">
        <v>1</v>
      </c>
      <c r="O9" s="64">
        <v>57444</v>
      </c>
      <c r="P9" s="65"/>
      <c r="Q9" s="539"/>
      <c r="R9" s="540"/>
      <c r="S9" s="165">
        <f>N9*O9</f>
        <v>57444</v>
      </c>
      <c r="T9" s="166"/>
      <c r="U9" s="555"/>
      <c r="V9" s="556"/>
      <c r="W9" s="22"/>
      <c r="X9" s="23"/>
      <c r="Y9" s="545"/>
      <c r="Z9" s="546"/>
      <c r="AA9" s="557"/>
      <c r="AB9" s="558"/>
      <c r="AC9" s="13">
        <f t="shared" ref="AC9:AC19" si="0">ROUND(O9*1.1,-2)</f>
        <v>63200</v>
      </c>
    </row>
    <row r="10" spans="1:29" ht="18.95" customHeight="1">
      <c r="A10" s="493"/>
      <c r="B10" s="14">
        <v>3</v>
      </c>
      <c r="C10" s="15" t="s">
        <v>198</v>
      </c>
      <c r="D10" s="16"/>
      <c r="E10" s="16"/>
      <c r="F10" s="17"/>
      <c r="G10" s="18" t="s">
        <v>287</v>
      </c>
      <c r="H10" s="19"/>
      <c r="I10" s="19"/>
      <c r="J10" s="19"/>
      <c r="K10" s="19"/>
      <c r="L10" s="20"/>
      <c r="M10" s="14" t="s">
        <v>26</v>
      </c>
      <c r="N10" s="18">
        <v>1</v>
      </c>
      <c r="O10" s="64">
        <v>27000</v>
      </c>
      <c r="P10" s="65"/>
      <c r="Q10" s="539"/>
      <c r="R10" s="540"/>
      <c r="S10" s="165">
        <f>N10*O10</f>
        <v>27000</v>
      </c>
      <c r="T10" s="166"/>
      <c r="U10" s="559"/>
      <c r="V10" s="560"/>
      <c r="W10" s="22"/>
      <c r="X10" s="23"/>
      <c r="Y10" s="545"/>
      <c r="Z10" s="561"/>
      <c r="AA10" s="547"/>
      <c r="AB10" s="548"/>
      <c r="AC10" s="13">
        <f t="shared" si="0"/>
        <v>29700</v>
      </c>
    </row>
    <row r="11" spans="1:29" ht="18.95" customHeight="1">
      <c r="A11" s="493"/>
      <c r="B11" s="14">
        <v>4</v>
      </c>
      <c r="C11" s="99"/>
      <c r="D11" s="100"/>
      <c r="E11" s="100"/>
      <c r="F11" s="101"/>
      <c r="G11" s="18"/>
      <c r="H11" s="19"/>
      <c r="I11" s="19"/>
      <c r="J11" s="19"/>
      <c r="K11" s="19"/>
      <c r="L11" s="20"/>
      <c r="M11" s="14"/>
      <c r="N11" s="18"/>
      <c r="O11" s="64"/>
      <c r="P11" s="65"/>
      <c r="Q11" s="539"/>
      <c r="R11" s="540"/>
      <c r="S11" s="541">
        <f>N11*O11</f>
        <v>0</v>
      </c>
      <c r="T11" s="542"/>
      <c r="U11" s="559"/>
      <c r="V11" s="560"/>
      <c r="W11" s="22"/>
      <c r="X11" s="23"/>
      <c r="Y11" s="545"/>
      <c r="Z11" s="561"/>
      <c r="AA11" s="547"/>
      <c r="AB11" s="548"/>
      <c r="AC11" s="13">
        <f t="shared" si="0"/>
        <v>0</v>
      </c>
    </row>
    <row r="12" spans="1:29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39"/>
      <c r="R12" s="540"/>
      <c r="S12" s="165"/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0"/>
        <v>0</v>
      </c>
    </row>
    <row r="13" spans="1:29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39"/>
      <c r="R13" s="540"/>
      <c r="S13" s="165"/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0"/>
        <v>0</v>
      </c>
    </row>
    <row r="14" spans="1:29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39"/>
      <c r="R14" s="540"/>
      <c r="S14" s="165"/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0"/>
        <v>0</v>
      </c>
    </row>
    <row r="15" spans="1:29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0"/>
        <v>0</v>
      </c>
    </row>
    <row r="16" spans="1:29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0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0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0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0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/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/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85794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27</v>
      </c>
      <c r="B29" s="374"/>
      <c r="C29" s="374"/>
      <c r="D29" s="374"/>
      <c r="E29" s="374"/>
      <c r="F29" s="374"/>
      <c r="G29" s="375" t="s">
        <v>28</v>
      </c>
      <c r="H29" s="374"/>
      <c r="I29" s="376"/>
      <c r="J29" s="373" t="s">
        <v>29</v>
      </c>
      <c r="K29" s="374"/>
      <c r="L29" s="376"/>
      <c r="M29" s="377" t="s">
        <v>30</v>
      </c>
      <c r="N29" s="380" t="s">
        <v>31</v>
      </c>
      <c r="O29" s="381"/>
      <c r="P29" s="368"/>
      <c r="Q29" s="360" t="s">
        <v>32</v>
      </c>
      <c r="R29" s="361"/>
      <c r="S29" s="360" t="s">
        <v>33</v>
      </c>
      <c r="T29" s="361"/>
      <c r="U29" s="360" t="s">
        <v>34</v>
      </c>
      <c r="V29" s="364"/>
      <c r="W29" s="366" t="s">
        <v>32</v>
      </c>
      <c r="X29" s="361"/>
      <c r="Y29" s="360" t="s">
        <v>33</v>
      </c>
      <c r="Z29" s="368"/>
      <c r="AA29" s="360" t="s">
        <v>34</v>
      </c>
      <c r="AB29" s="364"/>
    </row>
    <row r="30" spans="1:29" ht="21" customHeight="1">
      <c r="A30" s="38">
        <v>1</v>
      </c>
      <c r="B30" s="225"/>
      <c r="C30" s="274" t="s">
        <v>35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36</v>
      </c>
      <c r="D31" s="324"/>
      <c r="E31" s="324"/>
      <c r="F31" s="324"/>
      <c r="G31" s="516">
        <f>S28+S87</f>
        <v>85794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1</v>
      </c>
      <c r="R31" s="388"/>
      <c r="S31" s="389">
        <v>24000</v>
      </c>
      <c r="T31" s="389"/>
      <c r="U31" s="390">
        <f>S31*Q31</f>
        <v>24000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37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</v>
      </c>
      <c r="R32" s="315"/>
      <c r="S32" s="326">
        <v>24000</v>
      </c>
      <c r="T32" s="327"/>
      <c r="U32" s="328">
        <f>S32*Q32</f>
        <v>24000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38</v>
      </c>
      <c r="D33" s="297"/>
      <c r="E33" s="297"/>
      <c r="F33" s="297"/>
      <c r="G33" s="253">
        <f>(G30+G31+G32)</f>
        <v>85794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1</v>
      </c>
      <c r="R33" s="315"/>
      <c r="S33" s="326">
        <v>24000</v>
      </c>
      <c r="T33" s="327"/>
      <c r="U33" s="328">
        <f>S33*Q33</f>
        <v>24000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39</v>
      </c>
      <c r="D34" s="339"/>
      <c r="E34" s="339"/>
      <c r="F34" s="339"/>
      <c r="G34" s="340">
        <f>U38</f>
        <v>72000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40</v>
      </c>
      <c r="D35" s="306"/>
      <c r="E35" s="306"/>
      <c r="F35" s="306"/>
      <c r="G35" s="307">
        <f>G34*0.1</f>
        <v>7200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41</v>
      </c>
      <c r="D36" s="292"/>
      <c r="E36" s="292"/>
      <c r="F36" s="292"/>
      <c r="G36" s="333">
        <f>G34+G35</f>
        <v>79200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42</v>
      </c>
      <c r="C37" s="297"/>
      <c r="D37" s="297"/>
      <c r="E37" s="297"/>
      <c r="F37" s="297"/>
      <c r="G37" s="253">
        <f>G33+G36</f>
        <v>164994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43</v>
      </c>
      <c r="C38" s="297"/>
      <c r="D38" s="297"/>
      <c r="E38" s="297"/>
      <c r="F38" s="297"/>
      <c r="G38" s="253">
        <f>((G30*0.01)+(G31*0.01)+(G32*0.02))</f>
        <v>857.94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72000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44</v>
      </c>
      <c r="C39" s="43"/>
      <c r="D39" s="43"/>
      <c r="E39" s="43"/>
      <c r="F39" s="43"/>
      <c r="G39" s="253">
        <f>G36*0.15</f>
        <v>11880</v>
      </c>
      <c r="H39" s="254"/>
      <c r="I39" s="255"/>
      <c r="J39" s="268"/>
      <c r="K39" s="269"/>
      <c r="L39" s="270"/>
      <c r="M39" s="271" t="s">
        <v>45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46</v>
      </c>
      <c r="C40" s="43"/>
      <c r="D40" s="43"/>
      <c r="E40" s="43"/>
      <c r="F40" s="43"/>
      <c r="G40" s="253">
        <f>(G36+G39)*0.15</f>
        <v>13662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47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48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49</v>
      </c>
      <c r="C43" s="274"/>
      <c r="D43" s="274"/>
      <c r="E43" s="274"/>
      <c r="F43" s="274"/>
      <c r="G43" s="253">
        <f>(G37+6000000)/N3</f>
        <v>123299.88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7</v>
      </c>
      <c r="U43" s="278" t="s">
        <v>8</v>
      </c>
      <c r="V43" s="278"/>
      <c r="W43" s="278" t="s">
        <v>50</v>
      </c>
      <c r="X43" s="278"/>
      <c r="Y43" s="278" t="s">
        <v>51</v>
      </c>
      <c r="Z43" s="278"/>
      <c r="AA43" s="278" t="s">
        <v>52</v>
      </c>
      <c r="AB43" s="279"/>
      <c r="AC43" s="25"/>
    </row>
    <row r="44" spans="1:33" ht="21" customHeight="1" thickBot="1">
      <c r="A44" s="38">
        <v>15</v>
      </c>
      <c r="B44" s="280" t="s">
        <v>28</v>
      </c>
      <c r="C44" s="281"/>
      <c r="D44" s="281"/>
      <c r="E44" s="281"/>
      <c r="F44" s="281"/>
      <c r="G44" s="506">
        <f>SUM(G37:I43)</f>
        <v>314693.82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53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54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55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5</v>
      </c>
      <c r="B47" s="240"/>
      <c r="C47" s="241"/>
      <c r="D47" s="242"/>
      <c r="E47" s="242"/>
      <c r="F47" s="242"/>
      <c r="G47" s="242"/>
      <c r="H47" s="242"/>
      <c r="I47" s="242"/>
      <c r="J47" s="243" t="s">
        <v>56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2</v>
      </c>
      <c r="U47" s="242"/>
      <c r="V47" s="242"/>
      <c r="W47" s="242"/>
      <c r="X47" s="250" t="s">
        <v>3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232" t="s">
        <v>12</v>
      </c>
      <c r="B48" s="233"/>
      <c r="C48" s="234" t="str">
        <f>C5</f>
        <v>TRF2</v>
      </c>
      <c r="D48" s="235"/>
      <c r="E48" s="235"/>
      <c r="F48" s="235"/>
      <c r="G48" s="235"/>
      <c r="H48" s="235"/>
      <c r="I48" s="235"/>
      <c r="J48" s="246"/>
      <c r="K48" s="247"/>
      <c r="L48" s="247"/>
      <c r="M48" s="247"/>
      <c r="N48" s="247"/>
      <c r="O48" s="247"/>
      <c r="P48" s="247"/>
      <c r="Q48" s="247"/>
      <c r="R48" s="247"/>
      <c r="S48" s="248"/>
      <c r="T48" s="235" t="s">
        <v>63</v>
      </c>
      <c r="U48" s="235"/>
      <c r="V48" s="235"/>
      <c r="W48" s="235"/>
      <c r="X48" s="235"/>
      <c r="Y48" s="235"/>
      <c r="Z48" s="235"/>
      <c r="AA48" s="235"/>
      <c r="AB48" s="236"/>
      <c r="AD48" s="49"/>
      <c r="AF48" s="50"/>
      <c r="AG48" s="50"/>
    </row>
    <row r="49" spans="1:33" ht="22.5" customHeight="1" thickTop="1">
      <c r="A49" s="227" t="s">
        <v>14</v>
      </c>
      <c r="B49" s="200" t="s">
        <v>15</v>
      </c>
      <c r="C49" s="200" t="s">
        <v>16</v>
      </c>
      <c r="D49" s="200"/>
      <c r="E49" s="200"/>
      <c r="F49" s="200"/>
      <c r="G49" s="200" t="s">
        <v>17</v>
      </c>
      <c r="H49" s="200"/>
      <c r="I49" s="200"/>
      <c r="J49" s="200"/>
      <c r="K49" s="200"/>
      <c r="L49" s="200"/>
      <c r="M49" s="195" t="s">
        <v>18</v>
      </c>
      <c r="N49" s="195" t="s">
        <v>19</v>
      </c>
      <c r="O49" s="200" t="s">
        <v>20</v>
      </c>
      <c r="P49" s="201"/>
      <c r="Q49" s="203" t="s">
        <v>21</v>
      </c>
      <c r="R49" s="204"/>
      <c r="S49" s="204"/>
      <c r="T49" s="204"/>
      <c r="U49" s="204"/>
      <c r="V49" s="205"/>
      <c r="W49" s="204" t="s">
        <v>57</v>
      </c>
      <c r="X49" s="204"/>
      <c r="Y49" s="204"/>
      <c r="Z49" s="204"/>
      <c r="AA49" s="204"/>
      <c r="AB49" s="205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23</v>
      </c>
      <c r="R50" s="207"/>
      <c r="S50" s="208" t="s">
        <v>24</v>
      </c>
      <c r="T50" s="208"/>
      <c r="U50" s="209" t="s">
        <v>25</v>
      </c>
      <c r="V50" s="210"/>
      <c r="W50" s="209" t="s">
        <v>23</v>
      </c>
      <c r="X50" s="209"/>
      <c r="Y50" s="211" t="s">
        <v>24</v>
      </c>
      <c r="Z50" s="207"/>
      <c r="AA50" s="209" t="s">
        <v>25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55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W3:X3"/>
    <mergeCell ref="Y3:Z3"/>
    <mergeCell ref="AA3:AB3"/>
    <mergeCell ref="U4:V5"/>
    <mergeCell ref="W4:X5"/>
    <mergeCell ref="Y4:Z5"/>
    <mergeCell ref="AA4:AB5"/>
    <mergeCell ref="A6:A28"/>
    <mergeCell ref="B6:B7"/>
    <mergeCell ref="C6:F7"/>
    <mergeCell ref="G6:L7"/>
    <mergeCell ref="M6:M7"/>
    <mergeCell ref="N6:N7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6:R26"/>
    <mergeCell ref="S26:T26"/>
    <mergeCell ref="U26:V26"/>
    <mergeCell ref="W26:X26"/>
    <mergeCell ref="Y26:Z26"/>
    <mergeCell ref="AA26:AB26"/>
    <mergeCell ref="Q27:R27"/>
    <mergeCell ref="S27:T27"/>
    <mergeCell ref="U27:V27"/>
    <mergeCell ref="W27:X27"/>
    <mergeCell ref="Y27:Z27"/>
    <mergeCell ref="AA27:AB27"/>
    <mergeCell ref="Q28:R28"/>
    <mergeCell ref="S28:T28"/>
    <mergeCell ref="U28:V28"/>
    <mergeCell ref="W28:X28"/>
    <mergeCell ref="Y28:Z28"/>
    <mergeCell ref="AA28:AB28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5:AB35"/>
    <mergeCell ref="C36:F36"/>
    <mergeCell ref="G36:I36"/>
    <mergeCell ref="J36:L36"/>
    <mergeCell ref="N36:P36"/>
    <mergeCell ref="Q36:R36"/>
    <mergeCell ref="S36:T36"/>
    <mergeCell ref="U36:V36"/>
    <mergeCell ref="W36:X36"/>
    <mergeCell ref="Y36:Z36"/>
    <mergeCell ref="AA36:AB36"/>
    <mergeCell ref="C35:F35"/>
    <mergeCell ref="G35:I35"/>
    <mergeCell ref="J35:L35"/>
    <mergeCell ref="N35:P35"/>
    <mergeCell ref="Q35:R35"/>
    <mergeCell ref="S35:T35"/>
    <mergeCell ref="U35:V35"/>
    <mergeCell ref="W35:X35"/>
    <mergeCell ref="Y35:Z35"/>
    <mergeCell ref="AA37:AB37"/>
    <mergeCell ref="B38:F38"/>
    <mergeCell ref="G38:I38"/>
    <mergeCell ref="J38:L38"/>
    <mergeCell ref="N38:P38"/>
    <mergeCell ref="Q38:R38"/>
    <mergeCell ref="S38:T38"/>
    <mergeCell ref="U38:V38"/>
    <mergeCell ref="W38:X38"/>
    <mergeCell ref="Y38:Z38"/>
    <mergeCell ref="AA38:AB38"/>
    <mergeCell ref="B37:F37"/>
    <mergeCell ref="G37:I37"/>
    <mergeCell ref="J37:L37"/>
    <mergeCell ref="N37:P37"/>
    <mergeCell ref="Q37:R37"/>
    <mergeCell ref="S37:T37"/>
    <mergeCell ref="U37:V37"/>
    <mergeCell ref="W37:X37"/>
    <mergeCell ref="Y37:Z37"/>
    <mergeCell ref="G39:I39"/>
    <mergeCell ref="J39:L39"/>
    <mergeCell ref="M39:O39"/>
    <mergeCell ref="G40:I40"/>
    <mergeCell ref="J40:L40"/>
    <mergeCell ref="G41:I41"/>
    <mergeCell ref="J41:L41"/>
    <mergeCell ref="G42:I42"/>
    <mergeCell ref="J42:L42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A49:A87"/>
    <mergeCell ref="B49:B50"/>
    <mergeCell ref="C49:F50"/>
    <mergeCell ref="G49:L50"/>
    <mergeCell ref="M49:M50"/>
    <mergeCell ref="N49:N50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U51:V51"/>
    <mergeCell ref="W51:X51"/>
    <mergeCell ref="Y51:Z51"/>
    <mergeCell ref="AA51:AB51"/>
    <mergeCell ref="Q52:R52"/>
    <mergeCell ref="S52:T52"/>
    <mergeCell ref="U52:V52"/>
    <mergeCell ref="W52:X52"/>
    <mergeCell ref="Y52:Z52"/>
    <mergeCell ref="AA52:AB52"/>
    <mergeCell ref="Q53:R53"/>
    <mergeCell ref="S53:T53"/>
    <mergeCell ref="U53:V53"/>
    <mergeCell ref="W53:X53"/>
    <mergeCell ref="Y53:Z53"/>
    <mergeCell ref="AA53:AB53"/>
    <mergeCell ref="Q54:R54"/>
    <mergeCell ref="S54:T54"/>
    <mergeCell ref="U54:V54"/>
    <mergeCell ref="W54:X54"/>
    <mergeCell ref="Y54:Z54"/>
    <mergeCell ref="AA54:AB54"/>
    <mergeCell ref="Q55:R55"/>
    <mergeCell ref="S55:T55"/>
    <mergeCell ref="U55:V55"/>
    <mergeCell ref="W55:X55"/>
    <mergeCell ref="Y55:Z55"/>
    <mergeCell ref="AA55:AB55"/>
    <mergeCell ref="Q56:R56"/>
    <mergeCell ref="S56:T56"/>
    <mergeCell ref="U56:V56"/>
    <mergeCell ref="W56:X56"/>
    <mergeCell ref="Y56:Z56"/>
    <mergeCell ref="AA56:AB56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1:X61"/>
    <mergeCell ref="Y61:Z61"/>
    <mergeCell ref="AA61:AB61"/>
    <mergeCell ref="Q62:R62"/>
    <mergeCell ref="S62:T62"/>
    <mergeCell ref="U62:V62"/>
    <mergeCell ref="W62:X62"/>
    <mergeCell ref="Y62:Z62"/>
    <mergeCell ref="AA62:AB62"/>
    <mergeCell ref="Q63:R63"/>
    <mergeCell ref="S63:T63"/>
    <mergeCell ref="U63:V63"/>
    <mergeCell ref="W63:X63"/>
    <mergeCell ref="Y63:Z63"/>
    <mergeCell ref="AA63:AB63"/>
    <mergeCell ref="Q64:R64"/>
    <mergeCell ref="S64:T64"/>
    <mergeCell ref="U64:V64"/>
    <mergeCell ref="W64:X64"/>
    <mergeCell ref="Y64:Z64"/>
    <mergeCell ref="AA64:AB64"/>
    <mergeCell ref="Q65:R65"/>
    <mergeCell ref="S65:T65"/>
    <mergeCell ref="U65:V65"/>
    <mergeCell ref="W65:X65"/>
    <mergeCell ref="Y65:Z65"/>
    <mergeCell ref="AA65:AB65"/>
    <mergeCell ref="Q66:R66"/>
    <mergeCell ref="S66:T66"/>
    <mergeCell ref="U66:V66"/>
    <mergeCell ref="W66:X66"/>
    <mergeCell ref="Y66:Z66"/>
    <mergeCell ref="AA66:AB66"/>
    <mergeCell ref="Q67:R67"/>
    <mergeCell ref="S67:T67"/>
    <mergeCell ref="U67:V67"/>
    <mergeCell ref="W67:X67"/>
    <mergeCell ref="Y67:Z67"/>
    <mergeCell ref="AA67:AB67"/>
    <mergeCell ref="Q68:R68"/>
    <mergeCell ref="S68:T68"/>
    <mergeCell ref="U68:V68"/>
    <mergeCell ref="W68:X68"/>
    <mergeCell ref="Y68:Z68"/>
    <mergeCell ref="AA68:AB68"/>
    <mergeCell ref="Q69:R69"/>
    <mergeCell ref="S69:T69"/>
    <mergeCell ref="U69:V69"/>
    <mergeCell ref="W69:X69"/>
    <mergeCell ref="Y69:Z69"/>
    <mergeCell ref="AA69:AB69"/>
    <mergeCell ref="Q70:R70"/>
    <mergeCell ref="S70:T70"/>
    <mergeCell ref="U70:V70"/>
    <mergeCell ref="W70:X70"/>
    <mergeCell ref="Y70:Z70"/>
    <mergeCell ref="AA70:AB70"/>
    <mergeCell ref="Q71:R71"/>
    <mergeCell ref="S71:T71"/>
    <mergeCell ref="U71:V71"/>
    <mergeCell ref="W71:X71"/>
    <mergeCell ref="Y71:Z71"/>
    <mergeCell ref="AA71:AB71"/>
    <mergeCell ref="Q72:R72"/>
    <mergeCell ref="S72:T72"/>
    <mergeCell ref="U72:V72"/>
    <mergeCell ref="W72:X72"/>
    <mergeCell ref="Y72:Z72"/>
    <mergeCell ref="AA72:AB72"/>
    <mergeCell ref="Q73:R73"/>
    <mergeCell ref="S73:T73"/>
    <mergeCell ref="U73:V73"/>
    <mergeCell ref="W73:X73"/>
    <mergeCell ref="Y73:Z73"/>
    <mergeCell ref="AA73:AB73"/>
    <mergeCell ref="Q74:R74"/>
    <mergeCell ref="S74:T74"/>
    <mergeCell ref="U74:V74"/>
    <mergeCell ref="W74:X74"/>
    <mergeCell ref="Y74:Z74"/>
    <mergeCell ref="AA74:AB74"/>
    <mergeCell ref="Q75:R75"/>
    <mergeCell ref="S75:T75"/>
    <mergeCell ref="U75:V75"/>
    <mergeCell ref="W75:X75"/>
    <mergeCell ref="Y75:Z75"/>
    <mergeCell ref="AA75:AB75"/>
    <mergeCell ref="Q76:R76"/>
    <mergeCell ref="S76:T76"/>
    <mergeCell ref="U76:V76"/>
    <mergeCell ref="W76:X76"/>
    <mergeCell ref="Y76:Z76"/>
    <mergeCell ref="AA76:AB76"/>
    <mergeCell ref="Q77:R77"/>
    <mergeCell ref="S77:T77"/>
    <mergeCell ref="U77:V77"/>
    <mergeCell ref="W77:X77"/>
    <mergeCell ref="Y77:Z77"/>
    <mergeCell ref="AA77:AB77"/>
    <mergeCell ref="Q78:R78"/>
    <mergeCell ref="S78:T78"/>
    <mergeCell ref="U78:V78"/>
    <mergeCell ref="W78:X78"/>
    <mergeCell ref="Y78:Z78"/>
    <mergeCell ref="AA78:AB78"/>
    <mergeCell ref="Q79:R79"/>
    <mergeCell ref="S79:T79"/>
    <mergeCell ref="U79:V79"/>
    <mergeCell ref="W79:X79"/>
    <mergeCell ref="Y79:Z79"/>
    <mergeCell ref="AA79:AB79"/>
    <mergeCell ref="Q80:R80"/>
    <mergeCell ref="S80:T80"/>
    <mergeCell ref="U80:V80"/>
    <mergeCell ref="W80:X80"/>
    <mergeCell ref="Y80:Z80"/>
    <mergeCell ref="AA80:AB80"/>
    <mergeCell ref="Q81:R81"/>
    <mergeCell ref="S81:T81"/>
    <mergeCell ref="U81:V81"/>
    <mergeCell ref="W81:X81"/>
    <mergeCell ref="Y81:Z81"/>
    <mergeCell ref="AA81:AB81"/>
    <mergeCell ref="Q82:R82"/>
    <mergeCell ref="S82:T82"/>
    <mergeCell ref="U82:V82"/>
    <mergeCell ref="W82:X82"/>
    <mergeCell ref="Y82:Z82"/>
    <mergeCell ref="AA82:AB82"/>
    <mergeCell ref="Q83:R83"/>
    <mergeCell ref="S83:T83"/>
    <mergeCell ref="U83:V83"/>
    <mergeCell ref="W83:X83"/>
    <mergeCell ref="Y83:Z83"/>
    <mergeCell ref="AA83:AB83"/>
    <mergeCell ref="Q84:R84"/>
    <mergeCell ref="S84:T84"/>
    <mergeCell ref="U84:V84"/>
    <mergeCell ref="W84:X84"/>
    <mergeCell ref="Y84:Z84"/>
    <mergeCell ref="AA84:AB84"/>
    <mergeCell ref="Q85:R85"/>
    <mergeCell ref="S85:T85"/>
    <mergeCell ref="U85:V85"/>
    <mergeCell ref="W85:X85"/>
    <mergeCell ref="Y85:Z85"/>
    <mergeCell ref="AA85:AB85"/>
    <mergeCell ref="AA87:AB87"/>
    <mergeCell ref="Q86:R86"/>
    <mergeCell ref="S86:T86"/>
    <mergeCell ref="U86:V86"/>
    <mergeCell ref="W86:X86"/>
    <mergeCell ref="Y86:Z86"/>
    <mergeCell ref="AA86:AB86"/>
    <mergeCell ref="J88:S88"/>
    <mergeCell ref="Q87:R87"/>
    <mergeCell ref="S87:T87"/>
    <mergeCell ref="U87:V87"/>
    <mergeCell ref="W87:X87"/>
    <mergeCell ref="Y87:Z87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88"/>
  <sheetViews>
    <sheetView showGridLines="0" zoomScale="85" zoomScaleNormal="85" workbookViewId="0">
      <selection activeCell="AD6" sqref="AD6:AD8"/>
    </sheetView>
  </sheetViews>
  <sheetFormatPr defaultRowHeight="14.25"/>
  <cols>
    <col min="1" max="2" width="3.44140625" style="1" customWidth="1"/>
    <col min="3" max="6" width="3.33203125" style="1" customWidth="1"/>
    <col min="7" max="13" width="3.44140625" style="1" customWidth="1"/>
    <col min="14" max="14" width="3.44140625" style="98" customWidth="1"/>
    <col min="15" max="15" width="4.3320312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120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30" ht="33" customHeight="1" thickBot="1">
      <c r="A2" s="490" t="s">
        <v>124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126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8</v>
      </c>
      <c r="V3" s="466"/>
      <c r="W3" s="466" t="s">
        <v>68</v>
      </c>
      <c r="X3" s="466"/>
      <c r="Y3" s="466" t="s">
        <v>10</v>
      </c>
      <c r="Z3" s="466"/>
      <c r="AA3" s="466" t="s">
        <v>70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133</v>
      </c>
      <c r="B5" s="302"/>
      <c r="C5" s="480" t="s">
        <v>240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135</v>
      </c>
      <c r="B6" s="369" t="s">
        <v>136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D6" s="654" t="s">
        <v>314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83</v>
      </c>
      <c r="T7" s="466"/>
      <c r="U7" s="297" t="s">
        <v>25</v>
      </c>
      <c r="V7" s="467"/>
      <c r="W7" s="297" t="s">
        <v>23</v>
      </c>
      <c r="X7" s="297"/>
      <c r="Y7" s="296" t="s">
        <v>83</v>
      </c>
      <c r="Z7" s="465"/>
      <c r="AA7" s="297" t="s">
        <v>25</v>
      </c>
      <c r="AB7" s="467"/>
      <c r="AC7" s="2"/>
      <c r="AD7" s="654" t="s">
        <v>317</v>
      </c>
    </row>
    <row r="8" spans="1:30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298</v>
      </c>
      <c r="H8" s="8"/>
      <c r="I8" s="8"/>
      <c r="J8" s="8"/>
      <c r="K8" s="8"/>
      <c r="L8" s="9"/>
      <c r="M8" s="3" t="s">
        <v>181</v>
      </c>
      <c r="N8" s="93">
        <v>1</v>
      </c>
      <c r="O8" s="88">
        <f>216000*1.5</f>
        <v>324000</v>
      </c>
      <c r="P8" s="79"/>
      <c r="Q8" s="562"/>
      <c r="R8" s="563"/>
      <c r="S8" s="451">
        <f t="shared" ref="S8:S16" si="0">N8*O8</f>
        <v>324000</v>
      </c>
      <c r="T8" s="452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356400</v>
      </c>
      <c r="AD8" s="654" t="s">
        <v>325</v>
      </c>
    </row>
    <row r="9" spans="1:30" ht="18.95" customHeight="1">
      <c r="A9" s="493"/>
      <c r="B9" s="14">
        <v>2</v>
      </c>
      <c r="C9" s="15"/>
      <c r="D9" s="16"/>
      <c r="E9" s="16"/>
      <c r="F9" s="17"/>
      <c r="G9" s="18" t="s">
        <v>300</v>
      </c>
      <c r="H9" s="19"/>
      <c r="I9" s="19"/>
      <c r="J9" s="19"/>
      <c r="K9" s="19"/>
      <c r="L9" s="20"/>
      <c r="M9" s="14" t="s">
        <v>181</v>
      </c>
      <c r="N9" s="94">
        <v>1</v>
      </c>
      <c r="O9" s="86">
        <v>16200</v>
      </c>
      <c r="P9" s="65"/>
      <c r="Q9" s="539"/>
      <c r="R9" s="540"/>
      <c r="S9" s="583">
        <f t="shared" si="0"/>
        <v>16200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26" si="1">ROUND(O9*1.1,-2)</f>
        <v>17800</v>
      </c>
    </row>
    <row r="10" spans="1:30" ht="18.95" customHeight="1">
      <c r="A10" s="493"/>
      <c r="B10" s="14">
        <v>3</v>
      </c>
      <c r="C10" s="15" t="s">
        <v>209</v>
      </c>
      <c r="D10" s="16"/>
      <c r="E10" s="16"/>
      <c r="F10" s="17"/>
      <c r="G10" s="18" t="s">
        <v>301</v>
      </c>
      <c r="H10" s="19"/>
      <c r="I10" s="19"/>
      <c r="J10" s="19"/>
      <c r="K10" s="19"/>
      <c r="L10" s="20"/>
      <c r="M10" s="14" t="s">
        <v>181</v>
      </c>
      <c r="N10" s="94">
        <v>1</v>
      </c>
      <c r="O10" s="62">
        <v>1632000</v>
      </c>
      <c r="P10" s="65"/>
      <c r="Q10" s="539"/>
      <c r="R10" s="540"/>
      <c r="S10" s="583">
        <f t="shared" si="0"/>
        <v>1632000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1795200</v>
      </c>
    </row>
    <row r="11" spans="1:30" ht="18.95" customHeight="1">
      <c r="A11" s="493"/>
      <c r="B11" s="14">
        <v>4</v>
      </c>
      <c r="C11" s="15" t="s">
        <v>220</v>
      </c>
      <c r="D11" s="16"/>
      <c r="E11" s="16"/>
      <c r="F11" s="17"/>
      <c r="G11" s="18" t="s">
        <v>280</v>
      </c>
      <c r="H11" s="19"/>
      <c r="I11" s="19"/>
      <c r="J11" s="19"/>
      <c r="K11" s="19"/>
      <c r="L11" s="20"/>
      <c r="M11" s="14" t="s">
        <v>181</v>
      </c>
      <c r="N11" s="94">
        <v>1</v>
      </c>
      <c r="O11" s="86">
        <v>155250</v>
      </c>
      <c r="P11" s="65"/>
      <c r="Q11" s="539"/>
      <c r="R11" s="540"/>
      <c r="S11" s="583">
        <f t="shared" si="0"/>
        <v>155250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170800</v>
      </c>
    </row>
    <row r="12" spans="1:30" ht="18.95" customHeight="1">
      <c r="A12" s="493"/>
      <c r="B12" s="14">
        <v>5</v>
      </c>
      <c r="C12" s="15" t="s">
        <v>235</v>
      </c>
      <c r="D12" s="16"/>
      <c r="E12" s="16"/>
      <c r="F12" s="17"/>
      <c r="G12" s="18" t="s">
        <v>276</v>
      </c>
      <c r="H12" s="19"/>
      <c r="I12" s="19"/>
      <c r="J12" s="19"/>
      <c r="K12" s="19"/>
      <c r="L12" s="20"/>
      <c r="M12" s="14" t="s">
        <v>181</v>
      </c>
      <c r="N12" s="94">
        <v>1</v>
      </c>
      <c r="O12" s="86">
        <v>138000</v>
      </c>
      <c r="P12" s="65"/>
      <c r="Q12" s="539"/>
      <c r="R12" s="540"/>
      <c r="S12" s="583">
        <f t="shared" si="0"/>
        <v>138000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151800</v>
      </c>
    </row>
    <row r="13" spans="1:30" ht="18.95" customHeight="1">
      <c r="A13" s="493"/>
      <c r="B13" s="14">
        <v>6</v>
      </c>
      <c r="C13" s="15" t="s">
        <v>236</v>
      </c>
      <c r="D13" s="16"/>
      <c r="E13" s="16"/>
      <c r="F13" s="17"/>
      <c r="G13" s="18" t="s">
        <v>302</v>
      </c>
      <c r="H13" s="19"/>
      <c r="I13" s="19"/>
      <c r="J13" s="19"/>
      <c r="K13" s="19"/>
      <c r="L13" s="20"/>
      <c r="M13" s="14" t="s">
        <v>181</v>
      </c>
      <c r="N13" s="21">
        <v>10</v>
      </c>
      <c r="O13" s="86">
        <v>58050</v>
      </c>
      <c r="P13" s="65"/>
      <c r="Q13" s="539"/>
      <c r="R13" s="540"/>
      <c r="S13" s="583">
        <f t="shared" si="0"/>
        <v>580500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63900</v>
      </c>
    </row>
    <row r="14" spans="1:30" ht="18.95" customHeight="1">
      <c r="A14" s="493"/>
      <c r="B14" s="14">
        <v>7</v>
      </c>
      <c r="C14" s="15" t="s">
        <v>237</v>
      </c>
      <c r="D14" s="16"/>
      <c r="E14" s="16"/>
      <c r="F14" s="17"/>
      <c r="G14" s="18" t="s">
        <v>302</v>
      </c>
      <c r="H14" s="19"/>
      <c r="I14" s="19"/>
      <c r="J14" s="19"/>
      <c r="K14" s="19"/>
      <c r="L14" s="20"/>
      <c r="M14" s="14" t="s">
        <v>238</v>
      </c>
      <c r="N14" s="21">
        <v>2</v>
      </c>
      <c r="O14" s="86">
        <v>233550</v>
      </c>
      <c r="P14" s="65"/>
      <c r="Q14" s="539"/>
      <c r="R14" s="540"/>
      <c r="S14" s="583">
        <f t="shared" si="0"/>
        <v>467100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256900</v>
      </c>
    </row>
    <row r="15" spans="1:30" ht="18.95" customHeight="1">
      <c r="A15" s="493"/>
      <c r="B15" s="14">
        <v>8</v>
      </c>
      <c r="C15" s="15" t="s">
        <v>198</v>
      </c>
      <c r="D15" s="16"/>
      <c r="E15" s="16"/>
      <c r="F15" s="17"/>
      <c r="G15" s="18" t="s">
        <v>287</v>
      </c>
      <c r="H15" s="19"/>
      <c r="I15" s="19"/>
      <c r="J15" s="19"/>
      <c r="K15" s="19"/>
      <c r="L15" s="20"/>
      <c r="M15" s="14" t="s">
        <v>239</v>
      </c>
      <c r="N15" s="21">
        <v>1</v>
      </c>
      <c r="O15" s="86">
        <v>120000</v>
      </c>
      <c r="P15" s="65"/>
      <c r="Q15" s="553"/>
      <c r="R15" s="554"/>
      <c r="S15" s="583">
        <f t="shared" si="0"/>
        <v>120000</v>
      </c>
      <c r="T15" s="584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132000</v>
      </c>
    </row>
    <row r="16" spans="1:30" ht="18.95" customHeight="1">
      <c r="A16" s="493"/>
      <c r="B16" s="14">
        <v>9</v>
      </c>
      <c r="C16" s="15" t="s">
        <v>210</v>
      </c>
      <c r="D16" s="16"/>
      <c r="E16" s="16"/>
      <c r="F16" s="17"/>
      <c r="G16" s="18" t="s">
        <v>277</v>
      </c>
      <c r="H16" s="19"/>
      <c r="I16" s="19"/>
      <c r="J16" s="19"/>
      <c r="K16" s="19"/>
      <c r="L16" s="20"/>
      <c r="M16" s="14" t="s">
        <v>239</v>
      </c>
      <c r="N16" s="21">
        <v>1</v>
      </c>
      <c r="O16" s="86">
        <v>33750</v>
      </c>
      <c r="P16" s="65"/>
      <c r="Q16" s="539"/>
      <c r="R16" s="540"/>
      <c r="S16" s="583">
        <f t="shared" si="0"/>
        <v>33750</v>
      </c>
      <c r="T16" s="584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37100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1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1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1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1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1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1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95"/>
      <c r="O28" s="36"/>
      <c r="P28" s="37"/>
      <c r="Q28" s="519">
        <f>SUM(Q8:R27)</f>
        <v>0</v>
      </c>
      <c r="R28" s="519"/>
      <c r="S28" s="520">
        <f>SUM(S8:T27)</f>
        <v>3466800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3466800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8</v>
      </c>
      <c r="R31" s="388"/>
      <c r="S31" s="389">
        <v>24000</v>
      </c>
      <c r="T31" s="389"/>
      <c r="U31" s="390">
        <f>S31*Q31</f>
        <v>192000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10</v>
      </c>
      <c r="R32" s="315"/>
      <c r="S32" s="326">
        <v>24000</v>
      </c>
      <c r="T32" s="327"/>
      <c r="U32" s="328">
        <f>S32*Q32</f>
        <v>240000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3466800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5</v>
      </c>
      <c r="R33" s="315"/>
      <c r="S33" s="326">
        <v>24000</v>
      </c>
      <c r="T33" s="327"/>
      <c r="U33" s="328">
        <f>S33*Q33</f>
        <v>120000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552000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55200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607200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4074000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34668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552000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91080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104742</v>
      </c>
      <c r="H40" s="254"/>
      <c r="I40" s="255"/>
      <c r="J40" s="268"/>
      <c r="K40" s="269"/>
      <c r="L40" s="270"/>
      <c r="M40" s="45"/>
      <c r="N40" s="9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9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9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201480</v>
      </c>
      <c r="H43" s="254"/>
      <c r="I43" s="255"/>
      <c r="J43" s="256"/>
      <c r="K43" s="257"/>
      <c r="L43" s="258"/>
      <c r="M43" s="45"/>
      <c r="N43" s="9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4505970</v>
      </c>
      <c r="H44" s="507"/>
      <c r="I44" s="508"/>
      <c r="J44" s="222"/>
      <c r="K44" s="223"/>
      <c r="L44" s="224"/>
      <c r="M44" s="2"/>
      <c r="N44" s="9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232" t="s">
        <v>71</v>
      </c>
      <c r="B48" s="233"/>
      <c r="C48" s="234" t="str">
        <f>C5</f>
        <v xml:space="preserve">FDI </v>
      </c>
      <c r="D48" s="235"/>
      <c r="E48" s="235"/>
      <c r="F48" s="235"/>
      <c r="G48" s="235"/>
      <c r="H48" s="235"/>
      <c r="I48" s="235"/>
      <c r="J48" s="246"/>
      <c r="K48" s="247"/>
      <c r="L48" s="247"/>
      <c r="M48" s="247"/>
      <c r="N48" s="247"/>
      <c r="O48" s="247"/>
      <c r="P48" s="247"/>
      <c r="Q48" s="247"/>
      <c r="R48" s="247"/>
      <c r="S48" s="248"/>
      <c r="T48" s="235" t="s">
        <v>63</v>
      </c>
      <c r="U48" s="235"/>
      <c r="V48" s="235"/>
      <c r="W48" s="235"/>
      <c r="X48" s="235"/>
      <c r="Y48" s="235"/>
      <c r="Z48" s="235"/>
      <c r="AA48" s="235"/>
      <c r="AB48" s="236"/>
      <c r="AD48" s="49"/>
      <c r="AF48" s="50"/>
      <c r="AG48" s="50"/>
    </row>
    <row r="49" spans="1:33" ht="22.5" customHeight="1" thickTop="1">
      <c r="A49" s="227" t="s">
        <v>73</v>
      </c>
      <c r="B49" s="200" t="s">
        <v>74</v>
      </c>
      <c r="C49" s="200" t="s">
        <v>75</v>
      </c>
      <c r="D49" s="200"/>
      <c r="E49" s="200"/>
      <c r="F49" s="200"/>
      <c r="G49" s="200" t="s">
        <v>76</v>
      </c>
      <c r="H49" s="200"/>
      <c r="I49" s="200"/>
      <c r="J49" s="200"/>
      <c r="K49" s="200"/>
      <c r="L49" s="200"/>
      <c r="M49" s="195" t="s">
        <v>77</v>
      </c>
      <c r="N49" s="195" t="s">
        <v>78</v>
      </c>
      <c r="O49" s="200" t="s">
        <v>79</v>
      </c>
      <c r="P49" s="201"/>
      <c r="Q49" s="203" t="s">
        <v>80</v>
      </c>
      <c r="R49" s="204"/>
      <c r="S49" s="204"/>
      <c r="T49" s="204"/>
      <c r="U49" s="204"/>
      <c r="V49" s="205"/>
      <c r="W49" s="204" t="s">
        <v>119</v>
      </c>
      <c r="X49" s="204"/>
      <c r="Y49" s="204"/>
      <c r="Z49" s="204"/>
      <c r="AA49" s="204"/>
      <c r="AB49" s="205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97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AD9" sqref="AD9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3320312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120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30" ht="33" customHeight="1" thickBot="1">
      <c r="A2" s="490" t="s">
        <v>124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126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8</v>
      </c>
      <c r="V3" s="466"/>
      <c r="W3" s="466" t="s">
        <v>68</v>
      </c>
      <c r="X3" s="466"/>
      <c r="Y3" s="466" t="s">
        <v>10</v>
      </c>
      <c r="Z3" s="466"/>
      <c r="AA3" s="466" t="s">
        <v>70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71</v>
      </c>
      <c r="B5" s="302"/>
      <c r="C5" s="480" t="s">
        <v>241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D6" s="654" t="s">
        <v>314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  <c r="AD7" s="654" t="s">
        <v>317</v>
      </c>
    </row>
    <row r="8" spans="1:30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298</v>
      </c>
      <c r="H8" s="8"/>
      <c r="I8" s="8"/>
      <c r="J8" s="8"/>
      <c r="K8" s="8"/>
      <c r="L8" s="9"/>
      <c r="M8" s="3" t="s">
        <v>182</v>
      </c>
      <c r="N8" s="10">
        <v>1</v>
      </c>
      <c r="O8" s="88">
        <f>216000*1.5</f>
        <v>324000</v>
      </c>
      <c r="P8" s="79"/>
      <c r="Q8" s="562"/>
      <c r="R8" s="563"/>
      <c r="S8" s="585">
        <f>N8*O8</f>
        <v>324000</v>
      </c>
      <c r="T8" s="586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356400</v>
      </c>
      <c r="AD8" s="654" t="s">
        <v>325</v>
      </c>
    </row>
    <row r="9" spans="1:30" ht="18.95" customHeight="1">
      <c r="A9" s="493"/>
      <c r="B9" s="14">
        <v>2</v>
      </c>
      <c r="C9" s="15" t="s">
        <v>183</v>
      </c>
      <c r="D9" s="16"/>
      <c r="E9" s="16"/>
      <c r="F9" s="17"/>
      <c r="G9" s="18" t="s">
        <v>300</v>
      </c>
      <c r="H9" s="19"/>
      <c r="I9" s="19"/>
      <c r="J9" s="19"/>
      <c r="K9" s="19"/>
      <c r="L9" s="20"/>
      <c r="M9" s="14" t="s">
        <v>182</v>
      </c>
      <c r="N9" s="21">
        <v>1</v>
      </c>
      <c r="O9" s="86">
        <v>16200</v>
      </c>
      <c r="P9" s="65"/>
      <c r="Q9" s="539"/>
      <c r="R9" s="540"/>
      <c r="S9" s="583">
        <f>N9*O9</f>
        <v>16200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21" si="0">ROUND(O9*1.1,-2)</f>
        <v>17800</v>
      </c>
    </row>
    <row r="10" spans="1:30" ht="18.95" customHeight="1">
      <c r="A10" s="493"/>
      <c r="B10" s="14">
        <v>3</v>
      </c>
      <c r="C10" s="15" t="s">
        <v>209</v>
      </c>
      <c r="D10" s="16"/>
      <c r="E10" s="16"/>
      <c r="F10" s="17"/>
      <c r="G10" s="18" t="s">
        <v>301</v>
      </c>
      <c r="H10" s="19"/>
      <c r="I10" s="19"/>
      <c r="J10" s="19"/>
      <c r="K10" s="19"/>
      <c r="L10" s="20"/>
      <c r="M10" s="14" t="s">
        <v>181</v>
      </c>
      <c r="N10" s="21">
        <v>1</v>
      </c>
      <c r="O10" s="62">
        <v>1632000</v>
      </c>
      <c r="P10" s="65"/>
      <c r="Q10" s="539"/>
      <c r="R10" s="540"/>
      <c r="S10" s="583">
        <f t="shared" ref="S10:S16" si="1">N10*O10</f>
        <v>1632000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0"/>
        <v>1795200</v>
      </c>
    </row>
    <row r="11" spans="1:30" ht="18.95" customHeight="1">
      <c r="A11" s="493"/>
      <c r="B11" s="14">
        <v>4</v>
      </c>
      <c r="C11" s="15" t="s">
        <v>220</v>
      </c>
      <c r="D11" s="16"/>
      <c r="E11" s="16"/>
      <c r="F11" s="17"/>
      <c r="G11" s="18" t="s">
        <v>280</v>
      </c>
      <c r="H11" s="19"/>
      <c r="I11" s="19"/>
      <c r="J11" s="19"/>
      <c r="K11" s="19"/>
      <c r="L11" s="20"/>
      <c r="M11" s="14" t="s">
        <v>242</v>
      </c>
      <c r="N11" s="21">
        <v>1</v>
      </c>
      <c r="O11" s="86">
        <v>155250</v>
      </c>
      <c r="P11" s="65"/>
      <c r="Q11" s="539"/>
      <c r="R11" s="540"/>
      <c r="S11" s="583">
        <f t="shared" si="1"/>
        <v>155250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0"/>
        <v>170800</v>
      </c>
    </row>
    <row r="12" spans="1:30" ht="18.95" customHeight="1">
      <c r="A12" s="493"/>
      <c r="B12" s="14">
        <v>5</v>
      </c>
      <c r="C12" s="15" t="s">
        <v>235</v>
      </c>
      <c r="D12" s="16"/>
      <c r="E12" s="16"/>
      <c r="F12" s="17"/>
      <c r="G12" s="18" t="s">
        <v>276</v>
      </c>
      <c r="H12" s="19"/>
      <c r="I12" s="19"/>
      <c r="J12" s="19"/>
      <c r="K12" s="19"/>
      <c r="L12" s="20"/>
      <c r="M12" s="14" t="s">
        <v>242</v>
      </c>
      <c r="N12" s="21">
        <v>1</v>
      </c>
      <c r="O12" s="86">
        <v>138000</v>
      </c>
      <c r="P12" s="65"/>
      <c r="Q12" s="539"/>
      <c r="R12" s="540"/>
      <c r="S12" s="583">
        <f t="shared" si="1"/>
        <v>138000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>
        <f t="shared" si="0"/>
        <v>151800</v>
      </c>
    </row>
    <row r="13" spans="1:30" ht="18.95" customHeight="1">
      <c r="A13" s="493"/>
      <c r="B13" s="14">
        <v>6</v>
      </c>
      <c r="C13" s="15" t="s">
        <v>236</v>
      </c>
      <c r="D13" s="16"/>
      <c r="E13" s="16"/>
      <c r="F13" s="17"/>
      <c r="G13" s="18" t="s">
        <v>302</v>
      </c>
      <c r="H13" s="19"/>
      <c r="I13" s="19"/>
      <c r="J13" s="19"/>
      <c r="K13" s="19"/>
      <c r="L13" s="20"/>
      <c r="M13" s="14" t="s">
        <v>242</v>
      </c>
      <c r="N13" s="21">
        <v>8</v>
      </c>
      <c r="O13" s="86">
        <v>58050</v>
      </c>
      <c r="P13" s="65"/>
      <c r="Q13" s="539"/>
      <c r="R13" s="540"/>
      <c r="S13" s="583">
        <f t="shared" si="1"/>
        <v>464400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>
        <f t="shared" si="0"/>
        <v>63900</v>
      </c>
    </row>
    <row r="14" spans="1:30" ht="18.95" customHeight="1">
      <c r="A14" s="493"/>
      <c r="B14" s="14">
        <v>7</v>
      </c>
      <c r="C14" s="15" t="s">
        <v>237</v>
      </c>
      <c r="D14" s="16"/>
      <c r="E14" s="16"/>
      <c r="F14" s="17"/>
      <c r="G14" s="18" t="s">
        <v>302</v>
      </c>
      <c r="H14" s="19"/>
      <c r="I14" s="19"/>
      <c r="J14" s="19"/>
      <c r="K14" s="19"/>
      <c r="L14" s="20"/>
      <c r="M14" s="14" t="s">
        <v>181</v>
      </c>
      <c r="N14" s="21">
        <v>1</v>
      </c>
      <c r="O14" s="86">
        <v>233550</v>
      </c>
      <c r="P14" s="65"/>
      <c r="Q14" s="539"/>
      <c r="R14" s="540"/>
      <c r="S14" s="583">
        <f t="shared" si="1"/>
        <v>233550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>
        <f t="shared" si="0"/>
        <v>256900</v>
      </c>
    </row>
    <row r="15" spans="1:30" ht="18.95" customHeight="1">
      <c r="A15" s="493"/>
      <c r="B15" s="14">
        <v>8</v>
      </c>
      <c r="C15" s="15" t="s">
        <v>198</v>
      </c>
      <c r="D15" s="16"/>
      <c r="E15" s="16"/>
      <c r="F15" s="17"/>
      <c r="G15" s="18" t="s">
        <v>287</v>
      </c>
      <c r="H15" s="19"/>
      <c r="I15" s="19"/>
      <c r="J15" s="19"/>
      <c r="K15" s="19"/>
      <c r="L15" s="20"/>
      <c r="M15" s="14" t="s">
        <v>242</v>
      </c>
      <c r="N15" s="21">
        <v>1</v>
      </c>
      <c r="O15" s="86">
        <v>120000</v>
      </c>
      <c r="P15" s="65"/>
      <c r="Q15" s="553"/>
      <c r="R15" s="554"/>
      <c r="S15" s="583">
        <f t="shared" si="1"/>
        <v>120000</v>
      </c>
      <c r="T15" s="584"/>
      <c r="U15" s="559"/>
      <c r="V15" s="560"/>
      <c r="W15" s="22"/>
      <c r="X15" s="23"/>
      <c r="Y15" s="545"/>
      <c r="Z15" s="546"/>
      <c r="AA15" s="547"/>
      <c r="AB15" s="548"/>
      <c r="AC15" s="13">
        <f t="shared" si="0"/>
        <v>132000</v>
      </c>
    </row>
    <row r="16" spans="1:30" ht="18.95" customHeight="1">
      <c r="A16" s="493"/>
      <c r="B16" s="14">
        <v>9</v>
      </c>
      <c r="C16" s="15" t="s">
        <v>210</v>
      </c>
      <c r="D16" s="16"/>
      <c r="E16" s="16"/>
      <c r="F16" s="17"/>
      <c r="G16" s="18" t="s">
        <v>277</v>
      </c>
      <c r="H16" s="19"/>
      <c r="I16" s="19"/>
      <c r="J16" s="19"/>
      <c r="K16" s="19"/>
      <c r="L16" s="20"/>
      <c r="M16" s="14" t="s">
        <v>181</v>
      </c>
      <c r="N16" s="21">
        <v>1</v>
      </c>
      <c r="O16" s="86">
        <v>33750</v>
      </c>
      <c r="P16" s="65"/>
      <c r="Q16" s="539"/>
      <c r="R16" s="540"/>
      <c r="S16" s="583">
        <f t="shared" si="1"/>
        <v>33750</v>
      </c>
      <c r="T16" s="584"/>
      <c r="U16" s="559"/>
      <c r="V16" s="560"/>
      <c r="W16" s="22"/>
      <c r="X16" s="23"/>
      <c r="Y16" s="545"/>
      <c r="Z16" s="546"/>
      <c r="AA16" s="547"/>
      <c r="AB16" s="548"/>
      <c r="AC16" s="13">
        <f t="shared" si="0"/>
        <v>37100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0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0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0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0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0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/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/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/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25"/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/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3117150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513">
        <f>Q28</f>
        <v>0</v>
      </c>
      <c r="H30" s="514"/>
      <c r="I30" s="515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516">
        <f>S28+S87</f>
        <v>3117150</v>
      </c>
      <c r="H31" s="517"/>
      <c r="I31" s="518"/>
      <c r="J31" s="385"/>
      <c r="K31" s="386"/>
      <c r="L31" s="387"/>
      <c r="M31" s="378"/>
      <c r="N31" s="388" t="s">
        <v>96</v>
      </c>
      <c r="O31" s="388"/>
      <c r="P31" s="388"/>
      <c r="Q31" s="388">
        <v>8</v>
      </c>
      <c r="R31" s="388"/>
      <c r="S31" s="389">
        <v>24000</v>
      </c>
      <c r="T31" s="389"/>
      <c r="U31" s="390">
        <f>S31*Q31</f>
        <v>192000</v>
      </c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333">
        <f>U28</f>
        <v>0</v>
      </c>
      <c r="H32" s="334"/>
      <c r="I32" s="335"/>
      <c r="J32" s="357"/>
      <c r="K32" s="358"/>
      <c r="L32" s="359"/>
      <c r="M32" s="378"/>
      <c r="N32" s="313" t="s">
        <v>98</v>
      </c>
      <c r="O32" s="314"/>
      <c r="P32" s="315"/>
      <c r="Q32" s="313">
        <v>10</v>
      </c>
      <c r="R32" s="315"/>
      <c r="S32" s="326">
        <v>24000</v>
      </c>
      <c r="T32" s="327"/>
      <c r="U32" s="328">
        <f>S32*Q32</f>
        <v>240000</v>
      </c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253">
        <f>(G30+G31+G32)</f>
        <v>3117150</v>
      </c>
      <c r="H33" s="254"/>
      <c r="I33" s="255"/>
      <c r="J33" s="349"/>
      <c r="K33" s="350"/>
      <c r="L33" s="351"/>
      <c r="M33" s="378"/>
      <c r="N33" s="313" t="s">
        <v>100</v>
      </c>
      <c r="O33" s="314"/>
      <c r="P33" s="315"/>
      <c r="Q33" s="313">
        <v>5</v>
      </c>
      <c r="R33" s="315"/>
      <c r="S33" s="326">
        <v>24000</v>
      </c>
      <c r="T33" s="327"/>
      <c r="U33" s="328">
        <f>S33*Q33</f>
        <v>120000</v>
      </c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340">
        <f>U38</f>
        <v>552000</v>
      </c>
      <c r="H34" s="341"/>
      <c r="I34" s="342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307">
        <f>G34*0.1</f>
        <v>55200</v>
      </c>
      <c r="H35" s="308"/>
      <c r="I35" s="309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333">
        <f>G34+G35</f>
        <v>607200</v>
      </c>
      <c r="H36" s="334"/>
      <c r="I36" s="335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253">
        <f>G33+G36</f>
        <v>3724350</v>
      </c>
      <c r="H37" s="254"/>
      <c r="I37" s="255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253">
        <f>((G30*0.01)+(G31*0.01)+(G32*0.02))</f>
        <v>31171.5</v>
      </c>
      <c r="H38" s="254"/>
      <c r="I38" s="255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552000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253">
        <f>G36*0.15</f>
        <v>91080</v>
      </c>
      <c r="H39" s="254"/>
      <c r="I39" s="255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253">
        <f>(G36+G39)*0.15</f>
        <v>104742</v>
      </c>
      <c r="H40" s="254"/>
      <c r="I40" s="255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253">
        <v>0</v>
      </c>
      <c r="H41" s="254"/>
      <c r="I41" s="255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253">
        <v>0</v>
      </c>
      <c r="H42" s="254"/>
      <c r="I42" s="255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194487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506">
        <f>SUM(G37:I43)</f>
        <v>4145830.5</v>
      </c>
      <c r="H44" s="507"/>
      <c r="I44" s="508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232" t="s">
        <v>71</v>
      </c>
      <c r="B48" s="233"/>
      <c r="C48" s="234" t="str">
        <f>C5</f>
        <v>SDI</v>
      </c>
      <c r="D48" s="235"/>
      <c r="E48" s="235"/>
      <c r="F48" s="235"/>
      <c r="G48" s="235"/>
      <c r="H48" s="235"/>
      <c r="I48" s="235"/>
      <c r="J48" s="246"/>
      <c r="K48" s="247"/>
      <c r="L48" s="247"/>
      <c r="M48" s="247"/>
      <c r="N48" s="247"/>
      <c r="O48" s="247"/>
      <c r="P48" s="247"/>
      <c r="Q48" s="247"/>
      <c r="R48" s="247"/>
      <c r="S48" s="248"/>
      <c r="T48" s="235" t="s">
        <v>63</v>
      </c>
      <c r="U48" s="235"/>
      <c r="V48" s="235"/>
      <c r="W48" s="235"/>
      <c r="X48" s="235"/>
      <c r="Y48" s="235"/>
      <c r="Z48" s="235"/>
      <c r="AA48" s="235"/>
      <c r="AB48" s="236"/>
      <c r="AD48" s="49"/>
      <c r="AF48" s="50"/>
      <c r="AG48" s="50"/>
    </row>
    <row r="49" spans="1:33" ht="22.5" customHeight="1" thickTop="1">
      <c r="A49" s="227" t="s">
        <v>73</v>
      </c>
      <c r="B49" s="200" t="s">
        <v>74</v>
      </c>
      <c r="C49" s="200" t="s">
        <v>75</v>
      </c>
      <c r="D49" s="200"/>
      <c r="E49" s="200"/>
      <c r="F49" s="200"/>
      <c r="G49" s="200" t="s">
        <v>76</v>
      </c>
      <c r="H49" s="200"/>
      <c r="I49" s="200"/>
      <c r="J49" s="200"/>
      <c r="K49" s="200"/>
      <c r="L49" s="200"/>
      <c r="M49" s="195" t="s">
        <v>77</v>
      </c>
      <c r="N49" s="195" t="s">
        <v>78</v>
      </c>
      <c r="O49" s="200" t="s">
        <v>79</v>
      </c>
      <c r="P49" s="201"/>
      <c r="Q49" s="203" t="s">
        <v>80</v>
      </c>
      <c r="R49" s="204"/>
      <c r="S49" s="204"/>
      <c r="T49" s="204"/>
      <c r="U49" s="204"/>
      <c r="V49" s="205"/>
      <c r="W49" s="204" t="s">
        <v>119</v>
      </c>
      <c r="X49" s="204"/>
      <c r="Y49" s="204"/>
      <c r="Z49" s="204"/>
      <c r="AA49" s="204"/>
      <c r="AB49" s="205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G15" sqref="G15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>
      <c r="A1" s="484" t="s">
        <v>120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29" ht="33" customHeight="1" thickBot="1">
      <c r="A2" s="490" t="s">
        <v>124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29" ht="18" customHeight="1" thickTop="1">
      <c r="A3" s="471" t="s">
        <v>126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8</v>
      </c>
      <c r="V3" s="466"/>
      <c r="W3" s="466" t="s">
        <v>68</v>
      </c>
      <c r="X3" s="466"/>
      <c r="Y3" s="466" t="s">
        <v>10</v>
      </c>
      <c r="Z3" s="466"/>
      <c r="AA3" s="466" t="s">
        <v>70</v>
      </c>
      <c r="AB3" s="469"/>
    </row>
    <row r="4" spans="1:29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29" ht="32.25" customHeight="1" thickBot="1">
      <c r="A5" s="266" t="s">
        <v>71</v>
      </c>
      <c r="B5" s="302"/>
      <c r="C5" s="480" t="s">
        <v>243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29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</row>
    <row r="7" spans="1:29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</row>
    <row r="8" spans="1:29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298</v>
      </c>
      <c r="H8" s="8"/>
      <c r="I8" s="8"/>
      <c r="J8" s="8"/>
      <c r="K8" s="8"/>
      <c r="L8" s="9"/>
      <c r="M8" s="3" t="s">
        <v>85</v>
      </c>
      <c r="N8" s="10">
        <v>1</v>
      </c>
      <c r="O8" s="88">
        <v>324000</v>
      </c>
      <c r="P8" s="56"/>
      <c r="Q8" s="562"/>
      <c r="R8" s="563"/>
      <c r="S8" s="585">
        <f t="shared" ref="S8:S14" si="0">N8*O8</f>
        <v>324000</v>
      </c>
      <c r="T8" s="586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356400</v>
      </c>
    </row>
    <row r="9" spans="1:29" ht="18.95" customHeight="1">
      <c r="A9" s="493"/>
      <c r="B9" s="14">
        <v>2</v>
      </c>
      <c r="C9" s="15" t="s">
        <v>209</v>
      </c>
      <c r="D9" s="16"/>
      <c r="E9" s="16"/>
      <c r="F9" s="17"/>
      <c r="G9" s="18" t="s">
        <v>289</v>
      </c>
      <c r="H9" s="19"/>
      <c r="I9" s="19"/>
      <c r="J9" s="19"/>
      <c r="K9" s="19"/>
      <c r="L9" s="20"/>
      <c r="M9" s="14" t="s">
        <v>185</v>
      </c>
      <c r="N9" s="21">
        <v>1</v>
      </c>
      <c r="O9" s="86">
        <v>1000000</v>
      </c>
      <c r="P9" s="63"/>
      <c r="Q9" s="539"/>
      <c r="R9" s="540"/>
      <c r="S9" s="583">
        <f t="shared" si="0"/>
        <v>1000000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51" si="1">ROUND(O9*1.1,-2)</f>
        <v>1100000</v>
      </c>
    </row>
    <row r="10" spans="1:29" ht="18.95" customHeight="1">
      <c r="A10" s="493"/>
      <c r="B10" s="14">
        <v>3</v>
      </c>
      <c r="C10" s="15" t="s">
        <v>220</v>
      </c>
      <c r="D10" s="16"/>
      <c r="E10" s="16"/>
      <c r="F10" s="17"/>
      <c r="G10" s="18" t="s">
        <v>280</v>
      </c>
      <c r="H10" s="19"/>
      <c r="I10" s="19"/>
      <c r="J10" s="19"/>
      <c r="K10" s="19"/>
      <c r="L10" s="20"/>
      <c r="M10" s="14" t="s">
        <v>185</v>
      </c>
      <c r="N10" s="21">
        <v>1</v>
      </c>
      <c r="O10" s="86">
        <v>206550</v>
      </c>
      <c r="P10" s="63"/>
      <c r="Q10" s="539"/>
      <c r="R10" s="540"/>
      <c r="S10" s="583">
        <f t="shared" si="0"/>
        <v>206550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227200</v>
      </c>
    </row>
    <row r="11" spans="1:29" ht="18.95" customHeight="1">
      <c r="A11" s="493"/>
      <c r="B11" s="14">
        <v>4</v>
      </c>
      <c r="C11" s="15" t="s">
        <v>235</v>
      </c>
      <c r="D11" s="16"/>
      <c r="E11" s="16"/>
      <c r="F11" s="17"/>
      <c r="G11" s="18" t="s">
        <v>276</v>
      </c>
      <c r="H11" s="19"/>
      <c r="I11" s="19"/>
      <c r="J11" s="19"/>
      <c r="K11" s="19"/>
      <c r="L11" s="20"/>
      <c r="M11" s="14" t="s">
        <v>185</v>
      </c>
      <c r="N11" s="21">
        <v>1</v>
      </c>
      <c r="O11" s="86">
        <v>137931</v>
      </c>
      <c r="P11" s="63"/>
      <c r="Q11" s="539"/>
      <c r="R11" s="540"/>
      <c r="S11" s="583">
        <f t="shared" si="0"/>
        <v>137931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151700</v>
      </c>
    </row>
    <row r="12" spans="1:29" ht="18.95" customHeight="1">
      <c r="A12" s="493"/>
      <c r="B12" s="14">
        <v>5</v>
      </c>
      <c r="C12" s="15" t="s">
        <v>236</v>
      </c>
      <c r="D12" s="16"/>
      <c r="E12" s="16"/>
      <c r="F12" s="17"/>
      <c r="G12" s="18" t="s">
        <v>302</v>
      </c>
      <c r="H12" s="19"/>
      <c r="I12" s="19"/>
      <c r="J12" s="19"/>
      <c r="K12" s="19"/>
      <c r="L12" s="20"/>
      <c r="M12" s="14" t="s">
        <v>26</v>
      </c>
      <c r="N12" s="21">
        <v>8</v>
      </c>
      <c r="O12" s="86">
        <v>64800</v>
      </c>
      <c r="P12" s="65"/>
      <c r="Q12" s="539"/>
      <c r="R12" s="540"/>
      <c r="S12" s="583">
        <f t="shared" si="0"/>
        <v>518400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71300</v>
      </c>
    </row>
    <row r="13" spans="1:29" ht="18.95" customHeight="1">
      <c r="A13" s="493"/>
      <c r="B13" s="14">
        <v>6</v>
      </c>
      <c r="C13" s="15" t="s">
        <v>198</v>
      </c>
      <c r="D13" s="16"/>
      <c r="E13" s="16"/>
      <c r="F13" s="17"/>
      <c r="G13" s="18" t="s">
        <v>287</v>
      </c>
      <c r="H13" s="19"/>
      <c r="I13" s="19"/>
      <c r="J13" s="19"/>
      <c r="K13" s="19"/>
      <c r="L13" s="20"/>
      <c r="M13" s="14" t="s">
        <v>26</v>
      </c>
      <c r="N13" s="21">
        <v>1</v>
      </c>
      <c r="O13" s="86">
        <v>120000</v>
      </c>
      <c r="P13" s="65"/>
      <c r="Q13" s="539"/>
      <c r="R13" s="540"/>
      <c r="S13" s="583">
        <f t="shared" si="0"/>
        <v>120000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132000</v>
      </c>
    </row>
    <row r="14" spans="1:29" ht="18.95" customHeight="1">
      <c r="A14" s="493"/>
      <c r="B14" s="14">
        <v>7</v>
      </c>
      <c r="C14" s="15" t="s">
        <v>210</v>
      </c>
      <c r="D14" s="16"/>
      <c r="E14" s="16"/>
      <c r="F14" s="17"/>
      <c r="G14" s="18" t="s">
        <v>277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6">
        <v>33750</v>
      </c>
      <c r="P14" s="65"/>
      <c r="Q14" s="539"/>
      <c r="R14" s="540"/>
      <c r="S14" s="583">
        <f t="shared" si="0"/>
        <v>33750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37100</v>
      </c>
    </row>
    <row r="15" spans="1:29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0</v>
      </c>
    </row>
    <row r="16" spans="1:29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1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1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1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1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1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1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  <c r="AC27" s="13">
        <f t="shared" si="1"/>
        <v>0</v>
      </c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2340631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  <c r="AC28" s="13">
        <f t="shared" si="1"/>
        <v>0</v>
      </c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  <c r="AC29" s="13">
        <f t="shared" si="1"/>
        <v>0</v>
      </c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648">
        <f>Q28</f>
        <v>0</v>
      </c>
      <c r="H30" s="649"/>
      <c r="I30" s="650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  <c r="AC30" s="13">
        <f t="shared" si="1"/>
        <v>0</v>
      </c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651">
        <f>S28+S87</f>
        <v>2340631</v>
      </c>
      <c r="H31" s="652"/>
      <c r="I31" s="653"/>
      <c r="J31" s="385"/>
      <c r="K31" s="386"/>
      <c r="L31" s="387"/>
      <c r="M31" s="378"/>
      <c r="N31" s="388" t="s">
        <v>96</v>
      </c>
      <c r="O31" s="388"/>
      <c r="P31" s="388"/>
      <c r="Q31" s="388">
        <v>8</v>
      </c>
      <c r="R31" s="388"/>
      <c r="S31" s="389">
        <v>24000</v>
      </c>
      <c r="T31" s="389"/>
      <c r="U31" s="390">
        <f>S31*Q31</f>
        <v>192000</v>
      </c>
      <c r="V31" s="391"/>
      <c r="W31" s="392"/>
      <c r="X31" s="393"/>
      <c r="Y31" s="394"/>
      <c r="Z31" s="394"/>
      <c r="AA31" s="352"/>
      <c r="AB31" s="353"/>
      <c r="AC31" s="13">
        <f t="shared" si="1"/>
        <v>0</v>
      </c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638">
        <f>U28</f>
        <v>0</v>
      </c>
      <c r="H32" s="646"/>
      <c r="I32" s="647"/>
      <c r="J32" s="357"/>
      <c r="K32" s="358"/>
      <c r="L32" s="359"/>
      <c r="M32" s="378"/>
      <c r="N32" s="313" t="s">
        <v>98</v>
      </c>
      <c r="O32" s="314"/>
      <c r="P32" s="315"/>
      <c r="Q32" s="313">
        <v>10</v>
      </c>
      <c r="R32" s="315"/>
      <c r="S32" s="326">
        <v>24000</v>
      </c>
      <c r="T32" s="327"/>
      <c r="U32" s="328">
        <f>S32*Q32</f>
        <v>240000</v>
      </c>
      <c r="V32" s="329"/>
      <c r="W32" s="346"/>
      <c r="X32" s="347"/>
      <c r="Y32" s="348"/>
      <c r="Z32" s="348"/>
      <c r="AA32" s="336"/>
      <c r="AB32" s="337"/>
      <c r="AC32" s="13">
        <f t="shared" si="1"/>
        <v>0</v>
      </c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632">
        <f>(G30+G31+G32)</f>
        <v>2340631</v>
      </c>
      <c r="H33" s="644"/>
      <c r="I33" s="645"/>
      <c r="J33" s="349"/>
      <c r="K33" s="350"/>
      <c r="L33" s="351"/>
      <c r="M33" s="378"/>
      <c r="N33" s="313" t="s">
        <v>100</v>
      </c>
      <c r="O33" s="314"/>
      <c r="P33" s="315"/>
      <c r="Q33" s="313">
        <v>5</v>
      </c>
      <c r="R33" s="315"/>
      <c r="S33" s="326">
        <v>24000</v>
      </c>
      <c r="T33" s="327"/>
      <c r="U33" s="328">
        <f>S33*Q33</f>
        <v>120000</v>
      </c>
      <c r="V33" s="329"/>
      <c r="W33" s="346"/>
      <c r="X33" s="347"/>
      <c r="Y33" s="348"/>
      <c r="Z33" s="348"/>
      <c r="AA33" s="336"/>
      <c r="AB33" s="337"/>
      <c r="AC33" s="13">
        <f t="shared" si="1"/>
        <v>0</v>
      </c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641">
        <f>U38</f>
        <v>552000</v>
      </c>
      <c r="H34" s="642"/>
      <c r="I34" s="643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  <c r="AC34" s="13">
        <f t="shared" si="1"/>
        <v>0</v>
      </c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635">
        <f>G34*0.1</f>
        <v>55200</v>
      </c>
      <c r="H35" s="636"/>
      <c r="I35" s="637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  <c r="AC35" s="13">
        <f t="shared" si="1"/>
        <v>0</v>
      </c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638">
        <f>G34+G35</f>
        <v>607200</v>
      </c>
      <c r="H36" s="639"/>
      <c r="I36" s="640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  <c r="AC36" s="13">
        <f t="shared" si="1"/>
        <v>0</v>
      </c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632">
        <f>G33+G36</f>
        <v>2947831</v>
      </c>
      <c r="H37" s="633"/>
      <c r="I37" s="634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  <c r="AC37" s="13">
        <f t="shared" si="1"/>
        <v>0</v>
      </c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632">
        <f>((G30*0.01)+(G31*0.01)+(G32*0.02))</f>
        <v>23406.31</v>
      </c>
      <c r="H38" s="633"/>
      <c r="I38" s="634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552000</v>
      </c>
      <c r="V38" s="265"/>
      <c r="W38" s="266"/>
      <c r="X38" s="267"/>
      <c r="Y38" s="267"/>
      <c r="Z38" s="302"/>
      <c r="AA38" s="303"/>
      <c r="AB38" s="304"/>
      <c r="AC38" s="13">
        <f t="shared" si="1"/>
        <v>0</v>
      </c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632">
        <f>G36*0.15</f>
        <v>91080</v>
      </c>
      <c r="H39" s="633"/>
      <c r="I39" s="634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632">
        <f>(G36+G39)*0.15</f>
        <v>104742</v>
      </c>
      <c r="H40" s="633"/>
      <c r="I40" s="634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632">
        <v>0</v>
      </c>
      <c r="H41" s="633"/>
      <c r="I41" s="634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632">
        <v>0</v>
      </c>
      <c r="H42" s="633"/>
      <c r="I42" s="634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253">
        <f>(G37+6000000)/N3</f>
        <v>178956.62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13">
        <f t="shared" si="1"/>
        <v>0</v>
      </c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629">
        <f>SUM(G37:I43)</f>
        <v>3346015.93</v>
      </c>
      <c r="H44" s="630"/>
      <c r="I44" s="631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  <c r="AC44" s="13">
        <f t="shared" si="1"/>
        <v>0</v>
      </c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  <c r="AC45" s="13">
        <f t="shared" si="1"/>
        <v>0</v>
      </c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  <c r="AC46" s="13">
        <f t="shared" si="1"/>
        <v>0</v>
      </c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C47" s="13">
        <f t="shared" si="1"/>
        <v>0</v>
      </c>
      <c r="AD47" s="49"/>
      <c r="AF47" s="50"/>
      <c r="AG47" s="50"/>
    </row>
    <row r="48" spans="1:33" ht="33" customHeight="1" thickBot="1">
      <c r="A48" s="232" t="s">
        <v>71</v>
      </c>
      <c r="B48" s="233"/>
      <c r="C48" s="234" t="str">
        <f>C5</f>
        <v>PII</v>
      </c>
      <c r="D48" s="235"/>
      <c r="E48" s="235"/>
      <c r="F48" s="235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tr">
        <f>T2</f>
        <v>2011  년    4 월    11 일</v>
      </c>
      <c r="U48" s="473"/>
      <c r="V48" s="473"/>
      <c r="W48" s="473"/>
      <c r="X48" s="473"/>
      <c r="Y48" s="473"/>
      <c r="Z48" s="473"/>
      <c r="AA48" s="473"/>
      <c r="AB48" s="491"/>
      <c r="AC48" s="13">
        <f t="shared" si="1"/>
        <v>0</v>
      </c>
      <c r="AD48" s="49"/>
      <c r="AF48" s="50"/>
      <c r="AG48" s="50"/>
    </row>
    <row r="49" spans="1:33" ht="22.5" customHeight="1" thickTop="1">
      <c r="A49" s="227" t="s">
        <v>73</v>
      </c>
      <c r="B49" s="200" t="s">
        <v>74</v>
      </c>
      <c r="C49" s="200" t="s">
        <v>75</v>
      </c>
      <c r="D49" s="200"/>
      <c r="E49" s="200"/>
      <c r="F49" s="200"/>
      <c r="G49" s="500" t="s">
        <v>76</v>
      </c>
      <c r="H49" s="500"/>
      <c r="I49" s="500"/>
      <c r="J49" s="500"/>
      <c r="K49" s="500"/>
      <c r="L49" s="500"/>
      <c r="M49" s="499" t="s">
        <v>77</v>
      </c>
      <c r="N49" s="499" t="s">
        <v>78</v>
      </c>
      <c r="O49" s="500" t="s">
        <v>79</v>
      </c>
      <c r="P49" s="501"/>
      <c r="Q49" s="502" t="s">
        <v>80</v>
      </c>
      <c r="R49" s="503"/>
      <c r="S49" s="503"/>
      <c r="T49" s="503"/>
      <c r="U49" s="503"/>
      <c r="V49" s="504"/>
      <c r="W49" s="503" t="s">
        <v>119</v>
      </c>
      <c r="X49" s="503"/>
      <c r="Y49" s="503"/>
      <c r="Z49" s="503"/>
      <c r="AA49" s="503"/>
      <c r="AB49" s="504"/>
      <c r="AC49" s="13" t="e">
        <f t="shared" si="1"/>
        <v>#VALUE!</v>
      </c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C50" s="13">
        <f t="shared" si="1"/>
        <v>0</v>
      </c>
      <c r="AD50" s="49"/>
    </row>
    <row r="51" spans="1:33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C51" s="13">
        <f t="shared" si="1"/>
        <v>0</v>
      </c>
      <c r="AD51" s="49"/>
    </row>
    <row r="52" spans="1:33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88"/>
  <sheetViews>
    <sheetView showGridLines="0" topLeftCell="A4" workbookViewId="0">
      <selection activeCell="AD11" sqref="AD11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</v>
      </c>
      <c r="U1" s="251"/>
      <c r="V1" s="251"/>
      <c r="W1" s="251"/>
      <c r="X1" s="250" t="s">
        <v>3</v>
      </c>
      <c r="Y1" s="251"/>
      <c r="Z1" s="251"/>
      <c r="AA1" s="251"/>
      <c r="AB1" s="252"/>
    </row>
    <row r="2" spans="1:30" ht="33" customHeight="1" thickBot="1">
      <c r="A2" s="490" t="s">
        <v>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5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7</v>
      </c>
      <c r="U3" s="466" t="s">
        <v>8</v>
      </c>
      <c r="V3" s="466"/>
      <c r="W3" s="466" t="s">
        <v>9</v>
      </c>
      <c r="X3" s="466"/>
      <c r="Y3" s="466" t="s">
        <v>10</v>
      </c>
      <c r="Z3" s="466"/>
      <c r="AA3" s="466" t="s">
        <v>11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12</v>
      </c>
      <c r="B5" s="302"/>
      <c r="C5" s="480" t="s">
        <v>244</v>
      </c>
      <c r="D5" s="481"/>
      <c r="E5" s="481"/>
      <c r="F5" s="481"/>
      <c r="G5" s="481"/>
      <c r="H5" s="481"/>
      <c r="I5" s="481"/>
      <c r="J5" s="480" t="s">
        <v>13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14</v>
      </c>
      <c r="B6" s="369" t="s">
        <v>15</v>
      </c>
      <c r="C6" s="369" t="s">
        <v>16</v>
      </c>
      <c r="D6" s="369"/>
      <c r="E6" s="369"/>
      <c r="F6" s="369"/>
      <c r="G6" s="369" t="s">
        <v>17</v>
      </c>
      <c r="H6" s="369"/>
      <c r="I6" s="369"/>
      <c r="J6" s="369"/>
      <c r="K6" s="369"/>
      <c r="L6" s="369"/>
      <c r="M6" s="494" t="s">
        <v>18</v>
      </c>
      <c r="N6" s="494" t="s">
        <v>19</v>
      </c>
      <c r="O6" s="459" t="s">
        <v>20</v>
      </c>
      <c r="P6" s="460"/>
      <c r="Q6" s="463" t="s">
        <v>21</v>
      </c>
      <c r="R6" s="463"/>
      <c r="S6" s="463"/>
      <c r="T6" s="463"/>
      <c r="U6" s="463"/>
      <c r="V6" s="464"/>
      <c r="W6" s="463" t="s">
        <v>22</v>
      </c>
      <c r="X6" s="463"/>
      <c r="Y6" s="463"/>
      <c r="Z6" s="463"/>
      <c r="AA6" s="463"/>
      <c r="AB6" s="464"/>
      <c r="AD6" s="113" t="s">
        <v>326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24</v>
      </c>
      <c r="T7" s="466"/>
      <c r="U7" s="297" t="s">
        <v>25</v>
      </c>
      <c r="V7" s="467"/>
      <c r="W7" s="297" t="s">
        <v>23</v>
      </c>
      <c r="X7" s="297"/>
      <c r="Y7" s="296" t="s">
        <v>24</v>
      </c>
      <c r="Z7" s="465"/>
      <c r="AA7" s="297" t="s">
        <v>25</v>
      </c>
      <c r="AB7" s="467"/>
      <c r="AC7" s="2"/>
      <c r="AD7" s="654" t="s">
        <v>314</v>
      </c>
    </row>
    <row r="8" spans="1:30" ht="18.95" customHeight="1">
      <c r="A8" s="493"/>
      <c r="B8" s="3">
        <v>1</v>
      </c>
      <c r="C8" s="4" t="s">
        <v>192</v>
      </c>
      <c r="D8" s="5"/>
      <c r="E8" s="5"/>
      <c r="F8" s="6"/>
      <c r="G8" s="7" t="s">
        <v>298</v>
      </c>
      <c r="H8" s="8"/>
      <c r="I8" s="8"/>
      <c r="J8" s="8"/>
      <c r="K8" s="8"/>
      <c r="L8" s="9"/>
      <c r="M8" s="3" t="s">
        <v>26</v>
      </c>
      <c r="N8" s="10">
        <v>1</v>
      </c>
      <c r="O8" s="88">
        <v>550000</v>
      </c>
      <c r="P8" s="56"/>
      <c r="Q8" s="562"/>
      <c r="R8" s="563"/>
      <c r="S8" s="585">
        <f t="shared" ref="S8:S15" si="0">N8*O8</f>
        <v>550000</v>
      </c>
      <c r="T8" s="586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605000</v>
      </c>
      <c r="AD8" s="658" t="s">
        <v>327</v>
      </c>
    </row>
    <row r="9" spans="1:30" ht="18.95" customHeight="1">
      <c r="A9" s="493"/>
      <c r="B9" s="14">
        <v>2</v>
      </c>
      <c r="C9" s="15" t="s">
        <v>209</v>
      </c>
      <c r="D9" s="16"/>
      <c r="E9" s="16"/>
      <c r="F9" s="17"/>
      <c r="G9" s="18" t="s">
        <v>301</v>
      </c>
      <c r="H9" s="19"/>
      <c r="I9" s="19"/>
      <c r="J9" s="19"/>
      <c r="K9" s="19"/>
      <c r="L9" s="20"/>
      <c r="M9" s="14" t="s">
        <v>26</v>
      </c>
      <c r="N9" s="21">
        <v>1</v>
      </c>
      <c r="O9" s="86">
        <v>1632000</v>
      </c>
      <c r="P9" s="63"/>
      <c r="Q9" s="539"/>
      <c r="R9" s="540"/>
      <c r="S9" s="583">
        <f t="shared" si="0"/>
        <v>1632000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51" si="1">ROUND(O9*1.1,-2)</f>
        <v>1795200</v>
      </c>
      <c r="AD9" s="654" t="s">
        <v>317</v>
      </c>
    </row>
    <row r="10" spans="1:30" ht="18.95" customHeight="1">
      <c r="A10" s="493"/>
      <c r="B10" s="14">
        <v>3</v>
      </c>
      <c r="C10" s="15" t="s">
        <v>220</v>
      </c>
      <c r="D10" s="16"/>
      <c r="E10" s="16"/>
      <c r="F10" s="17"/>
      <c r="G10" s="18" t="s">
        <v>280</v>
      </c>
      <c r="H10" s="19"/>
      <c r="I10" s="19"/>
      <c r="J10" s="19"/>
      <c r="K10" s="19"/>
      <c r="L10" s="20"/>
      <c r="M10" s="14" t="s">
        <v>26</v>
      </c>
      <c r="N10" s="21">
        <v>1</v>
      </c>
      <c r="O10" s="86">
        <v>283500</v>
      </c>
      <c r="P10" s="63"/>
      <c r="Q10" s="539"/>
      <c r="R10" s="540"/>
      <c r="S10" s="583">
        <f t="shared" si="0"/>
        <v>283500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311900</v>
      </c>
      <c r="AD10" s="654" t="s">
        <v>328</v>
      </c>
    </row>
    <row r="11" spans="1:30" ht="18.95" customHeight="1">
      <c r="A11" s="493"/>
      <c r="B11" s="14">
        <v>4</v>
      </c>
      <c r="C11" s="15" t="s">
        <v>235</v>
      </c>
      <c r="D11" s="16"/>
      <c r="E11" s="16"/>
      <c r="F11" s="17"/>
      <c r="G11" s="18" t="s">
        <v>276</v>
      </c>
      <c r="H11" s="19"/>
      <c r="I11" s="19"/>
      <c r="J11" s="19"/>
      <c r="K11" s="19"/>
      <c r="L11" s="20"/>
      <c r="M11" s="14" t="s">
        <v>26</v>
      </c>
      <c r="N11" s="21">
        <v>1</v>
      </c>
      <c r="O11" s="86">
        <v>62281</v>
      </c>
      <c r="P11" s="63"/>
      <c r="Q11" s="539"/>
      <c r="R11" s="540"/>
      <c r="S11" s="583">
        <f t="shared" si="0"/>
        <v>62281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68500</v>
      </c>
    </row>
    <row r="12" spans="1:30" ht="18.95" customHeight="1">
      <c r="A12" s="493"/>
      <c r="B12" s="14">
        <v>5</v>
      </c>
      <c r="C12" s="15"/>
      <c r="D12" s="16"/>
      <c r="E12" s="16"/>
      <c r="F12" s="17"/>
      <c r="G12" s="18" t="s">
        <v>286</v>
      </c>
      <c r="H12" s="19"/>
      <c r="I12" s="19"/>
      <c r="J12" s="19"/>
      <c r="K12" s="19"/>
      <c r="L12" s="20"/>
      <c r="M12" s="14" t="s">
        <v>26</v>
      </c>
      <c r="N12" s="21">
        <v>1</v>
      </c>
      <c r="O12" s="86">
        <v>41850</v>
      </c>
      <c r="P12" s="65"/>
      <c r="Q12" s="539"/>
      <c r="R12" s="540"/>
      <c r="S12" s="583">
        <f t="shared" si="0"/>
        <v>41850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46000</v>
      </c>
    </row>
    <row r="13" spans="1:30" ht="18.95" customHeight="1">
      <c r="A13" s="493"/>
      <c r="B13" s="14">
        <v>6</v>
      </c>
      <c r="C13" s="15" t="s">
        <v>245</v>
      </c>
      <c r="D13" s="16"/>
      <c r="E13" s="16"/>
      <c r="F13" s="17"/>
      <c r="G13" s="18" t="s">
        <v>278</v>
      </c>
      <c r="H13" s="19"/>
      <c r="I13" s="19"/>
      <c r="J13" s="19"/>
      <c r="K13" s="19"/>
      <c r="L13" s="20"/>
      <c r="M13" s="14" t="s">
        <v>26</v>
      </c>
      <c r="N13" s="21">
        <v>1</v>
      </c>
      <c r="O13" s="86">
        <v>337500</v>
      </c>
      <c r="P13" s="65"/>
      <c r="Q13" s="539"/>
      <c r="R13" s="540"/>
      <c r="S13" s="583">
        <f t="shared" si="0"/>
        <v>337500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371300</v>
      </c>
    </row>
    <row r="14" spans="1:30" ht="18.95" customHeight="1">
      <c r="A14" s="493"/>
      <c r="B14" s="14">
        <v>7</v>
      </c>
      <c r="C14" s="15" t="s">
        <v>198</v>
      </c>
      <c r="D14" s="16"/>
      <c r="E14" s="16"/>
      <c r="F14" s="17"/>
      <c r="G14" s="18" t="s">
        <v>287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6">
        <v>120000</v>
      </c>
      <c r="P14" s="65"/>
      <c r="Q14" s="539"/>
      <c r="R14" s="540"/>
      <c r="S14" s="583">
        <f t="shared" si="0"/>
        <v>120000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132000</v>
      </c>
    </row>
    <row r="15" spans="1:30" ht="18.95" customHeight="1">
      <c r="A15" s="493"/>
      <c r="B15" s="14">
        <v>8</v>
      </c>
      <c r="C15" s="15" t="s">
        <v>210</v>
      </c>
      <c r="D15" s="16"/>
      <c r="E15" s="16"/>
      <c r="F15" s="17"/>
      <c r="G15" s="18" t="s">
        <v>277</v>
      </c>
      <c r="H15" s="19"/>
      <c r="I15" s="19"/>
      <c r="J15" s="19"/>
      <c r="K15" s="19"/>
      <c r="L15" s="20"/>
      <c r="M15" s="14" t="s">
        <v>26</v>
      </c>
      <c r="N15" s="21">
        <v>1</v>
      </c>
      <c r="O15" s="64">
        <v>33750</v>
      </c>
      <c r="P15" s="65"/>
      <c r="Q15" s="553"/>
      <c r="R15" s="554"/>
      <c r="S15" s="165">
        <f t="shared" si="0"/>
        <v>33750</v>
      </c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37100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1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1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1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1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1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1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  <c r="AC27" s="13">
        <f t="shared" si="1"/>
        <v>0</v>
      </c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19">
        <f>SUM(Q8:R27)</f>
        <v>0</v>
      </c>
      <c r="R28" s="519"/>
      <c r="S28" s="520">
        <f>SUM(S8:T27)</f>
        <v>3060881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  <c r="AC28" s="13">
        <f t="shared" si="1"/>
        <v>0</v>
      </c>
    </row>
    <row r="29" spans="1:29" ht="21" customHeight="1" thickTop="1">
      <c r="A29" s="373" t="s">
        <v>27</v>
      </c>
      <c r="B29" s="374"/>
      <c r="C29" s="374"/>
      <c r="D29" s="374"/>
      <c r="E29" s="374"/>
      <c r="F29" s="374"/>
      <c r="G29" s="375" t="s">
        <v>28</v>
      </c>
      <c r="H29" s="374"/>
      <c r="I29" s="376"/>
      <c r="J29" s="373" t="s">
        <v>29</v>
      </c>
      <c r="K29" s="374"/>
      <c r="L29" s="376"/>
      <c r="M29" s="377" t="s">
        <v>30</v>
      </c>
      <c r="N29" s="380" t="s">
        <v>31</v>
      </c>
      <c r="O29" s="381"/>
      <c r="P29" s="368"/>
      <c r="Q29" s="360" t="s">
        <v>32</v>
      </c>
      <c r="R29" s="361"/>
      <c r="S29" s="360" t="s">
        <v>33</v>
      </c>
      <c r="T29" s="361"/>
      <c r="U29" s="360" t="s">
        <v>34</v>
      </c>
      <c r="V29" s="364"/>
      <c r="W29" s="366" t="s">
        <v>32</v>
      </c>
      <c r="X29" s="361"/>
      <c r="Y29" s="360" t="s">
        <v>33</v>
      </c>
      <c r="Z29" s="368"/>
      <c r="AA29" s="360" t="s">
        <v>34</v>
      </c>
      <c r="AB29" s="364"/>
      <c r="AC29" s="13">
        <f t="shared" si="1"/>
        <v>0</v>
      </c>
    </row>
    <row r="30" spans="1:29" ht="21" customHeight="1">
      <c r="A30" s="38">
        <v>1</v>
      </c>
      <c r="B30" s="225"/>
      <c r="C30" s="274" t="s">
        <v>35</v>
      </c>
      <c r="D30" s="274"/>
      <c r="E30" s="274"/>
      <c r="F30" s="274"/>
      <c r="G30" s="648">
        <f>Q28</f>
        <v>0</v>
      </c>
      <c r="H30" s="649"/>
      <c r="I30" s="650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  <c r="AC30" s="13">
        <f t="shared" si="1"/>
        <v>0</v>
      </c>
    </row>
    <row r="31" spans="1:29" ht="21" customHeight="1">
      <c r="A31" s="38">
        <v>2</v>
      </c>
      <c r="B31" s="369"/>
      <c r="C31" s="316" t="s">
        <v>36</v>
      </c>
      <c r="D31" s="324"/>
      <c r="E31" s="324"/>
      <c r="F31" s="324"/>
      <c r="G31" s="651">
        <f>S28+S87</f>
        <v>3060881</v>
      </c>
      <c r="H31" s="652"/>
      <c r="I31" s="653"/>
      <c r="J31" s="385"/>
      <c r="K31" s="386"/>
      <c r="L31" s="387"/>
      <c r="M31" s="378"/>
      <c r="N31" s="388" t="s">
        <v>96</v>
      </c>
      <c r="O31" s="388"/>
      <c r="P31" s="388"/>
      <c r="Q31" s="388">
        <v>8</v>
      </c>
      <c r="R31" s="388"/>
      <c r="S31" s="389">
        <v>24000</v>
      </c>
      <c r="T31" s="389"/>
      <c r="U31" s="390">
        <f>S31*Q31</f>
        <v>192000</v>
      </c>
      <c r="V31" s="391"/>
      <c r="W31" s="392"/>
      <c r="X31" s="393"/>
      <c r="Y31" s="394"/>
      <c r="Z31" s="394"/>
      <c r="AA31" s="352"/>
      <c r="AB31" s="353"/>
      <c r="AC31" s="13">
        <f t="shared" si="1"/>
        <v>0</v>
      </c>
    </row>
    <row r="32" spans="1:29" ht="21" customHeight="1">
      <c r="A32" s="38">
        <v>3</v>
      </c>
      <c r="B32" s="369"/>
      <c r="C32" s="292" t="s">
        <v>37</v>
      </c>
      <c r="D32" s="292"/>
      <c r="E32" s="292"/>
      <c r="F32" s="292"/>
      <c r="G32" s="638">
        <f>U28</f>
        <v>0</v>
      </c>
      <c r="H32" s="646"/>
      <c r="I32" s="647"/>
      <c r="J32" s="357"/>
      <c r="K32" s="358"/>
      <c r="L32" s="359"/>
      <c r="M32" s="378"/>
      <c r="N32" s="313" t="s">
        <v>98</v>
      </c>
      <c r="O32" s="314"/>
      <c r="P32" s="315"/>
      <c r="Q32" s="313">
        <v>10</v>
      </c>
      <c r="R32" s="315"/>
      <c r="S32" s="326">
        <v>24000</v>
      </c>
      <c r="T32" s="327"/>
      <c r="U32" s="328">
        <f>S32*Q32</f>
        <v>240000</v>
      </c>
      <c r="V32" s="329"/>
      <c r="W32" s="346"/>
      <c r="X32" s="347"/>
      <c r="Y32" s="348"/>
      <c r="Z32" s="348"/>
      <c r="AA32" s="336"/>
      <c r="AB32" s="337"/>
      <c r="AC32" s="13">
        <f t="shared" si="1"/>
        <v>0</v>
      </c>
    </row>
    <row r="33" spans="1:33" ht="21" customHeight="1">
      <c r="A33" s="38">
        <v>4</v>
      </c>
      <c r="B33" s="293"/>
      <c r="C33" s="297" t="s">
        <v>38</v>
      </c>
      <c r="D33" s="297"/>
      <c r="E33" s="297"/>
      <c r="F33" s="297"/>
      <c r="G33" s="632">
        <f>(G30+G31+G32)</f>
        <v>3060881</v>
      </c>
      <c r="H33" s="644"/>
      <c r="I33" s="645"/>
      <c r="J33" s="349"/>
      <c r="K33" s="350"/>
      <c r="L33" s="351"/>
      <c r="M33" s="378"/>
      <c r="N33" s="313" t="s">
        <v>100</v>
      </c>
      <c r="O33" s="314"/>
      <c r="P33" s="315"/>
      <c r="Q33" s="313">
        <v>5</v>
      </c>
      <c r="R33" s="315"/>
      <c r="S33" s="326">
        <v>24000</v>
      </c>
      <c r="T33" s="327"/>
      <c r="U33" s="328">
        <f>S33*Q33</f>
        <v>120000</v>
      </c>
      <c r="V33" s="329"/>
      <c r="W33" s="346"/>
      <c r="X33" s="347"/>
      <c r="Y33" s="348"/>
      <c r="Z33" s="348"/>
      <c r="AA33" s="336"/>
      <c r="AB33" s="337"/>
      <c r="AC33" s="13">
        <f t="shared" si="1"/>
        <v>0</v>
      </c>
    </row>
    <row r="34" spans="1:33" ht="21" customHeight="1">
      <c r="A34" s="38">
        <v>5</v>
      </c>
      <c r="B34" s="39"/>
      <c r="C34" s="338" t="s">
        <v>39</v>
      </c>
      <c r="D34" s="339"/>
      <c r="E34" s="339"/>
      <c r="F34" s="339"/>
      <c r="G34" s="641">
        <f>U38</f>
        <v>552000</v>
      </c>
      <c r="H34" s="642"/>
      <c r="I34" s="643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  <c r="AC34" s="13">
        <f t="shared" si="1"/>
        <v>0</v>
      </c>
    </row>
    <row r="35" spans="1:33" ht="21" customHeight="1">
      <c r="A35" s="38">
        <v>6</v>
      </c>
      <c r="B35" s="40"/>
      <c r="C35" s="305" t="s">
        <v>40</v>
      </c>
      <c r="D35" s="306"/>
      <c r="E35" s="306"/>
      <c r="F35" s="306"/>
      <c r="G35" s="635">
        <f>G34*0.1</f>
        <v>55200</v>
      </c>
      <c r="H35" s="636"/>
      <c r="I35" s="637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  <c r="AC35" s="13">
        <f t="shared" si="1"/>
        <v>0</v>
      </c>
    </row>
    <row r="36" spans="1:33" ht="21" customHeight="1">
      <c r="A36" s="38">
        <v>7</v>
      </c>
      <c r="B36" s="41"/>
      <c r="C36" s="292" t="s">
        <v>41</v>
      </c>
      <c r="D36" s="292"/>
      <c r="E36" s="292"/>
      <c r="F36" s="292"/>
      <c r="G36" s="638">
        <f>G34+G35</f>
        <v>607200</v>
      </c>
      <c r="H36" s="639"/>
      <c r="I36" s="640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  <c r="AC36" s="13">
        <f t="shared" si="1"/>
        <v>0</v>
      </c>
    </row>
    <row r="37" spans="1:33" ht="21" customHeight="1">
      <c r="A37" s="38">
        <v>8</v>
      </c>
      <c r="B37" s="296" t="s">
        <v>42</v>
      </c>
      <c r="C37" s="297"/>
      <c r="D37" s="297"/>
      <c r="E37" s="297"/>
      <c r="F37" s="297"/>
      <c r="G37" s="632">
        <f>G33+G36</f>
        <v>3668081</v>
      </c>
      <c r="H37" s="633"/>
      <c r="I37" s="634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  <c r="AC37" s="13">
        <f t="shared" si="1"/>
        <v>0</v>
      </c>
    </row>
    <row r="38" spans="1:33" ht="21" customHeight="1" thickBot="1">
      <c r="A38" s="38">
        <v>9</v>
      </c>
      <c r="B38" s="296" t="s">
        <v>43</v>
      </c>
      <c r="C38" s="297"/>
      <c r="D38" s="297"/>
      <c r="E38" s="297"/>
      <c r="F38" s="297"/>
      <c r="G38" s="632">
        <f>((G30*0.01)+(G31*0.01)+(G32*0.02))</f>
        <v>30608.81</v>
      </c>
      <c r="H38" s="633"/>
      <c r="I38" s="634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552000</v>
      </c>
      <c r="V38" s="265"/>
      <c r="W38" s="266"/>
      <c r="X38" s="267"/>
      <c r="Y38" s="267"/>
      <c r="Z38" s="302"/>
      <c r="AA38" s="303"/>
      <c r="AB38" s="304"/>
      <c r="AC38" s="13">
        <f t="shared" si="1"/>
        <v>0</v>
      </c>
    </row>
    <row r="39" spans="1:33" ht="21" customHeight="1" thickTop="1">
      <c r="A39" s="38">
        <v>10</v>
      </c>
      <c r="B39" s="42" t="s">
        <v>44</v>
      </c>
      <c r="C39" s="43"/>
      <c r="D39" s="43"/>
      <c r="E39" s="43"/>
      <c r="F39" s="43"/>
      <c r="G39" s="632">
        <f>G36*0.15</f>
        <v>91080</v>
      </c>
      <c r="H39" s="633"/>
      <c r="I39" s="634"/>
      <c r="J39" s="268"/>
      <c r="K39" s="269"/>
      <c r="L39" s="270"/>
      <c r="M39" s="271" t="s">
        <v>45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>
      <c r="A40" s="38">
        <v>11</v>
      </c>
      <c r="B40" s="42" t="s">
        <v>46</v>
      </c>
      <c r="C40" s="43"/>
      <c r="D40" s="43"/>
      <c r="E40" s="43"/>
      <c r="F40" s="43"/>
      <c r="G40" s="632">
        <f>(G36+G39)*0.15</f>
        <v>104742</v>
      </c>
      <c r="H40" s="633"/>
      <c r="I40" s="634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>
      <c r="A41" s="38">
        <v>12</v>
      </c>
      <c r="B41" s="42" t="s">
        <v>47</v>
      </c>
      <c r="C41" s="43"/>
      <c r="D41" s="43"/>
      <c r="E41" s="43"/>
      <c r="F41" s="43"/>
      <c r="G41" s="632">
        <v>0</v>
      </c>
      <c r="H41" s="633"/>
      <c r="I41" s="634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>
      <c r="A42" s="38">
        <v>13</v>
      </c>
      <c r="B42" s="42" t="s">
        <v>48</v>
      </c>
      <c r="C42" s="43"/>
      <c r="D42" s="43"/>
      <c r="E42" s="43"/>
      <c r="F42" s="43"/>
      <c r="G42" s="632">
        <v>0</v>
      </c>
      <c r="H42" s="633"/>
      <c r="I42" s="634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>
      <c r="A43" s="38">
        <v>14</v>
      </c>
      <c r="B43" s="273" t="s">
        <v>49</v>
      </c>
      <c r="C43" s="274"/>
      <c r="D43" s="274"/>
      <c r="E43" s="274"/>
      <c r="F43" s="274"/>
      <c r="G43" s="253">
        <f>(G37+6000000)/N3</f>
        <v>193361.62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7</v>
      </c>
      <c r="U43" s="278" t="s">
        <v>8</v>
      </c>
      <c r="V43" s="278"/>
      <c r="W43" s="278" t="s">
        <v>50</v>
      </c>
      <c r="X43" s="278"/>
      <c r="Y43" s="278" t="s">
        <v>51</v>
      </c>
      <c r="Z43" s="278"/>
      <c r="AA43" s="278" t="s">
        <v>52</v>
      </c>
      <c r="AB43" s="279"/>
      <c r="AC43" s="13">
        <f t="shared" si="1"/>
        <v>0</v>
      </c>
    </row>
    <row r="44" spans="1:33" ht="21" customHeight="1" thickBot="1">
      <c r="A44" s="38">
        <v>15</v>
      </c>
      <c r="B44" s="280" t="s">
        <v>28</v>
      </c>
      <c r="C44" s="281"/>
      <c r="D44" s="281"/>
      <c r="E44" s="281"/>
      <c r="F44" s="281"/>
      <c r="G44" s="629">
        <f>SUM(G37:I43)</f>
        <v>4087873.43</v>
      </c>
      <c r="H44" s="630"/>
      <c r="I44" s="631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  <c r="AC44" s="13">
        <f t="shared" si="1"/>
        <v>0</v>
      </c>
    </row>
    <row r="45" spans="1:33" ht="30" customHeight="1" thickTop="1" thickBot="1">
      <c r="A45" s="261" t="s">
        <v>53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54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  <c r="AC45" s="13">
        <f t="shared" si="1"/>
        <v>0</v>
      </c>
    </row>
    <row r="46" spans="1:33" ht="22.5" customHeight="1" thickBot="1">
      <c r="A46" s="48"/>
      <c r="B46" s="48"/>
      <c r="C46" s="48"/>
      <c r="J46" s="237" t="s">
        <v>55</v>
      </c>
      <c r="K46" s="238"/>
      <c r="L46" s="238"/>
      <c r="M46" s="238"/>
      <c r="N46" s="238"/>
      <c r="O46" s="238"/>
      <c r="P46" s="238"/>
      <c r="Q46" s="238"/>
      <c r="R46" s="238"/>
      <c r="S46" s="238"/>
      <c r="AC46" s="13">
        <f t="shared" si="1"/>
        <v>0</v>
      </c>
    </row>
    <row r="47" spans="1:33" ht="33" customHeight="1" thickTop="1">
      <c r="A47" s="239" t="s">
        <v>5</v>
      </c>
      <c r="B47" s="240"/>
      <c r="C47" s="241"/>
      <c r="D47" s="242"/>
      <c r="E47" s="242"/>
      <c r="F47" s="242"/>
      <c r="G47" s="242"/>
      <c r="H47" s="242"/>
      <c r="I47" s="242"/>
      <c r="J47" s="243" t="s">
        <v>56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2</v>
      </c>
      <c r="U47" s="242"/>
      <c r="V47" s="242"/>
      <c r="W47" s="242"/>
      <c r="X47" s="250" t="s">
        <v>3</v>
      </c>
      <c r="Y47" s="251"/>
      <c r="Z47" s="251"/>
      <c r="AA47" s="251"/>
      <c r="AB47" s="252"/>
      <c r="AC47" s="13">
        <f t="shared" si="1"/>
        <v>0</v>
      </c>
      <c r="AD47" s="49"/>
      <c r="AF47" s="50"/>
      <c r="AG47" s="50"/>
    </row>
    <row r="48" spans="1:33" ht="33" customHeight="1" thickBot="1">
      <c r="A48" s="232" t="s">
        <v>12</v>
      </c>
      <c r="B48" s="233"/>
      <c r="C48" s="234" t="str">
        <f>C5</f>
        <v>PID</v>
      </c>
      <c r="D48" s="235"/>
      <c r="E48" s="235"/>
      <c r="F48" s="235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tr">
        <f>T2</f>
        <v>2011  년    4 월    11 일</v>
      </c>
      <c r="U48" s="473"/>
      <c r="V48" s="473"/>
      <c r="W48" s="473"/>
      <c r="X48" s="473"/>
      <c r="Y48" s="473"/>
      <c r="Z48" s="473"/>
      <c r="AA48" s="473"/>
      <c r="AB48" s="491"/>
      <c r="AC48" s="13">
        <f t="shared" si="1"/>
        <v>0</v>
      </c>
      <c r="AD48" s="49"/>
      <c r="AF48" s="50"/>
      <c r="AG48" s="50"/>
    </row>
    <row r="49" spans="1:33" ht="22.5" customHeight="1" thickTop="1">
      <c r="A49" s="227" t="s">
        <v>14</v>
      </c>
      <c r="B49" s="200" t="s">
        <v>15</v>
      </c>
      <c r="C49" s="200" t="s">
        <v>16</v>
      </c>
      <c r="D49" s="200"/>
      <c r="E49" s="200"/>
      <c r="F49" s="200"/>
      <c r="G49" s="500" t="s">
        <v>17</v>
      </c>
      <c r="H49" s="500"/>
      <c r="I49" s="500"/>
      <c r="J49" s="500"/>
      <c r="K49" s="500"/>
      <c r="L49" s="500"/>
      <c r="M49" s="499" t="s">
        <v>18</v>
      </c>
      <c r="N49" s="499" t="s">
        <v>19</v>
      </c>
      <c r="O49" s="500" t="s">
        <v>20</v>
      </c>
      <c r="P49" s="501"/>
      <c r="Q49" s="502" t="s">
        <v>21</v>
      </c>
      <c r="R49" s="503"/>
      <c r="S49" s="503"/>
      <c r="T49" s="503"/>
      <c r="U49" s="503"/>
      <c r="V49" s="504"/>
      <c r="W49" s="503" t="s">
        <v>57</v>
      </c>
      <c r="X49" s="503"/>
      <c r="Y49" s="503"/>
      <c r="Z49" s="503"/>
      <c r="AA49" s="503"/>
      <c r="AB49" s="504"/>
      <c r="AC49" s="13" t="e">
        <f>ROUND(O49*1.1,-2)</f>
        <v>#VALUE!</v>
      </c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23</v>
      </c>
      <c r="R50" s="207"/>
      <c r="S50" s="208" t="s">
        <v>24</v>
      </c>
      <c r="T50" s="208"/>
      <c r="U50" s="209" t="s">
        <v>25</v>
      </c>
      <c r="V50" s="210"/>
      <c r="W50" s="209" t="s">
        <v>23</v>
      </c>
      <c r="X50" s="209"/>
      <c r="Y50" s="211" t="s">
        <v>24</v>
      </c>
      <c r="Z50" s="207"/>
      <c r="AA50" s="209" t="s">
        <v>25</v>
      </c>
      <c r="AB50" s="210"/>
      <c r="AC50" s="13">
        <f t="shared" si="1"/>
        <v>0</v>
      </c>
      <c r="AD50" s="49"/>
    </row>
    <row r="51" spans="1:33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C51" s="13">
        <f t="shared" si="1"/>
        <v>0</v>
      </c>
      <c r="AD51" s="49"/>
    </row>
    <row r="52" spans="1:33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55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S25" sqref="S25:T25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</v>
      </c>
      <c r="U1" s="251"/>
      <c r="V1" s="251"/>
      <c r="W1" s="251"/>
      <c r="X1" s="250" t="s">
        <v>3</v>
      </c>
      <c r="Y1" s="251"/>
      <c r="Z1" s="251"/>
      <c r="AA1" s="251"/>
      <c r="AB1" s="252"/>
    </row>
    <row r="2" spans="1:30" ht="33" customHeight="1" thickBot="1">
      <c r="A2" s="490" t="s">
        <v>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5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7</v>
      </c>
      <c r="U3" s="466" t="s">
        <v>8</v>
      </c>
      <c r="V3" s="466"/>
      <c r="W3" s="466" t="s">
        <v>9</v>
      </c>
      <c r="X3" s="466"/>
      <c r="Y3" s="466" t="s">
        <v>10</v>
      </c>
      <c r="Z3" s="466"/>
      <c r="AA3" s="466" t="s">
        <v>11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12</v>
      </c>
      <c r="B5" s="302"/>
      <c r="C5" s="480" t="s">
        <v>247</v>
      </c>
      <c r="D5" s="481"/>
      <c r="E5" s="481"/>
      <c r="F5" s="481"/>
      <c r="G5" s="481"/>
      <c r="H5" s="481"/>
      <c r="I5" s="481"/>
      <c r="J5" s="480" t="s">
        <v>13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14</v>
      </c>
      <c r="B6" s="369" t="s">
        <v>15</v>
      </c>
      <c r="C6" s="369" t="s">
        <v>16</v>
      </c>
      <c r="D6" s="369"/>
      <c r="E6" s="369"/>
      <c r="F6" s="369"/>
      <c r="G6" s="369" t="s">
        <v>17</v>
      </c>
      <c r="H6" s="369"/>
      <c r="I6" s="369"/>
      <c r="J6" s="369"/>
      <c r="K6" s="369"/>
      <c r="L6" s="369"/>
      <c r="M6" s="494" t="s">
        <v>18</v>
      </c>
      <c r="N6" s="494" t="s">
        <v>19</v>
      </c>
      <c r="O6" s="459" t="s">
        <v>20</v>
      </c>
      <c r="P6" s="460"/>
      <c r="Q6" s="463" t="s">
        <v>21</v>
      </c>
      <c r="R6" s="463"/>
      <c r="S6" s="463"/>
      <c r="T6" s="463"/>
      <c r="U6" s="463"/>
      <c r="V6" s="464"/>
      <c r="W6" s="463" t="s">
        <v>22</v>
      </c>
      <c r="X6" s="463"/>
      <c r="Y6" s="463"/>
      <c r="Z6" s="463"/>
      <c r="AA6" s="463"/>
      <c r="AB6" s="464"/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24</v>
      </c>
      <c r="T7" s="466"/>
      <c r="U7" s="297" t="s">
        <v>25</v>
      </c>
      <c r="V7" s="467"/>
      <c r="W7" s="297" t="s">
        <v>23</v>
      </c>
      <c r="X7" s="297"/>
      <c r="Y7" s="296" t="s">
        <v>24</v>
      </c>
      <c r="Z7" s="465"/>
      <c r="AA7" s="297" t="s">
        <v>25</v>
      </c>
      <c r="AB7" s="467"/>
      <c r="AC7" s="2"/>
    </row>
    <row r="8" spans="1:30" ht="18.95" customHeight="1">
      <c r="A8" s="493"/>
      <c r="B8" s="3">
        <v>1</v>
      </c>
      <c r="C8" s="108" t="s">
        <v>246</v>
      </c>
      <c r="D8" s="5"/>
      <c r="E8" s="5"/>
      <c r="F8" s="6"/>
      <c r="G8" s="7" t="s">
        <v>303</v>
      </c>
      <c r="H8" s="8"/>
      <c r="I8" s="8"/>
      <c r="J8" s="8"/>
      <c r="K8" s="8"/>
      <c r="L8" s="9"/>
      <c r="M8" s="3" t="s">
        <v>26</v>
      </c>
      <c r="N8" s="10">
        <v>1</v>
      </c>
      <c r="O8" s="88">
        <f>1744200*1.5</f>
        <v>2616300</v>
      </c>
      <c r="P8" s="56"/>
      <c r="Q8" s="562"/>
      <c r="R8" s="563"/>
      <c r="S8" s="585">
        <f t="shared" ref="S8:S14" si="0">N8*O8</f>
        <v>2616300</v>
      </c>
      <c r="T8" s="586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2877900</v>
      </c>
      <c r="AD8" s="654" t="s">
        <v>332</v>
      </c>
    </row>
    <row r="9" spans="1:30" ht="18.95" customHeight="1">
      <c r="A9" s="493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86"/>
      <c r="P9" s="63"/>
      <c r="Q9" s="539"/>
      <c r="R9" s="540"/>
      <c r="S9" s="583">
        <f t="shared" si="0"/>
        <v>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51" si="1">ROUND(O9*1.1,-2)</f>
        <v>0</v>
      </c>
    </row>
    <row r="10" spans="1:30" ht="18.95" customHeight="1">
      <c r="A10" s="493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86"/>
      <c r="P10" s="63"/>
      <c r="Q10" s="539"/>
      <c r="R10" s="540"/>
      <c r="S10" s="583">
        <f t="shared" si="0"/>
        <v>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0</v>
      </c>
    </row>
    <row r="11" spans="1:30" ht="18.95" customHeight="1">
      <c r="A11" s="493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6"/>
      <c r="P11" s="63"/>
      <c r="Q11" s="539"/>
      <c r="R11" s="540"/>
      <c r="S11" s="583">
        <f t="shared" si="0"/>
        <v>0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0</v>
      </c>
    </row>
    <row r="12" spans="1:30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6"/>
      <c r="P12" s="65"/>
      <c r="Q12" s="539"/>
      <c r="R12" s="540"/>
      <c r="S12" s="583">
        <f t="shared" si="0"/>
        <v>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6"/>
      <c r="P13" s="65"/>
      <c r="Q13" s="539"/>
      <c r="R13" s="540"/>
      <c r="S13" s="583">
        <f t="shared" si="0"/>
        <v>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6"/>
      <c r="P14" s="65"/>
      <c r="Q14" s="539"/>
      <c r="R14" s="540"/>
      <c r="S14" s="583">
        <f t="shared" si="0"/>
        <v>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1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1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1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1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1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1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  <c r="AC27" s="13">
        <f t="shared" si="1"/>
        <v>0</v>
      </c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19">
        <f>SUM(Q8:R27)</f>
        <v>0</v>
      </c>
      <c r="R28" s="519"/>
      <c r="S28" s="520">
        <f>SUM(S8:T27)</f>
        <v>2616300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  <c r="AC28" s="13">
        <f t="shared" si="1"/>
        <v>0</v>
      </c>
    </row>
    <row r="29" spans="1:29" ht="21" customHeight="1" thickTop="1">
      <c r="A29" s="373" t="s">
        <v>27</v>
      </c>
      <c r="B29" s="374"/>
      <c r="C29" s="374"/>
      <c r="D29" s="374"/>
      <c r="E29" s="374"/>
      <c r="F29" s="374"/>
      <c r="G29" s="375" t="s">
        <v>28</v>
      </c>
      <c r="H29" s="374"/>
      <c r="I29" s="376"/>
      <c r="J29" s="373" t="s">
        <v>29</v>
      </c>
      <c r="K29" s="374"/>
      <c r="L29" s="376"/>
      <c r="M29" s="377" t="s">
        <v>30</v>
      </c>
      <c r="N29" s="380" t="s">
        <v>31</v>
      </c>
      <c r="O29" s="381"/>
      <c r="P29" s="368"/>
      <c r="Q29" s="360" t="s">
        <v>32</v>
      </c>
      <c r="R29" s="361"/>
      <c r="S29" s="360" t="s">
        <v>33</v>
      </c>
      <c r="T29" s="361"/>
      <c r="U29" s="360" t="s">
        <v>34</v>
      </c>
      <c r="V29" s="364"/>
      <c r="W29" s="366" t="s">
        <v>32</v>
      </c>
      <c r="X29" s="361"/>
      <c r="Y29" s="360" t="s">
        <v>33</v>
      </c>
      <c r="Z29" s="368"/>
      <c r="AA29" s="360" t="s">
        <v>34</v>
      </c>
      <c r="AB29" s="364"/>
      <c r="AC29" s="13">
        <f t="shared" si="1"/>
        <v>0</v>
      </c>
    </row>
    <row r="30" spans="1:29" ht="21" customHeight="1">
      <c r="A30" s="38">
        <v>1</v>
      </c>
      <c r="B30" s="225"/>
      <c r="C30" s="274" t="s">
        <v>35</v>
      </c>
      <c r="D30" s="274"/>
      <c r="E30" s="274"/>
      <c r="F30" s="274"/>
      <c r="G30" s="648">
        <f>Q28</f>
        <v>0</v>
      </c>
      <c r="H30" s="649"/>
      <c r="I30" s="650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  <c r="AC30" s="13">
        <f t="shared" si="1"/>
        <v>0</v>
      </c>
    </row>
    <row r="31" spans="1:29" ht="21" customHeight="1">
      <c r="A31" s="38">
        <v>2</v>
      </c>
      <c r="B31" s="369"/>
      <c r="C31" s="316" t="s">
        <v>36</v>
      </c>
      <c r="D31" s="324"/>
      <c r="E31" s="324"/>
      <c r="F31" s="324"/>
      <c r="G31" s="651">
        <f>S28+S87</f>
        <v>2616300</v>
      </c>
      <c r="H31" s="652"/>
      <c r="I31" s="653"/>
      <c r="J31" s="385"/>
      <c r="K31" s="386"/>
      <c r="L31" s="387"/>
      <c r="M31" s="378"/>
      <c r="N31" s="388" t="s">
        <v>96</v>
      </c>
      <c r="O31" s="388"/>
      <c r="P31" s="388"/>
      <c r="Q31" s="388"/>
      <c r="R31" s="388"/>
      <c r="S31" s="389">
        <v>24000</v>
      </c>
      <c r="T31" s="389"/>
      <c r="U31" s="390">
        <f>S31*Q31</f>
        <v>0</v>
      </c>
      <c r="V31" s="391"/>
      <c r="W31" s="392"/>
      <c r="X31" s="393"/>
      <c r="Y31" s="394"/>
      <c r="Z31" s="394"/>
      <c r="AA31" s="352"/>
      <c r="AB31" s="353"/>
      <c r="AC31" s="13">
        <f t="shared" si="1"/>
        <v>0</v>
      </c>
    </row>
    <row r="32" spans="1:29" ht="21" customHeight="1">
      <c r="A32" s="38">
        <v>3</v>
      </c>
      <c r="B32" s="369"/>
      <c r="C32" s="292" t="s">
        <v>37</v>
      </c>
      <c r="D32" s="292"/>
      <c r="E32" s="292"/>
      <c r="F32" s="292"/>
      <c r="G32" s="638">
        <f>U28</f>
        <v>0</v>
      </c>
      <c r="H32" s="646"/>
      <c r="I32" s="647"/>
      <c r="J32" s="357"/>
      <c r="K32" s="358"/>
      <c r="L32" s="359"/>
      <c r="M32" s="378"/>
      <c r="N32" s="313" t="s">
        <v>98</v>
      </c>
      <c r="O32" s="314"/>
      <c r="P32" s="315"/>
      <c r="Q32" s="313"/>
      <c r="R32" s="315"/>
      <c r="S32" s="326">
        <v>24000</v>
      </c>
      <c r="T32" s="327"/>
      <c r="U32" s="328">
        <f>S32*Q32</f>
        <v>0</v>
      </c>
      <c r="V32" s="329"/>
      <c r="W32" s="346"/>
      <c r="X32" s="347"/>
      <c r="Y32" s="348"/>
      <c r="Z32" s="348"/>
      <c r="AA32" s="336"/>
      <c r="AB32" s="337"/>
      <c r="AC32" s="13">
        <f t="shared" si="1"/>
        <v>0</v>
      </c>
    </row>
    <row r="33" spans="1:33" ht="21" customHeight="1">
      <c r="A33" s="38">
        <v>4</v>
      </c>
      <c r="B33" s="293"/>
      <c r="C33" s="297" t="s">
        <v>38</v>
      </c>
      <c r="D33" s="297"/>
      <c r="E33" s="297"/>
      <c r="F33" s="297"/>
      <c r="G33" s="632">
        <f>(G30+G31+G32)</f>
        <v>2616300</v>
      </c>
      <c r="H33" s="644"/>
      <c r="I33" s="645"/>
      <c r="J33" s="349"/>
      <c r="K33" s="350"/>
      <c r="L33" s="351"/>
      <c r="M33" s="378"/>
      <c r="N33" s="313" t="s">
        <v>100</v>
      </c>
      <c r="O33" s="314"/>
      <c r="P33" s="315"/>
      <c r="Q33" s="313">
        <v>2</v>
      </c>
      <c r="R33" s="315"/>
      <c r="S33" s="326">
        <v>24000</v>
      </c>
      <c r="T33" s="327"/>
      <c r="U33" s="328">
        <f>S33*Q33</f>
        <v>48000</v>
      </c>
      <c r="V33" s="329"/>
      <c r="W33" s="346"/>
      <c r="X33" s="347"/>
      <c r="Y33" s="348"/>
      <c r="Z33" s="348"/>
      <c r="AA33" s="336"/>
      <c r="AB33" s="337"/>
      <c r="AC33" s="13">
        <f t="shared" si="1"/>
        <v>0</v>
      </c>
    </row>
    <row r="34" spans="1:33" ht="21" customHeight="1">
      <c r="A34" s="38">
        <v>5</v>
      </c>
      <c r="B34" s="39"/>
      <c r="C34" s="338" t="s">
        <v>39</v>
      </c>
      <c r="D34" s="339"/>
      <c r="E34" s="339"/>
      <c r="F34" s="339"/>
      <c r="G34" s="641">
        <f>U38</f>
        <v>48000</v>
      </c>
      <c r="H34" s="642"/>
      <c r="I34" s="643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  <c r="AC34" s="13">
        <f t="shared" si="1"/>
        <v>0</v>
      </c>
    </row>
    <row r="35" spans="1:33" ht="21" customHeight="1">
      <c r="A35" s="38">
        <v>6</v>
      </c>
      <c r="B35" s="40"/>
      <c r="C35" s="305" t="s">
        <v>40</v>
      </c>
      <c r="D35" s="306"/>
      <c r="E35" s="306"/>
      <c r="F35" s="306"/>
      <c r="G35" s="635">
        <f>G34*0.1</f>
        <v>4800</v>
      </c>
      <c r="H35" s="636"/>
      <c r="I35" s="637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  <c r="AC35" s="13">
        <f t="shared" si="1"/>
        <v>0</v>
      </c>
    </row>
    <row r="36" spans="1:33" ht="21" customHeight="1">
      <c r="A36" s="38">
        <v>7</v>
      </c>
      <c r="B36" s="41"/>
      <c r="C36" s="292" t="s">
        <v>41</v>
      </c>
      <c r="D36" s="292"/>
      <c r="E36" s="292"/>
      <c r="F36" s="292"/>
      <c r="G36" s="638">
        <f>G34+G35</f>
        <v>52800</v>
      </c>
      <c r="H36" s="639"/>
      <c r="I36" s="640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  <c r="AC36" s="13">
        <f t="shared" si="1"/>
        <v>0</v>
      </c>
    </row>
    <row r="37" spans="1:33" ht="21" customHeight="1">
      <c r="A37" s="38">
        <v>8</v>
      </c>
      <c r="B37" s="296" t="s">
        <v>42</v>
      </c>
      <c r="C37" s="297"/>
      <c r="D37" s="297"/>
      <c r="E37" s="297"/>
      <c r="F37" s="297"/>
      <c r="G37" s="632">
        <f>G33+G36</f>
        <v>2669100</v>
      </c>
      <c r="H37" s="633"/>
      <c r="I37" s="634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  <c r="AC37" s="13">
        <f t="shared" si="1"/>
        <v>0</v>
      </c>
    </row>
    <row r="38" spans="1:33" ht="21" customHeight="1" thickBot="1">
      <c r="A38" s="38">
        <v>9</v>
      </c>
      <c r="B38" s="296" t="s">
        <v>43</v>
      </c>
      <c r="C38" s="297"/>
      <c r="D38" s="297"/>
      <c r="E38" s="297"/>
      <c r="F38" s="297"/>
      <c r="G38" s="632">
        <f>((G30*0.01)+(G31*0.01)+(G32*0.02))</f>
        <v>26163</v>
      </c>
      <c r="H38" s="633"/>
      <c r="I38" s="634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48000</v>
      </c>
      <c r="V38" s="265"/>
      <c r="W38" s="266"/>
      <c r="X38" s="267"/>
      <c r="Y38" s="267"/>
      <c r="Z38" s="302"/>
      <c r="AA38" s="303"/>
      <c r="AB38" s="304"/>
      <c r="AC38" s="13">
        <f t="shared" si="1"/>
        <v>0</v>
      </c>
    </row>
    <row r="39" spans="1:33" ht="21" customHeight="1" thickTop="1">
      <c r="A39" s="38">
        <v>10</v>
      </c>
      <c r="B39" s="42" t="s">
        <v>44</v>
      </c>
      <c r="C39" s="43"/>
      <c r="D39" s="43"/>
      <c r="E39" s="43"/>
      <c r="F39" s="43"/>
      <c r="G39" s="632">
        <f>G36*0.15</f>
        <v>7920</v>
      </c>
      <c r="H39" s="633"/>
      <c r="I39" s="634"/>
      <c r="J39" s="268"/>
      <c r="K39" s="269"/>
      <c r="L39" s="270"/>
      <c r="M39" s="271" t="s">
        <v>45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>
      <c r="A40" s="38">
        <v>11</v>
      </c>
      <c r="B40" s="42" t="s">
        <v>46</v>
      </c>
      <c r="C40" s="43"/>
      <c r="D40" s="43"/>
      <c r="E40" s="43"/>
      <c r="F40" s="43"/>
      <c r="G40" s="632">
        <f>(G36+G39)*0.15</f>
        <v>9108</v>
      </c>
      <c r="H40" s="633"/>
      <c r="I40" s="634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>
      <c r="A41" s="38">
        <v>12</v>
      </c>
      <c r="B41" s="42" t="s">
        <v>47</v>
      </c>
      <c r="C41" s="43"/>
      <c r="D41" s="43"/>
      <c r="E41" s="43"/>
      <c r="F41" s="43"/>
      <c r="G41" s="632">
        <v>0</v>
      </c>
      <c r="H41" s="633"/>
      <c r="I41" s="634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>
      <c r="A42" s="38">
        <v>13</v>
      </c>
      <c r="B42" s="42" t="s">
        <v>48</v>
      </c>
      <c r="C42" s="43"/>
      <c r="D42" s="43"/>
      <c r="E42" s="43"/>
      <c r="F42" s="43"/>
      <c r="G42" s="632">
        <v>0</v>
      </c>
      <c r="H42" s="633"/>
      <c r="I42" s="634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>
      <c r="A43" s="38">
        <v>14</v>
      </c>
      <c r="B43" s="273" t="s">
        <v>49</v>
      </c>
      <c r="C43" s="274"/>
      <c r="D43" s="274"/>
      <c r="E43" s="274"/>
      <c r="F43" s="274"/>
      <c r="G43" s="253">
        <f>(G37+6000000)/N3</f>
        <v>173382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7</v>
      </c>
      <c r="U43" s="278" t="s">
        <v>8</v>
      </c>
      <c r="V43" s="278"/>
      <c r="W43" s="278" t="s">
        <v>50</v>
      </c>
      <c r="X43" s="278"/>
      <c r="Y43" s="278" t="s">
        <v>51</v>
      </c>
      <c r="Z43" s="278"/>
      <c r="AA43" s="278" t="s">
        <v>52</v>
      </c>
      <c r="AB43" s="279"/>
      <c r="AC43" s="13">
        <f t="shared" si="1"/>
        <v>0</v>
      </c>
    </row>
    <row r="44" spans="1:33" ht="21" customHeight="1" thickBot="1">
      <c r="A44" s="38">
        <v>15</v>
      </c>
      <c r="B44" s="280" t="s">
        <v>28</v>
      </c>
      <c r="C44" s="281"/>
      <c r="D44" s="281"/>
      <c r="E44" s="281"/>
      <c r="F44" s="281"/>
      <c r="G44" s="629">
        <f>SUM(G37:I43)</f>
        <v>2885673</v>
      </c>
      <c r="H44" s="630"/>
      <c r="I44" s="631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  <c r="AC44" s="13">
        <f t="shared" si="1"/>
        <v>0</v>
      </c>
    </row>
    <row r="45" spans="1:33" ht="30" customHeight="1" thickTop="1" thickBot="1">
      <c r="A45" s="261" t="s">
        <v>53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54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  <c r="AC45" s="13">
        <f t="shared" si="1"/>
        <v>0</v>
      </c>
    </row>
    <row r="46" spans="1:33" ht="22.5" customHeight="1" thickBot="1">
      <c r="A46" s="48"/>
      <c r="B46" s="48"/>
      <c r="C46" s="48"/>
      <c r="J46" s="237" t="s">
        <v>55</v>
      </c>
      <c r="K46" s="238"/>
      <c r="L46" s="238"/>
      <c r="M46" s="238"/>
      <c r="N46" s="238"/>
      <c r="O46" s="238"/>
      <c r="P46" s="238"/>
      <c r="Q46" s="238"/>
      <c r="R46" s="238"/>
      <c r="S46" s="238"/>
      <c r="AC46" s="13">
        <f t="shared" si="1"/>
        <v>0</v>
      </c>
    </row>
    <row r="47" spans="1:33" ht="33" customHeight="1" thickTop="1">
      <c r="A47" s="239" t="s">
        <v>5</v>
      </c>
      <c r="B47" s="240"/>
      <c r="C47" s="241"/>
      <c r="D47" s="242"/>
      <c r="E47" s="242"/>
      <c r="F47" s="242"/>
      <c r="G47" s="242"/>
      <c r="H47" s="242"/>
      <c r="I47" s="242"/>
      <c r="J47" s="243" t="s">
        <v>56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2</v>
      </c>
      <c r="U47" s="242"/>
      <c r="V47" s="242"/>
      <c r="W47" s="242"/>
      <c r="X47" s="250" t="s">
        <v>3</v>
      </c>
      <c r="Y47" s="251"/>
      <c r="Z47" s="251"/>
      <c r="AA47" s="251"/>
      <c r="AB47" s="252"/>
      <c r="AC47" s="13">
        <f t="shared" si="1"/>
        <v>0</v>
      </c>
      <c r="AD47" s="49"/>
      <c r="AF47" s="50"/>
      <c r="AG47" s="50"/>
    </row>
    <row r="48" spans="1:33" ht="33" customHeight="1" thickBot="1">
      <c r="A48" s="232" t="s">
        <v>12</v>
      </c>
      <c r="B48" s="233"/>
      <c r="C48" s="234" t="str">
        <f>C5</f>
        <v>JCR1</v>
      </c>
      <c r="D48" s="235"/>
      <c r="E48" s="235"/>
      <c r="F48" s="235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tr">
        <f>T2</f>
        <v>2011  년    4 월    11 일</v>
      </c>
      <c r="U48" s="473"/>
      <c r="V48" s="473"/>
      <c r="W48" s="473"/>
      <c r="X48" s="473"/>
      <c r="Y48" s="473"/>
      <c r="Z48" s="473"/>
      <c r="AA48" s="473"/>
      <c r="AB48" s="491"/>
      <c r="AC48" s="13">
        <f t="shared" si="1"/>
        <v>0</v>
      </c>
      <c r="AD48" s="49"/>
      <c r="AF48" s="50"/>
      <c r="AG48" s="50"/>
    </row>
    <row r="49" spans="1:33" ht="22.5" customHeight="1" thickTop="1">
      <c r="A49" s="227" t="s">
        <v>14</v>
      </c>
      <c r="B49" s="200" t="s">
        <v>15</v>
      </c>
      <c r="C49" s="200" t="s">
        <v>16</v>
      </c>
      <c r="D49" s="200"/>
      <c r="E49" s="200"/>
      <c r="F49" s="200"/>
      <c r="G49" s="500" t="s">
        <v>17</v>
      </c>
      <c r="H49" s="500"/>
      <c r="I49" s="500"/>
      <c r="J49" s="500"/>
      <c r="K49" s="500"/>
      <c r="L49" s="500"/>
      <c r="M49" s="499" t="s">
        <v>18</v>
      </c>
      <c r="N49" s="499" t="s">
        <v>19</v>
      </c>
      <c r="O49" s="500" t="s">
        <v>20</v>
      </c>
      <c r="P49" s="501"/>
      <c r="Q49" s="502" t="s">
        <v>21</v>
      </c>
      <c r="R49" s="503"/>
      <c r="S49" s="503"/>
      <c r="T49" s="503"/>
      <c r="U49" s="503"/>
      <c r="V49" s="504"/>
      <c r="W49" s="503" t="s">
        <v>57</v>
      </c>
      <c r="X49" s="503"/>
      <c r="Y49" s="503"/>
      <c r="Z49" s="503"/>
      <c r="AA49" s="503"/>
      <c r="AB49" s="504"/>
      <c r="AC49" s="13" t="e">
        <f t="shared" si="1"/>
        <v>#VALUE!</v>
      </c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23</v>
      </c>
      <c r="R50" s="207"/>
      <c r="S50" s="208" t="s">
        <v>24</v>
      </c>
      <c r="T50" s="208"/>
      <c r="U50" s="209" t="s">
        <v>25</v>
      </c>
      <c r="V50" s="210"/>
      <c r="W50" s="209" t="s">
        <v>23</v>
      </c>
      <c r="X50" s="209"/>
      <c r="Y50" s="211" t="s">
        <v>24</v>
      </c>
      <c r="Z50" s="207"/>
      <c r="AA50" s="209" t="s">
        <v>25</v>
      </c>
      <c r="AB50" s="210"/>
      <c r="AC50" s="13">
        <f t="shared" si="1"/>
        <v>0</v>
      </c>
      <c r="AD50" s="49"/>
    </row>
    <row r="51" spans="1:33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C51" s="13">
        <f t="shared" si="1"/>
        <v>0</v>
      </c>
      <c r="AD51" s="49"/>
    </row>
    <row r="52" spans="1:33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55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AD8" sqref="AD8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</v>
      </c>
      <c r="U1" s="251"/>
      <c r="V1" s="251"/>
      <c r="W1" s="251"/>
      <c r="X1" s="250" t="s">
        <v>3</v>
      </c>
      <c r="Y1" s="251"/>
      <c r="Z1" s="251"/>
      <c r="AA1" s="251"/>
      <c r="AB1" s="252"/>
    </row>
    <row r="2" spans="1:30" ht="33" customHeight="1" thickBot="1">
      <c r="A2" s="490" t="s">
        <v>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5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7</v>
      </c>
      <c r="U3" s="466" t="s">
        <v>8</v>
      </c>
      <c r="V3" s="466"/>
      <c r="W3" s="466" t="s">
        <v>9</v>
      </c>
      <c r="X3" s="466"/>
      <c r="Y3" s="466" t="s">
        <v>10</v>
      </c>
      <c r="Z3" s="466"/>
      <c r="AA3" s="466" t="s">
        <v>11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12</v>
      </c>
      <c r="B5" s="302"/>
      <c r="C5" s="480" t="s">
        <v>250</v>
      </c>
      <c r="D5" s="481"/>
      <c r="E5" s="481"/>
      <c r="F5" s="481"/>
      <c r="G5" s="481"/>
      <c r="H5" s="481"/>
      <c r="I5" s="481"/>
      <c r="J5" s="480" t="s">
        <v>13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14</v>
      </c>
      <c r="B6" s="369" t="s">
        <v>15</v>
      </c>
      <c r="C6" s="369" t="s">
        <v>16</v>
      </c>
      <c r="D6" s="369"/>
      <c r="E6" s="369"/>
      <c r="F6" s="369"/>
      <c r="G6" s="369" t="s">
        <v>17</v>
      </c>
      <c r="H6" s="369"/>
      <c r="I6" s="369"/>
      <c r="J6" s="369"/>
      <c r="K6" s="369"/>
      <c r="L6" s="369"/>
      <c r="M6" s="494" t="s">
        <v>18</v>
      </c>
      <c r="N6" s="494" t="s">
        <v>19</v>
      </c>
      <c r="O6" s="459" t="s">
        <v>20</v>
      </c>
      <c r="P6" s="460"/>
      <c r="Q6" s="463" t="s">
        <v>21</v>
      </c>
      <c r="R6" s="463"/>
      <c r="S6" s="463"/>
      <c r="T6" s="463"/>
      <c r="U6" s="463"/>
      <c r="V6" s="464"/>
      <c r="W6" s="463" t="s">
        <v>22</v>
      </c>
      <c r="X6" s="463"/>
      <c r="Y6" s="463"/>
      <c r="Z6" s="463"/>
      <c r="AA6" s="463"/>
      <c r="AB6" s="464"/>
      <c r="AD6" s="654" t="s">
        <v>330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24</v>
      </c>
      <c r="T7" s="466"/>
      <c r="U7" s="297" t="s">
        <v>25</v>
      </c>
      <c r="V7" s="467"/>
      <c r="W7" s="297" t="s">
        <v>23</v>
      </c>
      <c r="X7" s="297"/>
      <c r="Y7" s="296" t="s">
        <v>24</v>
      </c>
      <c r="Z7" s="465"/>
      <c r="AA7" s="297" t="s">
        <v>25</v>
      </c>
      <c r="AB7" s="467"/>
      <c r="AC7" s="2"/>
      <c r="AD7" s="654" t="s">
        <v>331</v>
      </c>
    </row>
    <row r="8" spans="1:30" ht="18.95" customHeight="1">
      <c r="A8" s="493"/>
      <c r="B8" s="3">
        <v>1</v>
      </c>
      <c r="C8" s="108" t="s">
        <v>329</v>
      </c>
      <c r="D8" s="5"/>
      <c r="E8" s="5"/>
      <c r="F8" s="6"/>
      <c r="G8" s="7" t="s">
        <v>304</v>
      </c>
      <c r="H8" s="8"/>
      <c r="I8" s="8"/>
      <c r="J8" s="8"/>
      <c r="K8" s="8"/>
      <c r="L8" s="9"/>
      <c r="M8" s="3" t="s">
        <v>181</v>
      </c>
      <c r="N8" s="10">
        <v>150</v>
      </c>
      <c r="O8" s="88">
        <v>11000</v>
      </c>
      <c r="P8" s="56"/>
      <c r="Q8" s="562"/>
      <c r="R8" s="563"/>
      <c r="S8" s="585">
        <f t="shared" ref="S8:S14" si="0">N8*O8</f>
        <v>1650000</v>
      </c>
      <c r="T8" s="586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12100</v>
      </c>
      <c r="AD8" s="654" t="s">
        <v>314</v>
      </c>
    </row>
    <row r="9" spans="1:30" ht="18.95" customHeight="1">
      <c r="A9" s="493"/>
      <c r="B9" s="14">
        <v>2</v>
      </c>
      <c r="C9" s="15"/>
      <c r="D9" s="16"/>
      <c r="E9" s="16"/>
      <c r="F9" s="17"/>
      <c r="G9" s="18" t="s">
        <v>305</v>
      </c>
      <c r="H9" s="19"/>
      <c r="I9" s="19"/>
      <c r="J9" s="19"/>
      <c r="K9" s="19"/>
      <c r="L9" s="20"/>
      <c r="M9" s="14" t="s">
        <v>259</v>
      </c>
      <c r="N9" s="21">
        <v>1</v>
      </c>
      <c r="O9" s="86">
        <v>190000</v>
      </c>
      <c r="P9" s="63"/>
      <c r="Q9" s="539"/>
      <c r="R9" s="540"/>
      <c r="S9" s="583">
        <f t="shared" si="0"/>
        <v>190000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51" si="1">ROUND(O9*1.1,-2)</f>
        <v>209000</v>
      </c>
    </row>
    <row r="10" spans="1:30" ht="18.95" customHeight="1">
      <c r="A10" s="493"/>
      <c r="B10" s="14">
        <v>3</v>
      </c>
      <c r="C10" s="15"/>
      <c r="D10" s="16"/>
      <c r="E10" s="16"/>
      <c r="F10" s="17"/>
      <c r="G10" s="18" t="s">
        <v>306</v>
      </c>
      <c r="H10" s="19"/>
      <c r="I10" s="19"/>
      <c r="J10" s="19"/>
      <c r="K10" s="19"/>
      <c r="L10" s="20"/>
      <c r="M10" s="14" t="s">
        <v>259</v>
      </c>
      <c r="N10" s="21">
        <v>1</v>
      </c>
      <c r="O10" s="86">
        <v>4924848</v>
      </c>
      <c r="P10" s="63"/>
      <c r="Q10" s="539"/>
      <c r="R10" s="540"/>
      <c r="S10" s="583">
        <f t="shared" si="0"/>
        <v>4924848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5417300</v>
      </c>
    </row>
    <row r="11" spans="1:30" ht="18.95" customHeight="1">
      <c r="A11" s="493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6"/>
      <c r="P11" s="63"/>
      <c r="Q11" s="539"/>
      <c r="R11" s="540"/>
      <c r="S11" s="583">
        <f t="shared" si="0"/>
        <v>0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0</v>
      </c>
    </row>
    <row r="12" spans="1:30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6"/>
      <c r="P12" s="65"/>
      <c r="Q12" s="539"/>
      <c r="R12" s="540"/>
      <c r="S12" s="583">
        <f t="shared" si="0"/>
        <v>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6"/>
      <c r="P13" s="65"/>
      <c r="Q13" s="539"/>
      <c r="R13" s="540"/>
      <c r="S13" s="583">
        <f t="shared" si="0"/>
        <v>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6"/>
      <c r="P14" s="65"/>
      <c r="Q14" s="539"/>
      <c r="R14" s="540"/>
      <c r="S14" s="583">
        <f t="shared" si="0"/>
        <v>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1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1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1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1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1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1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  <c r="AC27" s="13">
        <f t="shared" si="1"/>
        <v>0</v>
      </c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19">
        <f>SUM(Q8:R27)</f>
        <v>0</v>
      </c>
      <c r="R28" s="519"/>
      <c r="S28" s="520">
        <f>SUM(S8:T27)</f>
        <v>6764848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  <c r="AC28" s="13">
        <f t="shared" si="1"/>
        <v>0</v>
      </c>
    </row>
    <row r="29" spans="1:29" ht="21" customHeight="1" thickTop="1">
      <c r="A29" s="373" t="s">
        <v>27</v>
      </c>
      <c r="B29" s="374"/>
      <c r="C29" s="374"/>
      <c r="D29" s="374"/>
      <c r="E29" s="374"/>
      <c r="F29" s="374"/>
      <c r="G29" s="375" t="s">
        <v>28</v>
      </c>
      <c r="H29" s="374"/>
      <c r="I29" s="376"/>
      <c r="J29" s="373" t="s">
        <v>29</v>
      </c>
      <c r="K29" s="374"/>
      <c r="L29" s="376"/>
      <c r="M29" s="377" t="s">
        <v>30</v>
      </c>
      <c r="N29" s="380" t="s">
        <v>31</v>
      </c>
      <c r="O29" s="381"/>
      <c r="P29" s="368"/>
      <c r="Q29" s="360" t="s">
        <v>32</v>
      </c>
      <c r="R29" s="361"/>
      <c r="S29" s="360" t="s">
        <v>33</v>
      </c>
      <c r="T29" s="361"/>
      <c r="U29" s="360" t="s">
        <v>34</v>
      </c>
      <c r="V29" s="364"/>
      <c r="W29" s="366" t="s">
        <v>32</v>
      </c>
      <c r="X29" s="361"/>
      <c r="Y29" s="360" t="s">
        <v>33</v>
      </c>
      <c r="Z29" s="368"/>
      <c r="AA29" s="360" t="s">
        <v>34</v>
      </c>
      <c r="AB29" s="364"/>
      <c r="AC29" s="13">
        <f t="shared" si="1"/>
        <v>0</v>
      </c>
    </row>
    <row r="30" spans="1:29" ht="21" customHeight="1">
      <c r="A30" s="38">
        <v>1</v>
      </c>
      <c r="B30" s="225"/>
      <c r="C30" s="274" t="s">
        <v>35</v>
      </c>
      <c r="D30" s="274"/>
      <c r="E30" s="274"/>
      <c r="F30" s="274"/>
      <c r="G30" s="648">
        <f>Q28</f>
        <v>0</v>
      </c>
      <c r="H30" s="649"/>
      <c r="I30" s="650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  <c r="AC30" s="13">
        <f t="shared" si="1"/>
        <v>0</v>
      </c>
    </row>
    <row r="31" spans="1:29" ht="21" customHeight="1">
      <c r="A31" s="38">
        <v>2</v>
      </c>
      <c r="B31" s="369"/>
      <c r="C31" s="316" t="s">
        <v>36</v>
      </c>
      <c r="D31" s="324"/>
      <c r="E31" s="324"/>
      <c r="F31" s="324"/>
      <c r="G31" s="651">
        <f>S28+S87</f>
        <v>6764848</v>
      </c>
      <c r="H31" s="652"/>
      <c r="I31" s="653"/>
      <c r="J31" s="385"/>
      <c r="K31" s="386"/>
      <c r="L31" s="387"/>
      <c r="M31" s="378"/>
      <c r="N31" s="388"/>
      <c r="O31" s="388"/>
      <c r="P31" s="388"/>
      <c r="Q31" s="388"/>
      <c r="R31" s="388"/>
      <c r="S31" s="389"/>
      <c r="T31" s="389"/>
      <c r="U31" s="390"/>
      <c r="V31" s="391"/>
      <c r="W31" s="392"/>
      <c r="X31" s="393"/>
      <c r="Y31" s="394"/>
      <c r="Z31" s="394"/>
      <c r="AA31" s="352"/>
      <c r="AB31" s="353"/>
      <c r="AC31" s="13">
        <f t="shared" si="1"/>
        <v>0</v>
      </c>
    </row>
    <row r="32" spans="1:29" ht="21" customHeight="1">
      <c r="A32" s="38">
        <v>3</v>
      </c>
      <c r="B32" s="369"/>
      <c r="C32" s="292" t="s">
        <v>37</v>
      </c>
      <c r="D32" s="292"/>
      <c r="E32" s="292"/>
      <c r="F32" s="292"/>
      <c r="G32" s="638">
        <f>U28</f>
        <v>0</v>
      </c>
      <c r="H32" s="646"/>
      <c r="I32" s="647"/>
      <c r="J32" s="357"/>
      <c r="K32" s="358"/>
      <c r="L32" s="359"/>
      <c r="M32" s="378"/>
      <c r="N32" s="313"/>
      <c r="O32" s="314"/>
      <c r="P32" s="315"/>
      <c r="Q32" s="313"/>
      <c r="R32" s="315"/>
      <c r="S32" s="326"/>
      <c r="T32" s="327"/>
      <c r="U32" s="328"/>
      <c r="V32" s="329"/>
      <c r="W32" s="346"/>
      <c r="X32" s="347"/>
      <c r="Y32" s="348"/>
      <c r="Z32" s="348"/>
      <c r="AA32" s="336"/>
      <c r="AB32" s="337"/>
      <c r="AC32" s="13">
        <f t="shared" si="1"/>
        <v>0</v>
      </c>
    </row>
    <row r="33" spans="1:33" ht="21" customHeight="1">
      <c r="A33" s="38">
        <v>4</v>
      </c>
      <c r="B33" s="293"/>
      <c r="C33" s="297" t="s">
        <v>38</v>
      </c>
      <c r="D33" s="297"/>
      <c r="E33" s="297"/>
      <c r="F33" s="297"/>
      <c r="G33" s="632">
        <f>(G30+G31+G32)</f>
        <v>6764848</v>
      </c>
      <c r="H33" s="644"/>
      <c r="I33" s="645"/>
      <c r="J33" s="349"/>
      <c r="K33" s="350"/>
      <c r="L33" s="351"/>
      <c r="M33" s="378"/>
      <c r="N33" s="313"/>
      <c r="O33" s="314"/>
      <c r="P33" s="315"/>
      <c r="Q33" s="313"/>
      <c r="R33" s="315"/>
      <c r="S33" s="326"/>
      <c r="T33" s="327"/>
      <c r="U33" s="328"/>
      <c r="V33" s="329"/>
      <c r="W33" s="346"/>
      <c r="X33" s="347"/>
      <c r="Y33" s="348"/>
      <c r="Z33" s="348"/>
      <c r="AA33" s="336"/>
      <c r="AB33" s="337"/>
      <c r="AC33" s="13">
        <f t="shared" si="1"/>
        <v>0</v>
      </c>
    </row>
    <row r="34" spans="1:33" ht="21" customHeight="1">
      <c r="A34" s="38">
        <v>5</v>
      </c>
      <c r="B34" s="39"/>
      <c r="C34" s="338" t="s">
        <v>39</v>
      </c>
      <c r="D34" s="339"/>
      <c r="E34" s="339"/>
      <c r="F34" s="339"/>
      <c r="G34" s="641">
        <f>U38</f>
        <v>0</v>
      </c>
      <c r="H34" s="642"/>
      <c r="I34" s="643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  <c r="AC34" s="13">
        <f t="shared" si="1"/>
        <v>0</v>
      </c>
    </row>
    <row r="35" spans="1:33" ht="21" customHeight="1">
      <c r="A35" s="38">
        <v>6</v>
      </c>
      <c r="B35" s="40"/>
      <c r="C35" s="305" t="s">
        <v>40</v>
      </c>
      <c r="D35" s="306"/>
      <c r="E35" s="306"/>
      <c r="F35" s="306"/>
      <c r="G35" s="635">
        <f>G34*0.1</f>
        <v>0</v>
      </c>
      <c r="H35" s="636"/>
      <c r="I35" s="637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  <c r="AC35" s="13">
        <f t="shared" si="1"/>
        <v>0</v>
      </c>
    </row>
    <row r="36" spans="1:33" ht="21" customHeight="1">
      <c r="A36" s="38">
        <v>7</v>
      </c>
      <c r="B36" s="41"/>
      <c r="C36" s="292" t="s">
        <v>41</v>
      </c>
      <c r="D36" s="292"/>
      <c r="E36" s="292"/>
      <c r="F36" s="292"/>
      <c r="G36" s="638">
        <f>G34+G35</f>
        <v>0</v>
      </c>
      <c r="H36" s="639"/>
      <c r="I36" s="640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  <c r="AC36" s="13">
        <f t="shared" si="1"/>
        <v>0</v>
      </c>
    </row>
    <row r="37" spans="1:33" ht="21" customHeight="1">
      <c r="A37" s="38">
        <v>8</v>
      </c>
      <c r="B37" s="296" t="s">
        <v>42</v>
      </c>
      <c r="C37" s="297"/>
      <c r="D37" s="297"/>
      <c r="E37" s="297"/>
      <c r="F37" s="297"/>
      <c r="G37" s="632">
        <f>G33+G36</f>
        <v>6764848</v>
      </c>
      <c r="H37" s="633"/>
      <c r="I37" s="634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  <c r="AC37" s="13">
        <f t="shared" si="1"/>
        <v>0</v>
      </c>
    </row>
    <row r="38" spans="1:33" ht="21" customHeight="1" thickBot="1">
      <c r="A38" s="38">
        <v>9</v>
      </c>
      <c r="B38" s="296" t="s">
        <v>43</v>
      </c>
      <c r="C38" s="297"/>
      <c r="D38" s="297"/>
      <c r="E38" s="297"/>
      <c r="F38" s="297"/>
      <c r="G38" s="632">
        <f>((G30*0.01)+(G31*0.01)+(G32*0.02))</f>
        <v>67648.479999999996</v>
      </c>
      <c r="H38" s="633"/>
      <c r="I38" s="634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0</v>
      </c>
      <c r="V38" s="265"/>
      <c r="W38" s="266"/>
      <c r="X38" s="267"/>
      <c r="Y38" s="267"/>
      <c r="Z38" s="302"/>
      <c r="AA38" s="303"/>
      <c r="AB38" s="304"/>
      <c r="AC38" s="13">
        <f t="shared" si="1"/>
        <v>0</v>
      </c>
    </row>
    <row r="39" spans="1:33" ht="21" customHeight="1" thickTop="1">
      <c r="A39" s="38">
        <v>10</v>
      </c>
      <c r="B39" s="42" t="s">
        <v>44</v>
      </c>
      <c r="C39" s="43"/>
      <c r="D39" s="43"/>
      <c r="E39" s="43"/>
      <c r="F39" s="43"/>
      <c r="G39" s="632">
        <f>G36*0.15</f>
        <v>0</v>
      </c>
      <c r="H39" s="633"/>
      <c r="I39" s="634"/>
      <c r="J39" s="268"/>
      <c r="K39" s="269"/>
      <c r="L39" s="270"/>
      <c r="M39" s="271" t="s">
        <v>45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>
      <c r="A40" s="38">
        <v>11</v>
      </c>
      <c r="B40" s="42" t="s">
        <v>46</v>
      </c>
      <c r="C40" s="43"/>
      <c r="D40" s="43"/>
      <c r="E40" s="43"/>
      <c r="F40" s="43"/>
      <c r="G40" s="632">
        <f>(G36+G39)*0.15</f>
        <v>0</v>
      </c>
      <c r="H40" s="633"/>
      <c r="I40" s="634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>
      <c r="A41" s="38">
        <v>12</v>
      </c>
      <c r="B41" s="42" t="s">
        <v>47</v>
      </c>
      <c r="C41" s="43"/>
      <c r="D41" s="43"/>
      <c r="E41" s="43"/>
      <c r="F41" s="43"/>
      <c r="G41" s="632">
        <v>0</v>
      </c>
      <c r="H41" s="633"/>
      <c r="I41" s="634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>
      <c r="A42" s="38">
        <v>13</v>
      </c>
      <c r="B42" s="42" t="s">
        <v>48</v>
      </c>
      <c r="C42" s="43"/>
      <c r="D42" s="43"/>
      <c r="E42" s="43"/>
      <c r="F42" s="43"/>
      <c r="G42" s="632">
        <v>0</v>
      </c>
      <c r="H42" s="633"/>
      <c r="I42" s="634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>
      <c r="A43" s="38">
        <v>14</v>
      </c>
      <c r="B43" s="273" t="s">
        <v>49</v>
      </c>
      <c r="C43" s="274"/>
      <c r="D43" s="274"/>
      <c r="E43" s="274"/>
      <c r="F43" s="274"/>
      <c r="G43" s="632">
        <v>0</v>
      </c>
      <c r="H43" s="633"/>
      <c r="I43" s="634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7</v>
      </c>
      <c r="U43" s="278" t="s">
        <v>8</v>
      </c>
      <c r="V43" s="278"/>
      <c r="W43" s="278" t="s">
        <v>50</v>
      </c>
      <c r="X43" s="278"/>
      <c r="Y43" s="278" t="s">
        <v>51</v>
      </c>
      <c r="Z43" s="278"/>
      <c r="AA43" s="278" t="s">
        <v>52</v>
      </c>
      <c r="AB43" s="279"/>
      <c r="AC43" s="13">
        <f t="shared" si="1"/>
        <v>0</v>
      </c>
    </row>
    <row r="44" spans="1:33" ht="21" customHeight="1" thickBot="1">
      <c r="A44" s="38">
        <v>15</v>
      </c>
      <c r="B44" s="280" t="s">
        <v>28</v>
      </c>
      <c r="C44" s="281"/>
      <c r="D44" s="281"/>
      <c r="E44" s="281"/>
      <c r="F44" s="281"/>
      <c r="G44" s="629">
        <f>SUM(G37:I43)</f>
        <v>6832496.4800000004</v>
      </c>
      <c r="H44" s="630"/>
      <c r="I44" s="631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  <c r="AC44" s="13">
        <f t="shared" si="1"/>
        <v>0</v>
      </c>
    </row>
    <row r="45" spans="1:33" ht="30" customHeight="1" thickTop="1" thickBot="1">
      <c r="A45" s="261" t="s">
        <v>53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54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  <c r="AC45" s="13">
        <f t="shared" si="1"/>
        <v>0</v>
      </c>
    </row>
    <row r="46" spans="1:33" ht="22.5" customHeight="1" thickBot="1">
      <c r="A46" s="48"/>
      <c r="B46" s="48"/>
      <c r="C46" s="48"/>
      <c r="J46" s="237" t="s">
        <v>55</v>
      </c>
      <c r="K46" s="238"/>
      <c r="L46" s="238"/>
      <c r="M46" s="238"/>
      <c r="N46" s="238"/>
      <c r="O46" s="238"/>
      <c r="P46" s="238"/>
      <c r="Q46" s="238"/>
      <c r="R46" s="238"/>
      <c r="S46" s="238"/>
      <c r="AC46" s="13">
        <f t="shared" si="1"/>
        <v>0</v>
      </c>
    </row>
    <row r="47" spans="1:33" ht="33" customHeight="1" thickTop="1">
      <c r="A47" s="239" t="s">
        <v>5</v>
      </c>
      <c r="B47" s="240"/>
      <c r="C47" s="241"/>
      <c r="D47" s="242"/>
      <c r="E47" s="242"/>
      <c r="F47" s="242"/>
      <c r="G47" s="242"/>
      <c r="H47" s="242"/>
      <c r="I47" s="242"/>
      <c r="J47" s="243" t="s">
        <v>56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2</v>
      </c>
      <c r="U47" s="242"/>
      <c r="V47" s="242"/>
      <c r="W47" s="242"/>
      <c r="X47" s="250" t="s">
        <v>3</v>
      </c>
      <c r="Y47" s="251"/>
      <c r="Z47" s="251"/>
      <c r="AA47" s="251"/>
      <c r="AB47" s="252"/>
      <c r="AC47" s="13">
        <f t="shared" si="1"/>
        <v>0</v>
      </c>
      <c r="AD47" s="49"/>
      <c r="AF47" s="50"/>
      <c r="AG47" s="50"/>
    </row>
    <row r="48" spans="1:33" ht="33" customHeight="1" thickBot="1">
      <c r="A48" s="232" t="s">
        <v>12</v>
      </c>
      <c r="B48" s="233"/>
      <c r="C48" s="234" t="str">
        <f>C5</f>
        <v>CBL1</v>
      </c>
      <c r="D48" s="235"/>
      <c r="E48" s="235"/>
      <c r="F48" s="235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tr">
        <f>T2</f>
        <v>2011  년    4 월    11 일</v>
      </c>
      <c r="U48" s="473"/>
      <c r="V48" s="473"/>
      <c r="W48" s="473"/>
      <c r="X48" s="473"/>
      <c r="Y48" s="473"/>
      <c r="Z48" s="473"/>
      <c r="AA48" s="473"/>
      <c r="AB48" s="491"/>
      <c r="AC48" s="13">
        <f t="shared" si="1"/>
        <v>0</v>
      </c>
      <c r="AD48" s="49"/>
      <c r="AF48" s="50"/>
      <c r="AG48" s="50"/>
    </row>
    <row r="49" spans="1:33" ht="22.5" customHeight="1" thickTop="1">
      <c r="A49" s="227" t="s">
        <v>14</v>
      </c>
      <c r="B49" s="200" t="s">
        <v>15</v>
      </c>
      <c r="C49" s="200" t="s">
        <v>16</v>
      </c>
      <c r="D49" s="200"/>
      <c r="E49" s="200"/>
      <c r="F49" s="200"/>
      <c r="G49" s="500" t="s">
        <v>17</v>
      </c>
      <c r="H49" s="500"/>
      <c r="I49" s="500"/>
      <c r="J49" s="500"/>
      <c r="K49" s="500"/>
      <c r="L49" s="500"/>
      <c r="M49" s="499" t="s">
        <v>18</v>
      </c>
      <c r="N49" s="499" t="s">
        <v>19</v>
      </c>
      <c r="O49" s="500" t="s">
        <v>20</v>
      </c>
      <c r="P49" s="501"/>
      <c r="Q49" s="502" t="s">
        <v>21</v>
      </c>
      <c r="R49" s="503"/>
      <c r="S49" s="503"/>
      <c r="T49" s="503"/>
      <c r="U49" s="503"/>
      <c r="V49" s="504"/>
      <c r="W49" s="503" t="s">
        <v>57</v>
      </c>
      <c r="X49" s="503"/>
      <c r="Y49" s="503"/>
      <c r="Z49" s="503"/>
      <c r="AA49" s="503"/>
      <c r="AB49" s="504"/>
      <c r="AC49" s="13" t="e">
        <f>ROUND(O49*1.1,-2)</f>
        <v>#VALUE!</v>
      </c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23</v>
      </c>
      <c r="R50" s="207"/>
      <c r="S50" s="208" t="s">
        <v>24</v>
      </c>
      <c r="T50" s="208"/>
      <c r="U50" s="209" t="s">
        <v>25</v>
      </c>
      <c r="V50" s="210"/>
      <c r="W50" s="209" t="s">
        <v>23</v>
      </c>
      <c r="X50" s="209"/>
      <c r="Y50" s="211" t="s">
        <v>24</v>
      </c>
      <c r="Z50" s="207"/>
      <c r="AA50" s="209" t="s">
        <v>25</v>
      </c>
      <c r="AB50" s="210"/>
      <c r="AC50" s="13">
        <f t="shared" si="1"/>
        <v>0</v>
      </c>
      <c r="AD50" s="49"/>
    </row>
    <row r="51" spans="1:33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C51" s="13">
        <f t="shared" si="1"/>
        <v>0</v>
      </c>
      <c r="AD51" s="49"/>
    </row>
    <row r="52" spans="1:33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55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88"/>
  <sheetViews>
    <sheetView showGridLines="0" workbookViewId="0">
      <selection activeCell="AD14" sqref="AD14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2</v>
      </c>
      <c r="U1" s="251"/>
      <c r="V1" s="251"/>
      <c r="W1" s="251"/>
      <c r="X1" s="250" t="s">
        <v>3</v>
      </c>
      <c r="Y1" s="251"/>
      <c r="Z1" s="251"/>
      <c r="AA1" s="251"/>
      <c r="AB1" s="252"/>
    </row>
    <row r="2" spans="1:30" ht="33" customHeight="1" thickBot="1">
      <c r="A2" s="490" t="s">
        <v>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5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7</v>
      </c>
      <c r="U3" s="466" t="s">
        <v>8</v>
      </c>
      <c r="V3" s="466"/>
      <c r="W3" s="466" t="s">
        <v>9</v>
      </c>
      <c r="X3" s="466"/>
      <c r="Y3" s="466" t="s">
        <v>10</v>
      </c>
      <c r="Z3" s="466"/>
      <c r="AA3" s="466" t="s">
        <v>11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12</v>
      </c>
      <c r="B5" s="302"/>
      <c r="C5" s="480" t="s">
        <v>248</v>
      </c>
      <c r="D5" s="481"/>
      <c r="E5" s="481"/>
      <c r="F5" s="481"/>
      <c r="G5" s="481"/>
      <c r="H5" s="481"/>
      <c r="I5" s="481"/>
      <c r="J5" s="480" t="s">
        <v>13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14</v>
      </c>
      <c r="B6" s="369" t="s">
        <v>15</v>
      </c>
      <c r="C6" s="369" t="s">
        <v>16</v>
      </c>
      <c r="D6" s="369"/>
      <c r="E6" s="369"/>
      <c r="F6" s="369"/>
      <c r="G6" s="369" t="s">
        <v>17</v>
      </c>
      <c r="H6" s="369"/>
      <c r="I6" s="369"/>
      <c r="J6" s="369"/>
      <c r="K6" s="369"/>
      <c r="L6" s="369"/>
      <c r="M6" s="494" t="s">
        <v>18</v>
      </c>
      <c r="N6" s="494" t="s">
        <v>19</v>
      </c>
      <c r="O6" s="459" t="s">
        <v>20</v>
      </c>
      <c r="P6" s="460"/>
      <c r="Q6" s="463" t="s">
        <v>21</v>
      </c>
      <c r="R6" s="463"/>
      <c r="S6" s="463"/>
      <c r="T6" s="463"/>
      <c r="U6" s="463"/>
      <c r="V6" s="464"/>
      <c r="W6" s="463" t="s">
        <v>22</v>
      </c>
      <c r="X6" s="463"/>
      <c r="Y6" s="463"/>
      <c r="Z6" s="463"/>
      <c r="AA6" s="463"/>
      <c r="AB6" s="464"/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23</v>
      </c>
      <c r="R7" s="465"/>
      <c r="S7" s="466" t="s">
        <v>24</v>
      </c>
      <c r="T7" s="466"/>
      <c r="U7" s="297" t="s">
        <v>25</v>
      </c>
      <c r="V7" s="467"/>
      <c r="W7" s="297" t="s">
        <v>23</v>
      </c>
      <c r="X7" s="297"/>
      <c r="Y7" s="296" t="s">
        <v>24</v>
      </c>
      <c r="Z7" s="465"/>
      <c r="AA7" s="297" t="s">
        <v>25</v>
      </c>
      <c r="AB7" s="467"/>
      <c r="AC7" s="2"/>
      <c r="AD7" s="654" t="s">
        <v>332</v>
      </c>
    </row>
    <row r="8" spans="1:30" ht="18.95" customHeight="1">
      <c r="A8" s="493"/>
      <c r="B8" s="3">
        <v>1</v>
      </c>
      <c r="C8" s="4" t="s">
        <v>249</v>
      </c>
      <c r="D8" s="5"/>
      <c r="E8" s="5"/>
      <c r="F8" s="6"/>
      <c r="G8" s="7" t="s">
        <v>303</v>
      </c>
      <c r="H8" s="8"/>
      <c r="I8" s="8"/>
      <c r="J8" s="8"/>
      <c r="K8" s="8"/>
      <c r="L8" s="9"/>
      <c r="M8" s="3" t="s">
        <v>181</v>
      </c>
      <c r="N8" s="10">
        <v>1</v>
      </c>
      <c r="O8" s="88">
        <f>373950*1.2</f>
        <v>448740</v>
      </c>
      <c r="P8" s="56"/>
      <c r="Q8" s="562"/>
      <c r="R8" s="563"/>
      <c r="S8" s="585">
        <f t="shared" ref="S8:S14" si="0">N8*O8</f>
        <v>448740</v>
      </c>
      <c r="T8" s="586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493600</v>
      </c>
    </row>
    <row r="9" spans="1:30" ht="18.95" customHeight="1">
      <c r="A9" s="493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86"/>
      <c r="P9" s="63"/>
      <c r="Q9" s="539"/>
      <c r="R9" s="540"/>
      <c r="S9" s="583">
        <f t="shared" si="0"/>
        <v>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51" si="1">ROUND(O9*1.1,-2)</f>
        <v>0</v>
      </c>
    </row>
    <row r="10" spans="1:30" ht="18.95" customHeight="1">
      <c r="A10" s="493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86"/>
      <c r="P10" s="63"/>
      <c r="Q10" s="539"/>
      <c r="R10" s="540"/>
      <c r="S10" s="583">
        <f t="shared" si="0"/>
        <v>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1"/>
        <v>0</v>
      </c>
    </row>
    <row r="11" spans="1:30" ht="18.95" customHeight="1">
      <c r="A11" s="493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6"/>
      <c r="P11" s="63"/>
      <c r="Q11" s="539"/>
      <c r="R11" s="540"/>
      <c r="S11" s="583">
        <f t="shared" si="0"/>
        <v>0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1"/>
        <v>0</v>
      </c>
    </row>
    <row r="12" spans="1:30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6"/>
      <c r="P12" s="65"/>
      <c r="Q12" s="539"/>
      <c r="R12" s="540"/>
      <c r="S12" s="583">
        <f t="shared" si="0"/>
        <v>0</v>
      </c>
      <c r="T12" s="584"/>
      <c r="U12" s="559"/>
      <c r="V12" s="560"/>
      <c r="W12" s="22"/>
      <c r="X12" s="23"/>
      <c r="Y12" s="545"/>
      <c r="Z12" s="561"/>
      <c r="AA12" s="547"/>
      <c r="AB12" s="548"/>
      <c r="AC12" s="13">
        <f t="shared" si="1"/>
        <v>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6"/>
      <c r="P13" s="65"/>
      <c r="Q13" s="539"/>
      <c r="R13" s="540"/>
      <c r="S13" s="583">
        <f t="shared" si="0"/>
        <v>0</v>
      </c>
      <c r="T13" s="584"/>
      <c r="U13" s="559"/>
      <c r="V13" s="560"/>
      <c r="W13" s="22"/>
      <c r="X13" s="23"/>
      <c r="Y13" s="545"/>
      <c r="Z13" s="561"/>
      <c r="AA13" s="547"/>
      <c r="AB13" s="548"/>
      <c r="AC13" s="13">
        <f t="shared" si="1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6"/>
      <c r="P14" s="65"/>
      <c r="Q14" s="539"/>
      <c r="R14" s="540"/>
      <c r="S14" s="583">
        <f t="shared" si="0"/>
        <v>0</v>
      </c>
      <c r="T14" s="584"/>
      <c r="U14" s="559"/>
      <c r="V14" s="560"/>
      <c r="W14" s="22"/>
      <c r="X14" s="23"/>
      <c r="Y14" s="545"/>
      <c r="Z14" s="561"/>
      <c r="AA14" s="547"/>
      <c r="AB14" s="548"/>
      <c r="AC14" s="13">
        <f t="shared" si="1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1"/>
        <v>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1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1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1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1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1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1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1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1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1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1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1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  <c r="AC27" s="13">
        <f t="shared" si="1"/>
        <v>0</v>
      </c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19">
        <f>SUM(Q8:R27)</f>
        <v>0</v>
      </c>
      <c r="R28" s="519"/>
      <c r="S28" s="520">
        <f>SUM(S8:T27)</f>
        <v>448740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  <c r="AC28" s="13">
        <f t="shared" si="1"/>
        <v>0</v>
      </c>
    </row>
    <row r="29" spans="1:29" ht="21" customHeight="1" thickTop="1">
      <c r="A29" s="373" t="s">
        <v>27</v>
      </c>
      <c r="B29" s="374"/>
      <c r="C29" s="374"/>
      <c r="D29" s="374"/>
      <c r="E29" s="374"/>
      <c r="F29" s="374"/>
      <c r="G29" s="375" t="s">
        <v>28</v>
      </c>
      <c r="H29" s="374"/>
      <c r="I29" s="376"/>
      <c r="J29" s="373" t="s">
        <v>29</v>
      </c>
      <c r="K29" s="374"/>
      <c r="L29" s="376"/>
      <c r="M29" s="377" t="s">
        <v>30</v>
      </c>
      <c r="N29" s="380" t="s">
        <v>31</v>
      </c>
      <c r="O29" s="381"/>
      <c r="P29" s="368"/>
      <c r="Q29" s="360" t="s">
        <v>32</v>
      </c>
      <c r="R29" s="361"/>
      <c r="S29" s="360" t="s">
        <v>33</v>
      </c>
      <c r="T29" s="361"/>
      <c r="U29" s="360" t="s">
        <v>34</v>
      </c>
      <c r="V29" s="364"/>
      <c r="W29" s="366" t="s">
        <v>32</v>
      </c>
      <c r="X29" s="361"/>
      <c r="Y29" s="360" t="s">
        <v>33</v>
      </c>
      <c r="Z29" s="368"/>
      <c r="AA29" s="360" t="s">
        <v>34</v>
      </c>
      <c r="AB29" s="364"/>
      <c r="AC29" s="13">
        <f t="shared" si="1"/>
        <v>0</v>
      </c>
    </row>
    <row r="30" spans="1:29" ht="21" customHeight="1">
      <c r="A30" s="38">
        <v>1</v>
      </c>
      <c r="B30" s="225"/>
      <c r="C30" s="274" t="s">
        <v>35</v>
      </c>
      <c r="D30" s="274"/>
      <c r="E30" s="274"/>
      <c r="F30" s="274"/>
      <c r="G30" s="648">
        <f>Q28</f>
        <v>0</v>
      </c>
      <c r="H30" s="649"/>
      <c r="I30" s="650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  <c r="AC30" s="13">
        <f t="shared" si="1"/>
        <v>0</v>
      </c>
    </row>
    <row r="31" spans="1:29" ht="21" customHeight="1">
      <c r="A31" s="38">
        <v>2</v>
      </c>
      <c r="B31" s="369"/>
      <c r="C31" s="316" t="s">
        <v>36</v>
      </c>
      <c r="D31" s="324"/>
      <c r="E31" s="324"/>
      <c r="F31" s="324"/>
      <c r="G31" s="651">
        <f>S28+S87</f>
        <v>448740</v>
      </c>
      <c r="H31" s="652"/>
      <c r="I31" s="653"/>
      <c r="J31" s="385"/>
      <c r="K31" s="386"/>
      <c r="L31" s="387"/>
      <c r="M31" s="378"/>
      <c r="N31" s="388" t="s">
        <v>258</v>
      </c>
      <c r="O31" s="388"/>
      <c r="P31" s="388"/>
      <c r="Q31" s="388">
        <v>1</v>
      </c>
      <c r="R31" s="388"/>
      <c r="S31" s="389">
        <v>24000</v>
      </c>
      <c r="T31" s="389"/>
      <c r="U31" s="390">
        <f>Q31*S31</f>
        <v>24000</v>
      </c>
      <c r="V31" s="391"/>
      <c r="W31" s="392"/>
      <c r="X31" s="393"/>
      <c r="Y31" s="394"/>
      <c r="Z31" s="394"/>
      <c r="AA31" s="352"/>
      <c r="AB31" s="353"/>
      <c r="AC31" s="13">
        <f t="shared" si="1"/>
        <v>0</v>
      </c>
    </row>
    <row r="32" spans="1:29" ht="21" customHeight="1">
      <c r="A32" s="38">
        <v>3</v>
      </c>
      <c r="B32" s="369"/>
      <c r="C32" s="292" t="s">
        <v>37</v>
      </c>
      <c r="D32" s="292"/>
      <c r="E32" s="292"/>
      <c r="F32" s="292"/>
      <c r="G32" s="638">
        <f>U28</f>
        <v>0</v>
      </c>
      <c r="H32" s="646"/>
      <c r="I32" s="647"/>
      <c r="J32" s="357"/>
      <c r="K32" s="358"/>
      <c r="L32" s="359"/>
      <c r="M32" s="378"/>
      <c r="N32" s="313"/>
      <c r="O32" s="314"/>
      <c r="P32" s="315"/>
      <c r="Q32" s="313"/>
      <c r="R32" s="315"/>
      <c r="S32" s="326"/>
      <c r="T32" s="327"/>
      <c r="U32" s="328"/>
      <c r="V32" s="329"/>
      <c r="W32" s="346"/>
      <c r="X32" s="347"/>
      <c r="Y32" s="348"/>
      <c r="Z32" s="348"/>
      <c r="AA32" s="336"/>
      <c r="AB32" s="337"/>
      <c r="AC32" s="13">
        <f t="shared" si="1"/>
        <v>0</v>
      </c>
    </row>
    <row r="33" spans="1:33" ht="21" customHeight="1">
      <c r="A33" s="38">
        <v>4</v>
      </c>
      <c r="B33" s="293"/>
      <c r="C33" s="297" t="s">
        <v>38</v>
      </c>
      <c r="D33" s="297"/>
      <c r="E33" s="297"/>
      <c r="F33" s="297"/>
      <c r="G33" s="632">
        <f>(G30+G31+G32)</f>
        <v>448740</v>
      </c>
      <c r="H33" s="644"/>
      <c r="I33" s="645"/>
      <c r="J33" s="349"/>
      <c r="K33" s="350"/>
      <c r="L33" s="351"/>
      <c r="M33" s="378"/>
      <c r="N33" s="313"/>
      <c r="O33" s="314"/>
      <c r="P33" s="315"/>
      <c r="Q33" s="313"/>
      <c r="R33" s="315"/>
      <c r="S33" s="326"/>
      <c r="T33" s="327"/>
      <c r="U33" s="328"/>
      <c r="V33" s="329"/>
      <c r="W33" s="346"/>
      <c r="X33" s="347"/>
      <c r="Y33" s="348"/>
      <c r="Z33" s="348"/>
      <c r="AA33" s="336"/>
      <c r="AB33" s="337"/>
      <c r="AC33" s="13">
        <f t="shared" si="1"/>
        <v>0</v>
      </c>
    </row>
    <row r="34" spans="1:33" ht="21" customHeight="1">
      <c r="A34" s="38">
        <v>5</v>
      </c>
      <c r="B34" s="39"/>
      <c r="C34" s="338" t="s">
        <v>39</v>
      </c>
      <c r="D34" s="339"/>
      <c r="E34" s="339"/>
      <c r="F34" s="339"/>
      <c r="G34" s="641">
        <f>U38</f>
        <v>24000</v>
      </c>
      <c r="H34" s="642"/>
      <c r="I34" s="643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  <c r="AC34" s="13">
        <f t="shared" si="1"/>
        <v>0</v>
      </c>
    </row>
    <row r="35" spans="1:33" ht="21" customHeight="1">
      <c r="A35" s="38">
        <v>6</v>
      </c>
      <c r="B35" s="40"/>
      <c r="C35" s="305" t="s">
        <v>40</v>
      </c>
      <c r="D35" s="306"/>
      <c r="E35" s="306"/>
      <c r="F35" s="306"/>
      <c r="G35" s="635">
        <f>G34*0.1</f>
        <v>2400</v>
      </c>
      <c r="H35" s="636"/>
      <c r="I35" s="637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  <c r="AC35" s="13">
        <f t="shared" si="1"/>
        <v>0</v>
      </c>
    </row>
    <row r="36" spans="1:33" ht="21" customHeight="1">
      <c r="A36" s="38">
        <v>7</v>
      </c>
      <c r="B36" s="41"/>
      <c r="C36" s="292" t="s">
        <v>41</v>
      </c>
      <c r="D36" s="292"/>
      <c r="E36" s="292"/>
      <c r="F36" s="292"/>
      <c r="G36" s="638">
        <f>G34+G35</f>
        <v>26400</v>
      </c>
      <c r="H36" s="639"/>
      <c r="I36" s="640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  <c r="AC36" s="13">
        <f t="shared" si="1"/>
        <v>0</v>
      </c>
    </row>
    <row r="37" spans="1:33" ht="21" customHeight="1">
      <c r="A37" s="38">
        <v>8</v>
      </c>
      <c r="B37" s="296" t="s">
        <v>42</v>
      </c>
      <c r="C37" s="297"/>
      <c r="D37" s="297"/>
      <c r="E37" s="297"/>
      <c r="F37" s="297"/>
      <c r="G37" s="632">
        <f>G33+G36</f>
        <v>475140</v>
      </c>
      <c r="H37" s="633"/>
      <c r="I37" s="634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  <c r="AC37" s="13">
        <f t="shared" si="1"/>
        <v>0</v>
      </c>
    </row>
    <row r="38" spans="1:33" ht="21" customHeight="1" thickBot="1">
      <c r="A38" s="38">
        <v>9</v>
      </c>
      <c r="B38" s="296" t="s">
        <v>43</v>
      </c>
      <c r="C38" s="297"/>
      <c r="D38" s="297"/>
      <c r="E38" s="297"/>
      <c r="F38" s="297"/>
      <c r="G38" s="632">
        <f>((G30*0.01)+(G31*0.01)+(G32*0.02))</f>
        <v>4487.4000000000005</v>
      </c>
      <c r="H38" s="633"/>
      <c r="I38" s="634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24000</v>
      </c>
      <c r="V38" s="265"/>
      <c r="W38" s="266"/>
      <c r="X38" s="267"/>
      <c r="Y38" s="267"/>
      <c r="Z38" s="302"/>
      <c r="AA38" s="303"/>
      <c r="AB38" s="304"/>
      <c r="AC38" s="13">
        <f t="shared" si="1"/>
        <v>0</v>
      </c>
    </row>
    <row r="39" spans="1:33" ht="21" customHeight="1" thickTop="1">
      <c r="A39" s="38">
        <v>10</v>
      </c>
      <c r="B39" s="42" t="s">
        <v>44</v>
      </c>
      <c r="C39" s="43"/>
      <c r="D39" s="43"/>
      <c r="E39" s="43"/>
      <c r="F39" s="43"/>
      <c r="G39" s="632">
        <f>G36*0.15</f>
        <v>3960</v>
      </c>
      <c r="H39" s="633"/>
      <c r="I39" s="634"/>
      <c r="J39" s="268"/>
      <c r="K39" s="269"/>
      <c r="L39" s="270"/>
      <c r="M39" s="271" t="s">
        <v>45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>
      <c r="A40" s="38">
        <v>11</v>
      </c>
      <c r="B40" s="42" t="s">
        <v>46</v>
      </c>
      <c r="C40" s="43"/>
      <c r="D40" s="43"/>
      <c r="E40" s="43"/>
      <c r="F40" s="43"/>
      <c r="G40" s="632">
        <f>(G36+G39)*0.15</f>
        <v>4554</v>
      </c>
      <c r="H40" s="633"/>
      <c r="I40" s="634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>
      <c r="A41" s="38">
        <v>12</v>
      </c>
      <c r="B41" s="42" t="s">
        <v>47</v>
      </c>
      <c r="C41" s="43"/>
      <c r="D41" s="43"/>
      <c r="E41" s="43"/>
      <c r="F41" s="43"/>
      <c r="G41" s="632">
        <v>0</v>
      </c>
      <c r="H41" s="633"/>
      <c r="I41" s="634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>
      <c r="A42" s="38">
        <v>13</v>
      </c>
      <c r="B42" s="42" t="s">
        <v>48</v>
      </c>
      <c r="C42" s="43"/>
      <c r="D42" s="43"/>
      <c r="E42" s="43"/>
      <c r="F42" s="43"/>
      <c r="G42" s="632">
        <v>0</v>
      </c>
      <c r="H42" s="633"/>
      <c r="I42" s="634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>
      <c r="A43" s="38">
        <v>14</v>
      </c>
      <c r="B43" s="273" t="s">
        <v>49</v>
      </c>
      <c r="C43" s="274"/>
      <c r="D43" s="274"/>
      <c r="E43" s="274"/>
      <c r="F43" s="274"/>
      <c r="G43" s="253">
        <f>(G37+6000000)/N3</f>
        <v>129502.8</v>
      </c>
      <c r="H43" s="254"/>
      <c r="I43" s="255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7</v>
      </c>
      <c r="U43" s="278" t="s">
        <v>8</v>
      </c>
      <c r="V43" s="278"/>
      <c r="W43" s="278" t="s">
        <v>50</v>
      </c>
      <c r="X43" s="278"/>
      <c r="Y43" s="278" t="s">
        <v>51</v>
      </c>
      <c r="Z43" s="278"/>
      <c r="AA43" s="278" t="s">
        <v>52</v>
      </c>
      <c r="AB43" s="279"/>
      <c r="AC43" s="13">
        <f t="shared" si="1"/>
        <v>0</v>
      </c>
    </row>
    <row r="44" spans="1:33" ht="21" customHeight="1" thickBot="1">
      <c r="A44" s="38">
        <v>15</v>
      </c>
      <c r="B44" s="280" t="s">
        <v>28</v>
      </c>
      <c r="C44" s="281"/>
      <c r="D44" s="281"/>
      <c r="E44" s="281"/>
      <c r="F44" s="281"/>
      <c r="G44" s="629">
        <f>SUM(G37:I43)</f>
        <v>617644.20000000007</v>
      </c>
      <c r="H44" s="630"/>
      <c r="I44" s="631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  <c r="AC44" s="13">
        <f t="shared" si="1"/>
        <v>0</v>
      </c>
    </row>
    <row r="45" spans="1:33" ht="30" customHeight="1" thickTop="1" thickBot="1">
      <c r="A45" s="261" t="s">
        <v>53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54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  <c r="AC45" s="13">
        <f t="shared" si="1"/>
        <v>0</v>
      </c>
    </row>
    <row r="46" spans="1:33" ht="22.5" customHeight="1" thickBot="1">
      <c r="A46" s="48"/>
      <c r="B46" s="48"/>
      <c r="C46" s="48"/>
      <c r="J46" s="237" t="s">
        <v>55</v>
      </c>
      <c r="K46" s="238"/>
      <c r="L46" s="238"/>
      <c r="M46" s="238"/>
      <c r="N46" s="238"/>
      <c r="O46" s="238"/>
      <c r="P46" s="238"/>
      <c r="Q46" s="238"/>
      <c r="R46" s="238"/>
      <c r="S46" s="238"/>
      <c r="AC46" s="13">
        <f t="shared" si="1"/>
        <v>0</v>
      </c>
    </row>
    <row r="47" spans="1:33" ht="33" customHeight="1" thickTop="1">
      <c r="A47" s="239" t="s">
        <v>5</v>
      </c>
      <c r="B47" s="240"/>
      <c r="C47" s="241"/>
      <c r="D47" s="242"/>
      <c r="E47" s="242"/>
      <c r="F47" s="242"/>
      <c r="G47" s="242"/>
      <c r="H47" s="242"/>
      <c r="I47" s="242"/>
      <c r="J47" s="243" t="s">
        <v>56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2</v>
      </c>
      <c r="U47" s="242"/>
      <c r="V47" s="242"/>
      <c r="W47" s="242"/>
      <c r="X47" s="250" t="s">
        <v>3</v>
      </c>
      <c r="Y47" s="251"/>
      <c r="Z47" s="251"/>
      <c r="AA47" s="251"/>
      <c r="AB47" s="252"/>
      <c r="AC47" s="13">
        <f t="shared" si="1"/>
        <v>0</v>
      </c>
      <c r="AD47" s="49"/>
      <c r="AF47" s="50"/>
      <c r="AG47" s="50"/>
    </row>
    <row r="48" spans="1:33" ht="33" customHeight="1" thickBot="1">
      <c r="A48" s="232" t="s">
        <v>12</v>
      </c>
      <c r="B48" s="233"/>
      <c r="C48" s="234" t="str">
        <f>C5</f>
        <v>JCR2</v>
      </c>
      <c r="D48" s="235"/>
      <c r="E48" s="235"/>
      <c r="F48" s="235"/>
      <c r="G48" s="481"/>
      <c r="H48" s="481"/>
      <c r="I48" s="481"/>
      <c r="J48" s="486"/>
      <c r="K48" s="487"/>
      <c r="L48" s="487"/>
      <c r="M48" s="487"/>
      <c r="N48" s="487"/>
      <c r="O48" s="487"/>
      <c r="P48" s="487"/>
      <c r="Q48" s="487"/>
      <c r="R48" s="487"/>
      <c r="S48" s="488"/>
      <c r="T48" s="473" t="str">
        <f>T2</f>
        <v>2011  년    4 월    11 일</v>
      </c>
      <c r="U48" s="473"/>
      <c r="V48" s="473"/>
      <c r="W48" s="473"/>
      <c r="X48" s="473"/>
      <c r="Y48" s="473"/>
      <c r="Z48" s="473"/>
      <c r="AA48" s="473"/>
      <c r="AB48" s="491"/>
      <c r="AC48" s="13">
        <f t="shared" si="1"/>
        <v>0</v>
      </c>
      <c r="AD48" s="49"/>
      <c r="AF48" s="50"/>
      <c r="AG48" s="50"/>
    </row>
    <row r="49" spans="1:33" ht="22.5" customHeight="1" thickTop="1">
      <c r="A49" s="227" t="s">
        <v>14</v>
      </c>
      <c r="B49" s="200" t="s">
        <v>15</v>
      </c>
      <c r="C49" s="200" t="s">
        <v>16</v>
      </c>
      <c r="D49" s="200"/>
      <c r="E49" s="200"/>
      <c r="F49" s="200"/>
      <c r="G49" s="500" t="s">
        <v>17</v>
      </c>
      <c r="H49" s="500"/>
      <c r="I49" s="500"/>
      <c r="J49" s="500"/>
      <c r="K49" s="500"/>
      <c r="L49" s="500"/>
      <c r="M49" s="499" t="s">
        <v>18</v>
      </c>
      <c r="N49" s="499" t="s">
        <v>19</v>
      </c>
      <c r="O49" s="500" t="s">
        <v>20</v>
      </c>
      <c r="P49" s="501"/>
      <c r="Q49" s="502" t="s">
        <v>21</v>
      </c>
      <c r="R49" s="503"/>
      <c r="S49" s="503"/>
      <c r="T49" s="503"/>
      <c r="U49" s="503"/>
      <c r="V49" s="504"/>
      <c r="W49" s="503" t="s">
        <v>57</v>
      </c>
      <c r="X49" s="503"/>
      <c r="Y49" s="503"/>
      <c r="Z49" s="503"/>
      <c r="AA49" s="503"/>
      <c r="AB49" s="504"/>
      <c r="AC49" s="13" t="e">
        <f t="shared" si="1"/>
        <v>#VALUE!</v>
      </c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23</v>
      </c>
      <c r="R50" s="207"/>
      <c r="S50" s="208" t="s">
        <v>24</v>
      </c>
      <c r="T50" s="208"/>
      <c r="U50" s="209" t="s">
        <v>25</v>
      </c>
      <c r="V50" s="210"/>
      <c r="W50" s="209" t="s">
        <v>23</v>
      </c>
      <c r="X50" s="209"/>
      <c r="Y50" s="211" t="s">
        <v>24</v>
      </c>
      <c r="Z50" s="207"/>
      <c r="AA50" s="209" t="s">
        <v>25</v>
      </c>
      <c r="AB50" s="210"/>
      <c r="AC50" s="13">
        <f t="shared" si="1"/>
        <v>0</v>
      </c>
      <c r="AD50" s="49"/>
    </row>
    <row r="51" spans="1:33" ht="22.5" customHeight="1">
      <c r="A51" s="228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C51" s="13">
        <f t="shared" si="1"/>
        <v>0</v>
      </c>
      <c r="AD51" s="49"/>
    </row>
    <row r="52" spans="1:33" ht="22.5" customHeight="1">
      <c r="A52" s="228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/>
      <c r="R87" s="625"/>
      <c r="S87" s="626"/>
      <c r="T87" s="627"/>
      <c r="U87" s="626"/>
      <c r="V87" s="628"/>
      <c r="W87" s="148"/>
      <c r="X87" s="149"/>
      <c r="Y87" s="150"/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55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88"/>
  <sheetViews>
    <sheetView showGridLines="0" tabSelected="1" view="pageBreakPreview" zoomScale="85" zoomScaleSheetLayoutView="85" workbookViewId="0">
      <selection activeCell="J12" sqref="J12"/>
    </sheetView>
  </sheetViews>
  <sheetFormatPr defaultRowHeight="14.25"/>
  <cols>
    <col min="1" max="2" width="3.44140625" style="1" customWidth="1"/>
    <col min="3" max="6" width="3.33203125" style="1" customWidth="1"/>
    <col min="7" max="14" width="3.44140625" style="1" customWidth="1"/>
    <col min="15" max="15" width="4.77734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4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>
      <c r="A1" s="484" t="s">
        <v>120</v>
      </c>
      <c r="B1" s="485"/>
      <c r="C1" s="250" t="str">
        <f>총합계!C1</f>
        <v>덴버전동차 50량</v>
      </c>
      <c r="D1" s="251"/>
      <c r="E1" s="251"/>
      <c r="F1" s="251"/>
      <c r="G1" s="251"/>
      <c r="H1" s="251"/>
      <c r="I1" s="251"/>
      <c r="J1" s="243" t="s">
        <v>1</v>
      </c>
      <c r="K1" s="244"/>
      <c r="L1" s="244"/>
      <c r="M1" s="244"/>
      <c r="N1" s="244"/>
      <c r="O1" s="244"/>
      <c r="P1" s="244"/>
      <c r="Q1" s="244"/>
      <c r="R1" s="244"/>
      <c r="S1" s="245"/>
      <c r="T1" s="489" t="s">
        <v>60</v>
      </c>
      <c r="U1" s="251"/>
      <c r="V1" s="251"/>
      <c r="W1" s="251"/>
      <c r="X1" s="250" t="s">
        <v>61</v>
      </c>
      <c r="Y1" s="251"/>
      <c r="Z1" s="251"/>
      <c r="AA1" s="251"/>
      <c r="AB1" s="252"/>
    </row>
    <row r="2" spans="1:30" ht="33" customHeight="1" thickBot="1">
      <c r="A2" s="490" t="s">
        <v>124</v>
      </c>
      <c r="B2" s="465"/>
      <c r="C2" s="472"/>
      <c r="D2" s="473"/>
      <c r="E2" s="473"/>
      <c r="F2" s="473"/>
      <c r="G2" s="473"/>
      <c r="H2" s="473"/>
      <c r="I2" s="473"/>
      <c r="J2" s="486"/>
      <c r="K2" s="487"/>
      <c r="L2" s="487"/>
      <c r="M2" s="487"/>
      <c r="N2" s="487"/>
      <c r="O2" s="487"/>
      <c r="P2" s="487"/>
      <c r="Q2" s="487"/>
      <c r="R2" s="487"/>
      <c r="S2" s="488"/>
      <c r="T2" s="473" t="str">
        <f>총합계!T2</f>
        <v>2011  년    4 월    11 일</v>
      </c>
      <c r="U2" s="473"/>
      <c r="V2" s="473"/>
      <c r="W2" s="473"/>
      <c r="X2" s="473"/>
      <c r="Y2" s="473"/>
      <c r="Z2" s="473"/>
      <c r="AA2" s="473"/>
      <c r="AB2" s="491"/>
    </row>
    <row r="3" spans="1:30" ht="18" customHeight="1" thickTop="1">
      <c r="A3" s="471" t="s">
        <v>126</v>
      </c>
      <c r="B3" s="466"/>
      <c r="C3" s="234"/>
      <c r="D3" s="235"/>
      <c r="E3" s="235"/>
      <c r="F3" s="235"/>
      <c r="G3" s="235"/>
      <c r="H3" s="235"/>
      <c r="I3" s="576"/>
      <c r="J3" s="475" t="s">
        <v>6</v>
      </c>
      <c r="K3" s="463"/>
      <c r="L3" s="463"/>
      <c r="M3" s="476"/>
      <c r="N3" s="475">
        <v>50</v>
      </c>
      <c r="O3" s="463"/>
      <c r="P3" s="463"/>
      <c r="Q3" s="463"/>
      <c r="R3" s="463"/>
      <c r="S3" s="476"/>
      <c r="T3" s="477" t="s">
        <v>66</v>
      </c>
      <c r="U3" s="466" t="s">
        <v>8</v>
      </c>
      <c r="V3" s="466"/>
      <c r="W3" s="466" t="s">
        <v>68</v>
      </c>
      <c r="X3" s="466"/>
      <c r="Y3" s="466" t="s">
        <v>10</v>
      </c>
      <c r="Z3" s="466"/>
      <c r="AA3" s="466" t="s">
        <v>70</v>
      </c>
      <c r="AB3" s="469"/>
    </row>
    <row r="4" spans="1:30" ht="18" customHeight="1">
      <c r="A4" s="471"/>
      <c r="B4" s="466"/>
      <c r="C4" s="577"/>
      <c r="D4" s="578"/>
      <c r="E4" s="578"/>
      <c r="F4" s="578"/>
      <c r="G4" s="578"/>
      <c r="H4" s="578"/>
      <c r="I4" s="579"/>
      <c r="J4" s="293"/>
      <c r="K4" s="292"/>
      <c r="L4" s="292"/>
      <c r="M4" s="294"/>
      <c r="N4" s="293"/>
      <c r="O4" s="292"/>
      <c r="P4" s="292"/>
      <c r="Q4" s="292"/>
      <c r="R4" s="292"/>
      <c r="S4" s="294"/>
      <c r="T4" s="478"/>
      <c r="U4" s="466"/>
      <c r="V4" s="466"/>
      <c r="W4" s="466"/>
      <c r="X4" s="466"/>
      <c r="Y4" s="466"/>
      <c r="Z4" s="466"/>
      <c r="AA4" s="466"/>
      <c r="AB4" s="469"/>
    </row>
    <row r="5" spans="1:30" ht="32.25" customHeight="1" thickBot="1">
      <c r="A5" s="266" t="s">
        <v>71</v>
      </c>
      <c r="B5" s="302"/>
      <c r="C5" s="480" t="s">
        <v>251</v>
      </c>
      <c r="D5" s="481"/>
      <c r="E5" s="481"/>
      <c r="F5" s="481"/>
      <c r="G5" s="481"/>
      <c r="H5" s="481"/>
      <c r="I5" s="481"/>
      <c r="J5" s="480" t="s">
        <v>72</v>
      </c>
      <c r="K5" s="481"/>
      <c r="L5" s="481"/>
      <c r="M5" s="482"/>
      <c r="N5" s="483"/>
      <c r="O5" s="267"/>
      <c r="P5" s="267"/>
      <c r="Q5" s="267"/>
      <c r="R5" s="267"/>
      <c r="S5" s="302"/>
      <c r="T5" s="479"/>
      <c r="U5" s="468"/>
      <c r="V5" s="468"/>
      <c r="W5" s="468"/>
      <c r="X5" s="468"/>
      <c r="Y5" s="468"/>
      <c r="Z5" s="468"/>
      <c r="AA5" s="468"/>
      <c r="AB5" s="470"/>
    </row>
    <row r="6" spans="1:30" ht="20.25" customHeight="1" thickTop="1">
      <c r="A6" s="492" t="s">
        <v>73</v>
      </c>
      <c r="B6" s="369" t="s">
        <v>74</v>
      </c>
      <c r="C6" s="369" t="s">
        <v>75</v>
      </c>
      <c r="D6" s="369"/>
      <c r="E6" s="369"/>
      <c r="F6" s="369"/>
      <c r="G6" s="369" t="s">
        <v>76</v>
      </c>
      <c r="H6" s="369"/>
      <c r="I6" s="369"/>
      <c r="J6" s="369"/>
      <c r="K6" s="369"/>
      <c r="L6" s="369"/>
      <c r="M6" s="494" t="s">
        <v>77</v>
      </c>
      <c r="N6" s="494" t="s">
        <v>78</v>
      </c>
      <c r="O6" s="459" t="s">
        <v>79</v>
      </c>
      <c r="P6" s="460"/>
      <c r="Q6" s="463" t="s">
        <v>80</v>
      </c>
      <c r="R6" s="463"/>
      <c r="S6" s="463"/>
      <c r="T6" s="463"/>
      <c r="U6" s="463"/>
      <c r="V6" s="464"/>
      <c r="W6" s="463" t="s">
        <v>81</v>
      </c>
      <c r="X6" s="463"/>
      <c r="Y6" s="463"/>
      <c r="Z6" s="463"/>
      <c r="AA6" s="463"/>
      <c r="AB6" s="464"/>
      <c r="AD6" s="112" t="s">
        <v>308</v>
      </c>
    </row>
    <row r="7" spans="1:30" ht="20.25" customHeight="1">
      <c r="A7" s="493"/>
      <c r="B7" s="461"/>
      <c r="C7" s="461"/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2"/>
      <c r="Q7" s="297" t="s">
        <v>82</v>
      </c>
      <c r="R7" s="465"/>
      <c r="S7" s="466" t="s">
        <v>83</v>
      </c>
      <c r="T7" s="466"/>
      <c r="U7" s="297" t="s">
        <v>84</v>
      </c>
      <c r="V7" s="467"/>
      <c r="W7" s="297" t="s">
        <v>82</v>
      </c>
      <c r="X7" s="297"/>
      <c r="Y7" s="296" t="s">
        <v>83</v>
      </c>
      <c r="Z7" s="465"/>
      <c r="AA7" s="297" t="s">
        <v>84</v>
      </c>
      <c r="AB7" s="467"/>
      <c r="AC7" s="2"/>
      <c r="AD7" s="112" t="s">
        <v>310</v>
      </c>
    </row>
    <row r="8" spans="1:30" ht="18.95" customHeight="1">
      <c r="A8" s="493"/>
      <c r="B8" s="3">
        <v>1</v>
      </c>
      <c r="C8" s="4" t="s">
        <v>252</v>
      </c>
      <c r="D8" s="5"/>
      <c r="E8" s="5"/>
      <c r="F8" s="6"/>
      <c r="G8" s="7" t="s">
        <v>307</v>
      </c>
      <c r="H8" s="8"/>
      <c r="I8" s="8"/>
      <c r="J8" s="8"/>
      <c r="K8" s="8"/>
      <c r="L8" s="9"/>
      <c r="M8" s="3" t="s">
        <v>253</v>
      </c>
      <c r="N8" s="10">
        <v>20</v>
      </c>
      <c r="O8" s="55">
        <v>32000</v>
      </c>
      <c r="P8" s="56"/>
      <c r="Q8" s="562"/>
      <c r="R8" s="563"/>
      <c r="S8" s="585">
        <f>N8*O8</f>
        <v>640000</v>
      </c>
      <c r="T8" s="586"/>
      <c r="U8" s="564"/>
      <c r="V8" s="565"/>
      <c r="W8" s="11"/>
      <c r="X8" s="12"/>
      <c r="Y8" s="566"/>
      <c r="Z8" s="567"/>
      <c r="AA8" s="568"/>
      <c r="AB8" s="569"/>
      <c r="AC8" s="13">
        <f>ROUND(O8*1.1,-2)</f>
        <v>35200</v>
      </c>
    </row>
    <row r="9" spans="1:30" ht="18.95" customHeight="1">
      <c r="A9" s="493"/>
      <c r="B9" s="14">
        <v>2</v>
      </c>
      <c r="C9" s="15"/>
      <c r="D9" s="16"/>
      <c r="E9" s="16"/>
      <c r="F9" s="17"/>
      <c r="G9" s="112"/>
      <c r="H9" s="19"/>
      <c r="I9" s="19"/>
      <c r="J9" s="19"/>
      <c r="K9" s="19"/>
      <c r="L9" s="20"/>
      <c r="M9" s="14"/>
      <c r="N9" s="21"/>
      <c r="O9" s="62"/>
      <c r="P9" s="63"/>
      <c r="Q9" s="539"/>
      <c r="R9" s="540"/>
      <c r="S9" s="583">
        <f>N9*O9</f>
        <v>0</v>
      </c>
      <c r="T9" s="584"/>
      <c r="U9" s="555"/>
      <c r="V9" s="556"/>
      <c r="W9" s="22"/>
      <c r="X9" s="23"/>
      <c r="Y9" s="545"/>
      <c r="Z9" s="546"/>
      <c r="AA9" s="557"/>
      <c r="AB9" s="558"/>
      <c r="AC9" s="13">
        <f t="shared" ref="AC9:AC26" si="0">ROUND(O9*1.1,-2)</f>
        <v>0</v>
      </c>
    </row>
    <row r="10" spans="1:30" ht="18.95" customHeight="1">
      <c r="A10" s="493"/>
      <c r="B10" s="14">
        <v>3</v>
      </c>
      <c r="C10" s="15"/>
      <c r="D10" s="16"/>
      <c r="E10" s="16"/>
      <c r="F10" s="17"/>
      <c r="G10" s="112"/>
      <c r="H10" s="19"/>
      <c r="I10" s="19"/>
      <c r="J10" s="19"/>
      <c r="K10" s="19"/>
      <c r="L10" s="20"/>
      <c r="M10" s="14"/>
      <c r="N10" s="21"/>
      <c r="O10" s="62"/>
      <c r="P10" s="63"/>
      <c r="Q10" s="539"/>
      <c r="R10" s="540"/>
      <c r="S10" s="583">
        <f>N10*O10</f>
        <v>0</v>
      </c>
      <c r="T10" s="584"/>
      <c r="U10" s="559"/>
      <c r="V10" s="560"/>
      <c r="W10" s="22"/>
      <c r="X10" s="23"/>
      <c r="Y10" s="545"/>
      <c r="Z10" s="561"/>
      <c r="AA10" s="547"/>
      <c r="AB10" s="548"/>
      <c r="AC10" s="13">
        <f t="shared" si="0"/>
        <v>0</v>
      </c>
    </row>
    <row r="11" spans="1:30" ht="18.95" customHeight="1">
      <c r="A11" s="493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62"/>
      <c r="P11" s="63"/>
      <c r="Q11" s="539"/>
      <c r="R11" s="540"/>
      <c r="S11" s="583">
        <f>N11*O11</f>
        <v>0</v>
      </c>
      <c r="T11" s="584"/>
      <c r="U11" s="559"/>
      <c r="V11" s="560"/>
      <c r="W11" s="22"/>
      <c r="X11" s="23"/>
      <c r="Y11" s="545"/>
      <c r="Z11" s="561"/>
      <c r="AA11" s="547"/>
      <c r="AB11" s="548"/>
      <c r="AC11" s="13">
        <f t="shared" si="0"/>
        <v>0</v>
      </c>
    </row>
    <row r="12" spans="1:30" ht="18.95" customHeight="1">
      <c r="A12" s="49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39"/>
      <c r="R12" s="540"/>
      <c r="S12" s="165"/>
      <c r="T12" s="166"/>
      <c r="U12" s="559"/>
      <c r="V12" s="560"/>
      <c r="W12" s="22"/>
      <c r="X12" s="23"/>
      <c r="Y12" s="545"/>
      <c r="Z12" s="561"/>
      <c r="AA12" s="547"/>
      <c r="AB12" s="548"/>
      <c r="AC12" s="13">
        <f t="shared" si="0"/>
        <v>0</v>
      </c>
    </row>
    <row r="13" spans="1:30" ht="18.95" customHeight="1">
      <c r="A13" s="49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39"/>
      <c r="R13" s="540"/>
      <c r="S13" s="165"/>
      <c r="T13" s="166"/>
      <c r="U13" s="559"/>
      <c r="V13" s="560"/>
      <c r="W13" s="22"/>
      <c r="X13" s="23"/>
      <c r="Y13" s="545"/>
      <c r="Z13" s="561"/>
      <c r="AA13" s="547"/>
      <c r="AB13" s="548"/>
      <c r="AC13" s="13">
        <f t="shared" si="0"/>
        <v>0</v>
      </c>
    </row>
    <row r="14" spans="1:30" ht="18.95" customHeight="1">
      <c r="A14" s="49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39"/>
      <c r="R14" s="540"/>
      <c r="S14" s="165"/>
      <c r="T14" s="166"/>
      <c r="U14" s="559"/>
      <c r="V14" s="560"/>
      <c r="W14" s="22"/>
      <c r="X14" s="23"/>
      <c r="Y14" s="545"/>
      <c r="Z14" s="561"/>
      <c r="AA14" s="547"/>
      <c r="AB14" s="548"/>
      <c r="AC14" s="13">
        <f t="shared" si="0"/>
        <v>0</v>
      </c>
    </row>
    <row r="15" spans="1:30" ht="18.95" customHeight="1">
      <c r="A15" s="49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53"/>
      <c r="R15" s="554"/>
      <c r="S15" s="165"/>
      <c r="T15" s="166"/>
      <c r="U15" s="559"/>
      <c r="V15" s="560"/>
      <c r="W15" s="22"/>
      <c r="X15" s="23"/>
      <c r="Y15" s="545"/>
      <c r="Z15" s="546"/>
      <c r="AA15" s="547"/>
      <c r="AB15" s="548"/>
      <c r="AC15" s="13">
        <f t="shared" si="0"/>
        <v>0</v>
      </c>
    </row>
    <row r="16" spans="1:30" ht="18.95" customHeight="1">
      <c r="A16" s="49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39"/>
      <c r="R16" s="540"/>
      <c r="S16" s="165"/>
      <c r="T16" s="166"/>
      <c r="U16" s="559"/>
      <c r="V16" s="560"/>
      <c r="W16" s="22"/>
      <c r="X16" s="23"/>
      <c r="Y16" s="545"/>
      <c r="Z16" s="546"/>
      <c r="AA16" s="547"/>
      <c r="AB16" s="548"/>
      <c r="AC16" s="13">
        <f t="shared" si="0"/>
        <v>0</v>
      </c>
    </row>
    <row r="17" spans="1:29" ht="18.95" customHeight="1">
      <c r="A17" s="49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39"/>
      <c r="R17" s="540"/>
      <c r="S17" s="165"/>
      <c r="T17" s="166"/>
      <c r="U17" s="559"/>
      <c r="V17" s="560"/>
      <c r="W17" s="22"/>
      <c r="X17" s="23"/>
      <c r="Y17" s="545"/>
      <c r="Z17" s="546"/>
      <c r="AA17" s="547"/>
      <c r="AB17" s="548"/>
      <c r="AC17" s="13">
        <f t="shared" si="0"/>
        <v>0</v>
      </c>
    </row>
    <row r="18" spans="1:29" ht="18.95" customHeight="1">
      <c r="A18" s="49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39"/>
      <c r="R18" s="540"/>
      <c r="S18" s="165"/>
      <c r="T18" s="166"/>
      <c r="U18" s="559"/>
      <c r="V18" s="560"/>
      <c r="W18" s="22"/>
      <c r="X18" s="23"/>
      <c r="Y18" s="545"/>
      <c r="Z18" s="546"/>
      <c r="AA18" s="547"/>
      <c r="AB18" s="548"/>
      <c r="AC18" s="13">
        <f t="shared" si="0"/>
        <v>0</v>
      </c>
    </row>
    <row r="19" spans="1:29" ht="18.95" customHeight="1">
      <c r="A19" s="49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39"/>
      <c r="R19" s="540"/>
      <c r="S19" s="165"/>
      <c r="T19" s="166"/>
      <c r="U19" s="559"/>
      <c r="V19" s="560"/>
      <c r="W19" s="22"/>
      <c r="X19" s="23"/>
      <c r="Y19" s="545"/>
      <c r="Z19" s="546"/>
      <c r="AA19" s="547"/>
      <c r="AB19" s="548"/>
      <c r="AC19" s="13">
        <f t="shared" si="0"/>
        <v>0</v>
      </c>
    </row>
    <row r="20" spans="1:29" ht="18.95" customHeight="1">
      <c r="A20" s="49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39"/>
      <c r="R20" s="540"/>
      <c r="S20" s="165"/>
      <c r="T20" s="166"/>
      <c r="U20" s="559"/>
      <c r="V20" s="560"/>
      <c r="W20" s="22"/>
      <c r="X20" s="23"/>
      <c r="Y20" s="545"/>
      <c r="Z20" s="546"/>
      <c r="AA20" s="547"/>
      <c r="AB20" s="548"/>
      <c r="AC20" s="13">
        <f t="shared" si="0"/>
        <v>0</v>
      </c>
    </row>
    <row r="21" spans="1:29" ht="18.95" customHeight="1">
      <c r="A21" s="49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53"/>
      <c r="R21" s="554"/>
      <c r="S21" s="165"/>
      <c r="T21" s="166"/>
      <c r="U21" s="555"/>
      <c r="V21" s="556"/>
      <c r="W21" s="22"/>
      <c r="X21" s="23"/>
      <c r="Y21" s="545"/>
      <c r="Z21" s="546"/>
      <c r="AA21" s="557"/>
      <c r="AB21" s="558"/>
      <c r="AC21" s="13">
        <f t="shared" si="0"/>
        <v>0</v>
      </c>
    </row>
    <row r="22" spans="1:29" ht="18.95" customHeight="1">
      <c r="A22" s="49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49"/>
      <c r="R22" s="550"/>
      <c r="S22" s="165"/>
      <c r="T22" s="166"/>
      <c r="U22" s="543"/>
      <c r="V22" s="544"/>
      <c r="W22" s="22"/>
      <c r="X22" s="23"/>
      <c r="Y22" s="545"/>
      <c r="Z22" s="546"/>
      <c r="AA22" s="547"/>
      <c r="AB22" s="548"/>
      <c r="AC22" s="13">
        <f t="shared" si="0"/>
        <v>0</v>
      </c>
    </row>
    <row r="23" spans="1:29" ht="18.95" customHeight="1">
      <c r="A23" s="49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49"/>
      <c r="R23" s="550"/>
      <c r="S23" s="165"/>
      <c r="T23" s="166"/>
      <c r="U23" s="543"/>
      <c r="V23" s="544"/>
      <c r="W23" s="22"/>
      <c r="X23" s="23"/>
      <c r="Y23" s="545"/>
      <c r="Z23" s="546"/>
      <c r="AA23" s="547"/>
      <c r="AB23" s="548"/>
      <c r="AC23" s="13">
        <f t="shared" si="0"/>
        <v>0</v>
      </c>
    </row>
    <row r="24" spans="1:29" ht="18.95" customHeight="1">
      <c r="A24" s="49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49"/>
      <c r="R24" s="550"/>
      <c r="S24" s="165"/>
      <c r="T24" s="166"/>
      <c r="U24" s="543"/>
      <c r="V24" s="544"/>
      <c r="W24" s="22"/>
      <c r="X24" s="23"/>
      <c r="Y24" s="545"/>
      <c r="Z24" s="546"/>
      <c r="AA24" s="547"/>
      <c r="AB24" s="548"/>
      <c r="AC24" s="13">
        <f t="shared" si="0"/>
        <v>0</v>
      </c>
    </row>
    <row r="25" spans="1:29" ht="18.95" customHeight="1">
      <c r="A25" s="49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49"/>
      <c r="R25" s="550"/>
      <c r="S25" s="165"/>
      <c r="T25" s="166"/>
      <c r="U25" s="543"/>
      <c r="V25" s="544"/>
      <c r="W25" s="22"/>
      <c r="X25" s="23"/>
      <c r="Y25" s="545"/>
      <c r="Z25" s="546"/>
      <c r="AA25" s="547"/>
      <c r="AB25" s="548"/>
      <c r="AC25" s="13">
        <f t="shared" si="0"/>
        <v>0</v>
      </c>
    </row>
    <row r="26" spans="1:29" ht="18.95" customHeight="1">
      <c r="A26" s="49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49"/>
      <c r="R26" s="550"/>
      <c r="S26" s="165"/>
      <c r="T26" s="166"/>
      <c r="U26" s="543"/>
      <c r="V26" s="544"/>
      <c r="W26" s="551"/>
      <c r="X26" s="552"/>
      <c r="Y26" s="545"/>
      <c r="Z26" s="546"/>
      <c r="AA26" s="547"/>
      <c r="AB26" s="548"/>
      <c r="AC26" s="13">
        <f t="shared" si="0"/>
        <v>0</v>
      </c>
    </row>
    <row r="27" spans="1:29" ht="18.95" customHeight="1">
      <c r="A27" s="493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29"/>
      <c r="R27" s="530"/>
      <c r="S27" s="155"/>
      <c r="T27" s="156"/>
      <c r="U27" s="531"/>
      <c r="V27" s="532"/>
      <c r="W27" s="533"/>
      <c r="X27" s="534"/>
      <c r="Y27" s="535"/>
      <c r="Z27" s="536"/>
      <c r="AA27" s="537"/>
      <c r="AB27" s="538"/>
    </row>
    <row r="28" spans="1:29" ht="21" customHeight="1" thickBot="1">
      <c r="A28" s="493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19">
        <f>SUM(Q8:R27)</f>
        <v>0</v>
      </c>
      <c r="R28" s="519"/>
      <c r="S28" s="520">
        <f>SUM(S8:T27)</f>
        <v>640000</v>
      </c>
      <c r="T28" s="521"/>
      <c r="U28" s="522">
        <f>SUM(U8:V27)</f>
        <v>0</v>
      </c>
      <c r="V28" s="523"/>
      <c r="W28" s="524"/>
      <c r="X28" s="525"/>
      <c r="Y28" s="526"/>
      <c r="Z28" s="525"/>
      <c r="AA28" s="527"/>
      <c r="AB28" s="528"/>
    </row>
    <row r="29" spans="1:29" ht="21" customHeight="1" thickTop="1">
      <c r="A29" s="373" t="s">
        <v>86</v>
      </c>
      <c r="B29" s="374"/>
      <c r="C29" s="374"/>
      <c r="D29" s="374"/>
      <c r="E29" s="374"/>
      <c r="F29" s="374"/>
      <c r="G29" s="375" t="s">
        <v>87</v>
      </c>
      <c r="H29" s="374"/>
      <c r="I29" s="376"/>
      <c r="J29" s="373" t="s">
        <v>88</v>
      </c>
      <c r="K29" s="374"/>
      <c r="L29" s="376"/>
      <c r="M29" s="377" t="s">
        <v>89</v>
      </c>
      <c r="N29" s="380" t="s">
        <v>90</v>
      </c>
      <c r="O29" s="381"/>
      <c r="P29" s="368"/>
      <c r="Q29" s="360" t="s">
        <v>91</v>
      </c>
      <c r="R29" s="361"/>
      <c r="S29" s="360" t="s">
        <v>92</v>
      </c>
      <c r="T29" s="361"/>
      <c r="U29" s="360" t="s">
        <v>93</v>
      </c>
      <c r="V29" s="364"/>
      <c r="W29" s="366" t="s">
        <v>91</v>
      </c>
      <c r="X29" s="361"/>
      <c r="Y29" s="360" t="s">
        <v>92</v>
      </c>
      <c r="Z29" s="368"/>
      <c r="AA29" s="360" t="s">
        <v>93</v>
      </c>
      <c r="AB29" s="364"/>
    </row>
    <row r="30" spans="1:29" ht="21" customHeight="1">
      <c r="A30" s="38">
        <v>1</v>
      </c>
      <c r="B30" s="225"/>
      <c r="C30" s="274" t="s">
        <v>94</v>
      </c>
      <c r="D30" s="274"/>
      <c r="E30" s="274"/>
      <c r="F30" s="274"/>
      <c r="G30" s="648">
        <f>Q28</f>
        <v>0</v>
      </c>
      <c r="H30" s="649"/>
      <c r="I30" s="650"/>
      <c r="J30" s="343"/>
      <c r="K30" s="344"/>
      <c r="L30" s="345"/>
      <c r="M30" s="378"/>
      <c r="N30" s="293"/>
      <c r="O30" s="292"/>
      <c r="P30" s="294"/>
      <c r="Q30" s="362"/>
      <c r="R30" s="363"/>
      <c r="S30" s="362"/>
      <c r="T30" s="363"/>
      <c r="U30" s="362"/>
      <c r="V30" s="365"/>
      <c r="W30" s="367"/>
      <c r="X30" s="363"/>
      <c r="Y30" s="293"/>
      <c r="Z30" s="294"/>
      <c r="AA30" s="362"/>
      <c r="AB30" s="365"/>
    </row>
    <row r="31" spans="1:29" ht="21" customHeight="1">
      <c r="A31" s="38">
        <v>2</v>
      </c>
      <c r="B31" s="369"/>
      <c r="C31" s="316" t="s">
        <v>95</v>
      </c>
      <c r="D31" s="324"/>
      <c r="E31" s="324"/>
      <c r="F31" s="324"/>
      <c r="G31" s="651">
        <f>S28+S87</f>
        <v>640000</v>
      </c>
      <c r="H31" s="652"/>
      <c r="I31" s="653"/>
      <c r="J31" s="385"/>
      <c r="K31" s="386"/>
      <c r="L31" s="387"/>
      <c r="M31" s="378"/>
      <c r="N31" s="388"/>
      <c r="O31" s="388"/>
      <c r="P31" s="388"/>
      <c r="Q31" s="388"/>
      <c r="R31" s="388"/>
      <c r="S31" s="389"/>
      <c r="T31" s="389"/>
      <c r="U31" s="390"/>
      <c r="V31" s="391"/>
      <c r="W31" s="392"/>
      <c r="X31" s="393"/>
      <c r="Y31" s="394"/>
      <c r="Z31" s="394"/>
      <c r="AA31" s="352"/>
      <c r="AB31" s="353"/>
    </row>
    <row r="32" spans="1:29" ht="21" customHeight="1">
      <c r="A32" s="38">
        <v>3</v>
      </c>
      <c r="B32" s="369"/>
      <c r="C32" s="292" t="s">
        <v>97</v>
      </c>
      <c r="D32" s="292"/>
      <c r="E32" s="292"/>
      <c r="F32" s="292"/>
      <c r="G32" s="638">
        <f>U28</f>
        <v>0</v>
      </c>
      <c r="H32" s="646"/>
      <c r="I32" s="647"/>
      <c r="J32" s="357"/>
      <c r="K32" s="358"/>
      <c r="L32" s="359"/>
      <c r="M32" s="378"/>
      <c r="N32" s="313"/>
      <c r="O32" s="314"/>
      <c r="P32" s="315"/>
      <c r="Q32" s="313"/>
      <c r="R32" s="315"/>
      <c r="S32" s="326"/>
      <c r="T32" s="327"/>
      <c r="U32" s="328"/>
      <c r="V32" s="329"/>
      <c r="W32" s="346"/>
      <c r="X32" s="347"/>
      <c r="Y32" s="348"/>
      <c r="Z32" s="348"/>
      <c r="AA32" s="336"/>
      <c r="AB32" s="337"/>
    </row>
    <row r="33" spans="1:33" ht="21" customHeight="1">
      <c r="A33" s="38">
        <v>4</v>
      </c>
      <c r="B33" s="293"/>
      <c r="C33" s="297" t="s">
        <v>99</v>
      </c>
      <c r="D33" s="297"/>
      <c r="E33" s="297"/>
      <c r="F33" s="297"/>
      <c r="G33" s="632">
        <f>(G30+G31+G32)</f>
        <v>640000</v>
      </c>
      <c r="H33" s="644"/>
      <c r="I33" s="645"/>
      <c r="J33" s="349"/>
      <c r="K33" s="350"/>
      <c r="L33" s="351"/>
      <c r="M33" s="378"/>
      <c r="N33" s="313"/>
      <c r="O33" s="314"/>
      <c r="P33" s="315"/>
      <c r="Q33" s="313"/>
      <c r="R33" s="315"/>
      <c r="S33" s="326"/>
      <c r="T33" s="327"/>
      <c r="U33" s="328"/>
      <c r="V33" s="329"/>
      <c r="W33" s="346"/>
      <c r="X33" s="347"/>
      <c r="Y33" s="348"/>
      <c r="Z33" s="348"/>
      <c r="AA33" s="336"/>
      <c r="AB33" s="337"/>
    </row>
    <row r="34" spans="1:33" ht="21" customHeight="1">
      <c r="A34" s="38">
        <v>5</v>
      </c>
      <c r="B34" s="39"/>
      <c r="C34" s="338" t="s">
        <v>101</v>
      </c>
      <c r="D34" s="339"/>
      <c r="E34" s="339"/>
      <c r="F34" s="339"/>
      <c r="G34" s="641">
        <f>U38</f>
        <v>0</v>
      </c>
      <c r="H34" s="642"/>
      <c r="I34" s="643"/>
      <c r="J34" s="343"/>
      <c r="K34" s="344"/>
      <c r="L34" s="345"/>
      <c r="M34" s="378"/>
      <c r="N34" s="313"/>
      <c r="O34" s="314"/>
      <c r="P34" s="315"/>
      <c r="Q34" s="313"/>
      <c r="R34" s="315"/>
      <c r="S34" s="326"/>
      <c r="T34" s="327"/>
      <c r="U34" s="328"/>
      <c r="V34" s="329"/>
      <c r="W34" s="346"/>
      <c r="X34" s="347"/>
      <c r="Y34" s="348"/>
      <c r="Z34" s="348"/>
      <c r="AA34" s="336"/>
      <c r="AB34" s="337"/>
    </row>
    <row r="35" spans="1:33" ht="21" customHeight="1">
      <c r="A35" s="38">
        <v>6</v>
      </c>
      <c r="B35" s="40"/>
      <c r="C35" s="305" t="s">
        <v>102</v>
      </c>
      <c r="D35" s="306"/>
      <c r="E35" s="306"/>
      <c r="F35" s="306"/>
      <c r="G35" s="635">
        <f>G34*0.1</f>
        <v>0</v>
      </c>
      <c r="H35" s="636"/>
      <c r="I35" s="637"/>
      <c r="J35" s="310"/>
      <c r="K35" s="311"/>
      <c r="L35" s="312"/>
      <c r="M35" s="378"/>
      <c r="N35" s="313"/>
      <c r="O35" s="314"/>
      <c r="P35" s="315"/>
      <c r="Q35" s="313"/>
      <c r="R35" s="315"/>
      <c r="S35" s="326"/>
      <c r="T35" s="327"/>
      <c r="U35" s="328"/>
      <c r="V35" s="329"/>
      <c r="W35" s="330"/>
      <c r="X35" s="331"/>
      <c r="Y35" s="331"/>
      <c r="Z35" s="331"/>
      <c r="AA35" s="331"/>
      <c r="AB35" s="332"/>
    </row>
    <row r="36" spans="1:33" ht="21" customHeight="1">
      <c r="A36" s="38">
        <v>7</v>
      </c>
      <c r="B36" s="41"/>
      <c r="C36" s="292" t="s">
        <v>103</v>
      </c>
      <c r="D36" s="292"/>
      <c r="E36" s="292"/>
      <c r="F36" s="292"/>
      <c r="G36" s="638">
        <f>G34+G35</f>
        <v>0</v>
      </c>
      <c r="H36" s="639"/>
      <c r="I36" s="640"/>
      <c r="J36" s="268"/>
      <c r="K36" s="269"/>
      <c r="L36" s="270"/>
      <c r="M36" s="378"/>
      <c r="N36" s="316"/>
      <c r="O36" s="324"/>
      <c r="P36" s="324"/>
      <c r="Q36" s="316"/>
      <c r="R36" s="325"/>
      <c r="S36" s="298"/>
      <c r="T36" s="299"/>
      <c r="U36" s="321"/>
      <c r="V36" s="322"/>
      <c r="W36" s="323"/>
      <c r="X36" s="324"/>
      <c r="Y36" s="316"/>
      <c r="Z36" s="325"/>
      <c r="AA36" s="316"/>
      <c r="AB36" s="317"/>
    </row>
    <row r="37" spans="1:33" ht="21" customHeight="1">
      <c r="A37" s="38">
        <v>8</v>
      </c>
      <c r="B37" s="296" t="s">
        <v>104</v>
      </c>
      <c r="C37" s="297"/>
      <c r="D37" s="297"/>
      <c r="E37" s="297"/>
      <c r="F37" s="297"/>
      <c r="G37" s="632">
        <f>G33+G36</f>
        <v>640000</v>
      </c>
      <c r="H37" s="633"/>
      <c r="I37" s="634"/>
      <c r="J37" s="268"/>
      <c r="K37" s="269"/>
      <c r="L37" s="270"/>
      <c r="M37" s="378"/>
      <c r="N37" s="293"/>
      <c r="O37" s="292"/>
      <c r="P37" s="292"/>
      <c r="Q37" s="293"/>
      <c r="R37" s="294"/>
      <c r="S37" s="287"/>
      <c r="T37" s="288"/>
      <c r="U37" s="289"/>
      <c r="V37" s="290"/>
      <c r="W37" s="291"/>
      <c r="X37" s="292"/>
      <c r="Y37" s="293"/>
      <c r="Z37" s="294"/>
      <c r="AA37" s="293"/>
      <c r="AB37" s="295"/>
    </row>
    <row r="38" spans="1:33" ht="21" customHeight="1" thickBot="1">
      <c r="A38" s="38">
        <v>9</v>
      </c>
      <c r="B38" s="296" t="s">
        <v>105</v>
      </c>
      <c r="C38" s="297"/>
      <c r="D38" s="297"/>
      <c r="E38" s="297"/>
      <c r="F38" s="297"/>
      <c r="G38" s="632">
        <f>((G30*0.01)+(G31*0.01)+(G32*0.02))</f>
        <v>6400</v>
      </c>
      <c r="H38" s="633"/>
      <c r="I38" s="634"/>
      <c r="J38" s="268"/>
      <c r="K38" s="269"/>
      <c r="L38" s="270"/>
      <c r="M38" s="379"/>
      <c r="N38" s="267"/>
      <c r="O38" s="267"/>
      <c r="P38" s="267"/>
      <c r="Q38" s="267"/>
      <c r="R38" s="267"/>
      <c r="S38" s="300"/>
      <c r="T38" s="301"/>
      <c r="U38" s="264">
        <f>SUM(U31:V37)</f>
        <v>0</v>
      </c>
      <c r="V38" s="265"/>
      <c r="W38" s="266"/>
      <c r="X38" s="267"/>
      <c r="Y38" s="267"/>
      <c r="Z38" s="302"/>
      <c r="AA38" s="303"/>
      <c r="AB38" s="304"/>
    </row>
    <row r="39" spans="1:33" ht="21" customHeight="1" thickTop="1">
      <c r="A39" s="38">
        <v>10</v>
      </c>
      <c r="B39" s="42" t="s">
        <v>106</v>
      </c>
      <c r="C39" s="43"/>
      <c r="D39" s="43"/>
      <c r="E39" s="43"/>
      <c r="F39" s="43"/>
      <c r="G39" s="632">
        <f>G36*0.15</f>
        <v>0</v>
      </c>
      <c r="H39" s="633"/>
      <c r="I39" s="634"/>
      <c r="J39" s="268"/>
      <c r="K39" s="269"/>
      <c r="L39" s="270"/>
      <c r="M39" s="271" t="s">
        <v>107</v>
      </c>
      <c r="N39" s="271"/>
      <c r="O39" s="27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>
      <c r="A40" s="38">
        <v>11</v>
      </c>
      <c r="B40" s="42" t="s">
        <v>108</v>
      </c>
      <c r="C40" s="43"/>
      <c r="D40" s="43"/>
      <c r="E40" s="43"/>
      <c r="F40" s="43"/>
      <c r="G40" s="632">
        <f>(G36+G39)*0.15</f>
        <v>0</v>
      </c>
      <c r="H40" s="633"/>
      <c r="I40" s="634"/>
      <c r="J40" s="268"/>
      <c r="K40" s="269"/>
      <c r="L40" s="27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>
      <c r="A41" s="38">
        <v>12</v>
      </c>
      <c r="B41" s="42" t="s">
        <v>109</v>
      </c>
      <c r="C41" s="43"/>
      <c r="D41" s="43"/>
      <c r="E41" s="43"/>
      <c r="F41" s="43"/>
      <c r="G41" s="632">
        <v>0</v>
      </c>
      <c r="H41" s="633"/>
      <c r="I41" s="634"/>
      <c r="J41" s="256"/>
      <c r="K41" s="257"/>
      <c r="L41" s="25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>
      <c r="A42" s="38">
        <v>13</v>
      </c>
      <c r="B42" s="42" t="s">
        <v>110</v>
      </c>
      <c r="C42" s="43"/>
      <c r="D42" s="43"/>
      <c r="E42" s="43"/>
      <c r="F42" s="43"/>
      <c r="G42" s="632">
        <v>0</v>
      </c>
      <c r="H42" s="633"/>
      <c r="I42" s="634"/>
      <c r="J42" s="256"/>
      <c r="K42" s="257"/>
      <c r="L42" s="25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>
      <c r="A43" s="38">
        <v>14</v>
      </c>
      <c r="B43" s="273" t="s">
        <v>111</v>
      </c>
      <c r="C43" s="274"/>
      <c r="D43" s="274"/>
      <c r="E43" s="274"/>
      <c r="F43" s="274"/>
      <c r="G43" s="632">
        <v>0</v>
      </c>
      <c r="H43" s="633"/>
      <c r="I43" s="634"/>
      <c r="J43" s="256"/>
      <c r="K43" s="257"/>
      <c r="L43" s="258"/>
      <c r="M43" s="45"/>
      <c r="N43" s="2"/>
      <c r="O43" s="2"/>
      <c r="P43" s="2"/>
      <c r="Q43" s="2"/>
      <c r="R43" s="2"/>
      <c r="S43" s="2"/>
      <c r="T43" s="275" t="s">
        <v>66</v>
      </c>
      <c r="U43" s="278" t="s">
        <v>67</v>
      </c>
      <c r="V43" s="278"/>
      <c r="W43" s="278" t="s">
        <v>112</v>
      </c>
      <c r="X43" s="278"/>
      <c r="Y43" s="278" t="s">
        <v>113</v>
      </c>
      <c r="Z43" s="278"/>
      <c r="AA43" s="278" t="s">
        <v>114</v>
      </c>
      <c r="AB43" s="279"/>
      <c r="AC43" s="25"/>
    </row>
    <row r="44" spans="1:33" ht="21" customHeight="1" thickBot="1">
      <c r="A44" s="38">
        <v>15</v>
      </c>
      <c r="B44" s="280" t="s">
        <v>87</v>
      </c>
      <c r="C44" s="281"/>
      <c r="D44" s="281"/>
      <c r="E44" s="281"/>
      <c r="F44" s="281"/>
      <c r="G44" s="629">
        <f>SUM(G37:I43)</f>
        <v>646400</v>
      </c>
      <c r="H44" s="630"/>
      <c r="I44" s="631"/>
      <c r="J44" s="222"/>
      <c r="K44" s="223"/>
      <c r="L44" s="224"/>
      <c r="M44" s="2"/>
      <c r="N44" s="2"/>
      <c r="O44" s="2"/>
      <c r="P44" s="2"/>
      <c r="Q44" s="2"/>
      <c r="R44" s="2"/>
      <c r="S44" s="2"/>
      <c r="T44" s="276"/>
      <c r="U44" s="225"/>
      <c r="V44" s="225"/>
      <c r="W44" s="225"/>
      <c r="X44" s="225"/>
      <c r="Y44" s="225"/>
      <c r="Z44" s="225"/>
      <c r="AA44" s="225"/>
      <c r="AB44" s="259"/>
    </row>
    <row r="45" spans="1:33" ht="30" customHeight="1" thickTop="1" thickBot="1">
      <c r="A45" s="261" t="s">
        <v>115</v>
      </c>
      <c r="B45" s="262"/>
      <c r="C45" s="262"/>
      <c r="D45" s="262"/>
      <c r="E45" s="262"/>
      <c r="F45" s="262"/>
      <c r="G45" s="262"/>
      <c r="H45" s="262"/>
      <c r="I45" s="263"/>
      <c r="J45" s="282">
        <f>J44-J43-J42</f>
        <v>0</v>
      </c>
      <c r="K45" s="283"/>
      <c r="L45" s="284"/>
      <c r="M45" s="285" t="s">
        <v>116</v>
      </c>
      <c r="N45" s="286"/>
      <c r="O45" s="286"/>
      <c r="P45" s="505"/>
      <c r="Q45" s="505"/>
      <c r="R45" s="505"/>
      <c r="S45" s="505"/>
      <c r="T45" s="277"/>
      <c r="U45" s="226"/>
      <c r="V45" s="226"/>
      <c r="W45" s="226"/>
      <c r="X45" s="226"/>
      <c r="Y45" s="226"/>
      <c r="Z45" s="226"/>
      <c r="AA45" s="226"/>
      <c r="AB45" s="260"/>
    </row>
    <row r="46" spans="1:33" ht="22.5" customHeight="1" thickBot="1">
      <c r="A46" s="48"/>
      <c r="B46" s="48"/>
      <c r="C46" s="48"/>
      <c r="J46" s="237" t="s">
        <v>117</v>
      </c>
      <c r="K46" s="238"/>
      <c r="L46" s="238"/>
      <c r="M46" s="238"/>
      <c r="N46" s="238"/>
      <c r="O46" s="238"/>
      <c r="P46" s="238"/>
      <c r="Q46" s="238"/>
      <c r="R46" s="238"/>
      <c r="S46" s="238"/>
    </row>
    <row r="47" spans="1:33" ht="33" customHeight="1" thickTop="1">
      <c r="A47" s="239" t="s">
        <v>64</v>
      </c>
      <c r="B47" s="240"/>
      <c r="C47" s="241"/>
      <c r="D47" s="242"/>
      <c r="E47" s="242"/>
      <c r="F47" s="242"/>
      <c r="G47" s="242"/>
      <c r="H47" s="242"/>
      <c r="I47" s="242"/>
      <c r="J47" s="243" t="s">
        <v>118</v>
      </c>
      <c r="K47" s="244"/>
      <c r="L47" s="244"/>
      <c r="M47" s="244"/>
      <c r="N47" s="244"/>
      <c r="O47" s="244"/>
      <c r="P47" s="244"/>
      <c r="Q47" s="244"/>
      <c r="R47" s="244"/>
      <c r="S47" s="245"/>
      <c r="T47" s="249" t="s">
        <v>60</v>
      </c>
      <c r="U47" s="242"/>
      <c r="V47" s="242"/>
      <c r="W47" s="242"/>
      <c r="X47" s="250" t="s">
        <v>61</v>
      </c>
      <c r="Y47" s="251"/>
      <c r="Z47" s="251"/>
      <c r="AA47" s="251"/>
      <c r="AB47" s="252"/>
      <c r="AD47" s="49"/>
      <c r="AF47" s="50"/>
      <c r="AG47" s="50"/>
    </row>
    <row r="48" spans="1:33" ht="33" customHeight="1" thickBot="1">
      <c r="A48" s="232" t="s">
        <v>71</v>
      </c>
      <c r="B48" s="233"/>
      <c r="C48" s="234" t="str">
        <f>C5</f>
        <v>CBL2</v>
      </c>
      <c r="D48" s="235"/>
      <c r="E48" s="235"/>
      <c r="F48" s="235"/>
      <c r="G48" s="235"/>
      <c r="H48" s="235"/>
      <c r="I48" s="235"/>
      <c r="J48" s="246"/>
      <c r="K48" s="247"/>
      <c r="L48" s="247"/>
      <c r="M48" s="247"/>
      <c r="N48" s="247"/>
      <c r="O48" s="247"/>
      <c r="P48" s="247"/>
      <c r="Q48" s="247"/>
      <c r="R48" s="247"/>
      <c r="S48" s="248"/>
      <c r="T48" s="235" t="s">
        <v>63</v>
      </c>
      <c r="U48" s="235"/>
      <c r="V48" s="235"/>
      <c r="W48" s="235"/>
      <c r="X48" s="235"/>
      <c r="Y48" s="235"/>
      <c r="Z48" s="235"/>
      <c r="AA48" s="235"/>
      <c r="AB48" s="236"/>
      <c r="AD48" s="49"/>
      <c r="AF48" s="50"/>
      <c r="AG48" s="50"/>
    </row>
    <row r="49" spans="1:33" ht="22.5" customHeight="1" thickTop="1">
      <c r="A49" s="227" t="s">
        <v>73</v>
      </c>
      <c r="B49" s="200" t="s">
        <v>74</v>
      </c>
      <c r="C49" s="200" t="s">
        <v>75</v>
      </c>
      <c r="D49" s="200"/>
      <c r="E49" s="200"/>
      <c r="F49" s="200"/>
      <c r="G49" s="200" t="s">
        <v>76</v>
      </c>
      <c r="H49" s="200"/>
      <c r="I49" s="200"/>
      <c r="J49" s="200"/>
      <c r="K49" s="200"/>
      <c r="L49" s="200"/>
      <c r="M49" s="195" t="s">
        <v>77</v>
      </c>
      <c r="N49" s="195" t="s">
        <v>78</v>
      </c>
      <c r="O49" s="200" t="s">
        <v>79</v>
      </c>
      <c r="P49" s="201"/>
      <c r="Q49" s="203" t="s">
        <v>80</v>
      </c>
      <c r="R49" s="204"/>
      <c r="S49" s="204"/>
      <c r="T49" s="204"/>
      <c r="U49" s="204"/>
      <c r="V49" s="205"/>
      <c r="W49" s="204" t="s">
        <v>119</v>
      </c>
      <c r="X49" s="204"/>
      <c r="Y49" s="204"/>
      <c r="Z49" s="204"/>
      <c r="AA49" s="204"/>
      <c r="AB49" s="205"/>
      <c r="AD49" s="49"/>
    </row>
    <row r="50" spans="1:33" ht="22.5" customHeight="1">
      <c r="A50" s="228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202"/>
      <c r="Q50" s="206" t="s">
        <v>82</v>
      </c>
      <c r="R50" s="207"/>
      <c r="S50" s="208" t="s">
        <v>83</v>
      </c>
      <c r="T50" s="208"/>
      <c r="U50" s="209" t="s">
        <v>84</v>
      </c>
      <c r="V50" s="210"/>
      <c r="W50" s="209" t="s">
        <v>82</v>
      </c>
      <c r="X50" s="209"/>
      <c r="Y50" s="211" t="s">
        <v>83</v>
      </c>
      <c r="Z50" s="207"/>
      <c r="AA50" s="209" t="s">
        <v>84</v>
      </c>
      <c r="AB50" s="210"/>
      <c r="AD50" s="49"/>
    </row>
    <row r="51" spans="1:33" ht="22.5" customHeight="1">
      <c r="A51" s="228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212"/>
      <c r="R51" s="213"/>
      <c r="S51" s="214"/>
      <c r="T51" s="215"/>
      <c r="U51" s="230"/>
      <c r="V51" s="231"/>
      <c r="W51" s="216"/>
      <c r="X51" s="198"/>
      <c r="Y51" s="197"/>
      <c r="Z51" s="198"/>
      <c r="AA51" s="197"/>
      <c r="AB51" s="199"/>
      <c r="AD51" s="49"/>
    </row>
    <row r="52" spans="1:33" ht="22.5" customHeight="1">
      <c r="A52" s="228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187"/>
      <c r="R52" s="188"/>
      <c r="S52" s="165"/>
      <c r="T52" s="166"/>
      <c r="U52" s="181"/>
      <c r="V52" s="182"/>
      <c r="W52" s="192"/>
      <c r="X52" s="184"/>
      <c r="Y52" s="183"/>
      <c r="Z52" s="184"/>
      <c r="AA52" s="183"/>
      <c r="AB52" s="191"/>
      <c r="AD52" s="49"/>
    </row>
    <row r="53" spans="1:33" ht="22.5" customHeight="1">
      <c r="A53" s="228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187"/>
      <c r="R53" s="188"/>
      <c r="S53" s="165"/>
      <c r="T53" s="166"/>
      <c r="U53" s="181"/>
      <c r="V53" s="182"/>
      <c r="W53" s="192"/>
      <c r="X53" s="184"/>
      <c r="Y53" s="183"/>
      <c r="Z53" s="184"/>
      <c r="AA53" s="183"/>
      <c r="AB53" s="191"/>
      <c r="AD53" s="49"/>
    </row>
    <row r="54" spans="1:33" ht="22.5" customHeight="1">
      <c r="A54" s="228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187"/>
      <c r="R54" s="188"/>
      <c r="S54" s="165"/>
      <c r="T54" s="166"/>
      <c r="U54" s="181"/>
      <c r="V54" s="182"/>
      <c r="W54" s="192"/>
      <c r="X54" s="184"/>
      <c r="Y54" s="183"/>
      <c r="Z54" s="184"/>
      <c r="AA54" s="183"/>
      <c r="AB54" s="191"/>
      <c r="AD54" s="49"/>
    </row>
    <row r="55" spans="1:33" ht="22.5" customHeight="1">
      <c r="A55" s="228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187"/>
      <c r="R55" s="188"/>
      <c r="S55" s="165"/>
      <c r="T55" s="166"/>
      <c r="U55" s="181"/>
      <c r="V55" s="182"/>
      <c r="W55" s="192"/>
      <c r="X55" s="184"/>
      <c r="Y55" s="183"/>
      <c r="Z55" s="184"/>
      <c r="AA55" s="183"/>
      <c r="AB55" s="191"/>
      <c r="AD55" s="49"/>
    </row>
    <row r="56" spans="1:33" ht="22.5" customHeight="1">
      <c r="A56" s="228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187"/>
      <c r="R56" s="188"/>
      <c r="S56" s="165"/>
      <c r="T56" s="166"/>
      <c r="U56" s="181"/>
      <c r="V56" s="182"/>
      <c r="W56" s="189"/>
      <c r="X56" s="190"/>
      <c r="Y56" s="183"/>
      <c r="Z56" s="184"/>
      <c r="AA56" s="185"/>
      <c r="AB56" s="186"/>
      <c r="AD56" s="49"/>
    </row>
    <row r="57" spans="1:33" ht="22.5" customHeight="1">
      <c r="A57" s="228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187"/>
      <c r="R57" s="188"/>
      <c r="S57" s="165"/>
      <c r="T57" s="166"/>
      <c r="U57" s="181"/>
      <c r="V57" s="182"/>
      <c r="W57" s="189"/>
      <c r="X57" s="190"/>
      <c r="Y57" s="183"/>
      <c r="Z57" s="184"/>
      <c r="AA57" s="185"/>
      <c r="AB57" s="186"/>
      <c r="AD57" s="49"/>
    </row>
    <row r="58" spans="1:33" ht="22.5" customHeight="1">
      <c r="A58" s="228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179"/>
      <c r="R58" s="180"/>
      <c r="S58" s="165"/>
      <c r="T58" s="166"/>
      <c r="U58" s="181"/>
      <c r="V58" s="182"/>
      <c r="W58" s="173"/>
      <c r="X58" s="174"/>
      <c r="Y58" s="175"/>
      <c r="Z58" s="174"/>
      <c r="AA58" s="175"/>
      <c r="AB58" s="176"/>
      <c r="AD58" s="49"/>
      <c r="AE58" s="177"/>
      <c r="AF58" s="178"/>
      <c r="AG58" s="178"/>
    </row>
    <row r="59" spans="1:33" ht="22.5" customHeight="1">
      <c r="A59" s="228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163"/>
      <c r="R59" s="164"/>
      <c r="S59" s="165"/>
      <c r="T59" s="166"/>
      <c r="U59" s="167"/>
      <c r="V59" s="168"/>
      <c r="W59" s="173"/>
      <c r="X59" s="174"/>
      <c r="Y59" s="175"/>
      <c r="Z59" s="174"/>
      <c r="AA59" s="175"/>
      <c r="AB59" s="176"/>
      <c r="AD59" s="49"/>
      <c r="AE59" s="177"/>
      <c r="AF59" s="178"/>
      <c r="AG59" s="178"/>
    </row>
    <row r="60" spans="1:33" ht="22.5" customHeight="1">
      <c r="A60" s="228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163"/>
      <c r="R60" s="164"/>
      <c r="S60" s="165"/>
      <c r="T60" s="166"/>
      <c r="U60" s="167"/>
      <c r="V60" s="168"/>
      <c r="W60" s="173"/>
      <c r="X60" s="174"/>
      <c r="Y60" s="175"/>
      <c r="Z60" s="174"/>
      <c r="AA60" s="175"/>
      <c r="AB60" s="176"/>
      <c r="AD60" s="49"/>
    </row>
    <row r="61" spans="1:33" ht="22.5" customHeight="1">
      <c r="A61" s="228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163"/>
      <c r="R61" s="164"/>
      <c r="S61" s="165"/>
      <c r="T61" s="166"/>
      <c r="U61" s="167"/>
      <c r="V61" s="168"/>
      <c r="W61" s="173"/>
      <c r="X61" s="174"/>
      <c r="Y61" s="175"/>
      <c r="Z61" s="174"/>
      <c r="AA61" s="175"/>
      <c r="AB61" s="176"/>
      <c r="AD61" s="49"/>
    </row>
    <row r="62" spans="1:33" ht="22.5" customHeight="1">
      <c r="A62" s="228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163"/>
      <c r="R62" s="164"/>
      <c r="S62" s="165"/>
      <c r="T62" s="166"/>
      <c r="U62" s="167"/>
      <c r="V62" s="168"/>
      <c r="W62" s="173"/>
      <c r="X62" s="174"/>
      <c r="Y62" s="175"/>
      <c r="Z62" s="174"/>
      <c r="AA62" s="175"/>
      <c r="AB62" s="176"/>
      <c r="AD62" s="49"/>
    </row>
    <row r="63" spans="1:33" ht="22.5" customHeight="1">
      <c r="A63" s="228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163"/>
      <c r="R63" s="164"/>
      <c r="S63" s="165"/>
      <c r="T63" s="166"/>
      <c r="U63" s="167"/>
      <c r="V63" s="168"/>
      <c r="W63" s="173"/>
      <c r="X63" s="174"/>
      <c r="Y63" s="175"/>
      <c r="Z63" s="174"/>
      <c r="AA63" s="175"/>
      <c r="AB63" s="176"/>
      <c r="AD63" s="49"/>
    </row>
    <row r="64" spans="1:33" ht="22.5" customHeight="1">
      <c r="A64" s="228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163"/>
      <c r="R64" s="164"/>
      <c r="S64" s="165"/>
      <c r="T64" s="166"/>
      <c r="U64" s="167"/>
      <c r="V64" s="168"/>
      <c r="W64" s="173"/>
      <c r="X64" s="174"/>
      <c r="Y64" s="175"/>
      <c r="Z64" s="174"/>
      <c r="AA64" s="175"/>
      <c r="AB64" s="176"/>
      <c r="AD64" s="49"/>
    </row>
    <row r="65" spans="1:30" ht="22.5" customHeight="1">
      <c r="A65" s="228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163"/>
      <c r="R65" s="164"/>
      <c r="S65" s="165"/>
      <c r="T65" s="166"/>
      <c r="U65" s="167"/>
      <c r="V65" s="168"/>
      <c r="W65" s="173"/>
      <c r="X65" s="174"/>
      <c r="Y65" s="175"/>
      <c r="Z65" s="174"/>
      <c r="AA65" s="175"/>
      <c r="AB65" s="176"/>
      <c r="AD65" s="49"/>
    </row>
    <row r="66" spans="1:30" ht="22.5" customHeight="1">
      <c r="A66" s="228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163"/>
      <c r="R66" s="164"/>
      <c r="S66" s="165"/>
      <c r="T66" s="166"/>
      <c r="U66" s="167"/>
      <c r="V66" s="168"/>
      <c r="W66" s="173"/>
      <c r="X66" s="174"/>
      <c r="Y66" s="175"/>
      <c r="Z66" s="174"/>
      <c r="AA66" s="175"/>
      <c r="AB66" s="176"/>
      <c r="AD66" s="49"/>
    </row>
    <row r="67" spans="1:30" ht="22.5" customHeight="1">
      <c r="A67" s="228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163"/>
      <c r="R67" s="164"/>
      <c r="S67" s="165"/>
      <c r="T67" s="166"/>
      <c r="U67" s="167"/>
      <c r="V67" s="168"/>
      <c r="W67" s="173"/>
      <c r="X67" s="174"/>
      <c r="Y67" s="175"/>
      <c r="Z67" s="174"/>
      <c r="AA67" s="175"/>
      <c r="AB67" s="176"/>
      <c r="AD67" s="49"/>
    </row>
    <row r="68" spans="1:30" ht="22.5" customHeight="1">
      <c r="A68" s="228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163"/>
      <c r="R68" s="164"/>
      <c r="S68" s="165"/>
      <c r="T68" s="166"/>
      <c r="U68" s="167"/>
      <c r="V68" s="168"/>
      <c r="W68" s="173"/>
      <c r="X68" s="174"/>
      <c r="Y68" s="175"/>
      <c r="Z68" s="174"/>
      <c r="AA68" s="175"/>
      <c r="AB68" s="176"/>
      <c r="AD68" s="49"/>
    </row>
    <row r="69" spans="1:30" ht="22.5" customHeight="1">
      <c r="A69" s="228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163"/>
      <c r="R69" s="164"/>
      <c r="S69" s="165"/>
      <c r="T69" s="166"/>
      <c r="U69" s="167"/>
      <c r="V69" s="168"/>
      <c r="W69" s="173"/>
      <c r="X69" s="174"/>
      <c r="Y69" s="175"/>
      <c r="Z69" s="174"/>
      <c r="AA69" s="175"/>
      <c r="AB69" s="176"/>
      <c r="AD69" s="49"/>
    </row>
    <row r="70" spans="1:30" ht="22.5" customHeight="1">
      <c r="A70" s="228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163"/>
      <c r="R70" s="164"/>
      <c r="S70" s="165"/>
      <c r="T70" s="166"/>
      <c r="U70" s="167"/>
      <c r="V70" s="168"/>
      <c r="W70" s="169"/>
      <c r="X70" s="170"/>
      <c r="Y70" s="171"/>
      <c r="Z70" s="170"/>
      <c r="AA70" s="171"/>
      <c r="AB70" s="172"/>
      <c r="AD70" s="49"/>
    </row>
    <row r="71" spans="1:30" ht="22.5" customHeight="1">
      <c r="A71" s="228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163"/>
      <c r="R71" s="164"/>
      <c r="S71" s="165"/>
      <c r="T71" s="166"/>
      <c r="U71" s="167"/>
      <c r="V71" s="168"/>
      <c r="W71" s="169"/>
      <c r="X71" s="170"/>
      <c r="Y71" s="171"/>
      <c r="Z71" s="170"/>
      <c r="AA71" s="171"/>
      <c r="AB71" s="172"/>
      <c r="AD71" s="49"/>
    </row>
    <row r="72" spans="1:30" ht="22.5" customHeight="1">
      <c r="A72" s="228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163"/>
      <c r="R72" s="164"/>
      <c r="S72" s="165"/>
      <c r="T72" s="166"/>
      <c r="U72" s="167"/>
      <c r="V72" s="168"/>
      <c r="W72" s="169"/>
      <c r="X72" s="170"/>
      <c r="Y72" s="171"/>
      <c r="Z72" s="170"/>
      <c r="AA72" s="171"/>
      <c r="AB72" s="172"/>
      <c r="AD72" s="49"/>
    </row>
    <row r="73" spans="1:30" ht="22.5" customHeight="1">
      <c r="A73" s="228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163"/>
      <c r="R73" s="164"/>
      <c r="S73" s="165"/>
      <c r="T73" s="166"/>
      <c r="U73" s="167"/>
      <c r="V73" s="168"/>
      <c r="W73" s="169"/>
      <c r="X73" s="170"/>
      <c r="Y73" s="171"/>
      <c r="Z73" s="170"/>
      <c r="AA73" s="171"/>
      <c r="AB73" s="172"/>
      <c r="AD73" s="49"/>
    </row>
    <row r="74" spans="1:30" ht="22.5" customHeight="1">
      <c r="A74" s="228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163"/>
      <c r="R74" s="164"/>
      <c r="S74" s="165"/>
      <c r="T74" s="166"/>
      <c r="U74" s="167"/>
      <c r="V74" s="168"/>
      <c r="W74" s="169"/>
      <c r="X74" s="170"/>
      <c r="Y74" s="171"/>
      <c r="Z74" s="170"/>
      <c r="AA74" s="171"/>
      <c r="AB74" s="172"/>
      <c r="AD74" s="49"/>
    </row>
    <row r="75" spans="1:30" ht="22.5" customHeight="1">
      <c r="A75" s="228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163"/>
      <c r="R75" s="164"/>
      <c r="S75" s="165"/>
      <c r="T75" s="166"/>
      <c r="U75" s="167"/>
      <c r="V75" s="168"/>
      <c r="W75" s="169"/>
      <c r="X75" s="170"/>
      <c r="Y75" s="171"/>
      <c r="Z75" s="170"/>
      <c r="AA75" s="171"/>
      <c r="AB75" s="172"/>
      <c r="AD75" s="49"/>
    </row>
    <row r="76" spans="1:30" ht="22.5" customHeight="1">
      <c r="A76" s="228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163"/>
      <c r="R76" s="164"/>
      <c r="S76" s="165"/>
      <c r="T76" s="166"/>
      <c r="U76" s="167"/>
      <c r="V76" s="168"/>
      <c r="W76" s="169"/>
      <c r="X76" s="170"/>
      <c r="Y76" s="171"/>
      <c r="Z76" s="170"/>
      <c r="AA76" s="171"/>
      <c r="AB76" s="172"/>
      <c r="AD76" s="49"/>
    </row>
    <row r="77" spans="1:30" ht="22.5" customHeight="1">
      <c r="A77" s="228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163"/>
      <c r="R77" s="164"/>
      <c r="S77" s="165"/>
      <c r="T77" s="166"/>
      <c r="U77" s="167"/>
      <c r="V77" s="168"/>
      <c r="W77" s="169"/>
      <c r="X77" s="170"/>
      <c r="Y77" s="171"/>
      <c r="Z77" s="170"/>
      <c r="AA77" s="171"/>
      <c r="AB77" s="172"/>
      <c r="AD77" s="49"/>
    </row>
    <row r="78" spans="1:30" ht="22.5" customHeight="1">
      <c r="A78" s="228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163"/>
      <c r="R78" s="164"/>
      <c r="S78" s="165"/>
      <c r="T78" s="166"/>
      <c r="U78" s="167"/>
      <c r="V78" s="168"/>
      <c r="W78" s="169"/>
      <c r="X78" s="170"/>
      <c r="Y78" s="171"/>
      <c r="Z78" s="170"/>
      <c r="AA78" s="171"/>
      <c r="AB78" s="172"/>
      <c r="AD78" s="49"/>
    </row>
    <row r="79" spans="1:30" ht="22.5" customHeight="1">
      <c r="A79" s="228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163"/>
      <c r="R79" s="164"/>
      <c r="S79" s="165"/>
      <c r="T79" s="166"/>
      <c r="U79" s="167"/>
      <c r="V79" s="168"/>
      <c r="W79" s="169"/>
      <c r="X79" s="170"/>
      <c r="Y79" s="171"/>
      <c r="Z79" s="170"/>
      <c r="AA79" s="171"/>
      <c r="AB79" s="172"/>
      <c r="AD79" s="49"/>
    </row>
    <row r="80" spans="1:30" ht="22.5" customHeight="1">
      <c r="A80" s="228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163"/>
      <c r="R80" s="164"/>
      <c r="S80" s="165"/>
      <c r="T80" s="166"/>
      <c r="U80" s="167"/>
      <c r="V80" s="168"/>
      <c r="W80" s="169"/>
      <c r="X80" s="170"/>
      <c r="Y80" s="171"/>
      <c r="Z80" s="170"/>
      <c r="AA80" s="171"/>
      <c r="AB80" s="172"/>
      <c r="AD80" s="49"/>
    </row>
    <row r="81" spans="1:30" ht="22.5" customHeight="1">
      <c r="A81" s="228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163"/>
      <c r="R81" s="164"/>
      <c r="S81" s="165"/>
      <c r="T81" s="166"/>
      <c r="U81" s="167"/>
      <c r="V81" s="168"/>
      <c r="W81" s="169"/>
      <c r="X81" s="170"/>
      <c r="Y81" s="171"/>
      <c r="Z81" s="170"/>
      <c r="AA81" s="171"/>
      <c r="AB81" s="172"/>
      <c r="AD81" s="49"/>
    </row>
    <row r="82" spans="1:30" ht="22.5" customHeight="1">
      <c r="A82" s="228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163"/>
      <c r="R82" s="164"/>
      <c r="S82" s="165"/>
      <c r="T82" s="166"/>
      <c r="U82" s="167"/>
      <c r="V82" s="168"/>
      <c r="W82" s="169"/>
      <c r="X82" s="170"/>
      <c r="Y82" s="171"/>
      <c r="Z82" s="170"/>
      <c r="AA82" s="171"/>
      <c r="AB82" s="172"/>
      <c r="AD82" s="49"/>
    </row>
    <row r="83" spans="1:30" ht="22.5" customHeight="1">
      <c r="A83" s="228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163"/>
      <c r="R83" s="164"/>
      <c r="S83" s="165"/>
      <c r="T83" s="166"/>
      <c r="U83" s="167"/>
      <c r="V83" s="168"/>
      <c r="W83" s="169"/>
      <c r="X83" s="170"/>
      <c r="Y83" s="171"/>
      <c r="Z83" s="170"/>
      <c r="AA83" s="171"/>
      <c r="AB83" s="172"/>
      <c r="AD83" s="49"/>
    </row>
    <row r="84" spans="1:30" ht="22.5" customHeight="1">
      <c r="A84" s="228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163"/>
      <c r="R84" s="164"/>
      <c r="S84" s="165"/>
      <c r="T84" s="166"/>
      <c r="U84" s="167"/>
      <c r="V84" s="168"/>
      <c r="W84" s="169"/>
      <c r="X84" s="170"/>
      <c r="Y84" s="171"/>
      <c r="Z84" s="170"/>
      <c r="AA84" s="171"/>
      <c r="AB84" s="172"/>
      <c r="AD84" s="49"/>
    </row>
    <row r="85" spans="1:30" ht="22.5" customHeight="1">
      <c r="A85" s="228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163"/>
      <c r="R85" s="164"/>
      <c r="S85" s="165"/>
      <c r="T85" s="166"/>
      <c r="U85" s="167"/>
      <c r="V85" s="168"/>
      <c r="W85" s="169"/>
      <c r="X85" s="170"/>
      <c r="Y85" s="171"/>
      <c r="Z85" s="170"/>
      <c r="AA85" s="171"/>
      <c r="AB85" s="172"/>
      <c r="AD85" s="49"/>
    </row>
    <row r="86" spans="1:30" ht="22.5" customHeight="1">
      <c r="A86" s="228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153"/>
      <c r="R86" s="154"/>
      <c r="S86" s="155"/>
      <c r="T86" s="156"/>
      <c r="U86" s="157"/>
      <c r="V86" s="158"/>
      <c r="W86" s="159"/>
      <c r="X86" s="160"/>
      <c r="Y86" s="161"/>
      <c r="Z86" s="160"/>
      <c r="AA86" s="161"/>
      <c r="AB86" s="162"/>
      <c r="AD86" s="49"/>
    </row>
    <row r="87" spans="1:30" s="76" customFormat="1" ht="22.5" customHeight="1" thickBot="1">
      <c r="A87" s="229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24">
        <f>SUM(Q51:R66)</f>
        <v>0</v>
      </c>
      <c r="R87" s="625"/>
      <c r="S87" s="626">
        <f>SUM(S51:T86)</f>
        <v>0</v>
      </c>
      <c r="T87" s="627"/>
      <c r="U87" s="626">
        <f>SUM(U51:V65)</f>
        <v>0</v>
      </c>
      <c r="V87" s="628"/>
      <c r="W87" s="148">
        <f>SUM(W51:X86)</f>
        <v>0</v>
      </c>
      <c r="X87" s="149"/>
      <c r="Y87" s="150">
        <f>SUM(Y51:Z86)</f>
        <v>0</v>
      </c>
      <c r="Z87" s="151"/>
      <c r="AA87" s="148"/>
      <c r="AB87" s="152"/>
      <c r="AD87" s="49"/>
    </row>
    <row r="88" spans="1:30" ht="22.5" customHeight="1" thickTop="1">
      <c r="A88" s="77"/>
      <c r="B88" s="77"/>
      <c r="C88" s="77"/>
      <c r="D88" s="77"/>
      <c r="E88" s="77"/>
      <c r="F88" s="77"/>
      <c r="G88" s="77"/>
      <c r="H88" s="77"/>
      <c r="I88" s="77"/>
      <c r="J88" s="142" t="s">
        <v>117</v>
      </c>
      <c r="K88" s="143"/>
      <c r="L88" s="143"/>
      <c r="M88" s="143"/>
      <c r="N88" s="143"/>
      <c r="O88" s="143"/>
      <c r="P88" s="143"/>
      <c r="Q88" s="143"/>
      <c r="R88" s="143"/>
      <c r="S88" s="143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20</vt:i4>
      </vt:variant>
    </vt:vector>
  </HeadingPairs>
  <TitlesOfParts>
    <vt:vector size="42" baseType="lpstr">
      <vt:lpstr>총합계</vt:lpstr>
      <vt:lpstr>CRA</vt:lpstr>
      <vt:lpstr>CCP</vt:lpstr>
      <vt:lpstr>AAR</vt:lpstr>
      <vt:lpstr>DPO</vt:lpstr>
      <vt:lpstr>DMA</vt:lpstr>
      <vt:lpstr>CSP</vt:lpstr>
      <vt:lpstr>CPO</vt:lpstr>
      <vt:lpstr>PEI</vt:lpstr>
      <vt:lpstr>ISP</vt:lpstr>
      <vt:lpstr>ESP</vt:lpstr>
      <vt:lpstr>TRF1</vt:lpstr>
      <vt:lpstr>TRF2</vt:lpstr>
      <vt:lpstr>FDI</vt:lpstr>
      <vt:lpstr>SDI</vt:lpstr>
      <vt:lpstr>PII</vt:lpstr>
      <vt:lpstr>PID</vt:lpstr>
      <vt:lpstr>JCR1</vt:lpstr>
      <vt:lpstr>CBL1</vt:lpstr>
      <vt:lpstr>JCR2</vt:lpstr>
      <vt:lpstr>CBL2</vt:lpstr>
      <vt:lpstr>Sheet1</vt:lpstr>
      <vt:lpstr>AAR!Print_Area</vt:lpstr>
      <vt:lpstr>'CBL1'!Print_Area</vt:lpstr>
      <vt:lpstr>'CBL2'!Print_Area</vt:lpstr>
      <vt:lpstr>CCP!Print_Area</vt:lpstr>
      <vt:lpstr>CPO!Print_Area</vt:lpstr>
      <vt:lpstr>CRA!Print_Area</vt:lpstr>
      <vt:lpstr>CSP!Print_Area</vt:lpstr>
      <vt:lpstr>DMA!Print_Area</vt:lpstr>
      <vt:lpstr>DPO!Print_Area</vt:lpstr>
      <vt:lpstr>ESP!Print_Area</vt:lpstr>
      <vt:lpstr>FDI!Print_Area</vt:lpstr>
      <vt:lpstr>ISP!Print_Area</vt:lpstr>
      <vt:lpstr>'JCR1'!Print_Area</vt:lpstr>
      <vt:lpstr>'JCR2'!Print_Area</vt:lpstr>
      <vt:lpstr>PEI!Print_Area</vt:lpstr>
      <vt:lpstr>PID!Print_Area</vt:lpstr>
      <vt:lpstr>PII!Print_Area</vt:lpstr>
      <vt:lpstr>SDI!Print_Area</vt:lpstr>
      <vt:lpstr>'TRF1'!Print_Area</vt:lpstr>
      <vt:lpstr>'TRF2'!Print_Area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</cp:lastModifiedBy>
  <cp:lastPrinted>2011-04-13T01:45:53Z</cp:lastPrinted>
  <dcterms:created xsi:type="dcterms:W3CDTF">2010-07-30T06:02:55Z</dcterms:created>
  <dcterms:modified xsi:type="dcterms:W3CDTF">2011-04-20T18:25:19Z</dcterms:modified>
</cp:coreProperties>
</file>