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30" windowWidth="18075" windowHeight="11370" firstSheet="3" activeTab="3"/>
  </bookViews>
  <sheets>
    <sheet name="CRA" sheetId="1" r:id="rId1"/>
    <sheet name="CCP" sheetId="2" r:id="rId2"/>
    <sheet name="AAR" sheetId="3" r:id="rId3"/>
    <sheet name="DPO" sheetId="4" r:id="rId4"/>
    <sheet name="DMA" sheetId="5" r:id="rId5"/>
    <sheet name="CSP" sheetId="6" r:id="rId6"/>
    <sheet name="CPO" sheetId="7" r:id="rId7"/>
    <sheet name="PEI" sheetId="8" r:id="rId8"/>
    <sheet name="ISP" sheetId="9" r:id="rId9"/>
    <sheet name="ESP" sheetId="10" r:id="rId10"/>
    <sheet name="TRF" sheetId="11" r:id="rId11"/>
    <sheet name="ANSM" sheetId="12" r:id="rId12"/>
    <sheet name="FDI" sheetId="13" r:id="rId13"/>
    <sheet name="SDI" sheetId="14" r:id="rId14"/>
    <sheet name="PII" sheetId="15" r:id="rId15"/>
    <sheet name="PID" sheetId="16" r:id="rId16"/>
    <sheet name="JCR" sheetId="17" r:id="rId17"/>
    <sheet name="CBL" sheetId="18" r:id="rId18"/>
    <sheet name="CON" sheetId="19" r:id="rId19"/>
  </sheets>
  <calcPr calcId="125725"/>
</workbook>
</file>

<file path=xl/calcChain.xml><?xml version="1.0" encoding="utf-8"?>
<calcChain xmlns="http://schemas.openxmlformats.org/spreadsheetml/2006/main">
  <c r="F12" i="4"/>
  <c r="F11" l="1"/>
  <c r="F10"/>
  <c r="F9"/>
  <c r="F8"/>
  <c r="F21" l="1"/>
  <c r="F20"/>
  <c r="F19"/>
  <c r="F18"/>
  <c r="F14"/>
  <c r="F7"/>
  <c r="F6"/>
  <c r="F5"/>
  <c r="F4"/>
  <c r="F4" i="18"/>
  <c r="F3"/>
  <c r="F18"/>
  <c r="E18"/>
  <c r="D18"/>
  <c r="C18"/>
  <c r="F18" i="17"/>
  <c r="E18"/>
  <c r="D18"/>
  <c r="C18"/>
  <c r="E18" i="16"/>
  <c r="D18"/>
  <c r="C18"/>
  <c r="F18"/>
  <c r="E19" i="15"/>
  <c r="D19"/>
  <c r="C19"/>
  <c r="F8"/>
  <c r="F7"/>
  <c r="F19" s="1"/>
  <c r="E19" i="14"/>
  <c r="D19"/>
  <c r="C19"/>
  <c r="F8"/>
  <c r="F7"/>
  <c r="F19" s="1"/>
  <c r="F8" i="13"/>
  <c r="F7"/>
  <c r="F19"/>
  <c r="E19"/>
  <c r="D19"/>
  <c r="C19"/>
  <c r="F18" i="12"/>
  <c r="E18"/>
  <c r="D18"/>
  <c r="C18"/>
  <c r="F19" i="11"/>
  <c r="E19"/>
  <c r="D19"/>
  <c r="C19"/>
  <c r="B19" s="1"/>
  <c r="F20" i="10"/>
  <c r="E20"/>
  <c r="D20"/>
  <c r="C20"/>
  <c r="F19" i="9"/>
  <c r="B19" s="1"/>
  <c r="E19"/>
  <c r="D19"/>
  <c r="C19"/>
  <c r="E19" i="8"/>
  <c r="D19"/>
  <c r="C19"/>
  <c r="F8"/>
  <c r="F19" s="1"/>
  <c r="E19" i="7"/>
  <c r="D19"/>
  <c r="C19"/>
  <c r="F8"/>
  <c r="F19" s="1"/>
  <c r="B19" s="1"/>
  <c r="E19" i="6"/>
  <c r="D19"/>
  <c r="C19"/>
  <c r="F19"/>
  <c r="E19" i="5"/>
  <c r="D19"/>
  <c r="C19"/>
  <c r="F19"/>
  <c r="F19" i="3"/>
  <c r="E19"/>
  <c r="D19"/>
  <c r="C19"/>
  <c r="F19" i="2"/>
  <c r="E19"/>
  <c r="D19"/>
  <c r="C19"/>
  <c r="F19" i="1"/>
  <c r="B19"/>
  <c r="D19"/>
  <c r="E19"/>
  <c r="C19"/>
  <c r="F22" i="4" l="1"/>
  <c r="F23" s="1"/>
  <c r="F24" s="1"/>
  <c r="B18" i="18"/>
  <c r="B18" i="17"/>
  <c r="B18" i="16"/>
  <c r="B19" i="15"/>
  <c r="B19" i="14"/>
  <c r="B19" i="13"/>
  <c r="B18" i="12"/>
  <c r="B20" i="10"/>
  <c r="B19" i="8"/>
  <c r="B19" i="6"/>
  <c r="B19" i="5"/>
  <c r="B19" i="3"/>
  <c r="B19" i="2"/>
</calcChain>
</file>

<file path=xl/sharedStrings.xml><?xml version="1.0" encoding="utf-8"?>
<sst xmlns="http://schemas.openxmlformats.org/spreadsheetml/2006/main" count="248" uniqueCount="84">
  <si>
    <t>CRA</t>
    <phoneticPr fontId="1" type="noConversion"/>
  </si>
  <si>
    <t>PCB</t>
    <phoneticPr fontId="1" type="noConversion"/>
  </si>
  <si>
    <t>POWER</t>
    <phoneticPr fontId="1" type="noConversion"/>
  </si>
  <si>
    <t>SCB</t>
    <phoneticPr fontId="1" type="noConversion"/>
  </si>
  <si>
    <t>LIC</t>
    <phoneticPr fontId="1" type="noConversion"/>
  </si>
  <si>
    <t>WLR</t>
    <phoneticPr fontId="1" type="noConversion"/>
  </si>
  <si>
    <t>VTX</t>
    <phoneticPr fontId="1" type="noConversion"/>
  </si>
  <si>
    <t>CNCS</t>
    <phoneticPr fontId="1" type="noConversion"/>
  </si>
  <si>
    <t>PAC-INT</t>
    <phoneticPr fontId="1" type="noConversion"/>
  </si>
  <si>
    <t>PAC-MCU</t>
    <phoneticPr fontId="1" type="noConversion"/>
  </si>
  <si>
    <t>PAC-VOL</t>
    <phoneticPr fontId="1" type="noConversion"/>
  </si>
  <si>
    <t>PAC-485</t>
    <phoneticPr fontId="1" type="noConversion"/>
  </si>
  <si>
    <t>PAC-VOIP</t>
    <phoneticPr fontId="1" type="noConversion"/>
  </si>
  <si>
    <t>PAC-REC</t>
    <phoneticPr fontId="1" type="noConversion"/>
  </si>
  <si>
    <t>BPB</t>
    <phoneticPr fontId="1" type="noConversion"/>
  </si>
  <si>
    <t>합계</t>
    <phoneticPr fontId="1" type="noConversion"/>
  </si>
  <si>
    <t>HDD-PCB</t>
    <phoneticPr fontId="1" type="noConversion"/>
  </si>
  <si>
    <t xml:space="preserve"> - CPU</t>
    <phoneticPr fontId="1" type="noConversion"/>
  </si>
  <si>
    <t>POWER</t>
    <phoneticPr fontId="1" type="noConversion"/>
  </si>
  <si>
    <t>BOX</t>
    <phoneticPr fontId="1" type="noConversion"/>
  </si>
  <si>
    <t>PSA</t>
    <phoneticPr fontId="1" type="noConversion"/>
  </si>
  <si>
    <t>아이템</t>
    <phoneticPr fontId="1" type="noConversion"/>
  </si>
  <si>
    <t>POWER</t>
    <phoneticPr fontId="1" type="noConversion"/>
  </si>
  <si>
    <t>자제</t>
    <phoneticPr fontId="1" type="noConversion"/>
  </si>
  <si>
    <t>CCP</t>
    <phoneticPr fontId="1" type="noConversion"/>
  </si>
  <si>
    <t>LCD</t>
    <phoneticPr fontId="1" type="noConversion"/>
  </si>
  <si>
    <t>TOUCH SCREEN UNIT</t>
  </si>
  <si>
    <t>TFT-LCD UNIT</t>
  </si>
  <si>
    <t>CCP</t>
    <phoneticPr fontId="1" type="noConversion"/>
  </si>
  <si>
    <t>AAB-1</t>
    <phoneticPr fontId="1" type="noConversion"/>
  </si>
  <si>
    <t>AAB-2</t>
    <phoneticPr fontId="1" type="noConversion"/>
  </si>
  <si>
    <t>DPO</t>
    <phoneticPr fontId="1" type="noConversion"/>
  </si>
  <si>
    <t>MICROPHONE</t>
  </si>
  <si>
    <t>SPEAKER</t>
  </si>
  <si>
    <t>SWITCH</t>
  </si>
  <si>
    <t>수량</t>
    <phoneticPr fontId="1" type="noConversion"/>
  </si>
  <si>
    <t>단가</t>
    <phoneticPr fontId="1" type="noConversion"/>
  </si>
  <si>
    <t>Ass'y</t>
    <phoneticPr fontId="1" type="noConversion"/>
  </si>
  <si>
    <t>BOX</t>
    <phoneticPr fontId="1" type="noConversion"/>
  </si>
  <si>
    <t>CSP</t>
    <phoneticPr fontId="1" type="noConversion"/>
  </si>
  <si>
    <t>DMA</t>
    <phoneticPr fontId="1" type="noConversion"/>
  </si>
  <si>
    <t>KNOB</t>
  </si>
  <si>
    <t>VOLUME CONTROL</t>
  </si>
  <si>
    <t>VM50 키홈 가공</t>
  </si>
  <si>
    <t>TR</t>
    <phoneticPr fontId="1" type="noConversion"/>
  </si>
  <si>
    <t>GASCKET</t>
  </si>
  <si>
    <t>BRACKET</t>
  </si>
  <si>
    <t>MICRO PHONE</t>
  </si>
  <si>
    <t>LED SENSOR BOARD</t>
  </si>
  <si>
    <t>LED-단색</t>
    <phoneticPr fontId="1" type="noConversion"/>
  </si>
  <si>
    <t>LED-칼라</t>
    <phoneticPr fontId="1" type="noConversion"/>
  </si>
  <si>
    <t>TFT-LCD</t>
  </si>
  <si>
    <t>INVERTER BOARD &amp; CABLE</t>
  </si>
  <si>
    <t>JUMPER PLUG ASS'Y</t>
  </si>
  <si>
    <t>JUMPER RECEPTACLE ASS'Y</t>
  </si>
  <si>
    <t>COAXIAL CABLE ASS'Y</t>
    <phoneticPr fontId="4" type="noConversion"/>
  </si>
  <si>
    <t>E-NET</t>
    <phoneticPr fontId="1" type="noConversion"/>
  </si>
  <si>
    <t>길이</t>
    <phoneticPr fontId="1" type="noConversion"/>
  </si>
  <si>
    <t xml:space="preserve">Sheet No. </t>
  </si>
  <si>
    <t xml:space="preserve">    1/1</t>
  </si>
  <si>
    <t>NO</t>
  </si>
  <si>
    <t>품    목</t>
  </si>
  <si>
    <t>재 질  및  규 격</t>
  </si>
  <si>
    <t>소요량</t>
  </si>
  <si>
    <t>단  가</t>
  </si>
  <si>
    <t>금  액</t>
  </si>
  <si>
    <t>비  고</t>
  </si>
  <si>
    <t>CPU BOARD</t>
  </si>
  <si>
    <t>POWER UNIT</t>
  </si>
  <si>
    <t>CONNECTOR, 부자재</t>
  </si>
  <si>
    <t>小                       計</t>
  </si>
  <si>
    <t>合                       計</t>
  </si>
  <si>
    <t>참 고 사 항</t>
  </si>
  <si>
    <t xml:space="preserve"> </t>
    <phoneticPr fontId="16" type="noConversion"/>
  </si>
  <si>
    <t>상세 LIST</t>
    <phoneticPr fontId="1" type="noConversion"/>
  </si>
  <si>
    <t>DPO</t>
    <phoneticPr fontId="1" type="noConversion"/>
  </si>
  <si>
    <t>ASS'Y</t>
    <phoneticPr fontId="16" type="noConversion"/>
  </si>
  <si>
    <t>AC230V/5V</t>
    <phoneticPr fontId="16" type="noConversion"/>
  </si>
  <si>
    <t>FRAME BOX</t>
    <phoneticPr fontId="16" type="noConversion"/>
  </si>
  <si>
    <t>WIRE &amp; 부자재 포함</t>
    <phoneticPr fontId="16" type="noConversion"/>
  </si>
  <si>
    <t>기타부자재</t>
    <phoneticPr fontId="16" type="noConversion"/>
  </si>
  <si>
    <t>자재 LOSS ( 5% )</t>
    <phoneticPr fontId="16" type="noConversion"/>
  </si>
  <si>
    <t>PHONE JACK</t>
  </si>
  <si>
    <t>기타</t>
    <phoneticPr fontId="1" type="noConversion"/>
  </si>
</sst>
</file>

<file path=xl/styles.xml><?xml version="1.0" encoding="utf-8"?>
<styleSheet xmlns="http://schemas.openxmlformats.org/spreadsheetml/2006/main">
  <numFmts count="1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"/>
    <numFmt numFmtId="177" formatCode="_-* #,##0.00_-;\-* #,##0.00_-;_-* &quot;-&quot;_-;_-@_-"/>
    <numFmt numFmtId="178" formatCode="_ * #,##0_ ;_ * \-#,##0_ ;_ * &quot;-&quot;_ ;_ @_ "/>
    <numFmt numFmtId="179" formatCode="_ * #,##0.00_ ;_ * \-#,##0.00_ ;_ * &quot;-&quot;??_ ;_ @_ "/>
    <numFmt numFmtId="180" formatCode="0.0_ "/>
    <numFmt numFmtId="181" formatCode="@\ \ \ \ \ \ \ \ \ \ \ \ \ \ \ "/>
    <numFmt numFmtId="182" formatCode="mm&quot;월&quot;\ dd&quot;일&quot;"/>
    <numFmt numFmtId="183" formatCode="#,###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"/>
      <name val="돋움"/>
      <family val="3"/>
      <charset val="129"/>
    </font>
    <font>
      <sz val="8"/>
      <name val="굴림체"/>
      <family val="2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뼻뮝"/>
      <family val="3"/>
      <charset val="128"/>
    </font>
    <font>
      <sz val="11"/>
      <name val="μ¸¿o"/>
      <family val="3"/>
      <charset val="129"/>
    </font>
    <font>
      <sz val="12"/>
      <name val="굴림"/>
      <family val="3"/>
      <charset val="129"/>
    </font>
    <font>
      <sz val="12"/>
      <name val="굴림체"/>
      <family val="3"/>
      <charset val="129"/>
    </font>
    <font>
      <sz val="12"/>
      <name val="±¼¸²A¼"/>
      <family val="3"/>
      <charset val="129"/>
    </font>
    <font>
      <sz val="12"/>
      <name val="¹UAAA¼"/>
      <family val="1"/>
      <charset val="129"/>
    </font>
    <font>
      <sz val="10"/>
      <color indexed="8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u/>
      <sz val="1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5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7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8" fillId="0" borderId="0"/>
    <xf numFmtId="0" fontId="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" fillId="0" borderId="0"/>
    <xf numFmtId="41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42" fontId="0" fillId="0" borderId="1" xfId="1" applyFont="1" applyBorder="1">
      <alignment vertical="center"/>
    </xf>
    <xf numFmtId="42" fontId="0" fillId="0" borderId="1" xfId="0" applyNumberFormat="1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176" fontId="3" fillId="0" borderId="5" xfId="0" applyNumberFormat="1" applyFont="1" applyBorder="1" applyAlignment="1">
      <alignment horizontal="right" vertical="center" wrapText="1"/>
    </xf>
    <xf numFmtId="42" fontId="3" fillId="0" borderId="5" xfId="1" applyFont="1" applyBorder="1" applyAlignment="1">
      <alignment horizontal="right" vertical="center" wrapText="1"/>
    </xf>
    <xf numFmtId="0" fontId="0" fillId="2" borderId="2" xfId="0" applyFill="1" applyBorder="1">
      <alignment vertical="center"/>
    </xf>
    <xf numFmtId="49" fontId="3" fillId="0" borderId="1" xfId="0" applyNumberFormat="1" applyFont="1" applyBorder="1" applyAlignment="1">
      <alignment vertical="center" wrapText="1"/>
    </xf>
    <xf numFmtId="42" fontId="3" fillId="0" borderId="1" xfId="1" applyFont="1" applyBorder="1" applyAlignment="1">
      <alignment horizontal="right" vertical="center" wrapText="1"/>
    </xf>
    <xf numFmtId="41" fontId="0" fillId="0" borderId="1" xfId="2" applyFont="1" applyBorder="1">
      <alignment vertical="center"/>
    </xf>
    <xf numFmtId="177" fontId="0" fillId="0" borderId="1" xfId="2" applyNumberFormat="1" applyFont="1" applyBorder="1">
      <alignment vertical="center"/>
    </xf>
    <xf numFmtId="42" fontId="0" fillId="0" borderId="0" xfId="1" applyFont="1">
      <alignment vertical="center"/>
    </xf>
    <xf numFmtId="3" fontId="14" fillId="0" borderId="1" xfId="3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2" fontId="0" fillId="0" borderId="3" xfId="1" applyFont="1" applyBorder="1" applyAlignment="1">
      <alignment horizontal="center" vertical="center"/>
    </xf>
    <xf numFmtId="42" fontId="0" fillId="0" borderId="4" xfId="1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31" applyFont="1"/>
    <xf numFmtId="0" fontId="19" fillId="0" borderId="6" xfId="31" applyFont="1" applyBorder="1" applyAlignment="1" applyProtection="1">
      <alignment horizontal="center"/>
      <protection locked="0"/>
    </xf>
    <xf numFmtId="0" fontId="19" fillId="0" borderId="6" xfId="31" applyFont="1" applyBorder="1"/>
    <xf numFmtId="14" fontId="18" fillId="0" borderId="0" xfId="32" applyNumberFormat="1" applyFont="1"/>
    <xf numFmtId="0" fontId="18" fillId="0" borderId="0" xfId="31" applyFont="1" applyAlignment="1">
      <alignment horizontal="right"/>
    </xf>
    <xf numFmtId="182" fontId="18" fillId="0" borderId="0" xfId="31" applyNumberFormat="1" applyFont="1" applyProtection="1">
      <protection locked="0"/>
    </xf>
    <xf numFmtId="0" fontId="20" fillId="0" borderId="1" xfId="31" applyFont="1" applyBorder="1" applyAlignment="1">
      <alignment horizontal="center" vertical="center"/>
    </xf>
    <xf numFmtId="0" fontId="18" fillId="0" borderId="1" xfId="31" applyFont="1" applyBorder="1" applyAlignment="1">
      <alignment horizontal="center" vertical="center"/>
    </xf>
    <xf numFmtId="0" fontId="18" fillId="0" borderId="1" xfId="31" applyFont="1" applyBorder="1" applyAlignment="1" applyProtection="1">
      <alignment vertical="center"/>
      <protection locked="0"/>
    </xf>
    <xf numFmtId="3" fontId="18" fillId="0" borderId="1" xfId="33" applyNumberFormat="1" applyFont="1" applyBorder="1" applyAlignment="1" applyProtection="1">
      <alignment horizontal="center" vertical="center"/>
      <protection locked="0"/>
    </xf>
    <xf numFmtId="3" fontId="18" fillId="0" borderId="1" xfId="33" applyNumberFormat="1" applyFont="1" applyFill="1" applyBorder="1" applyAlignment="1" applyProtection="1">
      <alignment vertical="center"/>
      <protection locked="0"/>
    </xf>
    <xf numFmtId="183" fontId="18" fillId="0" borderId="1" xfId="33" applyNumberFormat="1" applyFont="1" applyFill="1" applyBorder="1" applyAlignment="1">
      <alignment vertical="center"/>
    </xf>
    <xf numFmtId="0" fontId="18" fillId="0" borderId="1" xfId="31" applyFont="1" applyFill="1" applyBorder="1" applyAlignment="1" applyProtection="1">
      <alignment vertical="center"/>
      <protection locked="0"/>
    </xf>
    <xf numFmtId="3" fontId="18" fillId="0" borderId="1" xfId="33" applyNumberFormat="1" applyFont="1" applyFill="1" applyBorder="1" applyAlignment="1" applyProtection="1">
      <alignment horizontal="center" vertical="center"/>
      <protection locked="0"/>
    </xf>
    <xf numFmtId="183" fontId="18" fillId="0" borderId="1" xfId="33" applyNumberFormat="1" applyFont="1" applyBorder="1" applyAlignment="1">
      <alignment vertical="center"/>
    </xf>
    <xf numFmtId="0" fontId="18" fillId="0" borderId="1" xfId="34" applyFont="1" applyFill="1" applyBorder="1" applyAlignment="1" applyProtection="1">
      <alignment vertical="center"/>
      <protection locked="0"/>
    </xf>
    <xf numFmtId="3" fontId="18" fillId="0" borderId="1" xfId="33" applyNumberFormat="1" applyFont="1" applyBorder="1" applyAlignment="1" applyProtection="1">
      <alignment vertical="center"/>
      <protection locked="0"/>
    </xf>
    <xf numFmtId="0" fontId="18" fillId="0" borderId="1" xfId="31" applyFont="1" applyBorder="1"/>
    <xf numFmtId="0" fontId="18" fillId="0" borderId="7" xfId="31" applyFont="1" applyBorder="1" applyAlignment="1">
      <alignment horizontal="center" vertical="center"/>
    </xf>
    <xf numFmtId="0" fontId="18" fillId="0" borderId="8" xfId="31" applyFont="1" applyBorder="1" applyAlignment="1" applyProtection="1">
      <alignment vertical="center"/>
      <protection locked="0"/>
    </xf>
    <xf numFmtId="0" fontId="20" fillId="0" borderId="8" xfId="31" applyFont="1" applyBorder="1" applyAlignment="1" applyProtection="1">
      <alignment horizontal="center" vertical="center"/>
      <protection locked="0"/>
    </xf>
    <xf numFmtId="3" fontId="18" fillId="0" borderId="8" xfId="33" applyNumberFormat="1" applyFont="1" applyBorder="1" applyAlignment="1" applyProtection="1">
      <alignment horizontal="center" vertical="center"/>
      <protection locked="0"/>
    </xf>
    <xf numFmtId="3" fontId="18" fillId="0" borderId="9" xfId="33" applyNumberFormat="1" applyFont="1" applyBorder="1" applyAlignment="1" applyProtection="1">
      <alignment vertical="center"/>
      <protection locked="0"/>
    </xf>
    <xf numFmtId="183" fontId="18" fillId="0" borderId="1" xfId="31" applyNumberFormat="1" applyFont="1" applyBorder="1" applyAlignment="1">
      <alignment vertical="center"/>
    </xf>
    <xf numFmtId="0" fontId="18" fillId="0" borderId="8" xfId="31" applyFont="1" applyBorder="1" applyAlignment="1" applyProtection="1">
      <alignment horizontal="center" vertical="center"/>
      <protection locked="0"/>
    </xf>
    <xf numFmtId="0" fontId="18" fillId="0" borderId="8" xfId="31" applyFont="1" applyBorder="1" applyAlignment="1">
      <alignment vertical="center"/>
    </xf>
    <xf numFmtId="0" fontId="20" fillId="0" borderId="8" xfId="31" applyFont="1" applyBorder="1" applyAlignment="1">
      <alignment horizontal="center" vertical="center"/>
    </xf>
    <xf numFmtId="0" fontId="18" fillId="0" borderId="9" xfId="31" applyFont="1" applyBorder="1" applyAlignment="1">
      <alignment vertical="center"/>
    </xf>
    <xf numFmtId="0" fontId="18" fillId="0" borderId="1" xfId="31" applyFont="1" applyBorder="1" applyAlignment="1">
      <alignment vertical="center"/>
    </xf>
    <xf numFmtId="0" fontId="21" fillId="0" borderId="10" xfId="31" applyFont="1" applyBorder="1" applyAlignment="1">
      <alignment horizontal="left" vertical="center"/>
    </xf>
    <xf numFmtId="0" fontId="18" fillId="0" borderId="11" xfId="31" applyFont="1" applyBorder="1" applyAlignment="1">
      <alignment vertical="center"/>
    </xf>
    <xf numFmtId="0" fontId="18" fillId="0" borderId="11" xfId="31" applyFont="1" applyBorder="1" applyAlignment="1" applyProtection="1">
      <alignment horizontal="left" vertical="center"/>
      <protection locked="0"/>
    </xf>
    <xf numFmtId="0" fontId="18" fillId="0" borderId="12" xfId="31" applyFont="1" applyBorder="1" applyAlignment="1" applyProtection="1">
      <alignment horizontal="left" vertical="center"/>
      <protection locked="0"/>
    </xf>
    <xf numFmtId="0" fontId="18" fillId="0" borderId="13" xfId="31" applyFont="1" applyBorder="1" applyAlignment="1">
      <alignment horizontal="center" vertical="center"/>
    </xf>
    <xf numFmtId="0" fontId="18" fillId="0" borderId="0" xfId="31" applyFont="1" applyBorder="1" applyAlignment="1" applyProtection="1">
      <alignment horizontal="left" vertical="center"/>
      <protection locked="0"/>
    </xf>
    <xf numFmtId="0" fontId="18" fillId="0" borderId="14" xfId="31" applyFont="1" applyBorder="1" applyAlignment="1" applyProtection="1">
      <alignment horizontal="left" vertical="center"/>
      <protection locked="0"/>
    </xf>
    <xf numFmtId="49" fontId="22" fillId="0" borderId="1" xfId="0" applyNumberFormat="1" applyFont="1" applyBorder="1" applyAlignment="1">
      <alignment vertical="center" wrapText="1"/>
    </xf>
    <xf numFmtId="0" fontId="23" fillId="0" borderId="1" xfId="0" applyFont="1" applyBorder="1">
      <alignment vertical="center"/>
    </xf>
    <xf numFmtId="0" fontId="18" fillId="0" borderId="1" xfId="31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18" fillId="0" borderId="1" xfId="31" applyFont="1" applyBorder="1" applyAlignment="1" applyProtection="1">
      <alignment vertical="center" wrapText="1"/>
      <protection locked="0"/>
    </xf>
    <xf numFmtId="0" fontId="18" fillId="0" borderId="1" xfId="31" applyFont="1" applyFill="1" applyBorder="1" applyAlignment="1" applyProtection="1">
      <alignment vertical="center" wrapText="1"/>
      <protection locked="0"/>
    </xf>
    <xf numFmtId="0" fontId="18" fillId="0" borderId="1" xfId="31" applyFont="1" applyBorder="1" applyAlignment="1"/>
    <xf numFmtId="0" fontId="18" fillId="0" borderId="1" xfId="31" applyFont="1" applyBorder="1" applyAlignment="1">
      <alignment horizontal="center"/>
    </xf>
  </cellXfs>
  <cellStyles count="35">
    <cellStyle name="??&amp;O?&amp;H?_x0008__x000f__x0007_?_x0007__x0001__x0001_" xfId="4"/>
    <cellStyle name="0뾍R_x0005_?뾍b_x0005_" xfId="5"/>
    <cellStyle name="¼AU≫?XLS!check_filesche|_x0005_" xfId="6"/>
    <cellStyle name="AeE­ [0]_¡U¾EU￢ A¾COºn±³ " xfId="7"/>
    <cellStyle name="AeE­_¡U¾EU￢ A¾COºn±³ " xfId="8"/>
    <cellStyle name="AÞ¸¶ [0]_¡U¾EU￢ A¾COºn±³ " xfId="9"/>
    <cellStyle name="AÞ¸¶,_x0005__x0014_" xfId="10"/>
    <cellStyle name="AÞ¸¶_¡U¾EU￢ A¾COºn±³ " xfId="11"/>
    <cellStyle name="C￥AØ_¡ßFO AoAUºnºn±³ " xfId="12"/>
    <cellStyle name="Comma [0]_ SG&amp;A Bridge " xfId="13"/>
    <cellStyle name="Comma_ SG&amp;A Bridge " xfId="14"/>
    <cellStyle name="Currency [0]_ SG&amp;A Bridge " xfId="15"/>
    <cellStyle name="Currency_ SG&amp;A Bridge " xfId="16"/>
    <cellStyle name="Currency1" xfId="17"/>
    <cellStyle name="iles|_x0005_h" xfId="18"/>
    <cellStyle name="les" xfId="19"/>
    <cellStyle name="Normal_ SG&amp;A Bridge " xfId="20"/>
    <cellStyle name="R?" xfId="21"/>
    <cellStyle name="sche|_x0005_" xfId="22"/>
    <cellStyle name="XLS'|_x0005_t" xfId="23"/>
    <cellStyle name="뷭?_BOOKSHIP" xfId="24"/>
    <cellStyle name="셈迷?XLS!check_filesche|_x0005_" xfId="25"/>
    <cellStyle name="쉼표 [0]" xfId="2" builtinId="6"/>
    <cellStyle name="스타일 1" xfId="26"/>
    <cellStyle name="스타일 2" xfId="27"/>
    <cellStyle name="콤마 [0]_(울산)자재FLOW " xfId="28"/>
    <cellStyle name="콤마 [0]_Sheet1" xfId="33"/>
    <cellStyle name="콤마,_x0005__x0014_" xfId="29"/>
    <cellStyle name="콤마_(울산)자재FLOW " xfId="30"/>
    <cellStyle name="통화 [0]" xfId="1" builtinId="7"/>
    <cellStyle name="표준" xfId="0" builtinId="0"/>
    <cellStyle name="표준 2" xfId="3"/>
    <cellStyle name="표준_Sheet1" xfId="31"/>
    <cellStyle name="표준_Sheet1_사양 변경 원가 재 분석 rev3" xfId="34"/>
    <cellStyle name="표준_Sheet1_표시기견적(분당36량)" xfId="3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9"/>
  <sheetViews>
    <sheetView workbookViewId="0">
      <selection activeCell="A2" sqref="A2:F19"/>
    </sheetView>
  </sheetViews>
  <sheetFormatPr defaultRowHeight="16.5"/>
  <cols>
    <col min="2" max="2" width="13.5" bestFit="1" customWidth="1"/>
    <col min="3" max="3" width="12.375" bestFit="1" customWidth="1"/>
    <col min="4" max="4" width="10.875" bestFit="1" customWidth="1"/>
    <col min="5" max="5" width="12.375" bestFit="1" customWidth="1"/>
    <col min="6" max="6" width="10.25" customWidth="1"/>
    <col min="7" max="7" width="12.375" bestFit="1" customWidth="1"/>
  </cols>
  <sheetData>
    <row r="2" spans="1:6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6">
      <c r="A3" s="17" t="s">
        <v>0</v>
      </c>
      <c r="B3" s="1" t="s">
        <v>19</v>
      </c>
      <c r="C3" s="4"/>
      <c r="D3" s="4"/>
      <c r="E3" s="4">
        <v>1152000</v>
      </c>
      <c r="F3" s="4"/>
    </row>
    <row r="4" spans="1:6">
      <c r="A4" s="17"/>
      <c r="B4" s="1" t="s">
        <v>20</v>
      </c>
      <c r="C4" s="4"/>
      <c r="D4" s="4">
        <v>800000</v>
      </c>
      <c r="E4" s="4"/>
      <c r="F4" s="4"/>
    </row>
    <row r="5" spans="1:6">
      <c r="A5" s="17"/>
      <c r="B5" s="1" t="s">
        <v>3</v>
      </c>
      <c r="C5" s="4">
        <v>317000</v>
      </c>
      <c r="D5" s="4"/>
      <c r="E5" s="4"/>
      <c r="F5" s="4"/>
    </row>
    <row r="6" spans="1:6">
      <c r="A6" s="17"/>
      <c r="B6" s="1" t="s">
        <v>4</v>
      </c>
      <c r="C6" s="4">
        <v>700000</v>
      </c>
      <c r="D6" s="4"/>
      <c r="E6" s="4"/>
      <c r="F6" s="4"/>
    </row>
    <row r="7" spans="1:6">
      <c r="A7" s="17"/>
      <c r="B7" s="1" t="s">
        <v>5</v>
      </c>
      <c r="C7" s="4">
        <v>220000</v>
      </c>
      <c r="D7" s="4"/>
      <c r="E7" s="4"/>
      <c r="F7" s="4"/>
    </row>
    <row r="8" spans="1:6">
      <c r="A8" s="17"/>
      <c r="B8" s="1" t="s">
        <v>6</v>
      </c>
      <c r="C8" s="4">
        <v>480000</v>
      </c>
      <c r="D8" s="4"/>
      <c r="E8" s="4"/>
      <c r="F8" s="4"/>
    </row>
    <row r="9" spans="1:6">
      <c r="A9" s="17"/>
      <c r="B9" s="1" t="s">
        <v>16</v>
      </c>
      <c r="C9" s="4">
        <v>560000</v>
      </c>
      <c r="D9" s="4"/>
      <c r="E9" s="4"/>
      <c r="F9" s="4"/>
    </row>
    <row r="10" spans="1:6">
      <c r="A10" s="17"/>
      <c r="B10" s="1" t="s">
        <v>7</v>
      </c>
      <c r="C10" s="4">
        <v>370000</v>
      </c>
      <c r="D10" s="4"/>
      <c r="E10" s="4"/>
      <c r="F10" s="4"/>
    </row>
    <row r="11" spans="1:6">
      <c r="A11" s="17"/>
      <c r="B11" s="1" t="s">
        <v>17</v>
      </c>
      <c r="C11" s="4">
        <v>1500000</v>
      </c>
      <c r="D11" s="4"/>
      <c r="E11" s="4"/>
      <c r="F11" s="4"/>
    </row>
    <row r="12" spans="1:6">
      <c r="A12" s="17"/>
      <c r="B12" s="1" t="s">
        <v>14</v>
      </c>
      <c r="C12" s="4">
        <v>480000</v>
      </c>
      <c r="D12" s="4"/>
      <c r="E12" s="4"/>
      <c r="F12" s="4"/>
    </row>
    <row r="13" spans="1:6">
      <c r="A13" s="17"/>
      <c r="B13" s="1" t="s">
        <v>8</v>
      </c>
      <c r="C13" s="4">
        <v>318000</v>
      </c>
      <c r="D13" s="4"/>
      <c r="E13" s="4"/>
      <c r="F13" s="4"/>
    </row>
    <row r="14" spans="1:6">
      <c r="A14" s="17"/>
      <c r="B14" s="1" t="s">
        <v>9</v>
      </c>
      <c r="C14" s="4">
        <v>305000</v>
      </c>
      <c r="D14" s="4"/>
      <c r="E14" s="4"/>
      <c r="F14" s="4"/>
    </row>
    <row r="15" spans="1:6">
      <c r="A15" s="17"/>
      <c r="B15" s="1" t="s">
        <v>10</v>
      </c>
      <c r="C15" s="4">
        <v>321000</v>
      </c>
      <c r="D15" s="4"/>
      <c r="E15" s="4"/>
      <c r="F15" s="4"/>
    </row>
    <row r="16" spans="1:6">
      <c r="A16" s="17"/>
      <c r="B16" s="1" t="s">
        <v>11</v>
      </c>
      <c r="C16" s="4">
        <v>358000</v>
      </c>
      <c r="D16" s="4"/>
      <c r="E16" s="4"/>
      <c r="F16" s="4"/>
    </row>
    <row r="17" spans="1:6">
      <c r="A17" s="17"/>
      <c r="B17" s="1" t="s">
        <v>12</v>
      </c>
      <c r="C17" s="4">
        <v>1500000</v>
      </c>
      <c r="D17" s="4"/>
      <c r="E17" s="4"/>
      <c r="F17" s="4"/>
    </row>
    <row r="18" spans="1:6">
      <c r="A18" s="18"/>
      <c r="B18" s="2" t="s">
        <v>13</v>
      </c>
      <c r="C18" s="4">
        <v>700000</v>
      </c>
      <c r="D18" s="4"/>
      <c r="E18" s="4"/>
      <c r="F18" s="4"/>
    </row>
    <row r="19" spans="1:6">
      <c r="A19" s="3" t="s">
        <v>15</v>
      </c>
      <c r="B19" s="5">
        <f>SUM(C19:F19)</f>
        <v>10081000</v>
      </c>
      <c r="C19" s="4">
        <f>SUM(C3:C18)</f>
        <v>8129000</v>
      </c>
      <c r="D19" s="4">
        <f t="shared" ref="D19:E19" si="0">SUM(D3:D18)</f>
        <v>800000</v>
      </c>
      <c r="E19" s="4">
        <f t="shared" si="0"/>
        <v>1152000</v>
      </c>
      <c r="F19" s="4">
        <f>SUM(F3:F18)</f>
        <v>0</v>
      </c>
    </row>
  </sheetData>
  <mergeCells count="1">
    <mergeCell ref="A3:A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F19"/>
  <sheetViews>
    <sheetView workbookViewId="0">
      <selection activeCell="L16" sqref="L16"/>
    </sheetView>
  </sheetViews>
  <sheetFormatPr defaultRowHeight="16.5"/>
  <cols>
    <col min="2" max="2" width="22.75" customWidth="1"/>
    <col min="3" max="3" width="12.375" bestFit="1" customWidth="1"/>
    <col min="4" max="4" width="10.875" bestFit="1" customWidth="1"/>
    <col min="5" max="6" width="9.75" bestFit="1" customWidth="1"/>
  </cols>
  <sheetData>
    <row r="2" spans="1:6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6">
      <c r="A3" s="17" t="s">
        <v>28</v>
      </c>
      <c r="B3" s="1" t="s">
        <v>19</v>
      </c>
      <c r="C3" s="4"/>
      <c r="D3" s="4"/>
      <c r="E3" s="4">
        <v>75000</v>
      </c>
      <c r="F3" s="4"/>
    </row>
    <row r="4" spans="1:6">
      <c r="A4" s="17"/>
      <c r="B4" s="1" t="s">
        <v>24</v>
      </c>
      <c r="C4" s="4">
        <v>1200000</v>
      </c>
      <c r="D4" s="4">
        <v>435000</v>
      </c>
      <c r="E4" s="4"/>
      <c r="F4" s="4"/>
    </row>
    <row r="5" spans="1:6">
      <c r="A5" s="17"/>
      <c r="B5" s="1" t="s">
        <v>25</v>
      </c>
      <c r="C5" s="4"/>
      <c r="D5" s="4"/>
      <c r="E5" s="4"/>
      <c r="F5" s="4"/>
    </row>
    <row r="6" spans="1:6">
      <c r="A6" s="17"/>
      <c r="B6" s="1" t="s">
        <v>26</v>
      </c>
      <c r="C6" s="4"/>
      <c r="D6" s="4"/>
      <c r="E6" s="4"/>
      <c r="F6" s="4">
        <v>10000</v>
      </c>
    </row>
    <row r="7" spans="1:6">
      <c r="A7" s="17"/>
      <c r="B7" s="1" t="s">
        <v>27</v>
      </c>
      <c r="C7" s="4"/>
      <c r="D7" s="4"/>
      <c r="E7" s="4"/>
      <c r="F7" s="4">
        <v>70000</v>
      </c>
    </row>
    <row r="8" spans="1:6">
      <c r="A8" s="17"/>
      <c r="B8" s="1"/>
      <c r="C8" s="4"/>
      <c r="D8" s="4"/>
      <c r="E8" s="4"/>
      <c r="F8" s="4"/>
    </row>
    <row r="9" spans="1:6">
      <c r="A9" s="17"/>
      <c r="B9" s="1"/>
      <c r="C9" s="4"/>
      <c r="D9" s="4"/>
      <c r="E9" s="4"/>
      <c r="F9" s="4"/>
    </row>
    <row r="10" spans="1:6">
      <c r="A10" s="17"/>
      <c r="B10" s="1"/>
      <c r="C10" s="4"/>
      <c r="D10" s="4"/>
      <c r="E10" s="4"/>
      <c r="F10" s="4"/>
    </row>
    <row r="11" spans="1:6">
      <c r="A11" s="17"/>
      <c r="B11" s="1"/>
      <c r="C11" s="4"/>
      <c r="D11" s="4"/>
      <c r="E11" s="4"/>
      <c r="F11" s="4"/>
    </row>
    <row r="12" spans="1:6">
      <c r="A12" s="17"/>
      <c r="B12" s="1"/>
      <c r="C12" s="4"/>
      <c r="D12" s="4"/>
      <c r="E12" s="4"/>
      <c r="F12" s="4"/>
    </row>
    <row r="13" spans="1:6">
      <c r="A13" s="17"/>
      <c r="B13" s="1"/>
      <c r="C13" s="4"/>
      <c r="D13" s="4"/>
      <c r="E13" s="4"/>
      <c r="F13" s="4"/>
    </row>
    <row r="14" spans="1:6">
      <c r="A14" s="17"/>
      <c r="B14" s="1"/>
      <c r="C14" s="4"/>
      <c r="D14" s="4"/>
      <c r="E14" s="4"/>
      <c r="F14" s="4"/>
    </row>
    <row r="15" spans="1:6">
      <c r="A15" s="17"/>
      <c r="B15" s="1"/>
      <c r="C15" s="4"/>
      <c r="D15" s="4"/>
      <c r="E15" s="4"/>
      <c r="F15" s="4"/>
    </row>
    <row r="16" spans="1:6">
      <c r="A16" s="17"/>
      <c r="B16" s="1"/>
      <c r="C16" s="4"/>
      <c r="D16" s="4"/>
      <c r="E16" s="4"/>
      <c r="F16" s="4"/>
    </row>
    <row r="17" spans="1:6">
      <c r="A17" s="17"/>
      <c r="B17" s="1"/>
      <c r="C17" s="4"/>
      <c r="D17" s="4"/>
      <c r="E17" s="4"/>
      <c r="F17" s="4"/>
    </row>
    <row r="18" spans="1:6">
      <c r="A18" s="18"/>
      <c r="B18" s="2"/>
      <c r="C18" s="4"/>
      <c r="D18" s="4"/>
      <c r="E18" s="4"/>
      <c r="F18" s="4"/>
    </row>
    <row r="19" spans="1:6">
      <c r="A19" s="3" t="s">
        <v>15</v>
      </c>
      <c r="B19" s="5">
        <f>SUM(C19:F19)</f>
        <v>1790000</v>
      </c>
      <c r="C19" s="4">
        <f>SUM(C3:C18)</f>
        <v>1200000</v>
      </c>
      <c r="D19" s="4">
        <f t="shared" ref="D19:E19" si="0">SUM(D3:D18)</f>
        <v>435000</v>
      </c>
      <c r="E19" s="4">
        <f t="shared" si="0"/>
        <v>75000</v>
      </c>
      <c r="F19" s="4">
        <f>SUM(F3:F18)</f>
        <v>80000</v>
      </c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F19"/>
  <sheetViews>
    <sheetView workbookViewId="0">
      <selection activeCell="B7" sqref="B7"/>
    </sheetView>
  </sheetViews>
  <sheetFormatPr defaultRowHeight="16.5"/>
  <cols>
    <col min="2" max="5" width="12.375" bestFit="1" customWidth="1"/>
  </cols>
  <sheetData>
    <row r="2" spans="1:6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6">
      <c r="A3" s="17" t="s">
        <v>0</v>
      </c>
      <c r="B3" s="1" t="s">
        <v>19</v>
      </c>
      <c r="C3" s="4"/>
      <c r="D3" s="4"/>
      <c r="E3" s="4">
        <v>215500</v>
      </c>
      <c r="F3" s="4"/>
    </row>
    <row r="4" spans="1:6">
      <c r="A4" s="17"/>
      <c r="B4" s="1" t="s">
        <v>29</v>
      </c>
      <c r="C4" s="4">
        <v>357000</v>
      </c>
      <c r="D4" s="4"/>
      <c r="E4" s="4"/>
      <c r="F4" s="4"/>
    </row>
    <row r="5" spans="1:6">
      <c r="A5" s="17"/>
      <c r="B5" s="1" t="s">
        <v>30</v>
      </c>
      <c r="C5" s="4">
        <v>177000</v>
      </c>
      <c r="D5" s="4"/>
      <c r="E5" s="4"/>
      <c r="F5" s="4"/>
    </row>
    <row r="6" spans="1:6">
      <c r="A6" s="17"/>
      <c r="B6" s="1" t="s">
        <v>18</v>
      </c>
      <c r="C6" s="4"/>
      <c r="D6" s="4">
        <v>1500000</v>
      </c>
      <c r="E6" s="4"/>
      <c r="F6" s="4"/>
    </row>
    <row r="7" spans="1:6">
      <c r="A7" s="17"/>
      <c r="B7" s="1"/>
      <c r="C7" s="4"/>
      <c r="D7" s="4"/>
      <c r="E7" s="4"/>
      <c r="F7" s="4"/>
    </row>
    <row r="8" spans="1:6">
      <c r="A8" s="17"/>
      <c r="B8" s="1"/>
      <c r="C8" s="4"/>
      <c r="D8" s="4"/>
      <c r="E8" s="4"/>
      <c r="F8" s="4"/>
    </row>
    <row r="9" spans="1:6">
      <c r="A9" s="17"/>
      <c r="B9" s="1"/>
      <c r="C9" s="4"/>
      <c r="D9" s="4"/>
      <c r="E9" s="4"/>
      <c r="F9" s="4"/>
    </row>
    <row r="10" spans="1:6">
      <c r="A10" s="17"/>
      <c r="B10" s="1"/>
      <c r="C10" s="4"/>
      <c r="D10" s="4"/>
      <c r="E10" s="4"/>
      <c r="F10" s="4"/>
    </row>
    <row r="11" spans="1:6">
      <c r="A11" s="17"/>
      <c r="B11" s="1"/>
      <c r="C11" s="4"/>
      <c r="D11" s="4"/>
      <c r="E11" s="4"/>
      <c r="F11" s="4"/>
    </row>
    <row r="12" spans="1:6">
      <c r="A12" s="17"/>
      <c r="B12" s="1"/>
      <c r="C12" s="4"/>
      <c r="D12" s="4"/>
      <c r="E12" s="4"/>
      <c r="F12" s="4"/>
    </row>
    <row r="13" spans="1:6">
      <c r="A13" s="17"/>
      <c r="B13" s="1"/>
      <c r="C13" s="4"/>
      <c r="D13" s="4"/>
      <c r="E13" s="4"/>
      <c r="F13" s="4"/>
    </row>
    <row r="14" spans="1:6">
      <c r="A14" s="17"/>
      <c r="B14" s="1"/>
      <c r="C14" s="4"/>
      <c r="D14" s="4"/>
      <c r="E14" s="4"/>
      <c r="F14" s="4"/>
    </row>
    <row r="15" spans="1:6">
      <c r="A15" s="17"/>
      <c r="B15" s="1"/>
      <c r="C15" s="4"/>
      <c r="D15" s="4"/>
      <c r="E15" s="4"/>
      <c r="F15" s="4"/>
    </row>
    <row r="16" spans="1:6">
      <c r="A16" s="17"/>
      <c r="B16" s="1"/>
      <c r="C16" s="4"/>
      <c r="D16" s="4"/>
      <c r="E16" s="4"/>
      <c r="F16" s="4"/>
    </row>
    <row r="17" spans="1:6">
      <c r="A17" s="17"/>
      <c r="B17" s="1"/>
      <c r="C17" s="4"/>
      <c r="D17" s="4"/>
      <c r="E17" s="4"/>
      <c r="F17" s="4"/>
    </row>
    <row r="18" spans="1:6">
      <c r="A18" s="18"/>
      <c r="B18" s="2"/>
      <c r="C18" s="4"/>
      <c r="D18" s="4"/>
      <c r="E18" s="4"/>
      <c r="F18" s="4"/>
    </row>
    <row r="19" spans="1:6">
      <c r="A19" s="3" t="s">
        <v>15</v>
      </c>
      <c r="B19" s="5">
        <f>SUM(C19:F19)</f>
        <v>2249500</v>
      </c>
      <c r="C19" s="4">
        <f>SUM(C3:C18)</f>
        <v>534000</v>
      </c>
      <c r="D19" s="4">
        <f t="shared" ref="D19:E19" si="0">SUM(D3:D18)</f>
        <v>1500000</v>
      </c>
      <c r="E19" s="4">
        <f t="shared" si="0"/>
        <v>215500</v>
      </c>
      <c r="F19" s="4">
        <f>SUM(F3:F18)</f>
        <v>0</v>
      </c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>
      <selection activeCell="K12" sqref="K12"/>
    </sheetView>
  </sheetViews>
  <sheetFormatPr defaultRowHeight="16.5"/>
  <cols>
    <col min="1" max="1" width="9" style="22"/>
    <col min="2" max="2" width="12.875" style="22" customWidth="1"/>
    <col min="3" max="3" width="13.5" style="22" customWidth="1"/>
    <col min="4" max="4" width="10.875" style="22" bestFit="1" customWidth="1"/>
    <col min="5" max="5" width="10.75" style="22" customWidth="1"/>
    <col min="6" max="6" width="10.875" style="22" bestFit="1" customWidth="1"/>
    <col min="7" max="10" width="9" style="22"/>
    <col min="11" max="11" width="21.75" style="22" bestFit="1" customWidth="1"/>
    <col min="12" max="16384" width="9" style="22"/>
  </cols>
  <sheetData>
    <row r="1" spans="1:7" ht="27" thickBot="1">
      <c r="A1" s="23"/>
      <c r="B1" s="23"/>
      <c r="C1" s="24" t="s">
        <v>75</v>
      </c>
      <c r="D1" s="25" t="s">
        <v>74</v>
      </c>
      <c r="E1" s="25"/>
      <c r="F1" s="23"/>
      <c r="G1" s="23"/>
    </row>
    <row r="2" spans="1:7" ht="17.25" thickTop="1">
      <c r="A2" s="23"/>
      <c r="B2" s="26"/>
      <c r="C2" s="23"/>
      <c r="D2" s="23"/>
      <c r="E2" s="23"/>
      <c r="F2" s="27" t="s">
        <v>58</v>
      </c>
      <c r="G2" s="28" t="s">
        <v>59</v>
      </c>
    </row>
    <row r="3" spans="1:7" ht="17.25">
      <c r="A3" s="29" t="s">
        <v>60</v>
      </c>
      <c r="B3" s="30" t="s">
        <v>61</v>
      </c>
      <c r="C3" s="30" t="s">
        <v>62</v>
      </c>
      <c r="D3" s="30" t="s">
        <v>63</v>
      </c>
      <c r="E3" s="61" t="s">
        <v>64</v>
      </c>
      <c r="F3" s="61" t="s">
        <v>65</v>
      </c>
      <c r="G3" s="30" t="s">
        <v>66</v>
      </c>
    </row>
    <row r="4" spans="1:7">
      <c r="A4" s="30">
        <v>1</v>
      </c>
      <c r="B4" s="31" t="s">
        <v>67</v>
      </c>
      <c r="C4" s="31" t="s">
        <v>76</v>
      </c>
      <c r="D4" s="32">
        <v>1</v>
      </c>
      <c r="E4" s="33">
        <v>650000</v>
      </c>
      <c r="F4" s="34">
        <f t="shared" ref="F4:F5" si="0">D4*E4</f>
        <v>650000</v>
      </c>
      <c r="G4" s="64"/>
    </row>
    <row r="5" spans="1:7">
      <c r="A5" s="30">
        <v>2</v>
      </c>
      <c r="B5" s="35" t="s">
        <v>68</v>
      </c>
      <c r="C5" s="35" t="s">
        <v>77</v>
      </c>
      <c r="D5" s="36">
        <v>1</v>
      </c>
      <c r="E5" s="33">
        <v>570000</v>
      </c>
      <c r="F5" s="34">
        <f t="shared" si="0"/>
        <v>570000</v>
      </c>
      <c r="G5" s="35"/>
    </row>
    <row r="6" spans="1:7">
      <c r="A6" s="30">
        <v>3</v>
      </c>
      <c r="B6" s="35" t="s">
        <v>78</v>
      </c>
      <c r="C6" s="35" t="s">
        <v>76</v>
      </c>
      <c r="D6" s="36">
        <v>1</v>
      </c>
      <c r="E6" s="33">
        <v>140000</v>
      </c>
      <c r="F6" s="34">
        <f>D6*E6</f>
        <v>140000</v>
      </c>
      <c r="G6" s="35"/>
    </row>
    <row r="7" spans="1:7">
      <c r="A7" s="30">
        <v>4</v>
      </c>
      <c r="B7" s="35" t="s">
        <v>69</v>
      </c>
      <c r="C7" s="35" t="s">
        <v>79</v>
      </c>
      <c r="D7" s="36">
        <v>1</v>
      </c>
      <c r="E7" s="33">
        <v>146390</v>
      </c>
      <c r="F7" s="34">
        <f>D7*E7</f>
        <v>146390</v>
      </c>
      <c r="G7" s="35"/>
    </row>
    <row r="8" spans="1:7">
      <c r="A8" s="30">
        <v>5</v>
      </c>
      <c r="B8" s="31" t="s">
        <v>80</v>
      </c>
      <c r="C8" s="59" t="s">
        <v>32</v>
      </c>
      <c r="D8" s="36">
        <v>1</v>
      </c>
      <c r="E8" s="62">
        <v>16100</v>
      </c>
      <c r="F8" s="37">
        <f>D8*E8</f>
        <v>16100</v>
      </c>
      <c r="G8" s="35"/>
    </row>
    <row r="9" spans="1:7">
      <c r="A9" s="30">
        <v>6</v>
      </c>
      <c r="B9" s="60"/>
      <c r="C9" s="59" t="s">
        <v>33</v>
      </c>
      <c r="D9" s="36">
        <v>1</v>
      </c>
      <c r="E9" s="33">
        <v>17780</v>
      </c>
      <c r="F9" s="62">
        <f>D9*E9</f>
        <v>17780</v>
      </c>
      <c r="G9" s="65"/>
    </row>
    <row r="10" spans="1:7">
      <c r="A10" s="30">
        <v>7</v>
      </c>
      <c r="B10" s="35"/>
      <c r="C10" s="60" t="s">
        <v>34</v>
      </c>
      <c r="D10" s="36">
        <v>6</v>
      </c>
      <c r="E10" s="39">
        <v>43000</v>
      </c>
      <c r="F10" s="34">
        <f>D10*E10</f>
        <v>258000</v>
      </c>
      <c r="G10" s="35"/>
    </row>
    <row r="11" spans="1:7">
      <c r="A11" s="30">
        <v>8</v>
      </c>
      <c r="B11" s="31"/>
      <c r="C11" s="1" t="s">
        <v>82</v>
      </c>
      <c r="D11" s="63">
        <v>1</v>
      </c>
      <c r="E11" s="33">
        <v>1000</v>
      </c>
      <c r="F11" s="37">
        <f>D11*E11</f>
        <v>1000</v>
      </c>
      <c r="G11" s="31"/>
    </row>
    <row r="12" spans="1:7">
      <c r="A12" s="30">
        <v>9</v>
      </c>
      <c r="B12" s="38"/>
      <c r="C12" s="31" t="s">
        <v>83</v>
      </c>
      <c r="D12" s="36">
        <v>1</v>
      </c>
      <c r="E12" s="33">
        <v>30000</v>
      </c>
      <c r="F12" s="34">
        <f>D12*E12</f>
        <v>30000</v>
      </c>
      <c r="G12" s="64"/>
    </row>
    <row r="13" spans="1:7">
      <c r="A13" s="30">
        <v>10</v>
      </c>
      <c r="B13" s="31"/>
      <c r="C13" s="31"/>
      <c r="D13" s="32"/>
      <c r="E13" s="39"/>
      <c r="F13" s="37"/>
      <c r="G13" s="31"/>
    </row>
    <row r="14" spans="1:7">
      <c r="A14" s="30">
        <v>11</v>
      </c>
      <c r="B14" s="31"/>
      <c r="C14" s="31"/>
      <c r="D14" s="32"/>
      <c r="E14" s="39"/>
      <c r="F14" s="37">
        <f>D14*E14</f>
        <v>0</v>
      </c>
      <c r="G14" s="31"/>
    </row>
    <row r="15" spans="1:7">
      <c r="A15" s="30">
        <v>12</v>
      </c>
      <c r="B15" s="40"/>
      <c r="C15" s="40"/>
      <c r="D15" s="67"/>
      <c r="E15" s="66"/>
      <c r="F15" s="66"/>
      <c r="G15" s="66"/>
    </row>
    <row r="16" spans="1:7">
      <c r="A16" s="30">
        <v>13</v>
      </c>
      <c r="B16" s="40"/>
      <c r="C16" s="40"/>
      <c r="D16" s="67"/>
      <c r="E16" s="66"/>
      <c r="F16" s="66"/>
      <c r="G16" s="66"/>
    </row>
    <row r="17" spans="1:7">
      <c r="A17" s="30">
        <v>14</v>
      </c>
      <c r="B17" s="31"/>
      <c r="C17" s="31"/>
      <c r="D17" s="32"/>
      <c r="E17" s="39"/>
      <c r="F17" s="37"/>
      <c r="G17" s="31"/>
    </row>
    <row r="18" spans="1:7">
      <c r="A18" s="30">
        <v>15</v>
      </c>
      <c r="B18" s="31"/>
      <c r="C18" s="31"/>
      <c r="D18" s="32"/>
      <c r="E18" s="39"/>
      <c r="F18" s="37">
        <f>D18*E18</f>
        <v>0</v>
      </c>
      <c r="G18" s="31"/>
    </row>
    <row r="19" spans="1:7">
      <c r="A19" s="30">
        <v>16</v>
      </c>
      <c r="B19" s="31"/>
      <c r="C19" s="31"/>
      <c r="D19" s="32"/>
      <c r="E19" s="39"/>
      <c r="F19" s="37">
        <f>D19*E19</f>
        <v>0</v>
      </c>
      <c r="G19" s="31"/>
    </row>
    <row r="20" spans="1:7">
      <c r="A20" s="30">
        <v>17</v>
      </c>
      <c r="B20" s="31"/>
      <c r="C20" s="31"/>
      <c r="D20" s="32"/>
      <c r="E20" s="39"/>
      <c r="F20" s="37">
        <f>D20*E20</f>
        <v>0</v>
      </c>
      <c r="G20" s="31"/>
    </row>
    <row r="21" spans="1:7">
      <c r="A21" s="30">
        <v>18</v>
      </c>
      <c r="B21" s="31"/>
      <c r="C21" s="31"/>
      <c r="D21" s="32"/>
      <c r="E21" s="39"/>
      <c r="F21" s="37">
        <f>D21*E21</f>
        <v>0</v>
      </c>
      <c r="G21" s="31"/>
    </row>
    <row r="22" spans="1:7" ht="17.25">
      <c r="A22" s="41"/>
      <c r="B22" s="42"/>
      <c r="C22" s="43" t="s">
        <v>70</v>
      </c>
      <c r="D22" s="44"/>
      <c r="E22" s="45"/>
      <c r="F22" s="46">
        <f>SUM(F4:F21)</f>
        <v>1829270</v>
      </c>
      <c r="G22" s="31"/>
    </row>
    <row r="23" spans="1:7">
      <c r="A23" s="41"/>
      <c r="B23" s="42"/>
      <c r="C23" s="47" t="s">
        <v>81</v>
      </c>
      <c r="D23" s="44"/>
      <c r="E23" s="45"/>
      <c r="F23" s="37">
        <f>F22*0.05</f>
        <v>91463.5</v>
      </c>
      <c r="G23" s="31"/>
    </row>
    <row r="24" spans="1:7" ht="17.25">
      <c r="A24" s="41"/>
      <c r="B24" s="48"/>
      <c r="C24" s="49" t="s">
        <v>71</v>
      </c>
      <c r="D24" s="48"/>
      <c r="E24" s="50"/>
      <c r="F24" s="46">
        <f>SUM(F22:F23)</f>
        <v>1920733.5</v>
      </c>
      <c r="G24" s="51"/>
    </row>
    <row r="25" spans="1:7" ht="17.25">
      <c r="A25" s="52" t="s">
        <v>72</v>
      </c>
      <c r="B25" s="53"/>
      <c r="C25" s="54"/>
      <c r="D25" s="54"/>
      <c r="E25" s="54"/>
      <c r="F25" s="54"/>
      <c r="G25" s="55"/>
    </row>
    <row r="26" spans="1:7">
      <c r="A26" s="56"/>
      <c r="B26" s="57" t="s">
        <v>73</v>
      </c>
      <c r="C26" s="57"/>
      <c r="D26" s="57"/>
      <c r="E26" s="57"/>
      <c r="F26" s="57"/>
      <c r="G26" s="5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I11" sqref="I11"/>
    </sheetView>
  </sheetViews>
  <sheetFormatPr defaultRowHeight="16.5"/>
  <cols>
    <col min="2" max="2" width="12.375" bestFit="1" customWidth="1"/>
    <col min="3" max="5" width="10.875" bestFit="1" customWidth="1"/>
    <col min="7" max="7" width="5.25" bestFit="1" customWidth="1"/>
  </cols>
  <sheetData>
    <row r="2" spans="1:8">
      <c r="A2" s="7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  <c r="G2" s="7" t="s">
        <v>35</v>
      </c>
      <c r="H2" s="10" t="s">
        <v>36</v>
      </c>
    </row>
    <row r="3" spans="1:8">
      <c r="A3" s="19" t="s">
        <v>40</v>
      </c>
      <c r="B3" s="1" t="s">
        <v>37</v>
      </c>
      <c r="C3" s="4">
        <v>300000</v>
      </c>
      <c r="D3" s="4"/>
      <c r="E3" s="4"/>
      <c r="F3" s="4"/>
      <c r="G3" s="1"/>
    </row>
    <row r="4" spans="1:8">
      <c r="A4" s="19"/>
      <c r="B4" s="1"/>
      <c r="C4" s="4"/>
      <c r="D4" s="4"/>
      <c r="E4" s="4"/>
      <c r="F4" s="4"/>
      <c r="G4" s="1"/>
    </row>
    <row r="5" spans="1:8">
      <c r="A5" s="19"/>
      <c r="B5" s="1"/>
      <c r="C5" s="4"/>
      <c r="D5" s="4"/>
      <c r="E5" s="4"/>
      <c r="F5" s="4"/>
      <c r="G5" s="1"/>
    </row>
    <row r="6" spans="1:8">
      <c r="A6" s="19"/>
      <c r="B6" s="11"/>
      <c r="C6" s="4"/>
      <c r="D6" s="4"/>
      <c r="E6" s="4"/>
      <c r="F6" s="12"/>
      <c r="G6" s="1"/>
    </row>
    <row r="7" spans="1:8">
      <c r="A7" s="19"/>
      <c r="B7" s="11"/>
      <c r="C7" s="4"/>
      <c r="D7" s="4"/>
      <c r="E7" s="4"/>
      <c r="F7" s="12"/>
      <c r="G7" s="1"/>
    </row>
    <row r="8" spans="1:8">
      <c r="A8" s="19"/>
      <c r="B8" s="1"/>
      <c r="C8" s="4"/>
      <c r="D8" s="4"/>
      <c r="E8" s="4"/>
      <c r="F8" s="12"/>
      <c r="G8" s="1"/>
    </row>
    <row r="9" spans="1:8">
      <c r="A9" s="19"/>
      <c r="B9" s="1"/>
      <c r="C9" s="4"/>
      <c r="D9" s="4"/>
      <c r="E9" s="4"/>
      <c r="F9" s="4"/>
      <c r="G9" s="1"/>
    </row>
    <row r="10" spans="1:8">
      <c r="A10" s="19"/>
      <c r="B10" s="1"/>
      <c r="C10" s="4"/>
      <c r="D10" s="4"/>
      <c r="E10" s="4"/>
      <c r="F10" s="4"/>
      <c r="G10" s="1"/>
    </row>
    <row r="11" spans="1:8">
      <c r="A11" s="19"/>
      <c r="B11" s="1"/>
      <c r="C11" s="4"/>
      <c r="D11" s="4"/>
      <c r="E11" s="4"/>
      <c r="F11" s="4"/>
      <c r="G11" s="1"/>
    </row>
    <row r="12" spans="1:8">
      <c r="A12" s="19"/>
      <c r="B12" s="1"/>
      <c r="C12" s="4"/>
      <c r="D12" s="4"/>
      <c r="E12" s="4"/>
      <c r="F12" s="4"/>
      <c r="G12" s="1"/>
    </row>
    <row r="13" spans="1:8">
      <c r="A13" s="19"/>
      <c r="B13" s="1"/>
      <c r="C13" s="4"/>
      <c r="D13" s="4"/>
      <c r="E13" s="4"/>
      <c r="F13" s="4"/>
      <c r="G13" s="1"/>
    </row>
    <row r="14" spans="1:8">
      <c r="A14" s="19"/>
      <c r="B14" s="1"/>
      <c r="C14" s="4"/>
      <c r="D14" s="4"/>
      <c r="E14" s="4"/>
      <c r="F14" s="4"/>
      <c r="G14" s="1"/>
    </row>
    <row r="15" spans="1:8">
      <c r="A15" s="19"/>
      <c r="B15" s="1"/>
      <c r="C15" s="4"/>
      <c r="D15" s="4"/>
      <c r="E15" s="4"/>
      <c r="F15" s="4"/>
      <c r="G15" s="1"/>
    </row>
    <row r="16" spans="1:8">
      <c r="A16" s="19"/>
      <c r="B16" s="1"/>
      <c r="C16" s="4"/>
      <c r="D16" s="4"/>
      <c r="E16" s="4"/>
      <c r="F16" s="4"/>
      <c r="G16" s="1"/>
    </row>
    <row r="17" spans="1:7">
      <c r="A17" s="19"/>
      <c r="B17" s="1"/>
      <c r="C17" s="4"/>
      <c r="D17" s="4"/>
      <c r="E17" s="4"/>
      <c r="F17" s="4"/>
      <c r="G17" s="1"/>
    </row>
    <row r="18" spans="1:7">
      <c r="A18" s="19"/>
      <c r="B18" s="2"/>
      <c r="C18" s="4"/>
      <c r="D18" s="4"/>
      <c r="E18" s="4"/>
      <c r="F18" s="4"/>
      <c r="G18" s="1"/>
    </row>
    <row r="19" spans="1:7">
      <c r="A19" s="3" t="s">
        <v>15</v>
      </c>
      <c r="B19" s="5">
        <f>SUM(C19:F19)</f>
        <v>300000</v>
      </c>
      <c r="C19" s="4">
        <f>SUM(C3:C18)</f>
        <v>300000</v>
      </c>
      <c r="D19" s="4">
        <f t="shared" ref="D19:E19" si="0">SUM(D3:D18)</f>
        <v>0</v>
      </c>
      <c r="E19" s="4">
        <f t="shared" si="0"/>
        <v>0</v>
      </c>
      <c r="F19" s="4">
        <f>SUM(F3:F18)</f>
        <v>0</v>
      </c>
      <c r="G19" s="1"/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E24" sqref="E24"/>
    </sheetView>
  </sheetViews>
  <sheetFormatPr defaultRowHeight="16.5"/>
  <cols>
    <col min="2" max="2" width="19.375" bestFit="1" customWidth="1"/>
    <col min="3" max="6" width="10.875" bestFit="1" customWidth="1"/>
  </cols>
  <sheetData>
    <row r="2" spans="1:8">
      <c r="A2" s="7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  <c r="G2" s="7" t="s">
        <v>35</v>
      </c>
      <c r="H2" s="10" t="s">
        <v>36</v>
      </c>
    </row>
    <row r="3" spans="1:8">
      <c r="A3" s="19" t="s">
        <v>39</v>
      </c>
      <c r="B3" s="1" t="s">
        <v>38</v>
      </c>
      <c r="C3" s="4"/>
      <c r="D3" s="4"/>
      <c r="E3" s="4">
        <v>71000</v>
      </c>
      <c r="F3" s="4"/>
      <c r="G3" s="1"/>
    </row>
    <row r="4" spans="1:8">
      <c r="A4" s="19"/>
      <c r="B4" s="1" t="s">
        <v>33</v>
      </c>
      <c r="C4" s="4"/>
      <c r="D4" s="4"/>
      <c r="E4" s="4"/>
      <c r="F4" s="4">
        <v>4600</v>
      </c>
      <c r="G4" s="1"/>
    </row>
    <row r="5" spans="1:8">
      <c r="A5" s="19"/>
      <c r="B5" s="1" t="s">
        <v>41</v>
      </c>
      <c r="C5" s="4"/>
      <c r="D5" s="4"/>
      <c r="E5" s="4"/>
      <c r="F5" s="4">
        <v>1500</v>
      </c>
      <c r="G5" s="13"/>
    </row>
    <row r="6" spans="1:8">
      <c r="A6" s="19"/>
      <c r="B6" s="1" t="s">
        <v>42</v>
      </c>
      <c r="C6" s="4"/>
      <c r="D6" s="4"/>
      <c r="E6" s="4"/>
      <c r="F6" s="4">
        <v>13000</v>
      </c>
      <c r="G6" s="14"/>
    </row>
    <row r="7" spans="1:8">
      <c r="A7" s="19"/>
      <c r="B7" s="1" t="s">
        <v>43</v>
      </c>
      <c r="C7" s="4"/>
      <c r="D7" s="4"/>
      <c r="E7" s="4"/>
      <c r="F7" s="4">
        <v>4000</v>
      </c>
      <c r="G7" s="13"/>
    </row>
    <row r="8" spans="1:8">
      <c r="A8" s="19"/>
      <c r="B8" s="1"/>
      <c r="C8" s="4"/>
      <c r="D8" s="4"/>
      <c r="E8" s="4"/>
      <c r="F8" s="12"/>
      <c r="G8" s="1"/>
    </row>
    <row r="9" spans="1:8">
      <c r="A9" s="19"/>
      <c r="B9" s="1"/>
      <c r="C9" s="4"/>
      <c r="D9" s="4"/>
      <c r="E9" s="4"/>
      <c r="F9" s="4"/>
      <c r="G9" s="1"/>
    </row>
    <row r="10" spans="1:8">
      <c r="A10" s="19"/>
      <c r="B10" s="1"/>
      <c r="C10" s="4"/>
      <c r="D10" s="4"/>
      <c r="E10" s="4"/>
      <c r="F10" s="4"/>
      <c r="G10" s="1"/>
    </row>
    <row r="11" spans="1:8">
      <c r="A11" s="19"/>
      <c r="B11" s="1"/>
      <c r="C11" s="4"/>
      <c r="D11" s="4"/>
      <c r="E11" s="4"/>
      <c r="F11" s="4"/>
      <c r="G11" s="1"/>
    </row>
    <row r="12" spans="1:8">
      <c r="A12" s="19"/>
      <c r="B12" s="1"/>
      <c r="C12" s="4"/>
      <c r="D12" s="4"/>
      <c r="E12" s="4"/>
      <c r="F12" s="4"/>
      <c r="G12" s="1"/>
    </row>
    <row r="13" spans="1:8">
      <c r="A13" s="19"/>
      <c r="B13" s="1"/>
      <c r="C13" s="4"/>
      <c r="D13" s="4"/>
      <c r="E13" s="4"/>
      <c r="F13" s="4"/>
      <c r="G13" s="1"/>
    </row>
    <row r="14" spans="1:8">
      <c r="A14" s="19"/>
      <c r="B14" s="1"/>
      <c r="C14" s="4"/>
      <c r="D14" s="4"/>
      <c r="E14" s="4"/>
      <c r="F14" s="4"/>
      <c r="G14" s="1"/>
    </row>
    <row r="15" spans="1:8">
      <c r="A15" s="19"/>
      <c r="B15" s="1"/>
      <c r="C15" s="4"/>
      <c r="D15" s="4"/>
      <c r="E15" s="4"/>
      <c r="F15" s="4"/>
      <c r="G15" s="1"/>
    </row>
    <row r="16" spans="1:8">
      <c r="A16" s="19"/>
      <c r="B16" s="1"/>
      <c r="C16" s="4"/>
      <c r="D16" s="4"/>
      <c r="E16" s="4"/>
      <c r="F16" s="4"/>
      <c r="G16" s="1"/>
    </row>
    <row r="17" spans="1:7">
      <c r="A17" s="19"/>
      <c r="B17" s="1"/>
      <c r="C17" s="4"/>
      <c r="D17" s="4"/>
      <c r="E17" s="4"/>
      <c r="F17" s="4"/>
      <c r="G17" s="1"/>
    </row>
    <row r="18" spans="1:7">
      <c r="A18" s="19"/>
      <c r="B18" s="2"/>
      <c r="C18" s="4"/>
      <c r="D18" s="4"/>
      <c r="E18" s="4"/>
      <c r="F18" s="4"/>
      <c r="G18" s="1"/>
    </row>
    <row r="19" spans="1:7">
      <c r="A19" s="3" t="s">
        <v>15</v>
      </c>
      <c r="B19" s="5">
        <f>SUM(C19:F19)</f>
        <v>94100</v>
      </c>
      <c r="C19" s="4">
        <f>SUM(C3:C18)</f>
        <v>0</v>
      </c>
      <c r="D19" s="4">
        <f t="shared" ref="D19:E19" si="0">SUM(D3:D18)</f>
        <v>0</v>
      </c>
      <c r="E19" s="4">
        <f t="shared" si="0"/>
        <v>71000</v>
      </c>
      <c r="F19" s="4">
        <f>SUM(F3:F18)</f>
        <v>23100</v>
      </c>
      <c r="G19" s="1"/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I19"/>
  <sheetViews>
    <sheetView workbookViewId="0">
      <selection activeCell="E22" sqref="E22"/>
    </sheetView>
  </sheetViews>
  <sheetFormatPr defaultRowHeight="16.5"/>
  <cols>
    <col min="2" max="2" width="12.375" bestFit="1" customWidth="1"/>
    <col min="3" max="6" width="10.875" bestFit="1" customWidth="1"/>
  </cols>
  <sheetData>
    <row r="2" spans="1:9">
      <c r="A2" s="7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  <c r="G2" s="7" t="s">
        <v>35</v>
      </c>
      <c r="H2" s="10" t="s">
        <v>36</v>
      </c>
    </row>
    <row r="3" spans="1:9">
      <c r="A3" s="19" t="s">
        <v>31</v>
      </c>
      <c r="B3" s="1" t="s">
        <v>19</v>
      </c>
      <c r="C3" s="4"/>
      <c r="D3" s="4"/>
      <c r="E3" s="4">
        <v>140000</v>
      </c>
      <c r="F3" s="4"/>
      <c r="G3" s="1"/>
    </row>
    <row r="4" spans="1:9">
      <c r="A4" s="19"/>
      <c r="B4" s="1" t="s">
        <v>1</v>
      </c>
      <c r="C4" s="4">
        <v>650000</v>
      </c>
      <c r="D4" s="4"/>
      <c r="E4" s="4"/>
      <c r="F4" s="4"/>
      <c r="G4" s="1"/>
    </row>
    <row r="5" spans="1:9">
      <c r="A5" s="19"/>
      <c r="B5" s="1" t="s">
        <v>22</v>
      </c>
      <c r="C5" s="4"/>
      <c r="D5" s="9">
        <v>489000</v>
      </c>
      <c r="E5" s="4"/>
      <c r="F5" s="4"/>
      <c r="G5" s="1"/>
    </row>
    <row r="6" spans="1:9">
      <c r="A6" s="19"/>
      <c r="B6" s="11" t="s">
        <v>32</v>
      </c>
      <c r="C6" s="4"/>
      <c r="D6" s="4"/>
      <c r="E6" s="4"/>
      <c r="F6" s="12">
        <v>16100</v>
      </c>
      <c r="G6" s="1"/>
      <c r="I6" s="8"/>
    </row>
    <row r="7" spans="1:9">
      <c r="A7" s="19"/>
      <c r="B7" s="11" t="s">
        <v>33</v>
      </c>
      <c r="C7" s="4"/>
      <c r="D7" s="4"/>
      <c r="E7" s="4"/>
      <c r="F7" s="12">
        <v>17780</v>
      </c>
      <c r="G7" s="1"/>
      <c r="I7" s="8"/>
    </row>
    <row r="8" spans="1:9">
      <c r="A8" s="19"/>
      <c r="B8" s="1" t="s">
        <v>34</v>
      </c>
      <c r="C8" s="4"/>
      <c r="D8" s="4"/>
      <c r="E8" s="4"/>
      <c r="F8" s="12">
        <f>G8*H8</f>
        <v>258000</v>
      </c>
      <c r="G8" s="1">
        <v>6</v>
      </c>
      <c r="H8">
        <v>43000</v>
      </c>
    </row>
    <row r="9" spans="1:9">
      <c r="A9" s="19"/>
      <c r="B9" s="1"/>
      <c r="C9" s="4"/>
      <c r="D9" s="4"/>
      <c r="E9" s="4"/>
      <c r="F9" s="4"/>
      <c r="G9" s="1"/>
    </row>
    <row r="10" spans="1:9">
      <c r="A10" s="19"/>
      <c r="B10" s="1"/>
      <c r="C10" s="4"/>
      <c r="D10" s="4"/>
      <c r="E10" s="4"/>
      <c r="F10" s="4"/>
      <c r="G10" s="1"/>
    </row>
    <row r="11" spans="1:9">
      <c r="A11" s="19"/>
      <c r="B11" s="1"/>
      <c r="C11" s="4"/>
      <c r="D11" s="4"/>
      <c r="E11" s="4"/>
      <c r="F11" s="4"/>
      <c r="G11" s="1"/>
    </row>
    <row r="12" spans="1:9">
      <c r="A12" s="19"/>
      <c r="B12" s="1"/>
      <c r="C12" s="4"/>
      <c r="D12" s="4"/>
      <c r="E12" s="4"/>
      <c r="F12" s="4"/>
      <c r="G12" s="1"/>
    </row>
    <row r="13" spans="1:9">
      <c r="A13" s="19"/>
      <c r="B13" s="1"/>
      <c r="C13" s="4"/>
      <c r="D13" s="4"/>
      <c r="E13" s="4"/>
      <c r="F13" s="4"/>
      <c r="G13" s="1"/>
    </row>
    <row r="14" spans="1:9">
      <c r="A14" s="19"/>
      <c r="B14" s="1"/>
      <c r="C14" s="4"/>
      <c r="D14" s="4"/>
      <c r="E14" s="4"/>
      <c r="F14" s="4"/>
      <c r="G14" s="1"/>
    </row>
    <row r="15" spans="1:9">
      <c r="A15" s="19"/>
      <c r="B15" s="1"/>
      <c r="C15" s="4"/>
      <c r="D15" s="4"/>
      <c r="E15" s="4"/>
      <c r="F15" s="4"/>
      <c r="G15" s="1"/>
    </row>
    <row r="16" spans="1:9">
      <c r="A16" s="19"/>
      <c r="B16" s="1"/>
      <c r="C16" s="4"/>
      <c r="D16" s="4"/>
      <c r="E16" s="4"/>
      <c r="F16" s="4"/>
      <c r="G16" s="1"/>
    </row>
    <row r="17" spans="1:7">
      <c r="A17" s="19"/>
      <c r="B17" s="1"/>
      <c r="C17" s="4"/>
      <c r="D17" s="4"/>
      <c r="E17" s="4"/>
      <c r="F17" s="4"/>
      <c r="G17" s="1"/>
    </row>
    <row r="18" spans="1:7">
      <c r="A18" s="19"/>
      <c r="B18" s="2"/>
      <c r="C18" s="4"/>
      <c r="D18" s="4"/>
      <c r="E18" s="4"/>
      <c r="F18" s="4"/>
      <c r="G18" s="1"/>
    </row>
    <row r="19" spans="1:7">
      <c r="A19" s="3" t="s">
        <v>15</v>
      </c>
      <c r="B19" s="5">
        <f>SUM(C19:F19)</f>
        <v>1570880</v>
      </c>
      <c r="C19" s="4">
        <f>SUM(C3:C18)</f>
        <v>650000</v>
      </c>
      <c r="D19" s="4">
        <f t="shared" ref="D19:E19" si="0">SUM(D3:D18)</f>
        <v>489000</v>
      </c>
      <c r="E19" s="4">
        <f t="shared" si="0"/>
        <v>140000</v>
      </c>
      <c r="F19" s="4">
        <f>SUM(F3:F18)</f>
        <v>291880</v>
      </c>
      <c r="G19" s="1"/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I19"/>
  <sheetViews>
    <sheetView workbookViewId="0">
      <selection activeCell="L12" sqref="L12"/>
    </sheetView>
  </sheetViews>
  <sheetFormatPr defaultRowHeight="16.5"/>
  <cols>
    <col min="2" max="2" width="12.375" bestFit="1" customWidth="1"/>
    <col min="3" max="6" width="10.875" bestFit="1" customWidth="1"/>
  </cols>
  <sheetData>
    <row r="2" spans="1:9">
      <c r="A2" s="7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  <c r="G2" s="7" t="s">
        <v>35</v>
      </c>
      <c r="H2" s="10" t="s">
        <v>36</v>
      </c>
    </row>
    <row r="3" spans="1:9">
      <c r="A3" s="19" t="s">
        <v>31</v>
      </c>
      <c r="B3" s="1" t="s">
        <v>19</v>
      </c>
      <c r="C3" s="4"/>
      <c r="D3" s="4"/>
      <c r="E3" s="4">
        <v>160000</v>
      </c>
      <c r="F3" s="4"/>
      <c r="G3" s="1"/>
    </row>
    <row r="4" spans="1:9">
      <c r="A4" s="19"/>
      <c r="B4" s="1" t="s">
        <v>1</v>
      </c>
      <c r="C4" s="4">
        <v>650000</v>
      </c>
      <c r="D4" s="4"/>
      <c r="E4" s="4"/>
      <c r="F4" s="4"/>
      <c r="G4" s="1"/>
    </row>
    <row r="5" spans="1:9">
      <c r="A5" s="19"/>
      <c r="B5" s="1" t="s">
        <v>22</v>
      </c>
      <c r="C5" s="4"/>
      <c r="D5" s="9">
        <v>489000</v>
      </c>
      <c r="E5" s="4"/>
      <c r="F5" s="4"/>
      <c r="G5" s="1"/>
    </row>
    <row r="6" spans="1:9">
      <c r="A6" s="19"/>
      <c r="B6" s="11" t="s">
        <v>32</v>
      </c>
      <c r="C6" s="4"/>
      <c r="D6" s="4"/>
      <c r="E6" s="4"/>
      <c r="F6" s="12">
        <v>16100</v>
      </c>
      <c r="G6" s="1"/>
      <c r="I6" s="8"/>
    </row>
    <row r="7" spans="1:9">
      <c r="A7" s="19"/>
      <c r="B7" s="11" t="s">
        <v>33</v>
      </c>
      <c r="C7" s="4"/>
      <c r="D7" s="4"/>
      <c r="E7" s="4"/>
      <c r="F7" s="12">
        <v>17780</v>
      </c>
      <c r="G7" s="1"/>
      <c r="I7" s="8"/>
    </row>
    <row r="8" spans="1:9">
      <c r="A8" s="19"/>
      <c r="B8" s="1" t="s">
        <v>34</v>
      </c>
      <c r="C8" s="4"/>
      <c r="D8" s="4"/>
      <c r="E8" s="4"/>
      <c r="F8" s="12">
        <f>G8*H8</f>
        <v>258000</v>
      </c>
      <c r="G8" s="1">
        <v>6</v>
      </c>
      <c r="H8">
        <v>43000</v>
      </c>
    </row>
    <row r="9" spans="1:9">
      <c r="A9" s="19"/>
      <c r="B9" s="1"/>
      <c r="C9" s="4"/>
      <c r="D9" s="4"/>
      <c r="E9" s="4"/>
      <c r="F9" s="4"/>
      <c r="G9" s="1"/>
    </row>
    <row r="10" spans="1:9">
      <c r="A10" s="19"/>
      <c r="B10" s="1"/>
      <c r="C10" s="4"/>
      <c r="D10" s="4"/>
      <c r="E10" s="4"/>
      <c r="F10" s="4"/>
      <c r="G10" s="1"/>
    </row>
    <row r="11" spans="1:9">
      <c r="A11" s="19"/>
      <c r="B11" s="1"/>
      <c r="C11" s="4"/>
      <c r="D11" s="4"/>
      <c r="E11" s="4"/>
      <c r="F11" s="4"/>
      <c r="G11" s="1"/>
    </row>
    <row r="12" spans="1:9">
      <c r="A12" s="19"/>
      <c r="B12" s="1"/>
      <c r="C12" s="4"/>
      <c r="D12" s="4"/>
      <c r="E12" s="4"/>
      <c r="F12" s="4"/>
      <c r="G12" s="1"/>
    </row>
    <row r="13" spans="1:9">
      <c r="A13" s="19"/>
      <c r="B13" s="1"/>
      <c r="C13" s="4"/>
      <c r="D13" s="4"/>
      <c r="E13" s="4"/>
      <c r="F13" s="4"/>
      <c r="G13" s="1"/>
    </row>
    <row r="14" spans="1:9">
      <c r="A14" s="19"/>
      <c r="B14" s="1"/>
      <c r="C14" s="4"/>
      <c r="D14" s="4"/>
      <c r="E14" s="4"/>
      <c r="F14" s="4"/>
      <c r="G14" s="1"/>
    </row>
    <row r="15" spans="1:9">
      <c r="A15" s="19"/>
      <c r="B15" s="1"/>
      <c r="C15" s="4"/>
      <c r="D15" s="4"/>
      <c r="E15" s="4"/>
      <c r="F15" s="4"/>
      <c r="G15" s="1"/>
    </row>
    <row r="16" spans="1:9">
      <c r="A16" s="19"/>
      <c r="B16" s="1"/>
      <c r="C16" s="4"/>
      <c r="D16" s="4"/>
      <c r="E16" s="4"/>
      <c r="F16" s="4"/>
      <c r="G16" s="1"/>
    </row>
    <row r="17" spans="1:7">
      <c r="A17" s="19"/>
      <c r="B17" s="1"/>
      <c r="C17" s="4"/>
      <c r="D17" s="4"/>
      <c r="E17" s="4"/>
      <c r="F17" s="4"/>
      <c r="G17" s="1"/>
    </row>
    <row r="18" spans="1:7">
      <c r="A18" s="19"/>
      <c r="B18" s="2"/>
      <c r="C18" s="4"/>
      <c r="D18" s="4"/>
      <c r="E18" s="4"/>
      <c r="F18" s="4"/>
      <c r="G18" s="1"/>
    </row>
    <row r="19" spans="1:7">
      <c r="A19" s="3" t="s">
        <v>15</v>
      </c>
      <c r="B19" s="5">
        <f>SUM(C19:F19)</f>
        <v>1590880</v>
      </c>
      <c r="C19" s="4">
        <f>SUM(C3:C18)</f>
        <v>650000</v>
      </c>
      <c r="D19" s="4">
        <f t="shared" ref="D19:E19" si="0">SUM(D3:D18)</f>
        <v>489000</v>
      </c>
      <c r="E19" s="4">
        <f t="shared" si="0"/>
        <v>160000</v>
      </c>
      <c r="F19" s="4">
        <f>SUM(F3:F18)</f>
        <v>291880</v>
      </c>
      <c r="G19" s="1"/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F22" sqref="F22"/>
    </sheetView>
  </sheetViews>
  <sheetFormatPr defaultRowHeight="16.5"/>
  <cols>
    <col min="2" max="2" width="19.375" bestFit="1" customWidth="1"/>
    <col min="3" max="3" width="9.75" bestFit="1" customWidth="1"/>
    <col min="5" max="6" width="9.75" bestFit="1" customWidth="1"/>
  </cols>
  <sheetData>
    <row r="2" spans="1:8">
      <c r="A2" s="7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  <c r="G2" s="7" t="s">
        <v>35</v>
      </c>
      <c r="H2" s="10" t="s">
        <v>36</v>
      </c>
    </row>
    <row r="3" spans="1:8">
      <c r="A3" s="19" t="s">
        <v>39</v>
      </c>
      <c r="B3" s="1" t="s">
        <v>38</v>
      </c>
      <c r="C3" s="4"/>
      <c r="D3" s="4"/>
      <c r="E3" s="4">
        <v>45000</v>
      </c>
      <c r="F3" s="4"/>
      <c r="G3" s="1"/>
    </row>
    <row r="4" spans="1:8">
      <c r="A4" s="19"/>
      <c r="B4" s="1" t="s">
        <v>33</v>
      </c>
      <c r="C4" s="4"/>
      <c r="D4" s="4"/>
      <c r="E4" s="4"/>
      <c r="F4" s="4">
        <v>4600</v>
      </c>
      <c r="G4" s="1"/>
    </row>
    <row r="5" spans="1:8">
      <c r="A5" s="19"/>
      <c r="B5" s="1" t="s">
        <v>1</v>
      </c>
      <c r="C5" s="4">
        <v>35000</v>
      </c>
      <c r="D5" s="4"/>
      <c r="E5" s="4"/>
      <c r="F5" s="4"/>
      <c r="G5" s="13"/>
    </row>
    <row r="6" spans="1:8">
      <c r="A6" s="19"/>
      <c r="B6" s="1" t="s">
        <v>44</v>
      </c>
      <c r="C6" s="4"/>
      <c r="D6" s="4"/>
      <c r="E6" s="4"/>
      <c r="F6" s="4">
        <v>19500</v>
      </c>
      <c r="G6" s="14"/>
    </row>
    <row r="7" spans="1:8">
      <c r="A7" s="19"/>
      <c r="B7" s="1"/>
      <c r="C7" s="4"/>
      <c r="D7" s="4"/>
      <c r="E7" s="4"/>
      <c r="F7" s="4"/>
      <c r="G7" s="13"/>
    </row>
    <row r="8" spans="1:8">
      <c r="A8" s="19"/>
      <c r="B8" s="1"/>
      <c r="C8" s="4"/>
      <c r="D8" s="4"/>
      <c r="E8" s="4"/>
      <c r="F8" s="12"/>
      <c r="G8" s="1"/>
    </row>
    <row r="9" spans="1:8">
      <c r="A9" s="19"/>
      <c r="B9" s="1"/>
      <c r="C9" s="4"/>
      <c r="D9" s="4"/>
      <c r="E9" s="4"/>
      <c r="F9" s="4"/>
      <c r="G9" s="1"/>
    </row>
    <row r="10" spans="1:8">
      <c r="A10" s="19"/>
      <c r="B10" s="1"/>
      <c r="C10" s="4"/>
      <c r="D10" s="4"/>
      <c r="E10" s="4"/>
      <c r="F10" s="4"/>
      <c r="G10" s="1"/>
    </row>
    <row r="11" spans="1:8">
      <c r="A11" s="19"/>
      <c r="B11" s="1"/>
      <c r="C11" s="4"/>
      <c r="D11" s="4"/>
      <c r="E11" s="4"/>
      <c r="F11" s="4"/>
      <c r="G11" s="1"/>
    </row>
    <row r="12" spans="1:8">
      <c r="A12" s="19"/>
      <c r="B12" s="1"/>
      <c r="C12" s="4"/>
      <c r="D12" s="4"/>
      <c r="E12" s="4"/>
      <c r="F12" s="4"/>
      <c r="G12" s="1"/>
    </row>
    <row r="13" spans="1:8">
      <c r="A13" s="19"/>
      <c r="B13" s="1"/>
      <c r="C13" s="4"/>
      <c r="D13" s="4"/>
      <c r="E13" s="4"/>
      <c r="F13" s="4"/>
      <c r="G13" s="1"/>
    </row>
    <row r="14" spans="1:8">
      <c r="A14" s="19"/>
      <c r="B14" s="1"/>
      <c r="C14" s="4"/>
      <c r="D14" s="4"/>
      <c r="E14" s="4"/>
      <c r="F14" s="4"/>
      <c r="G14" s="1"/>
    </row>
    <row r="15" spans="1:8">
      <c r="A15" s="19"/>
      <c r="B15" s="1"/>
      <c r="C15" s="4"/>
      <c r="D15" s="4"/>
      <c r="E15" s="4"/>
      <c r="F15" s="4"/>
      <c r="G15" s="1"/>
    </row>
    <row r="16" spans="1:8">
      <c r="A16" s="19"/>
      <c r="B16" s="1"/>
      <c r="C16" s="4"/>
      <c r="D16" s="4"/>
      <c r="E16" s="4"/>
      <c r="F16" s="4"/>
      <c r="G16" s="1"/>
    </row>
    <row r="17" spans="1:7">
      <c r="A17" s="19"/>
      <c r="B17" s="1"/>
      <c r="C17" s="4"/>
      <c r="D17" s="4"/>
      <c r="E17" s="4"/>
      <c r="F17" s="4"/>
      <c r="G17" s="1"/>
    </row>
    <row r="18" spans="1:7">
      <c r="A18" s="19"/>
      <c r="B18" s="2"/>
      <c r="C18" s="4"/>
      <c r="D18" s="4"/>
      <c r="E18" s="4"/>
      <c r="F18" s="4"/>
      <c r="G18" s="1"/>
    </row>
    <row r="19" spans="1:7">
      <c r="A19" s="3" t="s">
        <v>15</v>
      </c>
      <c r="B19" s="5">
        <f>SUM(C19:F19)</f>
        <v>104100</v>
      </c>
      <c r="C19" s="4">
        <f>SUM(C3:C18)</f>
        <v>35000</v>
      </c>
      <c r="D19" s="4">
        <f t="shared" ref="D19:E19" si="0">SUM(D3:D18)</f>
        <v>0</v>
      </c>
      <c r="E19" s="4">
        <f t="shared" si="0"/>
        <v>45000</v>
      </c>
      <c r="F19" s="4">
        <f>SUM(F3:F18)</f>
        <v>24100</v>
      </c>
      <c r="G19" s="1"/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G20"/>
  <sheetViews>
    <sheetView workbookViewId="0">
      <selection activeCell="H28" sqref="H28"/>
    </sheetView>
  </sheetViews>
  <sheetFormatPr defaultRowHeight="16.5"/>
  <cols>
    <col min="5" max="5" width="9.75" bestFit="1" customWidth="1"/>
  </cols>
  <sheetData>
    <row r="3" spans="1:7">
      <c r="A3" s="7"/>
      <c r="B3" s="7" t="s">
        <v>21</v>
      </c>
      <c r="C3" s="7" t="s">
        <v>1</v>
      </c>
      <c r="D3" s="7" t="s">
        <v>22</v>
      </c>
      <c r="E3" s="7" t="s">
        <v>19</v>
      </c>
      <c r="F3" s="7" t="s">
        <v>23</v>
      </c>
      <c r="G3" s="7" t="s">
        <v>35</v>
      </c>
    </row>
    <row r="4" spans="1:7">
      <c r="A4" s="19" t="s">
        <v>39</v>
      </c>
      <c r="B4" s="1" t="s">
        <v>38</v>
      </c>
      <c r="C4" s="4"/>
      <c r="D4" s="4"/>
      <c r="E4" s="4">
        <v>44100</v>
      </c>
      <c r="F4" s="4"/>
      <c r="G4" s="1"/>
    </row>
    <row r="5" spans="1:7">
      <c r="A5" s="19"/>
      <c r="B5" s="1" t="s">
        <v>33</v>
      </c>
      <c r="C5" s="4"/>
      <c r="D5" s="4"/>
      <c r="E5" s="4"/>
      <c r="F5" s="4">
        <v>4600</v>
      </c>
      <c r="G5" s="1"/>
    </row>
    <row r="6" spans="1:7">
      <c r="A6" s="19"/>
      <c r="B6" s="1" t="s">
        <v>1</v>
      </c>
      <c r="C6" s="4">
        <v>35000</v>
      </c>
      <c r="D6" s="4"/>
      <c r="E6" s="4"/>
      <c r="F6" s="4"/>
      <c r="G6" s="13"/>
    </row>
    <row r="7" spans="1:7">
      <c r="A7" s="19"/>
      <c r="B7" s="1" t="s">
        <v>45</v>
      </c>
      <c r="C7" s="4"/>
      <c r="D7" s="4"/>
      <c r="E7" s="4"/>
      <c r="F7" s="4">
        <v>1500</v>
      </c>
      <c r="G7" s="14"/>
    </row>
    <row r="8" spans="1:7">
      <c r="A8" s="19"/>
      <c r="B8" s="1"/>
      <c r="C8" s="1"/>
      <c r="D8" s="1"/>
      <c r="E8" s="1"/>
      <c r="F8" s="1"/>
      <c r="G8" s="13"/>
    </row>
    <row r="9" spans="1:7">
      <c r="A9" s="19"/>
      <c r="B9" s="1"/>
      <c r="C9" s="4"/>
      <c r="D9" s="4"/>
      <c r="E9" s="4"/>
      <c r="F9" s="12"/>
      <c r="G9" s="1"/>
    </row>
    <row r="10" spans="1:7">
      <c r="A10" s="19"/>
      <c r="B10" s="1"/>
      <c r="C10" s="4"/>
      <c r="D10" s="4"/>
      <c r="E10" s="4"/>
      <c r="F10" s="4"/>
      <c r="G10" s="1"/>
    </row>
    <row r="11" spans="1:7">
      <c r="A11" s="19"/>
      <c r="B11" s="1"/>
      <c r="C11" s="4"/>
      <c r="D11" s="4"/>
      <c r="E11" s="4"/>
      <c r="F11" s="4"/>
      <c r="G11" s="1"/>
    </row>
    <row r="12" spans="1:7">
      <c r="A12" s="19"/>
      <c r="B12" s="1"/>
      <c r="C12" s="4"/>
      <c r="D12" s="4"/>
      <c r="E12" s="4"/>
      <c r="F12" s="4"/>
      <c r="G12" s="1"/>
    </row>
    <row r="13" spans="1:7">
      <c r="A13" s="19"/>
      <c r="B13" s="1"/>
      <c r="C13" s="4"/>
      <c r="D13" s="4"/>
      <c r="E13" s="4"/>
      <c r="F13" s="4"/>
      <c r="G13" s="1"/>
    </row>
    <row r="14" spans="1:7">
      <c r="A14" s="19"/>
      <c r="B14" s="1"/>
      <c r="C14" s="4"/>
      <c r="D14" s="4"/>
      <c r="E14" s="4"/>
      <c r="F14" s="4"/>
      <c r="G14" s="1"/>
    </row>
    <row r="15" spans="1:7">
      <c r="A15" s="19"/>
      <c r="B15" s="1"/>
      <c r="C15" s="4"/>
      <c r="D15" s="4"/>
      <c r="E15" s="4"/>
      <c r="F15" s="4"/>
      <c r="G15" s="1"/>
    </row>
    <row r="16" spans="1:7">
      <c r="A16" s="19"/>
      <c r="B16" s="1"/>
      <c r="C16" s="4"/>
      <c r="D16" s="4"/>
      <c r="E16" s="4"/>
      <c r="F16" s="4"/>
      <c r="G16" s="1"/>
    </row>
    <row r="17" spans="1:7">
      <c r="A17" s="19"/>
      <c r="B17" s="1"/>
      <c r="C17" s="4"/>
      <c r="D17" s="4"/>
      <c r="E17" s="4"/>
      <c r="F17" s="4"/>
      <c r="G17" s="1"/>
    </row>
    <row r="18" spans="1:7">
      <c r="A18" s="19"/>
      <c r="B18" s="1"/>
      <c r="C18" s="4"/>
      <c r="D18" s="4"/>
      <c r="E18" s="4"/>
      <c r="F18" s="4"/>
      <c r="G18" s="1"/>
    </row>
    <row r="19" spans="1:7">
      <c r="A19" s="19"/>
      <c r="B19" s="2"/>
      <c r="C19" s="4"/>
      <c r="D19" s="4"/>
      <c r="E19" s="4"/>
      <c r="F19" s="4"/>
      <c r="G19" s="1"/>
    </row>
    <row r="20" spans="1:7">
      <c r="A20" s="3" t="s">
        <v>15</v>
      </c>
      <c r="B20" s="5">
        <f>SUM(C20:F20)</f>
        <v>85200</v>
      </c>
      <c r="C20" s="4">
        <f>SUM(C4:C19)</f>
        <v>35000</v>
      </c>
      <c r="D20" s="4">
        <f t="shared" ref="D20:E20" si="0">SUM(D4:D19)</f>
        <v>0</v>
      </c>
      <c r="E20" s="4">
        <f t="shared" si="0"/>
        <v>44100</v>
      </c>
      <c r="F20" s="4">
        <f>SUM(F4:F19)</f>
        <v>6100</v>
      </c>
      <c r="G20" s="1"/>
    </row>
  </sheetData>
  <mergeCells count="1">
    <mergeCell ref="A4:A19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G19"/>
  <sheetViews>
    <sheetView workbookViewId="0">
      <selection activeCell="A3" sqref="A3:G19"/>
    </sheetView>
  </sheetViews>
  <sheetFormatPr defaultRowHeight="16.5"/>
  <cols>
    <col min="5" max="6" width="9.75" bestFit="1" customWidth="1"/>
  </cols>
  <sheetData>
    <row r="3" spans="1:7">
      <c r="A3" s="7"/>
      <c r="B3" s="7" t="s">
        <v>21</v>
      </c>
      <c r="C3" s="7" t="s">
        <v>1</v>
      </c>
      <c r="D3" s="7" t="s">
        <v>22</v>
      </c>
      <c r="E3" s="7" t="s">
        <v>19</v>
      </c>
      <c r="F3" s="7" t="s">
        <v>23</v>
      </c>
      <c r="G3" s="7" t="s">
        <v>35</v>
      </c>
    </row>
    <row r="4" spans="1:7">
      <c r="A4" s="19" t="s">
        <v>39</v>
      </c>
      <c r="B4" s="1" t="s">
        <v>38</v>
      </c>
      <c r="C4" s="4"/>
      <c r="D4" s="4"/>
      <c r="E4" s="4">
        <v>11000</v>
      </c>
      <c r="F4" s="4"/>
      <c r="G4" s="1"/>
    </row>
    <row r="5" spans="1:7">
      <c r="A5" s="19"/>
      <c r="B5" s="1" t="s">
        <v>1</v>
      </c>
      <c r="C5" s="4">
        <v>35000</v>
      </c>
      <c r="D5" s="4"/>
      <c r="E5" s="4"/>
      <c r="F5" s="4"/>
      <c r="G5" s="13"/>
    </row>
    <row r="6" spans="1:7">
      <c r="A6" s="19"/>
      <c r="B6" s="1" t="s">
        <v>44</v>
      </c>
      <c r="C6" s="4"/>
      <c r="D6" s="4"/>
      <c r="E6" s="4"/>
      <c r="F6" s="4">
        <v>19500</v>
      </c>
      <c r="G6" s="14"/>
    </row>
    <row r="7" spans="1:7">
      <c r="A7" s="19"/>
      <c r="B7" s="1"/>
      <c r="C7" s="1"/>
      <c r="D7" s="1"/>
      <c r="E7" s="1"/>
      <c r="F7" s="1"/>
      <c r="G7" s="13"/>
    </row>
    <row r="8" spans="1:7">
      <c r="A8" s="19"/>
      <c r="B8" s="1"/>
      <c r="C8" s="4"/>
      <c r="D8" s="4"/>
      <c r="E8" s="4"/>
      <c r="F8" s="12"/>
      <c r="G8" s="1"/>
    </row>
    <row r="9" spans="1:7">
      <c r="A9" s="19"/>
      <c r="B9" s="1"/>
      <c r="C9" s="4"/>
      <c r="D9" s="4"/>
      <c r="E9" s="4"/>
      <c r="F9" s="4"/>
      <c r="G9" s="1"/>
    </row>
    <row r="10" spans="1:7">
      <c r="A10" s="19"/>
      <c r="B10" s="1"/>
      <c r="C10" s="4"/>
      <c r="D10" s="4"/>
      <c r="E10" s="4"/>
      <c r="F10" s="4"/>
      <c r="G10" s="1"/>
    </row>
    <row r="11" spans="1:7">
      <c r="A11" s="19"/>
      <c r="B11" s="1"/>
      <c r="C11" s="4"/>
      <c r="D11" s="4"/>
      <c r="E11" s="4"/>
      <c r="F11" s="4"/>
      <c r="G11" s="1"/>
    </row>
    <row r="12" spans="1:7">
      <c r="A12" s="19"/>
      <c r="B12" s="1"/>
      <c r="C12" s="4"/>
      <c r="D12" s="4"/>
      <c r="E12" s="4"/>
      <c r="F12" s="4"/>
      <c r="G12" s="1"/>
    </row>
    <row r="13" spans="1:7">
      <c r="A13" s="19"/>
      <c r="B13" s="1"/>
      <c r="C13" s="4"/>
      <c r="D13" s="4"/>
      <c r="E13" s="4"/>
      <c r="F13" s="4"/>
      <c r="G13" s="1"/>
    </row>
    <row r="14" spans="1:7">
      <c r="A14" s="19"/>
      <c r="B14" s="1"/>
      <c r="C14" s="4"/>
      <c r="D14" s="4"/>
      <c r="E14" s="4"/>
      <c r="F14" s="4"/>
      <c r="G14" s="1"/>
    </row>
    <row r="15" spans="1:7">
      <c r="A15" s="19"/>
      <c r="B15" s="1"/>
      <c r="C15" s="4"/>
      <c r="D15" s="4"/>
      <c r="E15" s="4"/>
      <c r="F15" s="4"/>
      <c r="G15" s="1"/>
    </row>
    <row r="16" spans="1:7">
      <c r="A16" s="19"/>
      <c r="B16" s="1"/>
      <c r="C16" s="4"/>
      <c r="D16" s="4"/>
      <c r="E16" s="4"/>
      <c r="F16" s="4"/>
      <c r="G16" s="1"/>
    </row>
    <row r="17" spans="1:7">
      <c r="A17" s="19"/>
      <c r="B17" s="1"/>
      <c r="C17" s="4"/>
      <c r="D17" s="4"/>
      <c r="E17" s="4"/>
      <c r="F17" s="4"/>
      <c r="G17" s="1"/>
    </row>
    <row r="18" spans="1:7">
      <c r="A18" s="19"/>
      <c r="B18" s="2"/>
      <c r="C18" s="4"/>
      <c r="D18" s="4"/>
      <c r="E18" s="4"/>
      <c r="F18" s="4"/>
      <c r="G18" s="1"/>
    </row>
    <row r="19" spans="1:7">
      <c r="A19" s="3" t="s">
        <v>15</v>
      </c>
      <c r="B19" s="5">
        <f>SUM(C19:F19)</f>
        <v>65500</v>
      </c>
      <c r="C19" s="4">
        <f>SUM(C4:C18)</f>
        <v>35000</v>
      </c>
      <c r="D19" s="4">
        <f t="shared" ref="D19:E19" si="0">SUM(D4:D18)</f>
        <v>0</v>
      </c>
      <c r="E19" s="4">
        <f t="shared" si="0"/>
        <v>11000</v>
      </c>
      <c r="F19" s="4">
        <f>SUM(F4:F18)</f>
        <v>19500</v>
      </c>
      <c r="G19" s="1"/>
    </row>
  </sheetData>
  <mergeCells count="1">
    <mergeCell ref="A4:A18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G18"/>
  <sheetViews>
    <sheetView workbookViewId="0">
      <selection activeCell="K11" sqref="K11"/>
    </sheetView>
  </sheetViews>
  <sheetFormatPr defaultRowHeight="16.5"/>
  <cols>
    <col min="2" max="2" width="15.125" bestFit="1" customWidth="1"/>
  </cols>
  <sheetData>
    <row r="2" spans="1:7">
      <c r="A2" s="7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  <c r="G2" s="7" t="s">
        <v>35</v>
      </c>
    </row>
    <row r="3" spans="1:7">
      <c r="A3" s="19" t="s">
        <v>39</v>
      </c>
      <c r="B3" s="1" t="s">
        <v>46</v>
      </c>
      <c r="C3" s="4"/>
      <c r="D3" s="4"/>
      <c r="E3" s="4">
        <v>8000</v>
      </c>
      <c r="F3" s="4"/>
      <c r="G3" s="1"/>
    </row>
    <row r="4" spans="1:7">
      <c r="A4" s="19"/>
      <c r="B4" s="1" t="s">
        <v>47</v>
      </c>
      <c r="C4" s="4"/>
      <c r="D4" s="4"/>
      <c r="E4" s="4"/>
      <c r="F4" s="4">
        <v>2000</v>
      </c>
      <c r="G4" s="13"/>
    </row>
    <row r="5" spans="1:7">
      <c r="A5" s="19"/>
      <c r="B5" s="1"/>
      <c r="C5" s="4"/>
      <c r="D5" s="4"/>
      <c r="E5" s="4"/>
      <c r="F5" s="4"/>
      <c r="G5" s="14"/>
    </row>
    <row r="6" spans="1:7">
      <c r="A6" s="19"/>
      <c r="B6" s="1"/>
      <c r="C6" s="1"/>
      <c r="D6" s="1"/>
      <c r="E6" s="1"/>
      <c r="F6" s="1"/>
      <c r="G6" s="13"/>
    </row>
    <row r="7" spans="1:7">
      <c r="A7" s="19"/>
      <c r="B7" s="1"/>
      <c r="C7" s="4"/>
      <c r="D7" s="4"/>
      <c r="E7" s="4"/>
      <c r="F7" s="12"/>
      <c r="G7" s="1"/>
    </row>
    <row r="8" spans="1:7">
      <c r="A8" s="19"/>
      <c r="B8" s="1"/>
      <c r="C8" s="4"/>
      <c r="D8" s="4"/>
      <c r="E8" s="4"/>
      <c r="F8" s="4"/>
      <c r="G8" s="1"/>
    </row>
    <row r="9" spans="1:7">
      <c r="A9" s="19"/>
      <c r="B9" s="1"/>
      <c r="C9" s="4"/>
      <c r="D9" s="4"/>
      <c r="E9" s="4"/>
      <c r="F9" s="4"/>
      <c r="G9" s="1"/>
    </row>
    <row r="10" spans="1:7">
      <c r="A10" s="19"/>
      <c r="B10" s="1"/>
      <c r="C10" s="4"/>
      <c r="D10" s="4"/>
      <c r="E10" s="4"/>
      <c r="F10" s="4"/>
      <c r="G10" s="1"/>
    </row>
    <row r="11" spans="1:7">
      <c r="A11" s="19"/>
      <c r="B11" s="1"/>
      <c r="C11" s="4"/>
      <c r="D11" s="4"/>
      <c r="E11" s="4"/>
      <c r="F11" s="4"/>
      <c r="G11" s="1"/>
    </row>
    <row r="12" spans="1:7">
      <c r="A12" s="19"/>
      <c r="B12" s="1"/>
      <c r="C12" s="4"/>
      <c r="D12" s="4"/>
      <c r="E12" s="4"/>
      <c r="F12" s="4"/>
      <c r="G12" s="1"/>
    </row>
    <row r="13" spans="1:7">
      <c r="A13" s="19"/>
      <c r="B13" s="1"/>
      <c r="C13" s="4"/>
      <c r="D13" s="4"/>
      <c r="E13" s="4"/>
      <c r="F13" s="4"/>
      <c r="G13" s="1"/>
    </row>
    <row r="14" spans="1:7">
      <c r="A14" s="19"/>
      <c r="B14" s="1"/>
      <c r="C14" s="4"/>
      <c r="D14" s="4"/>
      <c r="E14" s="4"/>
      <c r="F14" s="4"/>
      <c r="G14" s="1"/>
    </row>
    <row r="15" spans="1:7">
      <c r="A15" s="19"/>
      <c r="B15" s="1"/>
      <c r="C15" s="4"/>
      <c r="D15" s="4"/>
      <c r="E15" s="4"/>
      <c r="F15" s="4"/>
      <c r="G15" s="1"/>
    </row>
    <row r="16" spans="1:7">
      <c r="A16" s="19"/>
      <c r="B16" s="1"/>
      <c r="C16" s="4"/>
      <c r="D16" s="4"/>
      <c r="E16" s="4"/>
      <c r="F16" s="4"/>
      <c r="G16" s="1"/>
    </row>
    <row r="17" spans="1:7">
      <c r="A17" s="19"/>
      <c r="B17" s="2"/>
      <c r="C17" s="4"/>
      <c r="D17" s="4"/>
      <c r="E17" s="4"/>
      <c r="F17" s="4"/>
      <c r="G17" s="1"/>
    </row>
    <row r="18" spans="1:7">
      <c r="A18" s="3" t="s">
        <v>15</v>
      </c>
      <c r="B18" s="5">
        <f>SUM(C18:F18)</f>
        <v>10000</v>
      </c>
      <c r="C18" s="4">
        <f>SUM(C3:C17)</f>
        <v>0</v>
      </c>
      <c r="D18" s="4">
        <f t="shared" ref="D18:E18" si="0">SUM(D3:D17)</f>
        <v>0</v>
      </c>
      <c r="E18" s="4">
        <f t="shared" si="0"/>
        <v>8000</v>
      </c>
      <c r="F18" s="4">
        <f>SUM(F3:F17)</f>
        <v>2000</v>
      </c>
      <c r="G18" s="1"/>
    </row>
  </sheetData>
  <mergeCells count="1">
    <mergeCell ref="A3:A17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A2" sqref="A2:H19"/>
    </sheetView>
  </sheetViews>
  <sheetFormatPr defaultRowHeight="16.5"/>
  <cols>
    <col min="2" max="2" width="20.375" bestFit="1" customWidth="1"/>
    <col min="3" max="3" width="12.375" bestFit="1" customWidth="1"/>
    <col min="4" max="4" width="10.875" bestFit="1" customWidth="1"/>
    <col min="5" max="5" width="12.375" bestFit="1" customWidth="1"/>
    <col min="6" max="6" width="10.875" bestFit="1" customWidth="1"/>
    <col min="8" max="8" width="10.875" bestFit="1" customWidth="1"/>
  </cols>
  <sheetData>
    <row r="2" spans="1:8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8">
      <c r="A3" s="17" t="s">
        <v>0</v>
      </c>
      <c r="B3" s="1" t="s">
        <v>19</v>
      </c>
      <c r="C3" s="4"/>
      <c r="D3" s="4"/>
      <c r="E3" s="4">
        <v>114000</v>
      </c>
      <c r="F3" s="4"/>
    </row>
    <row r="4" spans="1:8">
      <c r="A4" s="17"/>
      <c r="B4" s="1" t="s">
        <v>48</v>
      </c>
      <c r="C4" s="4">
        <v>12000</v>
      </c>
      <c r="D4" s="4"/>
      <c r="F4" s="4"/>
    </row>
    <row r="5" spans="1:8">
      <c r="A5" s="17"/>
      <c r="B5" s="1" t="s">
        <v>1</v>
      </c>
      <c r="C5" s="4">
        <v>160000</v>
      </c>
      <c r="D5" s="4"/>
      <c r="E5" s="4"/>
      <c r="F5" s="4"/>
    </row>
    <row r="6" spans="1:8">
      <c r="A6" s="17"/>
      <c r="B6" s="1" t="s">
        <v>2</v>
      </c>
      <c r="C6" s="4"/>
      <c r="D6" s="4">
        <v>666040</v>
      </c>
      <c r="E6" s="4"/>
      <c r="F6" s="4"/>
    </row>
    <row r="7" spans="1:8">
      <c r="A7" s="17"/>
      <c r="B7" s="1" t="s">
        <v>49</v>
      </c>
      <c r="C7" s="4"/>
      <c r="D7" s="4"/>
      <c r="E7" s="4"/>
      <c r="F7" s="4">
        <f>G7*H7</f>
        <v>430000</v>
      </c>
      <c r="G7">
        <v>10</v>
      </c>
      <c r="H7" s="15">
        <v>43000</v>
      </c>
    </row>
    <row r="8" spans="1:8">
      <c r="A8" s="17"/>
      <c r="B8" s="1" t="s">
        <v>50</v>
      </c>
      <c r="C8" s="4"/>
      <c r="D8" s="4"/>
      <c r="E8" s="4"/>
      <c r="F8" s="4">
        <f>G8*H8</f>
        <v>346000</v>
      </c>
      <c r="G8">
        <v>2</v>
      </c>
      <c r="H8" s="15">
        <v>173000</v>
      </c>
    </row>
    <row r="9" spans="1:8">
      <c r="A9" s="17"/>
      <c r="B9" s="1"/>
      <c r="C9" s="4"/>
      <c r="D9" s="4"/>
      <c r="E9" s="4"/>
      <c r="F9" s="4"/>
    </row>
    <row r="10" spans="1:8">
      <c r="A10" s="17"/>
      <c r="B10" s="1"/>
      <c r="C10" s="4"/>
      <c r="D10" s="4"/>
      <c r="E10" s="4"/>
      <c r="F10" s="4"/>
    </row>
    <row r="11" spans="1:8">
      <c r="A11" s="17"/>
      <c r="B11" s="1"/>
      <c r="C11" s="4"/>
      <c r="D11" s="4"/>
      <c r="E11" s="4"/>
      <c r="F11" s="4"/>
    </row>
    <row r="12" spans="1:8">
      <c r="A12" s="17"/>
      <c r="B12" s="1"/>
      <c r="C12" s="4"/>
      <c r="D12" s="4"/>
      <c r="E12" s="4"/>
      <c r="F12" s="4"/>
    </row>
    <row r="13" spans="1:8">
      <c r="A13" s="17"/>
      <c r="B13" s="1"/>
      <c r="C13" s="4"/>
      <c r="D13" s="4"/>
      <c r="E13" s="4"/>
      <c r="F13" s="4"/>
    </row>
    <row r="14" spans="1:8">
      <c r="A14" s="17"/>
      <c r="B14" s="1"/>
      <c r="C14" s="4"/>
      <c r="D14" s="4"/>
      <c r="E14" s="4"/>
      <c r="F14" s="4"/>
    </row>
    <row r="15" spans="1:8">
      <c r="A15" s="17"/>
      <c r="B15" s="1"/>
      <c r="C15" s="4"/>
      <c r="D15" s="4"/>
      <c r="E15" s="4"/>
      <c r="F15" s="4"/>
    </row>
    <row r="16" spans="1:8">
      <c r="A16" s="17"/>
      <c r="B16" s="1"/>
      <c r="C16" s="4"/>
      <c r="D16" s="4"/>
      <c r="E16" s="4"/>
      <c r="F16" s="4"/>
    </row>
    <row r="17" spans="1:6">
      <c r="A17" s="17"/>
      <c r="B17" s="1"/>
      <c r="C17" s="4"/>
      <c r="D17" s="4"/>
      <c r="E17" s="4"/>
      <c r="F17" s="4"/>
    </row>
    <row r="18" spans="1:6">
      <c r="A18" s="18"/>
      <c r="B18" s="2"/>
      <c r="C18" s="4"/>
      <c r="D18" s="4"/>
      <c r="E18" s="4"/>
      <c r="F18" s="4"/>
    </row>
    <row r="19" spans="1:6">
      <c r="A19" s="3" t="s">
        <v>15</v>
      </c>
      <c r="B19" s="5">
        <f>SUM(C19:F19)</f>
        <v>1728040</v>
      </c>
      <c r="C19" s="4">
        <f>SUM(C3:C18)</f>
        <v>172000</v>
      </c>
      <c r="D19" s="4">
        <f t="shared" ref="D19:E19" si="0">SUM(D3:D18)</f>
        <v>666040</v>
      </c>
      <c r="E19" s="4">
        <f t="shared" si="0"/>
        <v>114000</v>
      </c>
      <c r="F19" s="4">
        <f>SUM(F3:F18)</f>
        <v>776000</v>
      </c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A2" sqref="A2:H19"/>
    </sheetView>
  </sheetViews>
  <sheetFormatPr defaultRowHeight="16.5"/>
  <cols>
    <col min="2" max="2" width="20.375" bestFit="1" customWidth="1"/>
    <col min="3" max="6" width="10.875" bestFit="1" customWidth="1"/>
    <col min="8" max="8" width="10.875" bestFit="1" customWidth="1"/>
  </cols>
  <sheetData>
    <row r="2" spans="1:8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8">
      <c r="A3" s="17" t="s">
        <v>0</v>
      </c>
      <c r="B3" s="1" t="s">
        <v>19</v>
      </c>
      <c r="C3" s="4"/>
      <c r="D3" s="4"/>
      <c r="E3" s="4">
        <v>114000</v>
      </c>
      <c r="F3" s="4"/>
    </row>
    <row r="4" spans="1:8">
      <c r="A4" s="17"/>
      <c r="B4" s="1" t="s">
        <v>48</v>
      </c>
      <c r="C4" s="4">
        <v>12000</v>
      </c>
      <c r="D4" s="4"/>
      <c r="F4" s="4"/>
    </row>
    <row r="5" spans="1:8">
      <c r="A5" s="17"/>
      <c r="B5" s="1" t="s">
        <v>1</v>
      </c>
      <c r="C5" s="4">
        <v>160000</v>
      </c>
      <c r="D5" s="4"/>
      <c r="E5" s="4"/>
      <c r="F5" s="4"/>
    </row>
    <row r="6" spans="1:8">
      <c r="A6" s="17"/>
      <c r="B6" s="1" t="s">
        <v>2</v>
      </c>
      <c r="C6" s="4"/>
      <c r="D6" s="4">
        <v>666040</v>
      </c>
      <c r="E6" s="4"/>
      <c r="F6" s="4"/>
    </row>
    <row r="7" spans="1:8">
      <c r="A7" s="17"/>
      <c r="B7" s="1" t="s">
        <v>49</v>
      </c>
      <c r="C7" s="4"/>
      <c r="D7" s="4"/>
      <c r="E7" s="4"/>
      <c r="F7" s="4">
        <f>G7*H7</f>
        <v>344000</v>
      </c>
      <c r="G7">
        <v>8</v>
      </c>
      <c r="H7" s="15">
        <v>43000</v>
      </c>
    </row>
    <row r="8" spans="1:8">
      <c r="A8" s="17"/>
      <c r="B8" s="1" t="s">
        <v>50</v>
      </c>
      <c r="C8" s="4"/>
      <c r="D8" s="4"/>
      <c r="E8" s="4"/>
      <c r="F8" s="4">
        <f>G8*H8</f>
        <v>173000</v>
      </c>
      <c r="G8">
        <v>1</v>
      </c>
      <c r="H8" s="15">
        <v>173000</v>
      </c>
    </row>
    <row r="9" spans="1:8">
      <c r="A9" s="17"/>
      <c r="B9" s="1"/>
      <c r="C9" s="4"/>
      <c r="D9" s="4"/>
      <c r="E9" s="4"/>
      <c r="F9" s="4"/>
    </row>
    <row r="10" spans="1:8">
      <c r="A10" s="17"/>
      <c r="B10" s="1"/>
      <c r="C10" s="4"/>
      <c r="D10" s="4"/>
      <c r="E10" s="4"/>
      <c r="F10" s="4"/>
    </row>
    <row r="11" spans="1:8">
      <c r="A11" s="17"/>
      <c r="B11" s="1"/>
      <c r="C11" s="4"/>
      <c r="D11" s="4"/>
      <c r="E11" s="4"/>
      <c r="F11" s="4"/>
    </row>
    <row r="12" spans="1:8">
      <c r="A12" s="17"/>
      <c r="B12" s="1"/>
      <c r="C12" s="4"/>
      <c r="D12" s="4"/>
      <c r="E12" s="4"/>
      <c r="F12" s="4"/>
    </row>
    <row r="13" spans="1:8">
      <c r="A13" s="17"/>
      <c r="B13" s="1"/>
      <c r="C13" s="4"/>
      <c r="D13" s="4"/>
      <c r="E13" s="4"/>
      <c r="F13" s="4"/>
    </row>
    <row r="14" spans="1:8">
      <c r="A14" s="17"/>
      <c r="B14" s="1"/>
      <c r="C14" s="4"/>
      <c r="D14" s="4"/>
      <c r="E14" s="4"/>
      <c r="F14" s="4"/>
    </row>
    <row r="15" spans="1:8">
      <c r="A15" s="17"/>
      <c r="B15" s="1"/>
      <c r="C15" s="4"/>
      <c r="D15" s="4"/>
      <c r="E15" s="4"/>
      <c r="F15" s="4"/>
    </row>
    <row r="16" spans="1:8">
      <c r="A16" s="17"/>
      <c r="B16" s="1"/>
      <c r="C16" s="4"/>
      <c r="D16" s="4"/>
      <c r="E16" s="4"/>
      <c r="F16" s="4"/>
    </row>
    <row r="17" spans="1:6">
      <c r="A17" s="17"/>
      <c r="B17" s="1"/>
      <c r="C17" s="4"/>
      <c r="D17" s="4"/>
      <c r="E17" s="4"/>
      <c r="F17" s="4"/>
    </row>
    <row r="18" spans="1:6">
      <c r="A18" s="18"/>
      <c r="B18" s="2"/>
      <c r="C18" s="4"/>
      <c r="D18" s="4"/>
      <c r="E18" s="4"/>
      <c r="F18" s="4"/>
    </row>
    <row r="19" spans="1:6">
      <c r="A19" s="3" t="s">
        <v>15</v>
      </c>
      <c r="B19" s="5">
        <f>SUM(C19:F19)</f>
        <v>1469040</v>
      </c>
      <c r="C19" s="4">
        <f>SUM(C3:C18)</f>
        <v>172000</v>
      </c>
      <c r="D19" s="4">
        <f t="shared" ref="D19:E19" si="0">SUM(D3:D18)</f>
        <v>666040</v>
      </c>
      <c r="E19" s="4">
        <f t="shared" si="0"/>
        <v>114000</v>
      </c>
      <c r="F19" s="4">
        <f>SUM(F3:F18)</f>
        <v>517000</v>
      </c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2:H19"/>
  <sheetViews>
    <sheetView workbookViewId="0">
      <selection activeCell="A2" sqref="A2:H19"/>
    </sheetView>
  </sheetViews>
  <sheetFormatPr defaultRowHeight="16.5"/>
  <cols>
    <col min="2" max="2" width="20.375" bestFit="1" customWidth="1"/>
    <col min="3" max="6" width="10.875" bestFit="1" customWidth="1"/>
    <col min="8" max="8" width="10.875" bestFit="1" customWidth="1"/>
  </cols>
  <sheetData>
    <row r="2" spans="1:8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8">
      <c r="A3" s="17" t="s">
        <v>0</v>
      </c>
      <c r="B3" s="1" t="s">
        <v>19</v>
      </c>
      <c r="C3" s="4"/>
      <c r="D3" s="4"/>
      <c r="E3" s="4">
        <v>153000</v>
      </c>
      <c r="F3" s="4"/>
    </row>
    <row r="4" spans="1:8">
      <c r="A4" s="17"/>
      <c r="B4" s="1" t="s">
        <v>48</v>
      </c>
      <c r="C4" s="4">
        <v>12000</v>
      </c>
      <c r="D4" s="4"/>
      <c r="F4" s="4"/>
    </row>
    <row r="5" spans="1:8">
      <c r="A5" s="17"/>
      <c r="B5" s="1" t="s">
        <v>1</v>
      </c>
      <c r="C5" s="4">
        <v>160000</v>
      </c>
      <c r="D5" s="4"/>
      <c r="E5" s="4"/>
      <c r="F5" s="4"/>
    </row>
    <row r="6" spans="1:8">
      <c r="A6" s="17"/>
      <c r="B6" s="1" t="s">
        <v>2</v>
      </c>
      <c r="C6" s="4"/>
      <c r="D6" s="4">
        <v>495310</v>
      </c>
      <c r="E6" s="4"/>
      <c r="F6" s="4"/>
    </row>
    <row r="7" spans="1:8">
      <c r="A7" s="17"/>
      <c r="B7" s="1" t="s">
        <v>49</v>
      </c>
      <c r="C7" s="4"/>
      <c r="D7" s="4"/>
      <c r="E7" s="4"/>
      <c r="F7" s="4">
        <f>G7*H7</f>
        <v>384000</v>
      </c>
      <c r="G7">
        <v>8</v>
      </c>
      <c r="H7" s="15">
        <v>48000</v>
      </c>
    </row>
    <row r="8" spans="1:8">
      <c r="A8" s="17"/>
      <c r="B8" s="1" t="s">
        <v>50</v>
      </c>
      <c r="C8" s="4"/>
      <c r="D8" s="4"/>
      <c r="E8" s="4"/>
      <c r="F8" s="4">
        <f>G8*H8</f>
        <v>0</v>
      </c>
      <c r="G8">
        <v>0</v>
      </c>
      <c r="H8" s="15">
        <v>173000</v>
      </c>
    </row>
    <row r="9" spans="1:8">
      <c r="A9" s="17"/>
      <c r="B9" s="1"/>
      <c r="C9" s="4"/>
      <c r="D9" s="4"/>
      <c r="E9" s="4"/>
      <c r="F9" s="4"/>
    </row>
    <row r="10" spans="1:8">
      <c r="A10" s="17"/>
      <c r="B10" s="1"/>
      <c r="C10" s="4"/>
      <c r="D10" s="4"/>
      <c r="E10" s="4"/>
      <c r="F10" s="4"/>
    </row>
    <row r="11" spans="1:8">
      <c r="A11" s="17"/>
      <c r="B11" s="1"/>
      <c r="C11" s="4"/>
      <c r="D11" s="4"/>
      <c r="E11" s="4"/>
      <c r="F11" s="4"/>
    </row>
    <row r="12" spans="1:8">
      <c r="A12" s="17"/>
      <c r="B12" s="1"/>
      <c r="C12" s="4"/>
      <c r="D12" s="4"/>
      <c r="E12" s="4"/>
      <c r="F12" s="4"/>
    </row>
    <row r="13" spans="1:8">
      <c r="A13" s="17"/>
      <c r="B13" s="1"/>
      <c r="C13" s="4"/>
      <c r="D13" s="4"/>
      <c r="E13" s="4"/>
      <c r="F13" s="4"/>
    </row>
    <row r="14" spans="1:8">
      <c r="A14" s="17"/>
      <c r="B14" s="1"/>
      <c r="C14" s="4"/>
      <c r="D14" s="4"/>
      <c r="E14" s="4"/>
      <c r="F14" s="4"/>
    </row>
    <row r="15" spans="1:8">
      <c r="A15" s="17"/>
      <c r="B15" s="1"/>
      <c r="C15" s="4"/>
      <c r="D15" s="4"/>
      <c r="E15" s="4"/>
      <c r="F15" s="4"/>
    </row>
    <row r="16" spans="1:8">
      <c r="A16" s="17"/>
      <c r="B16" s="1"/>
      <c r="C16" s="4"/>
      <c r="D16" s="4"/>
      <c r="E16" s="4"/>
      <c r="F16" s="4"/>
    </row>
    <row r="17" spans="1:6">
      <c r="A17" s="17"/>
      <c r="B17" s="1"/>
      <c r="C17" s="4"/>
      <c r="D17" s="4"/>
      <c r="E17" s="4"/>
      <c r="F17" s="4"/>
    </row>
    <row r="18" spans="1:6">
      <c r="A18" s="18"/>
      <c r="B18" s="2"/>
      <c r="C18" s="4"/>
      <c r="D18" s="4"/>
      <c r="E18" s="4"/>
      <c r="F18" s="4"/>
    </row>
    <row r="19" spans="1:6">
      <c r="A19" s="3" t="s">
        <v>15</v>
      </c>
      <c r="B19" s="5">
        <f>SUM(C19:F19)</f>
        <v>1204310</v>
      </c>
      <c r="C19" s="4">
        <f>SUM(C3:C18)</f>
        <v>172000</v>
      </c>
      <c r="D19" s="4">
        <f t="shared" ref="D19:E19" si="0">SUM(D3:D18)</f>
        <v>495310</v>
      </c>
      <c r="E19" s="4">
        <f t="shared" si="0"/>
        <v>153000</v>
      </c>
      <c r="F19" s="4">
        <f>SUM(F3:F18)</f>
        <v>384000</v>
      </c>
    </row>
  </sheetData>
  <mergeCells count="1">
    <mergeCell ref="A3:A18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2:H18"/>
  <sheetViews>
    <sheetView workbookViewId="0">
      <selection activeCell="A2" sqref="A2:F18"/>
    </sheetView>
  </sheetViews>
  <sheetFormatPr defaultRowHeight="16.5"/>
  <cols>
    <col min="2" max="2" width="26.75" bestFit="1" customWidth="1"/>
    <col min="3" max="6" width="10.875" bestFit="1" customWidth="1"/>
    <col min="8" max="8" width="10.875" bestFit="1" customWidth="1"/>
  </cols>
  <sheetData>
    <row r="2" spans="1:8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8">
      <c r="A3" s="17" t="s">
        <v>0</v>
      </c>
      <c r="B3" s="1" t="s">
        <v>19</v>
      </c>
      <c r="C3" s="4"/>
      <c r="D3" s="4"/>
      <c r="E3" s="4">
        <v>190000</v>
      </c>
      <c r="F3" s="4"/>
    </row>
    <row r="4" spans="1:8">
      <c r="A4" s="17"/>
      <c r="B4" s="1" t="s">
        <v>1</v>
      </c>
      <c r="C4" s="4">
        <v>410000</v>
      </c>
      <c r="D4" s="4"/>
      <c r="E4" s="4"/>
      <c r="F4" s="4"/>
    </row>
    <row r="5" spans="1:8">
      <c r="A5" s="17"/>
      <c r="B5" s="1" t="s">
        <v>2</v>
      </c>
      <c r="C5" s="4"/>
      <c r="D5" s="4">
        <v>443480</v>
      </c>
      <c r="E5" s="4"/>
      <c r="F5" s="4"/>
    </row>
    <row r="6" spans="1:8">
      <c r="A6" s="17"/>
      <c r="B6" s="1" t="s">
        <v>51</v>
      </c>
      <c r="C6" s="4"/>
      <c r="D6" s="4"/>
      <c r="E6" s="4"/>
      <c r="F6" s="20">
        <v>250000</v>
      </c>
      <c r="H6" s="15"/>
    </row>
    <row r="7" spans="1:8">
      <c r="A7" s="17"/>
      <c r="B7" s="1" t="s">
        <v>52</v>
      </c>
      <c r="C7" s="4"/>
      <c r="D7" s="4"/>
      <c r="E7" s="4"/>
      <c r="F7" s="21"/>
      <c r="H7" s="15"/>
    </row>
    <row r="8" spans="1:8">
      <c r="A8" s="17"/>
      <c r="B8" s="1"/>
      <c r="C8" s="4"/>
      <c r="D8" s="4"/>
      <c r="E8" s="4"/>
      <c r="F8" s="4"/>
    </row>
    <row r="9" spans="1:8">
      <c r="A9" s="17"/>
      <c r="B9" s="1"/>
      <c r="C9" s="4"/>
      <c r="D9" s="4"/>
      <c r="E9" s="4"/>
      <c r="F9" s="4"/>
    </row>
    <row r="10" spans="1:8">
      <c r="A10" s="17"/>
      <c r="B10" s="1"/>
      <c r="C10" s="4"/>
      <c r="D10" s="4"/>
      <c r="E10" s="4"/>
      <c r="F10" s="4"/>
    </row>
    <row r="11" spans="1:8">
      <c r="A11" s="17"/>
      <c r="B11" s="1"/>
      <c r="C11" s="4"/>
      <c r="D11" s="4"/>
      <c r="E11" s="4"/>
      <c r="F11" s="4"/>
    </row>
    <row r="12" spans="1:8">
      <c r="A12" s="17"/>
      <c r="B12" s="1"/>
      <c r="C12" s="4"/>
      <c r="D12" s="4"/>
      <c r="E12" s="4"/>
      <c r="F12" s="4"/>
    </row>
    <row r="13" spans="1:8">
      <c r="A13" s="17"/>
      <c r="B13" s="1"/>
      <c r="C13" s="4"/>
      <c r="D13" s="4"/>
      <c r="E13" s="4"/>
      <c r="F13" s="4"/>
    </row>
    <row r="14" spans="1:8">
      <c r="A14" s="17"/>
      <c r="B14" s="1"/>
      <c r="C14" s="4"/>
      <c r="D14" s="4"/>
      <c r="E14" s="4"/>
      <c r="F14" s="4"/>
    </row>
    <row r="15" spans="1:8">
      <c r="A15" s="17"/>
      <c r="B15" s="1"/>
      <c r="C15" s="4"/>
      <c r="D15" s="4"/>
      <c r="E15" s="4"/>
      <c r="F15" s="4"/>
    </row>
    <row r="16" spans="1:8">
      <c r="A16" s="17"/>
      <c r="B16" s="1"/>
      <c r="C16" s="4"/>
      <c r="D16" s="4"/>
      <c r="E16" s="4"/>
      <c r="F16" s="4"/>
    </row>
    <row r="17" spans="1:6">
      <c r="A17" s="18"/>
      <c r="B17" s="2"/>
      <c r="C17" s="4"/>
      <c r="D17" s="4"/>
      <c r="E17" s="4"/>
      <c r="F17" s="4"/>
    </row>
    <row r="18" spans="1:6">
      <c r="A18" s="3" t="s">
        <v>15</v>
      </c>
      <c r="B18" s="5">
        <f>SUM(C18:F18)</f>
        <v>1293480</v>
      </c>
      <c r="C18" s="4">
        <f>SUM(C3:C17)</f>
        <v>410000</v>
      </c>
      <c r="D18" s="4">
        <f t="shared" ref="D18:E18" si="0">SUM(D3:D17)</f>
        <v>443480</v>
      </c>
      <c r="E18" s="4">
        <f t="shared" si="0"/>
        <v>190000</v>
      </c>
      <c r="F18" s="4">
        <f>SUM(F3:F17)</f>
        <v>250000</v>
      </c>
    </row>
  </sheetData>
  <mergeCells count="2">
    <mergeCell ref="A3:A17"/>
    <mergeCell ref="F6:F7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2:F18"/>
  <sheetViews>
    <sheetView workbookViewId="0">
      <selection activeCell="A2" sqref="A2:F18"/>
    </sheetView>
  </sheetViews>
  <sheetFormatPr defaultRowHeight="16.5"/>
  <cols>
    <col min="2" max="2" width="26.75" bestFit="1" customWidth="1"/>
    <col min="3" max="4" width="10.875" bestFit="1" customWidth="1"/>
    <col min="5" max="5" width="13.125" customWidth="1"/>
    <col min="6" max="6" width="12.375" bestFit="1" customWidth="1"/>
  </cols>
  <sheetData>
    <row r="2" spans="1:6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</row>
    <row r="3" spans="1:6">
      <c r="A3" s="17" t="s">
        <v>0</v>
      </c>
      <c r="B3" s="1" t="s">
        <v>53</v>
      </c>
      <c r="C3" s="1"/>
      <c r="D3" s="4"/>
      <c r="E3" s="4"/>
      <c r="F3" s="13">
        <v>1292000</v>
      </c>
    </row>
    <row r="4" spans="1:6">
      <c r="A4" s="17"/>
      <c r="B4" s="1" t="s">
        <v>54</v>
      </c>
      <c r="C4" s="1"/>
      <c r="D4" s="4"/>
      <c r="E4" s="4"/>
      <c r="F4" s="13">
        <v>277000</v>
      </c>
    </row>
    <row r="5" spans="1:6">
      <c r="A5" s="17"/>
      <c r="B5" s="1"/>
      <c r="C5" s="4"/>
      <c r="D5" s="4"/>
      <c r="E5" s="4"/>
      <c r="F5" s="4"/>
    </row>
    <row r="6" spans="1:6">
      <c r="A6" s="17"/>
      <c r="B6" s="1"/>
      <c r="C6" s="4"/>
      <c r="D6" s="4"/>
      <c r="E6" s="4"/>
      <c r="F6" s="20"/>
    </row>
    <row r="7" spans="1:6">
      <c r="A7" s="17"/>
      <c r="B7" s="1"/>
      <c r="C7" s="4"/>
      <c r="D7" s="4"/>
      <c r="E7" s="4"/>
      <c r="F7" s="21"/>
    </row>
    <row r="8" spans="1:6">
      <c r="A8" s="17"/>
      <c r="B8" s="1"/>
      <c r="C8" s="4"/>
      <c r="D8" s="4"/>
      <c r="E8" s="4"/>
      <c r="F8" s="4"/>
    </row>
    <row r="9" spans="1:6">
      <c r="A9" s="17"/>
      <c r="B9" s="1"/>
      <c r="C9" s="4"/>
      <c r="D9" s="4"/>
      <c r="E9" s="4"/>
      <c r="F9" s="4"/>
    </row>
    <row r="10" spans="1:6">
      <c r="A10" s="17"/>
      <c r="B10" s="1"/>
      <c r="C10" s="4"/>
      <c r="D10" s="4"/>
      <c r="E10" s="4"/>
      <c r="F10" s="4"/>
    </row>
    <row r="11" spans="1:6">
      <c r="A11" s="17"/>
      <c r="B11" s="1"/>
      <c r="C11" s="4"/>
      <c r="D11" s="4"/>
      <c r="E11" s="4"/>
      <c r="F11" s="4"/>
    </row>
    <row r="12" spans="1:6">
      <c r="A12" s="17"/>
      <c r="B12" s="1"/>
      <c r="C12" s="4"/>
      <c r="D12" s="4"/>
      <c r="E12" s="4"/>
      <c r="F12" s="4"/>
    </row>
    <row r="13" spans="1:6">
      <c r="A13" s="17"/>
      <c r="B13" s="1"/>
      <c r="C13" s="4"/>
      <c r="D13" s="4"/>
      <c r="E13" s="4"/>
      <c r="F13" s="4"/>
    </row>
    <row r="14" spans="1:6">
      <c r="A14" s="17"/>
      <c r="B14" s="1"/>
      <c r="C14" s="4"/>
      <c r="D14" s="4"/>
      <c r="E14" s="4"/>
      <c r="F14" s="4"/>
    </row>
    <row r="15" spans="1:6">
      <c r="A15" s="17"/>
      <c r="B15" s="1"/>
      <c r="C15" s="4"/>
      <c r="D15" s="4"/>
      <c r="E15" s="4"/>
      <c r="F15" s="4"/>
    </row>
    <row r="16" spans="1:6">
      <c r="A16" s="17"/>
      <c r="B16" s="1"/>
      <c r="C16" s="4"/>
      <c r="D16" s="4"/>
      <c r="E16" s="4"/>
      <c r="F16" s="4"/>
    </row>
    <row r="17" spans="1:6">
      <c r="A17" s="18"/>
      <c r="B17" s="2"/>
      <c r="C17" s="4"/>
      <c r="D17" s="4"/>
      <c r="E17" s="4"/>
      <c r="F17" s="4"/>
    </row>
    <row r="18" spans="1:6">
      <c r="A18" s="3" t="s">
        <v>15</v>
      </c>
      <c r="B18" s="5">
        <f>SUM(C18:F18)</f>
        <v>1569000</v>
      </c>
      <c r="C18" s="4">
        <f>SUM(C3:C17)</f>
        <v>0</v>
      </c>
      <c r="D18" s="4">
        <f t="shared" ref="D18:E18" si="0">SUM(D3:D17)</f>
        <v>0</v>
      </c>
      <c r="E18" s="4">
        <f t="shared" si="0"/>
        <v>0</v>
      </c>
      <c r="F18" s="4">
        <f>SUM(F3:F17)</f>
        <v>1569000</v>
      </c>
    </row>
  </sheetData>
  <mergeCells count="2">
    <mergeCell ref="A3:A17"/>
    <mergeCell ref="F6:F7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2:I18"/>
  <sheetViews>
    <sheetView workbookViewId="0">
      <selection activeCell="I12" sqref="I12"/>
    </sheetView>
  </sheetViews>
  <sheetFormatPr defaultRowHeight="16.5"/>
  <cols>
    <col min="2" max="2" width="26.875" bestFit="1" customWidth="1"/>
    <col min="6" max="6" width="12.375" bestFit="1" customWidth="1"/>
  </cols>
  <sheetData>
    <row r="2" spans="1:9">
      <c r="A2" s="6"/>
      <c r="B2" s="7" t="s">
        <v>21</v>
      </c>
      <c r="C2" s="7" t="s">
        <v>1</v>
      </c>
      <c r="D2" s="7" t="s">
        <v>22</v>
      </c>
      <c r="E2" s="7" t="s">
        <v>19</v>
      </c>
      <c r="F2" s="7" t="s">
        <v>23</v>
      </c>
      <c r="G2" s="10" t="s">
        <v>36</v>
      </c>
      <c r="H2" s="10" t="s">
        <v>57</v>
      </c>
      <c r="I2" s="10" t="s">
        <v>35</v>
      </c>
    </row>
    <row r="3" spans="1:9">
      <c r="A3" s="17" t="s">
        <v>0</v>
      </c>
      <c r="B3" s="1" t="s">
        <v>55</v>
      </c>
      <c r="C3" s="1"/>
      <c r="D3" s="4"/>
      <c r="E3" s="4"/>
      <c r="F3" s="13">
        <f>G3*H3*I3</f>
        <v>49725000</v>
      </c>
      <c r="G3" s="16">
        <v>6630</v>
      </c>
      <c r="H3">
        <v>150</v>
      </c>
      <c r="I3">
        <v>50</v>
      </c>
    </row>
    <row r="4" spans="1:9">
      <c r="A4" s="17"/>
      <c r="B4" s="1" t="s">
        <v>56</v>
      </c>
      <c r="C4" s="1"/>
      <c r="D4" s="4"/>
      <c r="E4" s="4"/>
      <c r="F4" s="13">
        <f>G4*H4*I4</f>
        <v>7000000</v>
      </c>
      <c r="G4">
        <v>20000</v>
      </c>
      <c r="H4">
        <v>7</v>
      </c>
      <c r="I4">
        <v>50</v>
      </c>
    </row>
    <row r="5" spans="1:9">
      <c r="A5" s="17"/>
      <c r="B5" s="1"/>
      <c r="C5" s="4"/>
      <c r="D5" s="4"/>
      <c r="E5" s="4"/>
      <c r="F5" s="4"/>
    </row>
    <row r="6" spans="1:9">
      <c r="A6" s="17"/>
      <c r="B6" s="1"/>
      <c r="C6" s="4"/>
      <c r="D6" s="4"/>
      <c r="E6" s="4"/>
      <c r="F6" s="20"/>
    </row>
    <row r="7" spans="1:9">
      <c r="A7" s="17"/>
      <c r="B7" s="1"/>
      <c r="C7" s="4"/>
      <c r="D7" s="4"/>
      <c r="E7" s="4"/>
      <c r="F7" s="21"/>
    </row>
    <row r="8" spans="1:9">
      <c r="A8" s="17"/>
      <c r="B8" s="1"/>
      <c r="C8" s="4"/>
      <c r="D8" s="4"/>
      <c r="E8" s="4"/>
      <c r="F8" s="4"/>
    </row>
    <row r="9" spans="1:9">
      <c r="A9" s="17"/>
      <c r="B9" s="1"/>
      <c r="C9" s="4"/>
      <c r="D9" s="4"/>
      <c r="E9" s="4"/>
      <c r="F9" s="4"/>
    </row>
    <row r="10" spans="1:9">
      <c r="A10" s="17"/>
      <c r="B10" s="1"/>
      <c r="C10" s="4"/>
      <c r="D10" s="4"/>
      <c r="E10" s="4"/>
      <c r="F10" s="4"/>
    </row>
    <row r="11" spans="1:9">
      <c r="A11" s="17"/>
      <c r="B11" s="1"/>
      <c r="C11" s="4"/>
      <c r="D11" s="4"/>
      <c r="E11" s="4"/>
      <c r="F11" s="4"/>
    </row>
    <row r="12" spans="1:9">
      <c r="A12" s="17"/>
      <c r="B12" s="1"/>
      <c r="C12" s="4"/>
      <c r="D12" s="4"/>
      <c r="E12" s="4"/>
      <c r="F12" s="4"/>
    </row>
    <row r="13" spans="1:9">
      <c r="A13" s="17"/>
      <c r="B13" s="1"/>
      <c r="C13" s="4"/>
      <c r="D13" s="4"/>
      <c r="E13" s="4"/>
      <c r="F13" s="4"/>
    </row>
    <row r="14" spans="1:9">
      <c r="A14" s="17"/>
      <c r="B14" s="1"/>
      <c r="C14" s="4"/>
      <c r="D14" s="4"/>
      <c r="E14" s="4"/>
      <c r="F14" s="4"/>
    </row>
    <row r="15" spans="1:9">
      <c r="A15" s="17"/>
      <c r="B15" s="1"/>
      <c r="C15" s="4"/>
      <c r="D15" s="4"/>
      <c r="E15" s="4"/>
      <c r="F15" s="4"/>
    </row>
    <row r="16" spans="1:9">
      <c r="A16" s="17"/>
      <c r="B16" s="1"/>
      <c r="C16" s="4"/>
      <c r="D16" s="4"/>
      <c r="E16" s="4"/>
      <c r="F16" s="4"/>
    </row>
    <row r="17" spans="1:6">
      <c r="A17" s="18"/>
      <c r="B17" s="2"/>
      <c r="C17" s="4"/>
      <c r="D17" s="4"/>
      <c r="E17" s="4"/>
      <c r="F17" s="4"/>
    </row>
    <row r="18" spans="1:6">
      <c r="A18" s="3" t="s">
        <v>15</v>
      </c>
      <c r="B18" s="5">
        <f>SUM(C18:F18)</f>
        <v>56725000</v>
      </c>
      <c r="C18" s="4">
        <f>SUM(C3:C17)</f>
        <v>0</v>
      </c>
      <c r="D18" s="4">
        <f t="shared" ref="D18:E18" si="0">SUM(D3:D17)</f>
        <v>0</v>
      </c>
      <c r="E18" s="4">
        <f t="shared" si="0"/>
        <v>0</v>
      </c>
      <c r="F18" s="4">
        <f>SUM(F3:F17)</f>
        <v>56725000</v>
      </c>
    </row>
  </sheetData>
  <mergeCells count="2">
    <mergeCell ref="A3:A17"/>
    <mergeCell ref="F6:F7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7" sqref="J27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CRA</vt:lpstr>
      <vt:lpstr>CCP</vt:lpstr>
      <vt:lpstr>AAR</vt:lpstr>
      <vt:lpstr>DPO</vt:lpstr>
      <vt:lpstr>DMA</vt:lpstr>
      <vt:lpstr>CSP</vt:lpstr>
      <vt:lpstr>CPO</vt:lpstr>
      <vt:lpstr>PEI</vt:lpstr>
      <vt:lpstr>ISP</vt:lpstr>
      <vt:lpstr>ESP</vt:lpstr>
      <vt:lpstr>TRF</vt:lpstr>
      <vt:lpstr>ANSM</vt:lpstr>
      <vt:lpstr>FDI</vt:lpstr>
      <vt:lpstr>SDI</vt:lpstr>
      <vt:lpstr>PII</vt:lpstr>
      <vt:lpstr>PID</vt:lpstr>
      <vt:lpstr>JCR</vt:lpstr>
      <vt:lpstr>CBL</vt:lpstr>
      <vt:lpstr>CON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</cp:lastModifiedBy>
  <dcterms:created xsi:type="dcterms:W3CDTF">2011-04-06T04:57:54Z</dcterms:created>
  <dcterms:modified xsi:type="dcterms:W3CDTF">2011-04-07T00:24:33Z</dcterms:modified>
</cp:coreProperties>
</file>