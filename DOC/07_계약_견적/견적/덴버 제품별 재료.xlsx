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05" windowWidth="21000" windowHeight="11760"/>
  </bookViews>
  <sheets>
    <sheet name="Sheet1" sheetId="3" r:id="rId1"/>
  </sheets>
  <externalReferences>
    <externalReference r:id="rId2"/>
  </externalReferences>
  <definedNames>
    <definedName name="_xlnm._FilterDatabase" localSheetId="0" hidden="1">Sheet1!$A$2:$N$469</definedName>
  </definedNames>
  <calcPr calcId="144525"/>
</workbook>
</file>

<file path=xl/calcChain.xml><?xml version="1.0" encoding="utf-8"?>
<calcChain xmlns="http://schemas.openxmlformats.org/spreadsheetml/2006/main">
  <c r="B465" i="3" l="1"/>
  <c r="B379" i="3"/>
  <c r="B461" i="3"/>
  <c r="B347" i="3"/>
  <c r="B378" i="3"/>
  <c r="B395" i="3"/>
  <c r="B381" i="3"/>
  <c r="B441" i="3"/>
  <c r="B380" i="3"/>
  <c r="B428" i="3"/>
  <c r="B297" i="3"/>
  <c r="B416" i="3"/>
  <c r="B460" i="3"/>
  <c r="B464" i="3"/>
  <c r="L341" i="3"/>
  <c r="B341" i="3"/>
  <c r="L425" i="3"/>
  <c r="B425" i="3"/>
  <c r="L424" i="3"/>
  <c r="B424" i="3"/>
  <c r="L423" i="3"/>
  <c r="B423" i="3"/>
  <c r="L446" i="3"/>
  <c r="B446" i="3"/>
  <c r="L445" i="3"/>
  <c r="B445" i="3"/>
  <c r="L409" i="3"/>
  <c r="B409" i="3"/>
  <c r="L444" i="3"/>
  <c r="B444" i="3"/>
  <c r="L324" i="3"/>
  <c r="B324" i="3"/>
  <c r="L326" i="3"/>
  <c r="B326" i="3"/>
  <c r="L323" i="3"/>
  <c r="B323" i="3"/>
  <c r="L322" i="3"/>
  <c r="B322" i="3"/>
  <c r="L292" i="3"/>
  <c r="B292" i="3"/>
  <c r="L287" i="3"/>
  <c r="B287" i="3"/>
  <c r="L291" i="3"/>
  <c r="B291" i="3"/>
  <c r="L418" i="3"/>
  <c r="B418" i="3"/>
  <c r="L290" i="3"/>
  <c r="B290" i="3"/>
  <c r="L289" i="3"/>
  <c r="B289" i="3"/>
  <c r="L408" i="3"/>
  <c r="B408" i="3"/>
  <c r="L361" i="3"/>
  <c r="B361" i="3"/>
  <c r="L288" i="3"/>
  <c r="B288" i="3"/>
  <c r="L286" i="3"/>
  <c r="B286" i="3"/>
  <c r="L321" i="3"/>
  <c r="B321" i="3"/>
  <c r="L325" i="3"/>
  <c r="B325" i="3"/>
  <c r="L320" i="3"/>
  <c r="B320" i="3"/>
  <c r="L319" i="3"/>
  <c r="B319" i="3"/>
  <c r="L393" i="3"/>
  <c r="B393" i="3"/>
  <c r="L426" i="3"/>
  <c r="B426" i="3"/>
  <c r="L373" i="3"/>
  <c r="B373" i="3"/>
  <c r="L369" i="3"/>
  <c r="B369" i="3"/>
  <c r="L427" i="3"/>
  <c r="B427" i="3"/>
  <c r="L394" i="3"/>
  <c r="B394" i="3"/>
  <c r="L450" i="3"/>
  <c r="B450" i="3"/>
  <c r="L449" i="3"/>
  <c r="B449" i="3"/>
  <c r="L396" i="3"/>
  <c r="B396" i="3"/>
  <c r="L451" i="3"/>
  <c r="B451" i="3"/>
  <c r="L407" i="3"/>
  <c r="B407" i="3"/>
  <c r="L360" i="3"/>
  <c r="B360" i="3"/>
  <c r="L295" i="3"/>
  <c r="B295" i="3"/>
  <c r="L294" i="3"/>
  <c r="B294" i="3"/>
  <c r="L392" i="3"/>
  <c r="B392" i="3"/>
  <c r="L389" i="3"/>
  <c r="B389" i="3"/>
  <c r="L388" i="3"/>
  <c r="B388" i="3"/>
  <c r="L391" i="3"/>
  <c r="B391" i="3"/>
  <c r="L406" i="3"/>
  <c r="B406" i="3"/>
  <c r="L359" i="3"/>
  <c r="B359" i="3"/>
  <c r="L390" i="3"/>
  <c r="B390" i="3"/>
  <c r="L387" i="3"/>
  <c r="B387" i="3"/>
  <c r="L345" i="3"/>
  <c r="B345" i="3"/>
  <c r="L386" i="3"/>
  <c r="B386" i="3"/>
  <c r="L383" i="3"/>
  <c r="B383" i="3"/>
  <c r="L385" i="3"/>
  <c r="B385" i="3"/>
  <c r="L405" i="3"/>
  <c r="B405" i="3"/>
  <c r="L358" i="3"/>
  <c r="B358" i="3"/>
  <c r="L384" i="3"/>
  <c r="B384" i="3"/>
  <c r="L382" i="3"/>
  <c r="B382" i="3"/>
  <c r="L443" i="3"/>
  <c r="B443" i="3"/>
  <c r="L306" i="3"/>
  <c r="B306" i="3"/>
  <c r="L340" i="3"/>
  <c r="B340" i="3"/>
  <c r="L318" i="3"/>
  <c r="B318" i="3"/>
  <c r="L317" i="3"/>
  <c r="B317" i="3"/>
  <c r="L459" i="3"/>
  <c r="B459" i="3"/>
  <c r="L303" i="3"/>
  <c r="B303" i="3"/>
  <c r="L435" i="3"/>
  <c r="B435" i="3"/>
  <c r="L438" i="3"/>
  <c r="B438" i="3"/>
  <c r="L327" i="3"/>
  <c r="B327" i="3"/>
  <c r="L411" i="3"/>
  <c r="B411" i="3"/>
  <c r="L328" i="3"/>
  <c r="B328" i="3"/>
  <c r="L440" i="3"/>
  <c r="B440" i="3"/>
  <c r="L333" i="3"/>
  <c r="B333" i="3"/>
  <c r="L413" i="3"/>
  <c r="B413" i="3"/>
  <c r="L336" i="3"/>
  <c r="B336" i="3"/>
  <c r="L372" i="3"/>
  <c r="B372" i="3"/>
  <c r="L368" i="3"/>
  <c r="B368" i="3"/>
  <c r="L307" i="3"/>
  <c r="B307" i="3"/>
  <c r="L305" i="3"/>
  <c r="B305" i="3"/>
  <c r="L302" i="3"/>
  <c r="B302" i="3"/>
  <c r="L404" i="3"/>
  <c r="B404" i="3"/>
  <c r="L357" i="3"/>
  <c r="B357" i="3"/>
  <c r="L301" i="3"/>
  <c r="B301" i="3"/>
  <c r="L300" i="3"/>
  <c r="B300" i="3"/>
  <c r="L344" i="3"/>
  <c r="B344" i="3"/>
  <c r="L364" i="3"/>
  <c r="B364" i="3"/>
  <c r="L403" i="3"/>
  <c r="B403" i="3"/>
  <c r="L356" i="3"/>
  <c r="B356" i="3"/>
  <c r="L363" i="3"/>
  <c r="B363" i="3"/>
  <c r="L362" i="3"/>
  <c r="B362" i="3"/>
  <c r="L343" i="3"/>
  <c r="B343" i="3"/>
  <c r="L371" i="3"/>
  <c r="B371" i="3"/>
  <c r="L367" i="3"/>
  <c r="B367" i="3"/>
  <c r="L454" i="3"/>
  <c r="B454" i="3"/>
  <c r="L402" i="3"/>
  <c r="B402" i="3"/>
  <c r="L355" i="3"/>
  <c r="B355" i="3"/>
  <c r="L453" i="3"/>
  <c r="B453" i="3"/>
  <c r="L452" i="3"/>
  <c r="B452" i="3"/>
  <c r="L316" i="3"/>
  <c r="B316" i="3"/>
  <c r="L315" i="3"/>
  <c r="B315" i="3"/>
  <c r="L370" i="3"/>
  <c r="B370" i="3"/>
  <c r="L366" i="3"/>
  <c r="B366" i="3"/>
  <c r="L349" i="3"/>
  <c r="B349" i="3"/>
  <c r="L401" i="3"/>
  <c r="B401" i="3"/>
  <c r="L354" i="3"/>
  <c r="B354" i="3"/>
  <c r="L348" i="3"/>
  <c r="B348" i="3"/>
  <c r="L346" i="3"/>
  <c r="B346" i="3"/>
  <c r="L458" i="3"/>
  <c r="B458" i="3"/>
  <c r="L314" i="3"/>
  <c r="B314" i="3"/>
  <c r="L339" i="3"/>
  <c r="B339" i="3"/>
  <c r="L313" i="3"/>
  <c r="B313" i="3"/>
  <c r="L469" i="3"/>
  <c r="B469" i="3"/>
  <c r="L312" i="3"/>
  <c r="B312" i="3"/>
  <c r="L299" i="3"/>
  <c r="B299" i="3"/>
  <c r="L442" i="3"/>
  <c r="B442" i="3"/>
  <c r="L311" i="3"/>
  <c r="B311" i="3"/>
  <c r="L298" i="3"/>
  <c r="B298" i="3"/>
  <c r="L310" i="3"/>
  <c r="B310" i="3"/>
  <c r="L293" i="3"/>
  <c r="B293" i="3"/>
  <c r="L468" i="3"/>
  <c r="B468" i="3"/>
  <c r="L400" i="3"/>
  <c r="B400" i="3"/>
  <c r="L353" i="3"/>
  <c r="B353" i="3"/>
  <c r="L467" i="3"/>
  <c r="B467" i="3"/>
  <c r="L466" i="3"/>
  <c r="B466" i="3"/>
  <c r="L448" i="3"/>
  <c r="B448" i="3"/>
  <c r="L417" i="3"/>
  <c r="B417" i="3"/>
  <c r="L457" i="3"/>
  <c r="B457" i="3"/>
  <c r="L463" i="3"/>
  <c r="B463" i="3"/>
  <c r="L342" i="3"/>
  <c r="B342" i="3"/>
  <c r="L434" i="3"/>
  <c r="B434" i="3"/>
  <c r="L437" i="3"/>
  <c r="B437" i="3"/>
  <c r="L332" i="3"/>
  <c r="B332" i="3"/>
  <c r="L415" i="3"/>
  <c r="B415" i="3"/>
  <c r="L335" i="3"/>
  <c r="B335" i="3"/>
  <c r="L376" i="3"/>
  <c r="B376" i="3"/>
  <c r="L377" i="3"/>
  <c r="B377" i="3"/>
  <c r="L399" i="3"/>
  <c r="B399" i="3"/>
  <c r="L352" i="3"/>
  <c r="B352" i="3"/>
  <c r="L375" i="3"/>
  <c r="B375" i="3"/>
  <c r="L374" i="3"/>
  <c r="B374" i="3"/>
  <c r="L447" i="3"/>
  <c r="B447" i="3"/>
  <c r="L309" i="3"/>
  <c r="B309" i="3"/>
  <c r="L338" i="3"/>
  <c r="B338" i="3"/>
  <c r="L365" i="3"/>
  <c r="B365" i="3"/>
  <c r="L308" i="3"/>
  <c r="B308" i="3"/>
  <c r="L456" i="3"/>
  <c r="B456" i="3"/>
  <c r="L455" i="3"/>
  <c r="B455" i="3"/>
  <c r="L462" i="3"/>
  <c r="B462" i="3"/>
  <c r="L433" i="3"/>
  <c r="B433" i="3"/>
  <c r="L436" i="3"/>
  <c r="B436" i="3"/>
  <c r="L329" i="3"/>
  <c r="B329" i="3"/>
  <c r="L410" i="3"/>
  <c r="B410" i="3"/>
  <c r="L330" i="3"/>
  <c r="B330" i="3"/>
  <c r="L439" i="3"/>
  <c r="B439" i="3"/>
  <c r="L331" i="3"/>
  <c r="B331" i="3"/>
  <c r="L412" i="3"/>
  <c r="B412" i="3"/>
  <c r="L414" i="3"/>
  <c r="B414" i="3"/>
  <c r="L334" i="3"/>
  <c r="B334" i="3"/>
  <c r="L430" i="3"/>
  <c r="B430" i="3"/>
  <c r="L432" i="3"/>
  <c r="B432" i="3"/>
  <c r="L398" i="3"/>
  <c r="B398" i="3"/>
  <c r="L351" i="3"/>
  <c r="B351" i="3"/>
  <c r="L431" i="3"/>
  <c r="B431" i="3"/>
  <c r="L429" i="3"/>
  <c r="B429" i="3"/>
  <c r="L420" i="3"/>
  <c r="B420" i="3"/>
  <c r="L422" i="3"/>
  <c r="B422" i="3"/>
  <c r="L397" i="3"/>
  <c r="B397" i="3"/>
  <c r="L350" i="3"/>
  <c r="B350" i="3"/>
  <c r="L421" i="3"/>
  <c r="B421" i="3"/>
  <c r="L419" i="3"/>
  <c r="B419" i="3"/>
  <c r="L337" i="3"/>
  <c r="B337" i="3"/>
  <c r="L296" i="3"/>
  <c r="B296" i="3"/>
  <c r="L304" i="3"/>
  <c r="B304" i="3"/>
  <c r="L285" i="3"/>
  <c r="B285" i="3"/>
  <c r="L284" i="3"/>
  <c r="B284" i="3"/>
  <c r="L283" i="3"/>
  <c r="B283" i="3"/>
  <c r="L282" i="3"/>
  <c r="B282" i="3"/>
  <c r="L281" i="3"/>
  <c r="B281" i="3"/>
  <c r="L280" i="3"/>
  <c r="B280" i="3"/>
  <c r="L279" i="3"/>
  <c r="B279" i="3"/>
  <c r="L278" i="3"/>
  <c r="B278" i="3"/>
  <c r="L277" i="3"/>
  <c r="B277" i="3"/>
  <c r="L276" i="3"/>
  <c r="B276" i="3"/>
  <c r="L275" i="3"/>
  <c r="B275" i="3"/>
  <c r="L274" i="3"/>
  <c r="B274" i="3"/>
  <c r="L273" i="3"/>
  <c r="B273" i="3"/>
  <c r="L272" i="3"/>
  <c r="B272" i="3"/>
  <c r="L271" i="3"/>
  <c r="B271" i="3"/>
  <c r="L270" i="3"/>
  <c r="B270" i="3"/>
  <c r="L269" i="3"/>
  <c r="B269" i="3"/>
  <c r="L268" i="3"/>
  <c r="B268" i="3"/>
  <c r="L267" i="3"/>
  <c r="B267" i="3"/>
  <c r="L266" i="3"/>
  <c r="B266" i="3"/>
  <c r="L265" i="3"/>
  <c r="B265" i="3"/>
  <c r="L264" i="3"/>
  <c r="B264" i="3"/>
  <c r="L263" i="3"/>
  <c r="B263" i="3"/>
  <c r="L262" i="3"/>
  <c r="B262" i="3"/>
  <c r="L261" i="3"/>
  <c r="B261" i="3"/>
  <c r="L260" i="3"/>
  <c r="B260" i="3"/>
  <c r="L259" i="3"/>
  <c r="B259" i="3"/>
  <c r="L258" i="3"/>
  <c r="B258" i="3"/>
  <c r="L257" i="3"/>
  <c r="B257" i="3"/>
  <c r="L256" i="3"/>
  <c r="B256" i="3"/>
  <c r="L255" i="3"/>
  <c r="B255" i="3"/>
  <c r="L254" i="3"/>
  <c r="B254" i="3"/>
  <c r="L253" i="3"/>
  <c r="B253" i="3"/>
  <c r="L252" i="3"/>
  <c r="B252" i="3"/>
  <c r="L251" i="3"/>
  <c r="B251" i="3"/>
  <c r="L250" i="3"/>
  <c r="B250" i="3"/>
  <c r="L249" i="3"/>
  <c r="B249" i="3"/>
  <c r="L248" i="3"/>
  <c r="B248" i="3"/>
  <c r="L247" i="3"/>
  <c r="B247" i="3"/>
  <c r="L246" i="3"/>
  <c r="B246" i="3"/>
  <c r="L245" i="3"/>
  <c r="B245" i="3"/>
  <c r="L244" i="3"/>
  <c r="B244" i="3"/>
  <c r="L243" i="3"/>
  <c r="B243" i="3"/>
  <c r="L242" i="3"/>
  <c r="B242" i="3"/>
  <c r="L241" i="3"/>
  <c r="B241" i="3"/>
  <c r="L240" i="3"/>
  <c r="B240" i="3"/>
  <c r="L239" i="3"/>
  <c r="B239" i="3"/>
  <c r="L238" i="3"/>
  <c r="B238" i="3"/>
  <c r="L237" i="3"/>
  <c r="B237" i="3"/>
  <c r="L236" i="3"/>
  <c r="B236" i="3"/>
  <c r="L235" i="3"/>
  <c r="B235" i="3"/>
  <c r="L234" i="3"/>
  <c r="B234" i="3"/>
  <c r="L233" i="3"/>
  <c r="B233" i="3"/>
  <c r="L232" i="3"/>
  <c r="B232" i="3"/>
  <c r="L231" i="3"/>
  <c r="B231" i="3"/>
  <c r="L230" i="3"/>
  <c r="B230" i="3"/>
  <c r="L229" i="3"/>
  <c r="B229" i="3"/>
  <c r="L228" i="3"/>
  <c r="B228" i="3"/>
  <c r="L227" i="3"/>
  <c r="B227" i="3"/>
  <c r="L226" i="3"/>
  <c r="B226" i="3"/>
  <c r="L225" i="3"/>
  <c r="B225" i="3"/>
  <c r="L224" i="3"/>
  <c r="B224" i="3"/>
  <c r="L223" i="3"/>
  <c r="B223" i="3"/>
  <c r="L222" i="3"/>
  <c r="B222" i="3"/>
  <c r="L221" i="3"/>
  <c r="B221" i="3"/>
  <c r="L220" i="3"/>
  <c r="B220" i="3"/>
  <c r="L219" i="3"/>
  <c r="B219" i="3"/>
  <c r="L218" i="3"/>
  <c r="B218" i="3"/>
  <c r="L217" i="3"/>
  <c r="B217" i="3"/>
  <c r="L216" i="3"/>
  <c r="B216" i="3"/>
  <c r="L215" i="3"/>
  <c r="B215" i="3"/>
  <c r="L214" i="3"/>
  <c r="B214" i="3"/>
  <c r="L213" i="3"/>
  <c r="B213" i="3"/>
  <c r="L212" i="3"/>
  <c r="B212" i="3"/>
  <c r="L211" i="3"/>
  <c r="B211" i="3"/>
  <c r="L210" i="3"/>
  <c r="B210" i="3"/>
  <c r="L209" i="3"/>
  <c r="B209" i="3"/>
  <c r="L208" i="3"/>
  <c r="B208" i="3"/>
  <c r="L207" i="3"/>
  <c r="B207" i="3"/>
  <c r="L206" i="3"/>
  <c r="B206" i="3"/>
  <c r="L205" i="3"/>
  <c r="B205" i="3"/>
  <c r="L204" i="3"/>
  <c r="B204" i="3"/>
  <c r="L203" i="3"/>
  <c r="B203" i="3"/>
  <c r="L202" i="3"/>
  <c r="B202" i="3"/>
  <c r="L201" i="3"/>
  <c r="B201" i="3"/>
  <c r="L200" i="3"/>
  <c r="B200" i="3"/>
  <c r="L199" i="3"/>
  <c r="B199" i="3"/>
  <c r="L198" i="3"/>
  <c r="B198" i="3"/>
  <c r="L197" i="3"/>
  <c r="B197" i="3"/>
  <c r="L196" i="3"/>
  <c r="B196" i="3"/>
  <c r="L195" i="3"/>
  <c r="B195" i="3"/>
  <c r="L194" i="3"/>
  <c r="B194" i="3"/>
  <c r="L193" i="3"/>
  <c r="B193" i="3"/>
  <c r="L192" i="3"/>
  <c r="B192" i="3"/>
  <c r="L191" i="3"/>
  <c r="B191" i="3"/>
  <c r="L190" i="3"/>
  <c r="B190" i="3"/>
  <c r="L189" i="3"/>
  <c r="B189" i="3"/>
  <c r="L188" i="3"/>
  <c r="B188" i="3"/>
  <c r="L187" i="3"/>
  <c r="B187" i="3"/>
  <c r="L186" i="3"/>
  <c r="B186" i="3"/>
  <c r="L185" i="3"/>
  <c r="B185" i="3"/>
  <c r="L184" i="3"/>
  <c r="B184" i="3"/>
  <c r="L183" i="3"/>
  <c r="B183" i="3"/>
  <c r="L182" i="3"/>
  <c r="B182" i="3"/>
  <c r="L181" i="3"/>
  <c r="B181" i="3"/>
  <c r="L180" i="3"/>
  <c r="B180" i="3"/>
  <c r="L179" i="3"/>
  <c r="B179" i="3"/>
  <c r="L178" i="3"/>
  <c r="B178" i="3"/>
  <c r="L177" i="3"/>
  <c r="B177" i="3"/>
  <c r="L176" i="3"/>
  <c r="B176" i="3"/>
  <c r="L175" i="3"/>
  <c r="B175" i="3"/>
  <c r="L174" i="3"/>
  <c r="B174" i="3"/>
  <c r="L173" i="3"/>
  <c r="B173" i="3"/>
  <c r="L172" i="3"/>
  <c r="B172" i="3"/>
  <c r="L171" i="3"/>
  <c r="B171" i="3"/>
  <c r="L170" i="3"/>
  <c r="B170" i="3"/>
  <c r="L169" i="3"/>
  <c r="B169" i="3"/>
  <c r="L168" i="3"/>
  <c r="B168" i="3"/>
  <c r="L167" i="3"/>
  <c r="B167" i="3"/>
  <c r="L166" i="3"/>
  <c r="B166" i="3"/>
  <c r="L165" i="3"/>
  <c r="B165" i="3"/>
  <c r="L164" i="3"/>
  <c r="B164" i="3"/>
  <c r="L163" i="3"/>
  <c r="B163" i="3"/>
  <c r="L162" i="3"/>
  <c r="B162" i="3"/>
  <c r="L161" i="3"/>
  <c r="B161" i="3"/>
  <c r="L160" i="3"/>
  <c r="B160" i="3"/>
  <c r="L159" i="3"/>
  <c r="B159" i="3"/>
  <c r="L158" i="3"/>
  <c r="B158" i="3"/>
  <c r="L157" i="3"/>
  <c r="B157" i="3"/>
  <c r="L156" i="3"/>
  <c r="B156" i="3"/>
  <c r="L155" i="3"/>
  <c r="B155" i="3"/>
  <c r="L154" i="3"/>
  <c r="B154" i="3"/>
  <c r="L153" i="3"/>
  <c r="B153" i="3"/>
  <c r="L152" i="3"/>
  <c r="B152" i="3"/>
  <c r="L151" i="3"/>
  <c r="B151" i="3"/>
  <c r="L150" i="3"/>
  <c r="B150" i="3"/>
  <c r="L149" i="3"/>
  <c r="B149" i="3"/>
  <c r="L148" i="3"/>
  <c r="B148" i="3"/>
  <c r="L147" i="3"/>
  <c r="B147" i="3"/>
  <c r="L146" i="3"/>
  <c r="B146" i="3"/>
  <c r="L145" i="3"/>
  <c r="B145" i="3"/>
  <c r="L144" i="3"/>
  <c r="B144" i="3"/>
  <c r="L143" i="3"/>
  <c r="B143" i="3"/>
  <c r="L142" i="3"/>
  <c r="B142" i="3"/>
  <c r="L141" i="3"/>
  <c r="B141" i="3"/>
  <c r="L140" i="3"/>
  <c r="B140" i="3"/>
  <c r="L139" i="3"/>
  <c r="B139" i="3"/>
  <c r="L138" i="3"/>
  <c r="B138" i="3"/>
  <c r="L137" i="3"/>
  <c r="B137" i="3"/>
  <c r="L136" i="3"/>
  <c r="B136" i="3"/>
  <c r="L135" i="3"/>
  <c r="B135" i="3"/>
  <c r="L134" i="3"/>
  <c r="B134" i="3"/>
  <c r="L133" i="3"/>
  <c r="B133" i="3"/>
  <c r="L132" i="3"/>
  <c r="B132" i="3"/>
  <c r="L131" i="3"/>
  <c r="B131" i="3"/>
  <c r="L130" i="3"/>
  <c r="B130" i="3"/>
  <c r="L129" i="3"/>
  <c r="B129" i="3"/>
  <c r="L128" i="3"/>
  <c r="B128" i="3"/>
  <c r="L127" i="3"/>
  <c r="B127" i="3"/>
  <c r="L126" i="3"/>
  <c r="B126" i="3"/>
  <c r="L125" i="3"/>
  <c r="B125" i="3"/>
  <c r="L124" i="3"/>
  <c r="B124" i="3"/>
  <c r="L123" i="3"/>
  <c r="B123" i="3"/>
  <c r="L122" i="3"/>
  <c r="B122" i="3"/>
  <c r="L121" i="3"/>
  <c r="B121" i="3"/>
  <c r="L120" i="3"/>
  <c r="B120" i="3"/>
  <c r="L119" i="3"/>
  <c r="B119" i="3"/>
  <c r="L118" i="3"/>
  <c r="B118" i="3"/>
  <c r="L117" i="3"/>
  <c r="B117" i="3"/>
  <c r="L116" i="3"/>
  <c r="B116" i="3"/>
  <c r="L115" i="3"/>
  <c r="B115" i="3"/>
  <c r="L114" i="3"/>
  <c r="B114" i="3"/>
  <c r="L113" i="3"/>
  <c r="B113" i="3"/>
  <c r="L112" i="3"/>
  <c r="B112" i="3"/>
  <c r="L111" i="3"/>
  <c r="B111" i="3"/>
  <c r="L110" i="3"/>
  <c r="B110" i="3"/>
  <c r="L109" i="3"/>
  <c r="B109" i="3"/>
  <c r="L108" i="3"/>
  <c r="B108" i="3"/>
  <c r="L107" i="3"/>
  <c r="B107" i="3"/>
  <c r="L106" i="3"/>
  <c r="B106" i="3"/>
  <c r="L105" i="3"/>
  <c r="B105" i="3"/>
  <c r="L104" i="3"/>
  <c r="B104" i="3"/>
  <c r="L103" i="3"/>
  <c r="B103" i="3"/>
  <c r="L102" i="3"/>
  <c r="B102" i="3"/>
  <c r="L101" i="3"/>
  <c r="B101" i="3"/>
  <c r="L100" i="3"/>
  <c r="B100" i="3"/>
  <c r="L99" i="3"/>
  <c r="B99" i="3"/>
  <c r="L98" i="3"/>
  <c r="B98" i="3"/>
  <c r="L97" i="3"/>
  <c r="B97" i="3"/>
  <c r="L96" i="3"/>
  <c r="B96" i="3"/>
  <c r="L95" i="3"/>
  <c r="B95" i="3"/>
  <c r="L94" i="3"/>
  <c r="B94" i="3"/>
  <c r="L93" i="3"/>
  <c r="B93" i="3"/>
  <c r="L92" i="3"/>
  <c r="B92" i="3"/>
  <c r="L91" i="3"/>
  <c r="B91" i="3"/>
  <c r="L90" i="3"/>
  <c r="B90" i="3"/>
  <c r="L89" i="3"/>
  <c r="B89" i="3"/>
  <c r="L88" i="3"/>
  <c r="B88" i="3"/>
  <c r="L87" i="3"/>
  <c r="B87" i="3"/>
  <c r="L86" i="3"/>
  <c r="B86" i="3"/>
  <c r="L85" i="3"/>
  <c r="B85" i="3"/>
  <c r="L84" i="3"/>
  <c r="B84" i="3"/>
  <c r="L83" i="3"/>
  <c r="B83" i="3"/>
  <c r="L82" i="3"/>
  <c r="B82" i="3"/>
  <c r="L81" i="3"/>
  <c r="B81" i="3"/>
  <c r="L80" i="3"/>
  <c r="B80" i="3"/>
  <c r="L79" i="3"/>
  <c r="B79" i="3"/>
  <c r="L78" i="3"/>
  <c r="B78" i="3"/>
  <c r="L77" i="3"/>
  <c r="B77" i="3"/>
  <c r="L76" i="3"/>
  <c r="B76" i="3"/>
  <c r="L75" i="3"/>
  <c r="B75" i="3"/>
  <c r="L74" i="3"/>
  <c r="B74" i="3"/>
  <c r="L73" i="3"/>
  <c r="B73" i="3"/>
  <c r="L72" i="3"/>
  <c r="B72" i="3"/>
  <c r="L71" i="3"/>
  <c r="B71" i="3"/>
  <c r="L70" i="3"/>
  <c r="B70" i="3"/>
  <c r="L69" i="3"/>
  <c r="B69" i="3"/>
  <c r="L68" i="3"/>
  <c r="B68" i="3"/>
  <c r="L67" i="3"/>
  <c r="B67" i="3"/>
  <c r="L66" i="3"/>
  <c r="B66" i="3"/>
  <c r="L65" i="3"/>
  <c r="B65" i="3"/>
  <c r="L64" i="3"/>
  <c r="B64" i="3"/>
  <c r="L63" i="3"/>
  <c r="B63" i="3"/>
  <c r="L62" i="3"/>
  <c r="B62" i="3"/>
  <c r="L61" i="3"/>
  <c r="B61" i="3"/>
  <c r="L60" i="3"/>
  <c r="B60" i="3"/>
  <c r="L59" i="3"/>
  <c r="B59" i="3"/>
  <c r="L58" i="3"/>
  <c r="B58" i="3"/>
  <c r="L57" i="3"/>
  <c r="B57" i="3"/>
  <c r="L56" i="3"/>
  <c r="B56" i="3"/>
  <c r="L55" i="3"/>
  <c r="B55" i="3"/>
  <c r="L54" i="3"/>
  <c r="B54" i="3"/>
  <c r="L53" i="3"/>
  <c r="B53" i="3"/>
  <c r="L52" i="3"/>
  <c r="B52" i="3"/>
  <c r="L51" i="3"/>
  <c r="B51" i="3"/>
  <c r="L50" i="3"/>
  <c r="B50" i="3"/>
  <c r="L49" i="3"/>
  <c r="B49" i="3"/>
  <c r="L48" i="3"/>
  <c r="B48" i="3"/>
  <c r="L47" i="3"/>
  <c r="B47" i="3"/>
  <c r="L46" i="3"/>
  <c r="B46" i="3"/>
  <c r="L45" i="3"/>
  <c r="B45" i="3"/>
  <c r="L44" i="3"/>
  <c r="B44" i="3"/>
  <c r="L43" i="3"/>
  <c r="B43" i="3"/>
  <c r="L42" i="3"/>
  <c r="B42" i="3"/>
  <c r="L41" i="3"/>
  <c r="B41" i="3"/>
  <c r="L40" i="3"/>
  <c r="B40" i="3"/>
  <c r="L39" i="3"/>
  <c r="B39" i="3"/>
  <c r="L38" i="3"/>
  <c r="B38" i="3"/>
  <c r="L37" i="3"/>
  <c r="B37" i="3"/>
  <c r="L36" i="3"/>
  <c r="B36" i="3"/>
  <c r="L35" i="3"/>
  <c r="B35" i="3"/>
  <c r="L34" i="3"/>
  <c r="B34" i="3"/>
  <c r="L33" i="3"/>
  <c r="B33" i="3"/>
  <c r="L32" i="3"/>
  <c r="B32" i="3"/>
  <c r="L31" i="3"/>
  <c r="B31" i="3"/>
  <c r="L30" i="3"/>
  <c r="B30" i="3"/>
  <c r="L29" i="3"/>
  <c r="B29" i="3"/>
  <c r="L28" i="3"/>
  <c r="B28" i="3"/>
  <c r="L27" i="3"/>
  <c r="B27" i="3"/>
  <c r="L26" i="3"/>
  <c r="B26" i="3"/>
  <c r="L25" i="3"/>
  <c r="B25" i="3"/>
  <c r="L24" i="3"/>
  <c r="B24" i="3"/>
  <c r="L23" i="3"/>
  <c r="B23" i="3"/>
  <c r="L22" i="3"/>
  <c r="B22" i="3"/>
  <c r="L21" i="3"/>
  <c r="B21" i="3"/>
  <c r="L20" i="3"/>
  <c r="B20" i="3"/>
  <c r="L19" i="3"/>
  <c r="B19" i="3"/>
  <c r="L18" i="3"/>
  <c r="B18" i="3"/>
  <c r="L17" i="3"/>
  <c r="B17" i="3"/>
  <c r="L16" i="3"/>
  <c r="B16" i="3"/>
  <c r="L15" i="3"/>
  <c r="B15" i="3"/>
  <c r="L14" i="3"/>
  <c r="B14" i="3"/>
  <c r="L13" i="3"/>
  <c r="B13" i="3"/>
  <c r="L12" i="3"/>
  <c r="B12" i="3"/>
  <c r="L11" i="3"/>
  <c r="B11" i="3"/>
  <c r="L10" i="3"/>
  <c r="B10" i="3"/>
  <c r="L9" i="3"/>
  <c r="B9" i="3"/>
  <c r="L8" i="3"/>
  <c r="B8" i="3"/>
  <c r="L7" i="3"/>
  <c r="B7" i="3"/>
  <c r="L6" i="3"/>
  <c r="B6" i="3"/>
  <c r="L5" i="3"/>
  <c r="B5" i="3"/>
  <c r="L4" i="3"/>
  <c r="B4" i="3"/>
  <c r="L3" i="3"/>
  <c r="B3" i="3"/>
</calcChain>
</file>

<file path=xl/sharedStrings.xml><?xml version="1.0" encoding="utf-8"?>
<sst xmlns="http://schemas.openxmlformats.org/spreadsheetml/2006/main" count="2451" uniqueCount="583">
  <si>
    <t>SEPTA 프로젝트 원가분석 (순수우진제작 VS BA충족시)</t>
    <phoneticPr fontId="1" type="noConversion"/>
  </si>
  <si>
    <t>제품코드</t>
    <phoneticPr fontId="1" type="noConversion"/>
  </si>
  <si>
    <t>제품명</t>
    <phoneticPr fontId="1" type="noConversion"/>
  </si>
  <si>
    <t>NO</t>
    <phoneticPr fontId="1" type="noConversion"/>
  </si>
  <si>
    <t>LEVEL</t>
  </si>
  <si>
    <t>품목코드</t>
  </si>
  <si>
    <t>도면번호</t>
  </si>
  <si>
    <t>군</t>
  </si>
  <si>
    <t>품명</t>
  </si>
  <si>
    <t>규격/재질</t>
  </si>
  <si>
    <t>수량</t>
  </si>
  <si>
    <t>SET</t>
    <phoneticPr fontId="1" type="noConversion"/>
  </si>
  <si>
    <t>총량</t>
    <phoneticPr fontId="1" type="noConversion"/>
  </si>
  <si>
    <t>조달</t>
    <phoneticPr fontId="1" type="noConversion"/>
  </si>
  <si>
    <t>구매처</t>
  </si>
  <si>
    <t>01.__.__.__.__.__.__</t>
  </si>
  <si>
    <t>R1D1361-21500( b)(1)</t>
  </si>
  <si>
    <t>BRACKET</t>
  </si>
  <si>
    <t>ASS'Y/</t>
  </si>
  <si>
    <t>외작</t>
  </si>
  <si>
    <t>보성엔지니어링</t>
  </si>
  <si>
    <t>02.__.__.__.__.__.__</t>
  </si>
  <si>
    <t>R1D1361-21500( b)(2)</t>
  </si>
  <si>
    <t>MIC CAP</t>
  </si>
  <si>
    <t>03.__.__.__.__.__.__</t>
  </si>
  <si>
    <t>GRAND</t>
  </si>
  <si>
    <t>PG7/ASS'Y</t>
  </si>
  <si>
    <t>내자</t>
  </si>
  <si>
    <t>은강반도체</t>
  </si>
  <si>
    <t>04.__.__.__.__.__.__</t>
  </si>
  <si>
    <t>MICRO PHONE</t>
  </si>
  <si>
    <t>AOM-4544P-2R/</t>
  </si>
  <si>
    <t>05.__.__.__.__.__.__</t>
  </si>
  <si>
    <t>CONNECTOR(7PIN PLUG)</t>
  </si>
  <si>
    <t>FRITS4106F14S-07SB0F6/</t>
  </si>
  <si>
    <t>외자</t>
  </si>
  <si>
    <t>햄머</t>
  </si>
  <si>
    <t>06.__.__.__.__.__.__</t>
  </si>
  <si>
    <t>SOCKET(16s SIZE)</t>
  </si>
  <si>
    <t>10-40552G117/</t>
  </si>
  <si>
    <t>07.__.__.__.__.__.__</t>
  </si>
  <si>
    <t>CONNECTOR(7 PIN RECEP)</t>
  </si>
  <si>
    <t>FRITS4100F14S-07PB0G1F6/</t>
  </si>
  <si>
    <t>08.__.__.__.__.__.__</t>
  </si>
  <si>
    <t>PIN(16s SIZE)</t>
  </si>
  <si>
    <t>10-40553G117/</t>
  </si>
  <si>
    <t>09.__.__.__.__.__.__</t>
  </si>
  <si>
    <t>SEALING PLUG</t>
  </si>
  <si>
    <t>10-305045-16/</t>
  </si>
  <si>
    <t>10.__.__.__.__.__.__</t>
  </si>
  <si>
    <t>R1D1359-21672( c)(12)</t>
  </si>
  <si>
    <t>NAME PLATE</t>
  </si>
  <si>
    <t>ANSM/</t>
  </si>
  <si>
    <t>구영에스피(주)</t>
  </si>
  <si>
    <t>11.__.__.__.__.__.__</t>
  </si>
  <si>
    <t>CABLE</t>
  </si>
  <si>
    <t>100G1121-0.75-2/6/ASS'Y</t>
  </si>
  <si>
    <t>명진전기</t>
  </si>
  <si>
    <t>이지파워</t>
  </si>
  <si>
    <t>CONNECTOR</t>
  </si>
  <si>
    <t>만희기전(주)</t>
  </si>
  <si>
    <t>WIRE</t>
  </si>
  <si>
    <t>100G0111-1.50-0/</t>
  </si>
  <si>
    <t>FRAME ASS'Y</t>
  </si>
  <si>
    <t>__.01.__.__.__.__.__</t>
  </si>
  <si>
    <t>FRAME</t>
  </si>
  <si>
    <t>__.02.__.__.__.__.__</t>
  </si>
  <si>
    <t>외작</t>
    <phoneticPr fontId="1" type="noConversion"/>
  </si>
  <si>
    <t>R1D1362-21508( b)</t>
  </si>
  <si>
    <t>세일ENGINEERING</t>
  </si>
  <si>
    <t>R1D1362-21509( a)</t>
  </si>
  <si>
    <t>PLATE</t>
  </si>
  <si>
    <t>R1D1362-21510( b)</t>
  </si>
  <si>
    <t>R1D1362-21512</t>
  </si>
  <si>
    <t>TOUCH SCREEN UNIT</t>
  </si>
  <si>
    <t>MN070000ACD 7Inch WIDE/</t>
  </si>
  <si>
    <t>동도테크(주)</t>
  </si>
  <si>
    <t>TFT-LCD UNIT</t>
  </si>
  <si>
    <t>LMS700KF05/</t>
  </si>
  <si>
    <t>R1D1362-21511( c)</t>
  </si>
  <si>
    <t>COVER</t>
  </si>
  <si>
    <t>CONNECTOR(19PIN RECEP)</t>
  </si>
  <si>
    <t>FRITS4102R22-14PB0G1F6/</t>
  </si>
  <si>
    <t>CONNECTOR(19PIN 90PLUG)</t>
  </si>
  <si>
    <t>FRITS4108F22-14SB0F6/</t>
  </si>
  <si>
    <t>R1D1359-21673(7)</t>
  </si>
  <si>
    <t>CCP/</t>
  </si>
  <si>
    <t>SOCKET(16 SIZE)</t>
  </si>
  <si>
    <t>10-40556G117/</t>
  </si>
  <si>
    <t>PIN(16 SIZE)</t>
  </si>
  <si>
    <t>10-40557G117/</t>
  </si>
  <si>
    <t>12.__.__.__.__.__.__</t>
  </si>
  <si>
    <t>PIN(16 SIZE SMALL)</t>
  </si>
  <si>
    <t>10-40557-13G117/</t>
  </si>
  <si>
    <t>13.__.__.__.__.__.__</t>
  </si>
  <si>
    <t>CCP CONTROL BOARD</t>
  </si>
  <si>
    <t>IC</t>
  </si>
  <si>
    <t>MAX1480ECEPI/</t>
  </si>
  <si>
    <t>위니프로(주)</t>
  </si>
  <si>
    <t>IC SOCKET</t>
  </si>
  <si>
    <t>28P-WIDE/금도금사양</t>
  </si>
  <si>
    <t>14.__.__.__.__.__.__</t>
  </si>
  <si>
    <t>MICRO SPEAKER</t>
  </si>
  <si>
    <t>R1508RiW15(0.5W, 8Ω)/</t>
  </si>
  <si>
    <t>15.__.__.__.__.__.__</t>
  </si>
  <si>
    <t>CCP POWER BOARD</t>
  </si>
  <si>
    <t>WMS150B-12 Rev.A0//</t>
  </si>
  <si>
    <t>이지파워</t>
    <phoneticPr fontId="1" type="noConversion"/>
  </si>
  <si>
    <t>CH TRADING CORPORATION</t>
  </si>
  <si>
    <t>16.__.__.__.__.__.__</t>
  </si>
  <si>
    <t>R1D1355-22141</t>
  </si>
  <si>
    <t>WIRING DIAGRAM</t>
  </si>
  <si>
    <t>CCP WIRING DIAGRAM/</t>
  </si>
  <si>
    <t>내작</t>
  </si>
  <si>
    <t>100G0111-0.75-0/</t>
  </si>
  <si>
    <t>100G0111-0.5-0/</t>
  </si>
  <si>
    <t>__.03.__.__.__.__.__</t>
  </si>
  <si>
    <t>100G1121-0.5-2/6/</t>
  </si>
  <si>
    <t>__.04.__.__.__.__.__</t>
  </si>
  <si>
    <t>PLUG</t>
  </si>
  <si>
    <t>5557-06R/</t>
  </si>
  <si>
    <t>__.05.__.__.__.__.__</t>
  </si>
  <si>
    <t>5557-04R/</t>
  </si>
  <si>
    <t>__.06.__.__.__.__.__</t>
  </si>
  <si>
    <t>TERMINAL</t>
  </si>
  <si>
    <t>5556, AWG18-24/</t>
  </si>
  <si>
    <t>__.07.__.__.__.__.__</t>
  </si>
  <si>
    <t>HOUSING</t>
  </si>
  <si>
    <t>SMH250-16V/</t>
  </si>
  <si>
    <t>__.08.__.__.__.__.__</t>
  </si>
  <si>
    <t>CRIMP TERMINAL</t>
  </si>
  <si>
    <t>YST025/</t>
  </si>
  <si>
    <t>17.__.__.__.__.__.__</t>
  </si>
  <si>
    <t>R1D1359-23620</t>
  </si>
  <si>
    <t>/PVC, BLACK</t>
  </si>
  <si>
    <t>R1D1358-21429</t>
  </si>
  <si>
    <t>R1D1358-21430( b)</t>
  </si>
  <si>
    <t>SPEAKER</t>
  </si>
  <si>
    <t>CW-100B25/</t>
  </si>
  <si>
    <t>KNOB</t>
  </si>
  <si>
    <t>F9/내경 6.4파이/</t>
  </si>
  <si>
    <t>R1D1358-22128</t>
  </si>
  <si>
    <t>VOLUME CONTROL</t>
  </si>
  <si>
    <t>VW50/</t>
  </si>
  <si>
    <t>DuraCap International Inc.</t>
  </si>
  <si>
    <t>VM50 키홈 가공</t>
  </si>
  <si>
    <t>/</t>
  </si>
  <si>
    <t>광진테크(주)</t>
  </si>
  <si>
    <t>R1D1358-21432( a)</t>
  </si>
  <si>
    <t>R1D1359-21672( c)(3)</t>
  </si>
  <si>
    <t>CSP/</t>
  </si>
  <si>
    <t>R1D1358-21431( a)</t>
  </si>
  <si>
    <t>231-603/019-000/</t>
  </si>
  <si>
    <t>231-103/037-000/</t>
  </si>
  <si>
    <t>PHONE JACK</t>
  </si>
  <si>
    <t>H40580130N/</t>
  </si>
  <si>
    <t>CABLE GRAND</t>
  </si>
  <si>
    <t>PG9/</t>
  </si>
  <si>
    <t>RECEPTACLE</t>
  </si>
  <si>
    <t>165565-2/</t>
  </si>
  <si>
    <t>R1D1358-21437( a)</t>
  </si>
  <si>
    <t>R1D1358-21439( b)</t>
  </si>
  <si>
    <t>R1D1358-21435( a)</t>
  </si>
  <si>
    <t>GASCKET</t>
  </si>
  <si>
    <t>R1D1358-21436( a)</t>
  </si>
  <si>
    <t>RUBBER BUSH</t>
  </si>
  <si>
    <t>Φ10*1.2t/ASS'Y</t>
  </si>
  <si>
    <t>FERRULES SLEEVE</t>
  </si>
  <si>
    <t>0.75SQ, 6mm/</t>
  </si>
  <si>
    <t>R1D1355-21795( b)</t>
  </si>
  <si>
    <t>R1D1355-21796</t>
  </si>
  <si>
    <t>R1D1355-21793( b)</t>
  </si>
  <si>
    <t>R1D1355-21794( a)</t>
  </si>
  <si>
    <t>HINGE</t>
  </si>
  <si>
    <t>HS-2638-F/SUS 304</t>
  </si>
  <si>
    <t>크린퓨어(주)</t>
  </si>
  <si>
    <t>LED MODULE UNIT</t>
  </si>
  <si>
    <t>ODTLM-096CY-16A1/</t>
  </si>
  <si>
    <t>오디텍(주)</t>
  </si>
  <si>
    <t>ODTLM-096CF-16B1/</t>
  </si>
  <si>
    <t>CABLE ASS'Y</t>
  </si>
  <si>
    <t>LED 전원,테이타 케이블 1식/</t>
  </si>
  <si>
    <t>FDI POWER BOARD</t>
  </si>
  <si>
    <t>WMS200B-5 Rev.A0//</t>
  </si>
  <si>
    <t>CONTROL BOARD</t>
  </si>
  <si>
    <t>SP-LEDC-A0//</t>
  </si>
  <si>
    <t>앤츠(주)</t>
  </si>
  <si>
    <t>LED SENSOR BOARD</t>
  </si>
  <si>
    <t>CONNECTOR(17PIN RECEP)</t>
  </si>
  <si>
    <t>FRITS4100F20-29PB0G1F6/</t>
  </si>
  <si>
    <t>CONNECTOR(17PIN PLUG)</t>
  </si>
  <si>
    <t>FRITS4106F20-29SB0F6/</t>
  </si>
  <si>
    <t>PHILLIPS RECESS</t>
  </si>
  <si>
    <t>D3-316-713-190/</t>
  </si>
  <si>
    <t>한국사우스코(유)</t>
  </si>
  <si>
    <t>18.__.__.__.__.__.__</t>
  </si>
  <si>
    <t>RECEPTACLE SLIP ON</t>
  </si>
  <si>
    <t>D3-336-330-190/</t>
  </si>
  <si>
    <t>19.__.__.__.__.__.__</t>
  </si>
  <si>
    <t>RECEPTACLE SLIP N</t>
  </si>
  <si>
    <t>D3-326-101-200/</t>
  </si>
  <si>
    <t>20.__.__.__.__.__.__</t>
  </si>
  <si>
    <t>6MM CPU HEAD EMBELISHR</t>
  </si>
  <si>
    <t>D3-376-001-049/</t>
  </si>
  <si>
    <t>21.__.__.__.__.__.__</t>
  </si>
  <si>
    <t>EJECTOR SPRING STAINLESS</t>
  </si>
  <si>
    <t>D4-EHF5-3-950-QA/</t>
  </si>
  <si>
    <t>22.__.__.__.__.__.__</t>
  </si>
  <si>
    <t>R1D1359-21673(4)</t>
  </si>
  <si>
    <t>FDI/</t>
  </si>
  <si>
    <t>23.__.__.__.__.__.__</t>
  </si>
  <si>
    <t>R1D1355-22138</t>
  </si>
  <si>
    <t>FDI WIRING DIAGRAM/</t>
  </si>
  <si>
    <t>5557-18/</t>
  </si>
  <si>
    <t>CONNECTOR HOUSING</t>
  </si>
  <si>
    <t>5557-08R/</t>
  </si>
  <si>
    <t>5557-10R/</t>
  </si>
  <si>
    <t>R1D1358-21441( b)</t>
  </si>
  <si>
    <t>R1D1358-21440( b)</t>
  </si>
  <si>
    <t>R1D1358-21506</t>
  </si>
  <si>
    <t>ST-ISPB-A1//</t>
  </si>
  <si>
    <t>R1D1358-21799</t>
  </si>
  <si>
    <t>TRANSFORMER</t>
  </si>
  <si>
    <t>삼익전자산업(주)</t>
  </si>
  <si>
    <t>231-608/019-000/</t>
  </si>
  <si>
    <t>231-108/037-000/</t>
  </si>
  <si>
    <t>Φ15*t1.6/ASS'Y</t>
  </si>
  <si>
    <t>R1D1359-21672( c)(2)</t>
  </si>
  <si>
    <t>ISP/</t>
  </si>
  <si>
    <t>R1D1358-21604( b)</t>
  </si>
  <si>
    <t>ISP WIRING</t>
  </si>
  <si>
    <t>(주)우진</t>
  </si>
  <si>
    <t>5557-2R/</t>
  </si>
  <si>
    <t>JUMPER PLUG ASS'Y</t>
  </si>
  <si>
    <t>SEPTA용/</t>
  </si>
  <si>
    <t>JUMPER RECEPTACLE ASS'Y</t>
  </si>
  <si>
    <t>통신 CABLE ASS'Y</t>
  </si>
  <si>
    <t>COAXIAL CABLE ASS'Y</t>
  </si>
  <si>
    <t>HAMSPS-01-001/</t>
  </si>
  <si>
    <t>HAMSPS-01-002/</t>
  </si>
  <si>
    <t>HAMSPS-01-003/</t>
  </si>
  <si>
    <t>HAMSPS-01-004/</t>
  </si>
  <si>
    <t>HAMSPS-01-005/</t>
  </si>
  <si>
    <t>HAMSPS-01-006/</t>
  </si>
  <si>
    <t>HAMSPS-01-007/</t>
  </si>
  <si>
    <t>HAMSPS-01-008/</t>
  </si>
  <si>
    <t>__.09.__.__.__.__.__</t>
  </si>
  <si>
    <t>HAMSPS-01-009/</t>
  </si>
  <si>
    <t>__.10.__.__.__.__.__</t>
  </si>
  <si>
    <t>HAMSPS-01-010/</t>
  </si>
  <si>
    <t>__.11.__.__.__.__.__</t>
  </si>
  <si>
    <t>HAMSPS-01-011/</t>
  </si>
  <si>
    <t>__.12.__.__.__.__.__</t>
  </si>
  <si>
    <t>HAMSPS-01-012/</t>
  </si>
  <si>
    <t>__.13.__.__.__.__.__</t>
  </si>
  <si>
    <t>HAMSPS-01-013/</t>
  </si>
  <si>
    <t>__.14.__.__.__.__.__</t>
  </si>
  <si>
    <t>HAMSPS-01-014/</t>
  </si>
  <si>
    <t>__.15.__.__.__.__.__</t>
  </si>
  <si>
    <t>HAMSPS-01-015/</t>
  </si>
  <si>
    <t>__.16.__.__.__.__.__</t>
  </si>
  <si>
    <t>HAMSPS-01-016/</t>
  </si>
  <si>
    <t>__.17.__.__.__.__.__</t>
  </si>
  <si>
    <t>HAMSPS-01-017/</t>
  </si>
  <si>
    <t>__.18.__.__.__.__.__</t>
  </si>
  <si>
    <t>HAMSPS-01-018/</t>
  </si>
  <si>
    <t>__.19.__.__.__.__.__</t>
  </si>
  <si>
    <t>HAMSPS-01-019/</t>
  </si>
  <si>
    <t>__.20.__.__.__.__.__</t>
  </si>
  <si>
    <t>HAMSPS-01-020/</t>
  </si>
  <si>
    <t>__.21.__.__.__.__.__</t>
  </si>
  <si>
    <t>HAMSPS-01-021/</t>
  </si>
  <si>
    <t>__.22.__.__.__.__.__</t>
  </si>
  <si>
    <t>HAMSPS-01-022/</t>
  </si>
  <si>
    <t>조립제작</t>
    <phoneticPr fontId="1" type="noConversion"/>
  </si>
  <si>
    <t>CH TRADING CORPORATION</t>
    <phoneticPr fontId="1" type="noConversion"/>
  </si>
  <si>
    <t>R1D1355-21398(Aa)</t>
  </si>
  <si>
    <t>MAIN FRAME</t>
  </si>
  <si>
    <t>R1D1355-21399(A )</t>
  </si>
  <si>
    <t>R1D1355-21400( a)</t>
  </si>
  <si>
    <t>ASS'Y/P.C</t>
  </si>
  <si>
    <t>TFT-LCD</t>
  </si>
  <si>
    <t>LTM190BT03/</t>
  </si>
  <si>
    <t>아이텍코리아(주)</t>
  </si>
  <si>
    <t>INVERTER BOARD &amp; CABLE</t>
  </si>
  <si>
    <t>GH317A+CABLE/</t>
  </si>
  <si>
    <t>R1D1355-21401( a)</t>
  </si>
  <si>
    <t>BURNDY CONNECTOR</t>
  </si>
  <si>
    <t>UTP01412P/</t>
  </si>
  <si>
    <t>엠비콘넥터(주)</t>
  </si>
  <si>
    <t>UTP61412S/</t>
  </si>
  <si>
    <t>CABLE CLAMP</t>
  </si>
  <si>
    <t>UTG14AC/</t>
  </si>
  <si>
    <t>SOCKET</t>
  </si>
  <si>
    <t>RC16M23K/</t>
  </si>
  <si>
    <t>RM16M23K/</t>
  </si>
  <si>
    <t>CONNECTOR(7PIN RECEP)</t>
  </si>
  <si>
    <t>FRITS4102R14S-07PB0G1F6/</t>
  </si>
  <si>
    <t>FRITS4102R16S-1PB0G1F6/</t>
  </si>
  <si>
    <t>FRITS4106F16S-1SB0F6/</t>
  </si>
  <si>
    <t>R1D1359-21672( c)(1)</t>
  </si>
  <si>
    <t>PID1/</t>
  </si>
  <si>
    <t>PID POWER BOARD</t>
  </si>
  <si>
    <t>WMS150B-12(EGPOWER)//</t>
  </si>
  <si>
    <t>이지파워</t>
    <phoneticPr fontId="1" type="noConversion"/>
  </si>
  <si>
    <t>COXIAL RX BOARD</t>
  </si>
  <si>
    <t>ST-VRXB-A1(ANTS)//</t>
  </si>
  <si>
    <t>Φ19*t1.6/ASS'Y</t>
  </si>
  <si>
    <t>24.__.__.__.__.__.__</t>
  </si>
  <si>
    <t>25.__.__.__.__.__.__</t>
  </si>
  <si>
    <t>26.__.__.__.__.__.__</t>
  </si>
  <si>
    <t>6MM RIVET PLATE RECEPT</t>
  </si>
  <si>
    <t>D3-336-400-190/</t>
  </si>
  <si>
    <t>27.__.__.__.__.__.__</t>
  </si>
  <si>
    <t>TAMPER-RESISTANT</t>
  </si>
  <si>
    <t>D3-316-620-190/</t>
  </si>
  <si>
    <t>28.__.__.__.__.__.__</t>
  </si>
  <si>
    <t>COVER STOPPER</t>
  </si>
  <si>
    <t>29.__.__.__.__.__.__</t>
  </si>
  <si>
    <t>R1D1355-22135</t>
  </si>
  <si>
    <t>PID1 WIRING DIAGRAM/</t>
  </si>
  <si>
    <t>CON-HOUSING</t>
  </si>
  <si>
    <t>5557-14R/</t>
  </si>
  <si>
    <t>R1D1356-21405( b)</t>
  </si>
  <si>
    <t>R1D1356-21408( a)</t>
  </si>
  <si>
    <t>PC COVER</t>
  </si>
  <si>
    <t>R1D1356-21406(A )</t>
  </si>
  <si>
    <t>R1D1356-21664( a)</t>
  </si>
  <si>
    <t>R1D1356-21407( b)</t>
  </si>
  <si>
    <t>R1D1356-21505</t>
  </si>
  <si>
    <t>R1D1359-21673(1)</t>
  </si>
  <si>
    <t>PID2/</t>
  </si>
  <si>
    <t>FRITS4102R20-29PB0G1F6/</t>
  </si>
  <si>
    <t>R1D1355-22136</t>
  </si>
  <si>
    <t>PID2 WIRING DIAGRAM/</t>
  </si>
  <si>
    <t>CLAMP MOUNT</t>
  </si>
  <si>
    <t>M4/</t>
  </si>
  <si>
    <t>R1C1355-05554( b)</t>
  </si>
  <si>
    <t>R1C1355-05555( a)</t>
  </si>
  <si>
    <t>R1D1355-21788( a)</t>
  </si>
  <si>
    <t>R1D1355-21695</t>
  </si>
  <si>
    <t>LED COVER</t>
  </si>
  <si>
    <t>ASS'Y/PC COVER</t>
  </si>
  <si>
    <t>R1D1355-21683( a)</t>
  </si>
  <si>
    <t>R1D1355-21789( a)</t>
  </si>
  <si>
    <t>LED MODULE</t>
  </si>
  <si>
    <t>ODTLM-064CY-16B1/</t>
  </si>
  <si>
    <t>PII POWER BOARD</t>
  </si>
  <si>
    <t>R1D1359-21673(2)</t>
  </si>
  <si>
    <t>PII/</t>
  </si>
  <si>
    <t>R1D1355-22137</t>
  </si>
  <si>
    <t>PII WIRING DIAGRAM/</t>
  </si>
  <si>
    <t>5557-16/</t>
  </si>
  <si>
    <t>R1C1355-05541( a)</t>
  </si>
  <si>
    <t>R1C1355-05542</t>
  </si>
  <si>
    <t>R1D1355-21680( a)</t>
  </si>
  <si>
    <t>R1C1355-05543( a)</t>
  </si>
  <si>
    <t>R1D1355-21682( a)</t>
  </si>
  <si>
    <t>SDI POWER BOARD</t>
  </si>
  <si>
    <t>R1D1359-21673(3)</t>
  </si>
  <si>
    <t>SDI/</t>
  </si>
  <si>
    <t>FRITS4100F22-14PB0G1F6/</t>
  </si>
  <si>
    <t>CONNECTOR(19PIN PLUG)</t>
  </si>
  <si>
    <t>FRITS4106F22-14SB0F6/</t>
  </si>
  <si>
    <t>R1D1355-22139</t>
  </si>
  <si>
    <t>SDI WIRING DIAGRAM/</t>
  </si>
  <si>
    <t>CONNECTOR(10PIN RECEP)</t>
  </si>
  <si>
    <t>FRITS4102R18-1PB0G1F6/</t>
  </si>
  <si>
    <t>윈클시스템</t>
  </si>
  <si>
    <t>CRIME TERMINAL</t>
  </si>
  <si>
    <t>0087000589/</t>
  </si>
  <si>
    <t>SUPPORT</t>
  </si>
  <si>
    <t>R1D1361-21494( a)</t>
  </si>
  <si>
    <t>231-606/019-000/</t>
  </si>
  <si>
    <t>231-106/037-000/</t>
  </si>
  <si>
    <t>R1D1355-21519</t>
  </si>
  <si>
    <t>COMMUNICATION RACK A (2/2)</t>
  </si>
  <si>
    <t>R1D1355-21627</t>
  </si>
  <si>
    <t>BACK BOARD</t>
  </si>
  <si>
    <t>SP-BPB-A2/</t>
  </si>
  <si>
    <t>CORDING TAP</t>
  </si>
  <si>
    <t>033014/</t>
  </si>
  <si>
    <t>R1D1355-21800</t>
  </si>
  <si>
    <t>PSA BOARD ASS'Y</t>
  </si>
  <si>
    <t>WMQ300D-M Rev.A0//</t>
  </si>
  <si>
    <t>R1D1355-21801</t>
  </si>
  <si>
    <t>PSA FRONT PLATE</t>
  </si>
  <si>
    <t>t2.5/AL</t>
  </si>
  <si>
    <t>__.__.01.__.__.__.__</t>
  </si>
  <si>
    <t>HANDLE</t>
  </si>
  <si>
    <t>3685.589/</t>
  </si>
  <si>
    <t>__.__.02.__.__.__.__</t>
  </si>
  <si>
    <t>PCB HOLDER</t>
  </si>
  <si>
    <t>3685.198/</t>
  </si>
  <si>
    <t>PSA PCB BOARD</t>
  </si>
  <si>
    <t>R1D1355-21802</t>
  </si>
  <si>
    <t>PSA CIRCUIT DIAGRAM</t>
  </si>
  <si>
    <t>R1D1355-21803</t>
  </si>
  <si>
    <t>SCB BOARD ASS'Y</t>
  </si>
  <si>
    <t>R1D1355-21804</t>
  </si>
  <si>
    <t>SCB FRONT PLATE</t>
  </si>
  <si>
    <t>SCB PCB BOARD</t>
  </si>
  <si>
    <t>알에프컴(주)</t>
  </si>
  <si>
    <t>R1D1355-21805</t>
  </si>
  <si>
    <t>SCB CIRCUIT DIAGRAM</t>
  </si>
  <si>
    <t>PIN(16s SIZE SMALL)</t>
  </si>
  <si>
    <t>10-40553-13G117/</t>
  </si>
  <si>
    <t>R1D1355-22129</t>
  </si>
  <si>
    <t>SCB WIRING DIAGRAM/</t>
  </si>
  <si>
    <t>__.__.03.__.__.__.__</t>
  </si>
  <si>
    <t>35155-1000/</t>
  </si>
  <si>
    <t>__.__.04.__.__.__.__</t>
  </si>
  <si>
    <t>35155-0900/</t>
  </si>
  <si>
    <t>__.__.05.__.__.__.__</t>
  </si>
  <si>
    <t>__.__.06.__.__.__.__</t>
  </si>
  <si>
    <t>__.__.07.__.__.__.__</t>
  </si>
  <si>
    <t>R1D1355-21806</t>
  </si>
  <si>
    <t>LIC BOARD ASS'Y</t>
  </si>
  <si>
    <t>R1D1355-21807</t>
  </si>
  <si>
    <t>LIC FRONT PLATE</t>
  </si>
  <si>
    <t>LIC PCB BOARD</t>
  </si>
  <si>
    <t>FIBER PIPE</t>
  </si>
  <si>
    <t>7511A62/</t>
  </si>
  <si>
    <t>R1D1355-22130</t>
  </si>
  <si>
    <t>LIC WIRING DIAGRAM/</t>
  </si>
  <si>
    <t>R1D1355-21808</t>
  </si>
  <si>
    <t>WLR BOARD ASS'Y</t>
  </si>
  <si>
    <t>R1D1355-21809</t>
  </si>
  <si>
    <t>WLR FRONT PLATE</t>
  </si>
  <si>
    <t>WLR PCB BOARD</t>
  </si>
  <si>
    <t>ACCESS POINT</t>
  </si>
  <si>
    <t>3CRWE776075A/</t>
  </si>
  <si>
    <t>BCJ-JR/</t>
  </si>
  <si>
    <t>BNC CABLE ASS'Y</t>
  </si>
  <si>
    <t>BNC-C/316/</t>
  </si>
  <si>
    <t>STRAIGHT PLUG</t>
  </si>
  <si>
    <t>SMAP-C-316(REVERCE)/</t>
  </si>
  <si>
    <t>Cable</t>
  </si>
  <si>
    <t>RG-316 CABLE/</t>
  </si>
  <si>
    <t>무한테크</t>
  </si>
  <si>
    <t>XS2P-D422-2/</t>
  </si>
  <si>
    <t>WLR WIRING DIAGRAM</t>
  </si>
  <si>
    <t>35155-0400/</t>
  </si>
  <si>
    <t>BNCP-SMAP/SJ-405-039</t>
  </si>
  <si>
    <t>ø1.35-SMA-BJ/150mm</t>
  </si>
  <si>
    <t>R1D1355-21810</t>
  </si>
  <si>
    <t>GIA BOARD ASS'Y</t>
  </si>
  <si>
    <t>R1D1355-21811</t>
  </si>
  <si>
    <t>GIA FRONT PLATE</t>
  </si>
  <si>
    <t>GIA PCB BOARD</t>
  </si>
  <si>
    <t>임베디드솔루션(주)</t>
  </si>
  <si>
    <t>MAX1480EAEPI/</t>
  </si>
  <si>
    <t>123-211/</t>
  </si>
  <si>
    <t>R1D1355-21812</t>
  </si>
  <si>
    <t>VTX BOARD ASS'Y</t>
  </si>
  <si>
    <t>R1D1355-21813</t>
  </si>
  <si>
    <t>VTX FRONT PLATE</t>
  </si>
  <si>
    <t>VTX PCB BOARD</t>
  </si>
  <si>
    <t>R1D1355-21814</t>
  </si>
  <si>
    <t>HDD BOARD ASS'Y</t>
  </si>
  <si>
    <t>R1D1355-21815</t>
  </si>
  <si>
    <t>HDD FRONT PLATE</t>
  </si>
  <si>
    <t>HDD PCB BOARD</t>
  </si>
  <si>
    <t>R1D1355-21816</t>
  </si>
  <si>
    <t>CNCS BOARD ASS'Y</t>
  </si>
  <si>
    <t>R1D1355-21817</t>
  </si>
  <si>
    <t>CNCS FRONT PLATE</t>
  </si>
  <si>
    <t>CNCS PCB BOARD</t>
  </si>
  <si>
    <t>CONGA</t>
  </si>
  <si>
    <t>CONGA-X945/L2400/</t>
  </si>
  <si>
    <t>__.__.__.01.__.__.__</t>
  </si>
  <si>
    <t>CONGA HEAT SINK</t>
  </si>
  <si>
    <t>AL/</t>
  </si>
  <si>
    <t>CONNECTOR(10PIN PLUG)</t>
  </si>
  <si>
    <t>FRITS4106F18-1SB0F6/</t>
  </si>
  <si>
    <t>R1D1359-22246</t>
  </si>
  <si>
    <t>CNCS WIRING DIAGRAM</t>
  </si>
  <si>
    <t>35155-0600/</t>
  </si>
  <si>
    <t>R1D1355-22279</t>
  </si>
  <si>
    <t>ACETAL/</t>
  </si>
  <si>
    <t>정상E.N.G.</t>
  </si>
  <si>
    <t>R1D1355-21818</t>
  </si>
  <si>
    <t>PAC(INT) BOARD ASS'Y</t>
  </si>
  <si>
    <t>R1D1355-21819</t>
  </si>
  <si>
    <t>PAC(INT) FRONT PLATE</t>
  </si>
  <si>
    <t>PAC(INT) PCB BOARD</t>
  </si>
  <si>
    <t>R1D1355-21820</t>
  </si>
  <si>
    <t>PAC(INT) CIRCUIT DIAGRAM</t>
  </si>
  <si>
    <t>R1D1355-21837</t>
  </si>
  <si>
    <t>PAC(INT) WIRING DAIGRAM</t>
  </si>
  <si>
    <t>R1D1355-21821</t>
  </si>
  <si>
    <t>PAC(MCU) BOARD ASS'Y</t>
  </si>
  <si>
    <t>R1D1355-21822</t>
  </si>
  <si>
    <t>PAC(MCU) FRONT PLATE</t>
  </si>
  <si>
    <t>PAC(MCU) PCB BOARD</t>
  </si>
  <si>
    <t>R1D1355-21823</t>
  </si>
  <si>
    <t>PAC(MCU) CIRCUIT DIAGRAM-01</t>
  </si>
  <si>
    <t>R1D1355-21824</t>
  </si>
  <si>
    <t>PAC(MCU) CIRCUIT DIAGRAM-02</t>
  </si>
  <si>
    <t>R1D1355-21838</t>
  </si>
  <si>
    <t>PAC(MCU) WIRING DAIGRAM</t>
  </si>
  <si>
    <t>R1D1355-21825</t>
  </si>
  <si>
    <t>AUDIO AMPLIFIER BOARD ASS'Y</t>
  </si>
  <si>
    <t>R1D1355-21628</t>
  </si>
  <si>
    <t>AUDIO AMPLIFIER FRONT PLATE</t>
  </si>
  <si>
    <t>R1D1355-22131</t>
  </si>
  <si>
    <t>VOL PCB BOARD</t>
  </si>
  <si>
    <t>PCB EJECTORS</t>
  </si>
  <si>
    <t>CP-06WE/</t>
  </si>
  <si>
    <t>R1D1355-21827</t>
  </si>
  <si>
    <t>VOL CIRCUIT DIAGRAM-01</t>
  </si>
  <si>
    <t>R1D1355-21828</t>
  </si>
  <si>
    <t>VOL CIRCUIT DIAGRAM-02</t>
  </si>
  <si>
    <t>R1D1355-21839</t>
  </si>
  <si>
    <t>PAC(VOL) WIRING DAIGRAM</t>
  </si>
  <si>
    <t>RS485 PCB BOARD</t>
  </si>
  <si>
    <t>R1D1355-21829</t>
  </si>
  <si>
    <t>RS485 CIRCUIT DIAGRAM-01</t>
  </si>
  <si>
    <t>R1D1355-21840</t>
  </si>
  <si>
    <t>PAC(RS485) WIRING DAIGRAM</t>
  </si>
  <si>
    <t>1-796409-1/</t>
  </si>
  <si>
    <t>206305-1/</t>
  </si>
  <si>
    <t>CONNECTOR PIN</t>
  </si>
  <si>
    <t>1-66359-4/</t>
  </si>
  <si>
    <t>796382-2/</t>
  </si>
  <si>
    <t>R1D1355-21830</t>
  </si>
  <si>
    <t>AAB ASS'Y</t>
  </si>
  <si>
    <t>R1D1355-21629</t>
  </si>
  <si>
    <t>AAB FRONT PLATE</t>
  </si>
  <si>
    <t>AAB PCB BOARD-01</t>
  </si>
  <si>
    <t>AAB PCB BOARD-02</t>
  </si>
  <si>
    <t>R1D1355-21831</t>
  </si>
  <si>
    <t>POWER SUPPLY</t>
  </si>
  <si>
    <t>WMS300-36 Rev.A0(EGPOWER)//</t>
  </si>
  <si>
    <t>R1D1355-21832</t>
  </si>
  <si>
    <t>AAB POWER SUPPLY CIRCUIT DIAGRAM</t>
  </si>
  <si>
    <t>R1D1355-21833</t>
  </si>
  <si>
    <t>AAB CIRCUIT DIAGRAM</t>
  </si>
  <si>
    <t>R1D1355-21834</t>
  </si>
  <si>
    <t>AAB WIRING DIAGRAM</t>
  </si>
  <si>
    <t>F-25/</t>
  </si>
  <si>
    <t>PCB SUPPORT</t>
  </si>
  <si>
    <t>F-10/</t>
  </si>
  <si>
    <t>SUF-10(F-type), M3X10mm/</t>
  </si>
  <si>
    <t>SUF-25(F-type), M3X25mm/</t>
  </si>
  <si>
    <t>RACK ASS'Y</t>
  </si>
  <si>
    <t>SEPTA CRA, CRB용/AL</t>
  </si>
  <si>
    <t>RACK 소재</t>
  </si>
  <si>
    <t>SEPTA CRA용/AL</t>
  </si>
  <si>
    <t>RACK 소재가공</t>
  </si>
  <si>
    <t>EMBEDDED XP</t>
  </si>
  <si>
    <t>EMBEDDED XP/</t>
  </si>
  <si>
    <t>R1D1355-23907</t>
  </si>
  <si>
    <t>WLAN-AP ASS'Y</t>
  </si>
  <si>
    <t>WIRELESS ACCESS POINT</t>
  </si>
  <si>
    <t>AIR-AP1242AG-A-K9/ASSY</t>
  </si>
  <si>
    <t>R1D1355-24785</t>
  </si>
  <si>
    <t>t=2/EGI</t>
  </si>
  <si>
    <t>R1D1355-24786</t>
  </si>
  <si>
    <t>BAND</t>
  </si>
  <si>
    <t>t=1/SPCC</t>
  </si>
  <si>
    <t>R1D1355-24787</t>
  </si>
  <si>
    <t>RUBBER</t>
  </si>
  <si>
    <t>t=1/EPDM FORM</t>
  </si>
  <si>
    <t>NUT</t>
  </si>
  <si>
    <t>M4/STS304</t>
  </si>
  <si>
    <t>SPRING WASHER</t>
  </si>
  <si>
    <t>M4/STSC304</t>
  </si>
  <si>
    <t>P.WASHER</t>
  </si>
  <si>
    <t>R1D1355-24788</t>
  </si>
  <si>
    <t>PANEL</t>
  </si>
  <si>
    <t>R1D1359-21672( h)(17)</t>
  </si>
  <si>
    <t>WAP/</t>
  </si>
  <si>
    <t>R1D1355-24280(2)</t>
  </si>
  <si>
    <t>GIA COAXIAL CABLE</t>
  </si>
  <si>
    <t>RG400,5M,BNCP&amp;NP CONNECTOR/ASS'Y</t>
  </si>
  <si>
    <t>R1D1355-24280(3)</t>
  </si>
  <si>
    <t>WIRELESS AP COAXIAL CABLE</t>
  </si>
  <si>
    <t>RG400,5M,TNC&amp;NP CONNECTOR/ASS'Y</t>
  </si>
  <si>
    <t>R1D1359-21672( h)(18)</t>
  </si>
  <si>
    <t>CRA/</t>
  </si>
  <si>
    <t>R1D1355-24804</t>
  </si>
  <si>
    <t>WLR AP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</si>
</sst>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@\ \ \ \ \ \ \ \ \ \ \ \ \ \ \ "/>
    <numFmt numFmtId="179" formatCode="0.0_ "/>
    <numFmt numFmtId="180" formatCode="0%\ \ "/>
  </numFmts>
  <fonts count="16">
    <font>
      <sz val="10"/>
      <color theme="1"/>
      <name val="굴림체"/>
      <family val="2"/>
      <charset val="129"/>
    </font>
    <font>
      <sz val="8"/>
      <name val="굴림체"/>
      <family val="2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sz val="12"/>
      <name val="뼻뮝"/>
      <family val="3"/>
      <charset val="129"/>
    </font>
    <font>
      <sz val="12"/>
      <name val="바탕체"/>
      <family val="1"/>
      <charset val="129"/>
    </font>
    <font>
      <sz val="10"/>
      <color theme="1"/>
      <name val="굴림체"/>
      <family val="3"/>
      <charset val="129"/>
    </font>
    <font>
      <b/>
      <sz val="10"/>
      <name val="Helv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1"/>
      <name val="Helv"/>
      <family val="2"/>
    </font>
    <font>
      <sz val="11"/>
      <name val="Arial"/>
      <family val="2"/>
    </font>
    <font>
      <sz val="10"/>
      <color indexed="8"/>
      <name val="Arial"/>
      <family val="2"/>
    </font>
    <font>
      <sz val="10"/>
      <color theme="1"/>
      <name val="굴림체"/>
      <family val="2"/>
      <charset val="129"/>
    </font>
    <font>
      <sz val="10"/>
      <color indexed="8"/>
      <name val="굴림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4" fillId="0" borderId="0"/>
    <xf numFmtId="41" fontId="2" fillId="0" borderId="0" applyFont="0" applyFill="0" applyBorder="0" applyAlignment="0" applyProtection="0"/>
    <xf numFmtId="176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6" fillId="0" borderId="0">
      <alignment vertical="center"/>
    </xf>
    <xf numFmtId="0" fontId="3" fillId="0" borderId="0">
      <alignment vertical="center"/>
    </xf>
    <xf numFmtId="0" fontId="7" fillId="0" borderId="0"/>
    <xf numFmtId="176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8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" fillId="0" borderId="0"/>
    <xf numFmtId="38" fontId="9" fillId="2" borderId="0" applyNumberFormat="0" applyBorder="0" applyAlignment="0" applyProtection="0"/>
    <xf numFmtId="0" fontId="10" fillId="0" borderId="0">
      <alignment horizontal="left"/>
    </xf>
    <xf numFmtId="10" fontId="9" fillId="2" borderId="2" applyNumberFormat="0" applyBorder="0" applyAlignment="0" applyProtection="0"/>
    <xf numFmtId="0" fontId="11" fillId="0" borderId="1"/>
    <xf numFmtId="180" fontId="12" fillId="0" borderId="0"/>
    <xf numFmtId="0" fontId="8" fillId="0" borderId="0"/>
    <xf numFmtId="10" fontId="8" fillId="0" borderId="0" applyFont="0" applyFill="0" applyBorder="0" applyAlignment="0" applyProtection="0"/>
    <xf numFmtId="0" fontId="13" fillId="0" borderId="0"/>
    <xf numFmtId="0" fontId="11" fillId="0" borderId="0"/>
    <xf numFmtId="41" fontId="14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>
      <alignment vertical="center"/>
    </xf>
    <xf numFmtId="41" fontId="0" fillId="0" borderId="2" xfId="25" applyFont="1" applyBorder="1">
      <alignment vertical="center"/>
    </xf>
    <xf numFmtId="0" fontId="15" fillId="0" borderId="2" xfId="0" applyNumberFormat="1" applyFont="1" applyFill="1" applyBorder="1" applyAlignment="1">
      <alignment horizontal="center" vertical="center" wrapText="1"/>
    </xf>
    <xf numFmtId="0" fontId="15" fillId="3" borderId="2" xfId="0" applyNumberFormat="1" applyFont="1" applyFill="1" applyBorder="1" applyAlignment="1">
      <alignment horizontal="center" vertical="center" wrapText="1"/>
    </xf>
    <xf numFmtId="0" fontId="15" fillId="4" borderId="2" xfId="0" applyNumberFormat="1" applyFont="1" applyFill="1" applyBorder="1" applyAlignment="1">
      <alignment horizontal="center" vertical="center" wrapText="1"/>
    </xf>
    <xf numFmtId="0" fontId="0" fillId="3" borderId="2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0" xfId="0" applyFill="1">
      <alignment vertical="center"/>
    </xf>
    <xf numFmtId="0" fontId="15" fillId="5" borderId="2" xfId="0" applyNumberFormat="1" applyFont="1" applyFill="1" applyBorder="1" applyAlignment="1">
      <alignment horizontal="center" vertical="center" wrapText="1"/>
    </xf>
    <xf numFmtId="0" fontId="0" fillId="6" borderId="2" xfId="0" applyFill="1" applyBorder="1">
      <alignment vertical="center"/>
    </xf>
    <xf numFmtId="0" fontId="0" fillId="6" borderId="0" xfId="0" applyFill="1">
      <alignment vertical="center"/>
    </xf>
    <xf numFmtId="0" fontId="0" fillId="0" borderId="0" xfId="0" applyBorder="1">
      <alignment vertical="center"/>
    </xf>
  </cellXfs>
  <cellStyles count="26">
    <cellStyle name="category" xfId="10"/>
    <cellStyle name="Comma [0]_ SG&amp;A Bridge " xfId="11"/>
    <cellStyle name="Comma_ SG&amp;A Bridge " xfId="12"/>
    <cellStyle name="Currency [0]_ SG&amp;A Bridge " xfId="13"/>
    <cellStyle name="Currency_ SG&amp;A Bridge " xfId="14"/>
    <cellStyle name="Currency1" xfId="15"/>
    <cellStyle name="Grey" xfId="16"/>
    <cellStyle name="HEADER" xfId="17"/>
    <cellStyle name="Input [yellow]" xfId="18"/>
    <cellStyle name="Model" xfId="19"/>
    <cellStyle name="Normal - Style1" xfId="20"/>
    <cellStyle name="Normal_ SG&amp;A Bridge " xfId="21"/>
    <cellStyle name="Percent [2]" xfId="22"/>
    <cellStyle name="Standard_Tabelle2" xfId="23"/>
    <cellStyle name="subhead" xfId="24"/>
    <cellStyle name="백분율 2" xfId="3"/>
    <cellStyle name="백분율 3" xfId="1"/>
    <cellStyle name="뷭?_BOOKSHIP" xfId="4"/>
    <cellStyle name="쉼표 [0]" xfId="25" builtinId="6"/>
    <cellStyle name="쉼표 [0] 2" xfId="5"/>
    <cellStyle name="쉼표 [0] 3" xfId="2"/>
    <cellStyle name="콤마 [0]_0N-HANDLING" xfId="6"/>
    <cellStyle name="콤마_0N-HANDLING" xfId="7"/>
    <cellStyle name="표준" xfId="0" builtinId="0"/>
    <cellStyle name="표준 2" xfId="8"/>
    <cellStyle name="표준 3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EPTA&#50896;&#44032;&#48516;&#49437;%20100913(&#44608;&#48124;&#49437;&#44284;&#51109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"/>
      <sheetName val="실행-우진"/>
      <sheetName val="실행-우진총"/>
      <sheetName val="실행-BA"/>
      <sheetName val="실행-BA총"/>
      <sheetName val="분석방법"/>
      <sheetName val="단품수량"/>
      <sheetName val="BOM"/>
      <sheetName val="원가보고"/>
      <sheetName val="총발주"/>
      <sheetName val="피벗"/>
      <sheetName val="Sheet4"/>
      <sheetName val="BOM-원본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B5">
            <v>10005980</v>
          </cell>
          <cell r="C5" t="str">
            <v>(BZP)BUTTON BUZZER</v>
          </cell>
          <cell r="D5" t="str">
            <v>R1D1357-21416</v>
          </cell>
          <cell r="E5" t="str">
            <v>BZP</v>
          </cell>
          <cell r="F5">
            <v>6</v>
          </cell>
          <cell r="G5">
            <v>6</v>
          </cell>
          <cell r="H5">
            <v>6</v>
          </cell>
          <cell r="I5">
            <v>18</v>
          </cell>
          <cell r="J5">
            <v>54</v>
          </cell>
          <cell r="K5">
            <v>228</v>
          </cell>
          <cell r="L5">
            <v>492</v>
          </cell>
          <cell r="M5">
            <v>720</v>
          </cell>
          <cell r="N5">
            <v>720</v>
          </cell>
          <cell r="O5">
            <v>12</v>
          </cell>
          <cell r="P5">
            <v>732</v>
          </cell>
        </row>
        <row r="6">
          <cell r="B6">
            <v>10005981</v>
          </cell>
          <cell r="C6" t="str">
            <v>(DBZ)DOOR BUZZER ASS'Y</v>
          </cell>
          <cell r="D6" t="str">
            <v>R1D1357-21419</v>
          </cell>
          <cell r="E6" t="str">
            <v>DBZ</v>
          </cell>
          <cell r="F6">
            <v>4</v>
          </cell>
          <cell r="G6">
            <v>4</v>
          </cell>
          <cell r="H6">
            <v>4</v>
          </cell>
          <cell r="I6">
            <v>12</v>
          </cell>
          <cell r="J6">
            <v>36</v>
          </cell>
          <cell r="K6">
            <v>152</v>
          </cell>
          <cell r="L6">
            <v>328</v>
          </cell>
          <cell r="M6">
            <v>480</v>
          </cell>
          <cell r="N6">
            <v>480</v>
          </cell>
          <cell r="O6">
            <v>8</v>
          </cell>
          <cell r="P6">
            <v>488</v>
          </cell>
        </row>
        <row r="7">
          <cell r="B7">
            <v>10005982</v>
          </cell>
          <cell r="C7" t="str">
            <v>(CSP)CAB SPEAKER ASS'Y</v>
          </cell>
          <cell r="D7" t="str">
            <v>R1D1358-21410</v>
          </cell>
          <cell r="E7" t="str">
            <v>CSP</v>
          </cell>
          <cell r="F7">
            <v>2</v>
          </cell>
          <cell r="G7">
            <v>1</v>
          </cell>
          <cell r="H7">
            <v>1</v>
          </cell>
          <cell r="I7">
            <v>4</v>
          </cell>
          <cell r="J7">
            <v>12</v>
          </cell>
          <cell r="K7">
            <v>76</v>
          </cell>
          <cell r="L7">
            <v>82</v>
          </cell>
          <cell r="M7">
            <v>158</v>
          </cell>
          <cell r="N7">
            <v>158</v>
          </cell>
          <cell r="O7">
            <v>5</v>
          </cell>
          <cell r="P7">
            <v>163</v>
          </cell>
        </row>
        <row r="8">
          <cell r="B8">
            <v>10005983</v>
          </cell>
          <cell r="C8" t="str">
            <v>(ISP)INTERIOR SPEAKER</v>
          </cell>
          <cell r="D8" t="str">
            <v>R1D1358-21438</v>
          </cell>
          <cell r="E8" t="str">
            <v>ISP</v>
          </cell>
          <cell r="F8">
            <v>8</v>
          </cell>
          <cell r="G8">
            <v>8</v>
          </cell>
          <cell r="H8">
            <v>8</v>
          </cell>
          <cell r="I8">
            <v>24</v>
          </cell>
          <cell r="J8">
            <v>72</v>
          </cell>
          <cell r="K8">
            <v>304</v>
          </cell>
          <cell r="L8">
            <v>656</v>
          </cell>
          <cell r="M8">
            <v>960</v>
          </cell>
          <cell r="N8">
            <v>960</v>
          </cell>
          <cell r="O8">
            <v>24</v>
          </cell>
          <cell r="P8">
            <v>984</v>
          </cell>
        </row>
        <row r="9">
          <cell r="B9">
            <v>10005984</v>
          </cell>
          <cell r="C9" t="str">
            <v>(ANSM)ANS MICROPHONE ASS'Y</v>
          </cell>
          <cell r="D9" t="str">
            <v>R1D1361-21499</v>
          </cell>
          <cell r="E9" t="str">
            <v>ANSM</v>
          </cell>
          <cell r="F9">
            <v>1</v>
          </cell>
          <cell r="G9">
            <v>1</v>
          </cell>
          <cell r="H9">
            <v>1</v>
          </cell>
          <cell r="I9">
            <v>3</v>
          </cell>
          <cell r="J9">
            <v>9</v>
          </cell>
          <cell r="K9">
            <v>38</v>
          </cell>
          <cell r="L9">
            <v>82</v>
          </cell>
          <cell r="M9">
            <v>120</v>
          </cell>
          <cell r="N9">
            <v>120</v>
          </cell>
          <cell r="O9">
            <v>8</v>
          </cell>
          <cell r="P9">
            <v>128</v>
          </cell>
        </row>
        <row r="10">
          <cell r="B10">
            <v>10005986</v>
          </cell>
          <cell r="C10" t="str">
            <v>(CRA)COMMUNICATION RACK A (1/2)</v>
          </cell>
          <cell r="D10" t="str">
            <v>R1D1355-21518</v>
          </cell>
          <cell r="E10" t="str">
            <v>CRA</v>
          </cell>
          <cell r="F10">
            <v>1</v>
          </cell>
          <cell r="G10">
            <v>1</v>
          </cell>
          <cell r="I10">
            <v>2</v>
          </cell>
          <cell r="J10">
            <v>6</v>
          </cell>
          <cell r="K10">
            <v>38</v>
          </cell>
          <cell r="L10">
            <v>41</v>
          </cell>
          <cell r="M10">
            <v>79</v>
          </cell>
          <cell r="N10">
            <v>41</v>
          </cell>
          <cell r="P10">
            <v>79</v>
          </cell>
        </row>
        <row r="11">
          <cell r="B11">
            <v>10005987</v>
          </cell>
          <cell r="C11" t="str">
            <v>(CRB)COMMUNICATION RACK B (1/2)</v>
          </cell>
          <cell r="D11" t="str">
            <v>R1D1355-21520</v>
          </cell>
          <cell r="E11" t="str">
            <v>CRB</v>
          </cell>
          <cell r="F11">
            <v>1</v>
          </cell>
          <cell r="H11">
            <v>1</v>
          </cell>
          <cell r="I11">
            <v>2</v>
          </cell>
          <cell r="J11">
            <v>6</v>
          </cell>
          <cell r="K11">
            <v>38</v>
          </cell>
          <cell r="L11">
            <v>41</v>
          </cell>
          <cell r="M11">
            <v>79</v>
          </cell>
          <cell r="N11">
            <v>79</v>
          </cell>
          <cell r="O11">
            <v>5</v>
          </cell>
          <cell r="P11">
            <v>84</v>
          </cell>
        </row>
        <row r="12">
          <cell r="B12">
            <v>10005988</v>
          </cell>
          <cell r="C12" t="str">
            <v>(ESP)EXTERIOR SPEAKER</v>
          </cell>
          <cell r="D12" t="str">
            <v>R1D1358-21433</v>
          </cell>
          <cell r="E12" t="str">
            <v>ESP</v>
          </cell>
          <cell r="F12">
            <v>4</v>
          </cell>
          <cell r="G12">
            <v>4</v>
          </cell>
          <cell r="H12">
            <v>4</v>
          </cell>
          <cell r="I12">
            <v>12</v>
          </cell>
          <cell r="J12">
            <v>36</v>
          </cell>
          <cell r="K12">
            <v>152</v>
          </cell>
          <cell r="L12">
            <v>328</v>
          </cell>
          <cell r="M12">
            <v>480</v>
          </cell>
          <cell r="N12">
            <v>480</v>
          </cell>
          <cell r="O12">
            <v>12</v>
          </cell>
          <cell r="P12">
            <v>492</v>
          </cell>
        </row>
        <row r="13">
          <cell r="B13">
            <v>10005989</v>
          </cell>
          <cell r="C13" t="str">
            <v>(PID1)LCD PASSENGER INFORMATION ASS'Y</v>
          </cell>
          <cell r="D13" t="str">
            <v>R1C1355-05496</v>
          </cell>
          <cell r="E13" t="str">
            <v>PID1</v>
          </cell>
          <cell r="F13">
            <v>4</v>
          </cell>
          <cell r="G13">
            <v>4</v>
          </cell>
          <cell r="H13">
            <v>4</v>
          </cell>
          <cell r="I13">
            <v>12</v>
          </cell>
          <cell r="J13">
            <v>36</v>
          </cell>
          <cell r="K13">
            <v>152</v>
          </cell>
          <cell r="L13">
            <v>328</v>
          </cell>
          <cell r="M13">
            <v>480</v>
          </cell>
          <cell r="N13">
            <v>480</v>
          </cell>
          <cell r="O13">
            <v>12</v>
          </cell>
          <cell r="P13">
            <v>492</v>
          </cell>
        </row>
        <row r="14">
          <cell r="B14">
            <v>10005990</v>
          </cell>
          <cell r="C14" t="str">
            <v>(PID2)LCD PASSENGER INFORMATION DISPLAY</v>
          </cell>
          <cell r="D14" t="str">
            <v>R1C1356-05497</v>
          </cell>
          <cell r="E14" t="str">
            <v>PID2</v>
          </cell>
          <cell r="F14">
            <v>2</v>
          </cell>
          <cell r="G14">
            <v>2</v>
          </cell>
          <cell r="H14">
            <v>2</v>
          </cell>
          <cell r="I14">
            <v>6</v>
          </cell>
          <cell r="J14">
            <v>18</v>
          </cell>
          <cell r="K14">
            <v>76</v>
          </cell>
          <cell r="L14">
            <v>164</v>
          </cell>
          <cell r="M14">
            <v>240</v>
          </cell>
          <cell r="N14">
            <v>240</v>
          </cell>
          <cell r="O14">
            <v>6</v>
          </cell>
          <cell r="P14">
            <v>246</v>
          </cell>
        </row>
        <row r="15">
          <cell r="B15">
            <v>10005991</v>
          </cell>
          <cell r="C15" t="str">
            <v>(PII)LED PASSENGER INFORMATION INDICATOR</v>
          </cell>
          <cell r="D15" t="str">
            <v>R1C1355-05556</v>
          </cell>
          <cell r="E15" t="str">
            <v>PII</v>
          </cell>
          <cell r="F15">
            <v>2</v>
          </cell>
          <cell r="G15">
            <v>2</v>
          </cell>
          <cell r="H15">
            <v>2</v>
          </cell>
          <cell r="I15">
            <v>6</v>
          </cell>
          <cell r="J15">
            <v>18</v>
          </cell>
          <cell r="K15">
            <v>76</v>
          </cell>
          <cell r="L15">
            <v>164</v>
          </cell>
          <cell r="M15">
            <v>240</v>
          </cell>
          <cell r="N15">
            <v>240</v>
          </cell>
          <cell r="O15">
            <v>6</v>
          </cell>
          <cell r="P15">
            <v>246</v>
          </cell>
        </row>
        <row r="16">
          <cell r="B16">
            <v>10005992</v>
          </cell>
          <cell r="C16" t="str">
            <v>(FDI)LED FRONT DESTINATION SIGN</v>
          </cell>
          <cell r="D16" t="str">
            <v>R1C1355-05560</v>
          </cell>
          <cell r="E16" t="str">
            <v>FDI</v>
          </cell>
          <cell r="F16">
            <v>2</v>
          </cell>
          <cell r="G16">
            <v>1</v>
          </cell>
          <cell r="H16">
            <v>1</v>
          </cell>
          <cell r="I16">
            <v>4</v>
          </cell>
          <cell r="J16">
            <v>12</v>
          </cell>
          <cell r="K16">
            <v>76</v>
          </cell>
          <cell r="L16">
            <v>82</v>
          </cell>
          <cell r="M16">
            <v>158</v>
          </cell>
          <cell r="N16">
            <v>158</v>
          </cell>
          <cell r="O16">
            <v>6</v>
          </cell>
          <cell r="P16">
            <v>164</v>
          </cell>
        </row>
        <row r="17">
          <cell r="B17">
            <v>10005993</v>
          </cell>
          <cell r="C17" t="str">
            <v>(SDI)LED SIDE DESTINATION INDICATOR</v>
          </cell>
          <cell r="D17" t="str">
            <v>R1C1355-05559</v>
          </cell>
          <cell r="E17" t="str">
            <v>SDI</v>
          </cell>
          <cell r="F17">
            <v>4</v>
          </cell>
          <cell r="G17">
            <v>4</v>
          </cell>
          <cell r="H17">
            <v>4</v>
          </cell>
          <cell r="I17">
            <v>12</v>
          </cell>
          <cell r="J17">
            <v>36</v>
          </cell>
          <cell r="K17">
            <v>152</v>
          </cell>
          <cell r="L17">
            <v>328</v>
          </cell>
          <cell r="M17">
            <v>480</v>
          </cell>
          <cell r="N17">
            <v>240</v>
          </cell>
          <cell r="O17">
            <v>12</v>
          </cell>
          <cell r="P17">
            <v>492</v>
          </cell>
        </row>
        <row r="18">
          <cell r="B18">
            <v>10005994</v>
          </cell>
          <cell r="C18" t="str">
            <v>(TRA)ANTENNA CAB RADIO</v>
          </cell>
          <cell r="E18" t="str">
            <v>TRA</v>
          </cell>
          <cell r="F18">
            <v>2</v>
          </cell>
          <cell r="G18">
            <v>1</v>
          </cell>
          <cell r="H18">
            <v>1</v>
          </cell>
          <cell r="I18">
            <v>4</v>
          </cell>
          <cell r="J18">
            <v>12</v>
          </cell>
          <cell r="K18">
            <v>76</v>
          </cell>
          <cell r="L18">
            <v>82</v>
          </cell>
          <cell r="M18">
            <v>158</v>
          </cell>
          <cell r="N18">
            <v>158</v>
          </cell>
          <cell r="P18">
            <v>158</v>
          </cell>
        </row>
        <row r="19">
          <cell r="B19">
            <v>10005995</v>
          </cell>
          <cell r="C19" t="str">
            <v>(WGA)ANTENNA GPS</v>
          </cell>
          <cell r="E19" t="str">
            <v>WGA</v>
          </cell>
          <cell r="F19">
            <v>1</v>
          </cell>
          <cell r="G19">
            <v>1</v>
          </cell>
          <cell r="I19">
            <v>2</v>
          </cell>
          <cell r="J19">
            <v>6</v>
          </cell>
          <cell r="K19">
            <v>38</v>
          </cell>
          <cell r="L19">
            <v>41</v>
          </cell>
          <cell r="M19">
            <v>79</v>
          </cell>
          <cell r="N19">
            <v>79</v>
          </cell>
          <cell r="P19">
            <v>79</v>
          </cell>
        </row>
        <row r="20">
          <cell r="B20">
            <v>10005996</v>
          </cell>
          <cell r="C20" t="str">
            <v>(TMP)CAB TEXT MASSAGE PRINTER</v>
          </cell>
          <cell r="D20" t="str">
            <v>R1C1359-05502</v>
          </cell>
          <cell r="E20" t="str">
            <v>TMP</v>
          </cell>
          <cell r="F20">
            <v>2</v>
          </cell>
          <cell r="G20">
            <v>1</v>
          </cell>
          <cell r="H20">
            <v>1</v>
          </cell>
          <cell r="I20">
            <v>4</v>
          </cell>
          <cell r="J20">
            <v>12</v>
          </cell>
          <cell r="K20">
            <v>76</v>
          </cell>
          <cell r="L20">
            <v>82</v>
          </cell>
          <cell r="M20">
            <v>158</v>
          </cell>
          <cell r="N20">
            <v>158</v>
          </cell>
          <cell r="O20">
            <v>5</v>
          </cell>
          <cell r="P20">
            <v>163</v>
          </cell>
        </row>
        <row r="21">
          <cell r="B21">
            <v>10005997</v>
          </cell>
          <cell r="C21" t="str">
            <v>(CCP)TERMINAL ATAS/AVL</v>
          </cell>
          <cell r="D21" t="str">
            <v>R1D1362-21507</v>
          </cell>
          <cell r="E21" t="str">
            <v>CCP</v>
          </cell>
          <cell r="F21">
            <v>2</v>
          </cell>
          <cell r="G21">
            <v>1</v>
          </cell>
          <cell r="H21">
            <v>1</v>
          </cell>
          <cell r="I21">
            <v>4</v>
          </cell>
          <cell r="J21">
            <v>12</v>
          </cell>
          <cell r="K21">
            <v>76</v>
          </cell>
          <cell r="L21">
            <v>82</v>
          </cell>
          <cell r="M21">
            <v>158</v>
          </cell>
          <cell r="N21">
            <v>158</v>
          </cell>
          <cell r="O21">
            <v>6</v>
          </cell>
          <cell r="P21">
            <v>164</v>
          </cell>
        </row>
        <row r="22">
          <cell r="B22">
            <v>10005998</v>
          </cell>
          <cell r="C22" t="str">
            <v>(CBZ)BUZZER COMMUNICATION</v>
          </cell>
          <cell r="E22" t="str">
            <v>CBZ</v>
          </cell>
          <cell r="F22">
            <v>4</v>
          </cell>
          <cell r="G22">
            <v>3</v>
          </cell>
          <cell r="H22">
            <v>3</v>
          </cell>
          <cell r="I22">
            <v>10</v>
          </cell>
          <cell r="J22">
            <v>30</v>
          </cell>
          <cell r="K22">
            <v>152</v>
          </cell>
          <cell r="L22">
            <v>246</v>
          </cell>
          <cell r="M22">
            <v>398</v>
          </cell>
          <cell r="N22">
            <v>357</v>
          </cell>
          <cell r="O22">
            <v>8</v>
          </cell>
          <cell r="P22">
            <v>406</v>
          </cell>
        </row>
        <row r="23">
          <cell r="B23">
            <v>10005999</v>
          </cell>
          <cell r="C23" t="str">
            <v>(TRF)TRANSFORMER</v>
          </cell>
          <cell r="D23" t="str">
            <v>R1D1361-21493</v>
          </cell>
          <cell r="E23" t="str">
            <v>TRF</v>
          </cell>
          <cell r="F23">
            <v>4</v>
          </cell>
          <cell r="G23">
            <v>4</v>
          </cell>
          <cell r="H23">
            <v>4</v>
          </cell>
          <cell r="I23">
            <v>12</v>
          </cell>
          <cell r="J23">
            <v>36</v>
          </cell>
          <cell r="K23">
            <v>152</v>
          </cell>
          <cell r="L23">
            <v>328</v>
          </cell>
          <cell r="M23">
            <v>480</v>
          </cell>
          <cell r="N23">
            <v>480</v>
          </cell>
          <cell r="O23">
            <v>20</v>
          </cell>
          <cell r="P23">
            <v>500</v>
          </cell>
        </row>
        <row r="24">
          <cell r="B24">
            <v>10006095</v>
          </cell>
          <cell r="C24" t="str">
            <v>(BZPB)BUZZER PUSH BUTTON BOX ASS'Y</v>
          </cell>
          <cell r="D24" t="str">
            <v>R1D1357-21409</v>
          </cell>
          <cell r="E24" t="str">
            <v>BZPB</v>
          </cell>
          <cell r="F24">
            <v>4</v>
          </cell>
          <cell r="G24">
            <v>2</v>
          </cell>
          <cell r="H24">
            <v>2</v>
          </cell>
          <cell r="I24">
            <v>8</v>
          </cell>
          <cell r="J24">
            <v>24</v>
          </cell>
          <cell r="K24">
            <v>152</v>
          </cell>
          <cell r="L24">
            <v>164</v>
          </cell>
          <cell r="M24">
            <v>316</v>
          </cell>
          <cell r="N24">
            <v>316</v>
          </cell>
          <cell r="O24">
            <v>12</v>
          </cell>
          <cell r="P24">
            <v>328</v>
          </cell>
        </row>
        <row r="25">
          <cell r="B25">
            <v>10006099</v>
          </cell>
          <cell r="C25" t="str">
            <v>(TRB)TRAIN RADIO BRACKET</v>
          </cell>
          <cell r="D25" t="str">
            <v>R1D1359-21427</v>
          </cell>
          <cell r="E25" t="str">
            <v>TRB</v>
          </cell>
          <cell r="F25">
            <v>2</v>
          </cell>
          <cell r="G25">
            <v>1</v>
          </cell>
          <cell r="H25">
            <v>1</v>
          </cell>
          <cell r="I25">
            <v>4</v>
          </cell>
          <cell r="J25">
            <v>12</v>
          </cell>
          <cell r="K25">
            <v>76</v>
          </cell>
          <cell r="L25">
            <v>82</v>
          </cell>
          <cell r="M25">
            <v>158</v>
          </cell>
          <cell r="P25">
            <v>158</v>
          </cell>
        </row>
        <row r="26">
          <cell r="B26">
            <v>10006241</v>
          </cell>
          <cell r="C26" t="str">
            <v>(DMJ)DRIVER MICROPHONE JACK</v>
          </cell>
          <cell r="D26" t="str">
            <v>R1D1361-21501</v>
          </cell>
          <cell r="E26" t="str">
            <v>DMJ</v>
          </cell>
          <cell r="F26">
            <v>2</v>
          </cell>
          <cell r="G26">
            <v>1</v>
          </cell>
          <cell r="H26">
            <v>1</v>
          </cell>
          <cell r="I26">
            <v>4</v>
          </cell>
          <cell r="J26">
            <v>12</v>
          </cell>
          <cell r="K26">
            <v>76</v>
          </cell>
          <cell r="L26">
            <v>82</v>
          </cell>
          <cell r="M26">
            <v>158</v>
          </cell>
          <cell r="N26">
            <v>158</v>
          </cell>
          <cell r="P26">
            <v>158</v>
          </cell>
        </row>
        <row r="27">
          <cell r="B27">
            <v>10006243</v>
          </cell>
          <cell r="C27" t="str">
            <v>(JCR)JUMPER COUPLER</v>
          </cell>
          <cell r="E27" t="str">
            <v>JCR</v>
          </cell>
          <cell r="G27">
            <v>1</v>
          </cell>
          <cell r="I27">
            <v>1</v>
          </cell>
          <cell r="J27">
            <v>3</v>
          </cell>
          <cell r="K27">
            <v>0</v>
          </cell>
          <cell r="L27">
            <v>41</v>
          </cell>
          <cell r="M27">
            <v>41</v>
          </cell>
          <cell r="P27">
            <v>41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476"/>
  <sheetViews>
    <sheetView tabSelected="1" zoomScaleNormal="100" workbookViewId="0">
      <selection activeCell="R168" sqref="R168"/>
    </sheetView>
  </sheetViews>
  <sheetFormatPr defaultRowHeight="18" customHeight="1"/>
  <cols>
    <col min="1" max="1" width="9.7109375" bestFit="1" customWidth="1"/>
    <col min="2" max="2" width="8.7109375" customWidth="1"/>
    <col min="3" max="3" width="5.28515625" bestFit="1" customWidth="1"/>
    <col min="4" max="4" width="23.140625" bestFit="1" customWidth="1"/>
    <col min="5" max="5" width="10.7109375" bestFit="1" customWidth="1"/>
    <col min="6" max="6" width="21.42578125" customWidth="1"/>
    <col min="7" max="7" width="3.7109375" bestFit="1" customWidth="1"/>
    <col min="8" max="8" width="25.85546875" customWidth="1"/>
    <col min="9" max="9" width="28" customWidth="1"/>
    <col min="10" max="10" width="5.7109375" bestFit="1" customWidth="1"/>
    <col min="11" max="11" width="6" customWidth="1"/>
    <col min="12" max="12" width="5.7109375" bestFit="1" customWidth="1"/>
    <col min="13" max="13" width="6.42578125" customWidth="1"/>
    <col min="14" max="14" width="18" customWidth="1"/>
  </cols>
  <sheetData>
    <row r="1" spans="1:14" ht="18" customHeight="1">
      <c r="A1" t="s">
        <v>0</v>
      </c>
    </row>
    <row r="2" spans="1:14" s="2" customFormat="1" ht="18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18" hidden="1" customHeight="1">
      <c r="A3" s="3">
        <v>10005984</v>
      </c>
      <c r="B3" s="3" t="str">
        <f>VLOOKUP(A3,[1]단품수량!$B$5:$E$27,4,FALSE)</f>
        <v>ANSM</v>
      </c>
      <c r="C3" s="3">
        <v>1</v>
      </c>
      <c r="D3" s="3" t="s">
        <v>15</v>
      </c>
      <c r="E3" s="3">
        <v>30120744</v>
      </c>
      <c r="F3" s="3" t="s">
        <v>16</v>
      </c>
      <c r="G3" s="3"/>
      <c r="H3" s="3" t="s">
        <v>17</v>
      </c>
      <c r="I3" s="3" t="s">
        <v>18</v>
      </c>
      <c r="J3" s="3">
        <v>1</v>
      </c>
      <c r="K3" s="3">
        <v>1</v>
      </c>
      <c r="L3" s="3">
        <f>VLOOKUP(A3,[1]단품수량!$B$5:$P$27,13,FALSE)*K3</f>
        <v>120</v>
      </c>
      <c r="M3" s="3" t="s">
        <v>19</v>
      </c>
      <c r="N3" s="3" t="s">
        <v>20</v>
      </c>
    </row>
    <row r="4" spans="1:14" ht="18" hidden="1" customHeight="1">
      <c r="A4" s="3">
        <v>10005984</v>
      </c>
      <c r="B4" s="3" t="str">
        <f>VLOOKUP(A4,[1]단품수량!$B$5:$E$27,4,FALSE)</f>
        <v>ANSM</v>
      </c>
      <c r="C4" s="3">
        <v>2</v>
      </c>
      <c r="D4" s="3" t="s">
        <v>21</v>
      </c>
      <c r="E4" s="3">
        <v>30120745</v>
      </c>
      <c r="F4" s="3" t="s">
        <v>22</v>
      </c>
      <c r="G4" s="3"/>
      <c r="H4" s="3" t="s">
        <v>23</v>
      </c>
      <c r="I4" s="3" t="s">
        <v>18</v>
      </c>
      <c r="J4" s="3">
        <v>1</v>
      </c>
      <c r="K4" s="3">
        <v>1</v>
      </c>
      <c r="L4" s="3">
        <f>VLOOKUP(A4,[1]단품수량!$B$5:$P$27,13,FALSE)*K4</f>
        <v>120</v>
      </c>
      <c r="M4" s="3" t="s">
        <v>19</v>
      </c>
      <c r="N4" s="3" t="s">
        <v>20</v>
      </c>
    </row>
    <row r="5" spans="1:14" ht="18" hidden="1" customHeight="1">
      <c r="A5" s="3">
        <v>10005984</v>
      </c>
      <c r="B5" s="3" t="str">
        <f>VLOOKUP(A5,[1]단품수량!$B$5:$E$27,4,FALSE)</f>
        <v>ANSM</v>
      </c>
      <c r="C5" s="3">
        <v>3</v>
      </c>
      <c r="D5" s="3" t="s">
        <v>24</v>
      </c>
      <c r="E5" s="3">
        <v>30062576</v>
      </c>
      <c r="F5" s="3"/>
      <c r="G5" s="3"/>
      <c r="H5" s="3" t="s">
        <v>25</v>
      </c>
      <c r="I5" s="3" t="s">
        <v>26</v>
      </c>
      <c r="J5" s="3">
        <v>1</v>
      </c>
      <c r="K5" s="3">
        <v>1</v>
      </c>
      <c r="L5" s="3">
        <f>VLOOKUP(A5,[1]단품수량!$B$5:$P$27,13,FALSE)*K5</f>
        <v>120</v>
      </c>
      <c r="M5" s="3" t="s">
        <v>27</v>
      </c>
      <c r="N5" s="3" t="s">
        <v>28</v>
      </c>
    </row>
    <row r="6" spans="1:14" ht="18" hidden="1" customHeight="1">
      <c r="A6" s="3">
        <v>10005984</v>
      </c>
      <c r="B6" s="3" t="str">
        <f>VLOOKUP(A6,[1]단품수량!$B$5:$E$27,4,FALSE)</f>
        <v>ANSM</v>
      </c>
      <c r="C6" s="3">
        <v>4</v>
      </c>
      <c r="D6" s="3" t="s">
        <v>29</v>
      </c>
      <c r="E6" s="3">
        <v>30120230</v>
      </c>
      <c r="F6" s="3"/>
      <c r="G6" s="3"/>
      <c r="H6" s="3" t="s">
        <v>30</v>
      </c>
      <c r="I6" s="3" t="s">
        <v>31</v>
      </c>
      <c r="J6" s="3">
        <v>1</v>
      </c>
      <c r="K6" s="3">
        <v>1</v>
      </c>
      <c r="L6" s="3">
        <f>VLOOKUP(A6,[1]단품수량!$B$5:$P$27,13,FALSE)*K6</f>
        <v>120</v>
      </c>
      <c r="M6" s="3" t="s">
        <v>27</v>
      </c>
      <c r="N6" s="3" t="s">
        <v>28</v>
      </c>
    </row>
    <row r="7" spans="1:14" s="13" customFormat="1" ht="18" hidden="1" customHeight="1">
      <c r="A7" s="12">
        <v>10005984</v>
      </c>
      <c r="B7" s="12" t="str">
        <f>VLOOKUP(A7,[1]단품수량!$B$5:$E$27,4,FALSE)</f>
        <v>ANSM</v>
      </c>
      <c r="C7" s="12">
        <v>5</v>
      </c>
      <c r="D7" s="12" t="s">
        <v>32</v>
      </c>
      <c r="E7" s="12">
        <v>30118557</v>
      </c>
      <c r="F7" s="12"/>
      <c r="G7" s="12"/>
      <c r="H7" s="12" t="s">
        <v>33</v>
      </c>
      <c r="I7" s="12" t="s">
        <v>34</v>
      </c>
      <c r="J7" s="12">
        <v>1</v>
      </c>
      <c r="K7" s="12">
        <v>1</v>
      </c>
      <c r="L7" s="12">
        <f>VLOOKUP(A7,[1]단품수량!$B$5:$P$27,13,FALSE)*K7</f>
        <v>120</v>
      </c>
      <c r="M7" s="12" t="s">
        <v>35</v>
      </c>
      <c r="N7" s="12" t="s">
        <v>36</v>
      </c>
    </row>
    <row r="8" spans="1:14" s="13" customFormat="1" ht="18" hidden="1" customHeight="1">
      <c r="A8" s="12">
        <v>10005984</v>
      </c>
      <c r="B8" s="12" t="str">
        <f>VLOOKUP(A8,[1]단품수량!$B$5:$E$27,4,FALSE)</f>
        <v>ANSM</v>
      </c>
      <c r="C8" s="12">
        <v>6</v>
      </c>
      <c r="D8" s="12" t="s">
        <v>37</v>
      </c>
      <c r="E8" s="12">
        <v>30118570</v>
      </c>
      <c r="F8" s="12"/>
      <c r="G8" s="12"/>
      <c r="H8" s="12" t="s">
        <v>38</v>
      </c>
      <c r="I8" s="12" t="s">
        <v>39</v>
      </c>
      <c r="J8" s="12">
        <v>7</v>
      </c>
      <c r="K8" s="12">
        <v>7</v>
      </c>
      <c r="L8" s="12">
        <f>VLOOKUP(A8,[1]단품수량!$B$5:$P$27,13,FALSE)*K8</f>
        <v>840</v>
      </c>
      <c r="M8" s="12" t="s">
        <v>35</v>
      </c>
      <c r="N8" s="12" t="s">
        <v>36</v>
      </c>
    </row>
    <row r="9" spans="1:14" s="13" customFormat="1" ht="18" hidden="1" customHeight="1">
      <c r="A9" s="12">
        <v>10005984</v>
      </c>
      <c r="B9" s="12" t="str">
        <f>VLOOKUP(A9,[1]단품수량!$B$5:$E$27,4,FALSE)</f>
        <v>ANSM</v>
      </c>
      <c r="C9" s="12">
        <v>7</v>
      </c>
      <c r="D9" s="12" t="s">
        <v>40</v>
      </c>
      <c r="E9" s="12">
        <v>30118545</v>
      </c>
      <c r="F9" s="12"/>
      <c r="G9" s="12"/>
      <c r="H9" s="12" t="s">
        <v>41</v>
      </c>
      <c r="I9" s="12" t="s">
        <v>42</v>
      </c>
      <c r="J9" s="12">
        <v>1</v>
      </c>
      <c r="K9" s="12">
        <v>1</v>
      </c>
      <c r="L9" s="12">
        <f>VLOOKUP(A9,[1]단품수량!$B$5:$P$27,13,FALSE)*K9</f>
        <v>120</v>
      </c>
      <c r="M9" s="12" t="s">
        <v>35</v>
      </c>
      <c r="N9" s="12" t="s">
        <v>36</v>
      </c>
    </row>
    <row r="10" spans="1:14" s="13" customFormat="1" ht="18" hidden="1" customHeight="1">
      <c r="A10" s="12">
        <v>10005984</v>
      </c>
      <c r="B10" s="12" t="str">
        <f>VLOOKUP(A10,[1]단품수량!$B$5:$E$27,4,FALSE)</f>
        <v>ANSM</v>
      </c>
      <c r="C10" s="12">
        <v>8</v>
      </c>
      <c r="D10" s="12" t="s">
        <v>43</v>
      </c>
      <c r="E10" s="12">
        <v>30118572</v>
      </c>
      <c r="F10" s="12"/>
      <c r="G10" s="12"/>
      <c r="H10" s="12" t="s">
        <v>44</v>
      </c>
      <c r="I10" s="12" t="s">
        <v>45</v>
      </c>
      <c r="J10" s="12">
        <v>7</v>
      </c>
      <c r="K10" s="12">
        <v>7</v>
      </c>
      <c r="L10" s="12">
        <f>VLOOKUP(A10,[1]단품수량!$B$5:$P$27,13,FALSE)*K10</f>
        <v>840</v>
      </c>
      <c r="M10" s="12" t="s">
        <v>35</v>
      </c>
      <c r="N10" s="12" t="s">
        <v>36</v>
      </c>
    </row>
    <row r="11" spans="1:14" s="13" customFormat="1" ht="18" hidden="1" customHeight="1">
      <c r="A11" s="12">
        <v>10005984</v>
      </c>
      <c r="B11" s="12" t="str">
        <f>VLOOKUP(A11,[1]단품수량!$B$5:$E$27,4,FALSE)</f>
        <v>ANSM</v>
      </c>
      <c r="C11" s="12">
        <v>9</v>
      </c>
      <c r="D11" s="12" t="s">
        <v>46</v>
      </c>
      <c r="E11" s="12">
        <v>30118569</v>
      </c>
      <c r="F11" s="12"/>
      <c r="G11" s="12"/>
      <c r="H11" s="12" t="s">
        <v>47</v>
      </c>
      <c r="I11" s="12" t="s">
        <v>48</v>
      </c>
      <c r="J11" s="12">
        <v>8</v>
      </c>
      <c r="K11" s="12">
        <v>8</v>
      </c>
      <c r="L11" s="12">
        <f>VLOOKUP(A11,[1]단품수량!$B$5:$P$27,13,FALSE)*K11</f>
        <v>960</v>
      </c>
      <c r="M11" s="12" t="s">
        <v>35</v>
      </c>
      <c r="N11" s="12" t="s">
        <v>36</v>
      </c>
    </row>
    <row r="12" spans="1:14" ht="18" hidden="1" customHeight="1">
      <c r="A12" s="3">
        <v>10005984</v>
      </c>
      <c r="B12" s="3" t="str">
        <f>VLOOKUP(A12,[1]단품수량!$B$5:$E$27,4,FALSE)</f>
        <v>ANSM</v>
      </c>
      <c r="C12" s="3">
        <v>10</v>
      </c>
      <c r="D12" s="3" t="s">
        <v>49</v>
      </c>
      <c r="E12" s="3">
        <v>30120660</v>
      </c>
      <c r="F12" s="3" t="s">
        <v>50</v>
      </c>
      <c r="G12" s="3"/>
      <c r="H12" s="3" t="s">
        <v>51</v>
      </c>
      <c r="I12" s="3" t="s">
        <v>52</v>
      </c>
      <c r="J12" s="3">
        <v>1</v>
      </c>
      <c r="K12" s="3">
        <v>1</v>
      </c>
      <c r="L12" s="3">
        <f>VLOOKUP(A12,[1]단품수량!$B$5:$P$27,13,FALSE)*K12</f>
        <v>120</v>
      </c>
      <c r="M12" s="3" t="s">
        <v>19</v>
      </c>
      <c r="N12" s="3" t="s">
        <v>53</v>
      </c>
    </row>
    <row r="13" spans="1:14" ht="18" hidden="1" customHeight="1">
      <c r="A13" s="3">
        <v>10005984</v>
      </c>
      <c r="B13" s="3" t="str">
        <f>VLOOKUP(A13,[1]단품수량!$B$5:$E$27,4,FALSE)</f>
        <v>ANSM</v>
      </c>
      <c r="C13" s="3">
        <v>11</v>
      </c>
      <c r="D13" s="3" t="s">
        <v>54</v>
      </c>
      <c r="E13" s="3">
        <v>30093304</v>
      </c>
      <c r="F13" s="3"/>
      <c r="G13" s="3"/>
      <c r="H13" s="3" t="s">
        <v>55</v>
      </c>
      <c r="I13" s="3" t="s">
        <v>56</v>
      </c>
      <c r="J13" s="3">
        <v>1</v>
      </c>
      <c r="K13" s="3">
        <v>1</v>
      </c>
      <c r="L13" s="3">
        <f>VLOOKUP(A13,[1]단품수량!$B$5:$P$27,13,FALSE)*K13</f>
        <v>120</v>
      </c>
      <c r="M13" s="3" t="s">
        <v>35</v>
      </c>
      <c r="N13" s="3" t="s">
        <v>36</v>
      </c>
    </row>
    <row r="14" spans="1:14" ht="18" hidden="1" customHeight="1">
      <c r="A14" s="3">
        <v>10005997</v>
      </c>
      <c r="B14" s="3" t="str">
        <f>VLOOKUP(A14,[1]단품수량!$B$5:$E$27,4,FALSE)</f>
        <v>CCP</v>
      </c>
      <c r="C14" s="3">
        <v>29</v>
      </c>
      <c r="D14" s="3" t="s">
        <v>15</v>
      </c>
      <c r="E14" s="3">
        <v>30120714</v>
      </c>
      <c r="F14" s="3" t="s">
        <v>68</v>
      </c>
      <c r="G14" s="3"/>
      <c r="H14" s="3" t="s">
        <v>63</v>
      </c>
      <c r="I14" s="3" t="s">
        <v>18</v>
      </c>
      <c r="J14" s="3">
        <v>1</v>
      </c>
      <c r="K14" s="3">
        <v>1</v>
      </c>
      <c r="L14" s="3">
        <f>VLOOKUP(A14,[1]단품수량!$B$5:$P$27,13,FALSE)*K14</f>
        <v>158</v>
      </c>
      <c r="M14" s="3" t="s">
        <v>19</v>
      </c>
      <c r="N14" s="3" t="s">
        <v>69</v>
      </c>
    </row>
    <row r="15" spans="1:14" ht="18" hidden="1" customHeight="1">
      <c r="A15" s="3">
        <v>10005997</v>
      </c>
      <c r="B15" s="3" t="str">
        <f>VLOOKUP(A15,[1]단품수량!$B$5:$E$27,4,FALSE)</f>
        <v>CCP</v>
      </c>
      <c r="C15" s="3">
        <v>30</v>
      </c>
      <c r="D15" s="3" t="s">
        <v>64</v>
      </c>
      <c r="E15" s="3">
        <v>30120715</v>
      </c>
      <c r="F15" s="3" t="s">
        <v>70</v>
      </c>
      <c r="G15" s="3"/>
      <c r="H15" s="3" t="s">
        <v>71</v>
      </c>
      <c r="I15" s="3" t="s">
        <v>18</v>
      </c>
      <c r="J15" s="3">
        <v>1</v>
      </c>
      <c r="K15" s="3">
        <v>1</v>
      </c>
      <c r="L15" s="3">
        <f>VLOOKUP(A15,[1]단품수량!$B$5:$P$27,13,FALSE)*K15</f>
        <v>158</v>
      </c>
      <c r="M15" s="3" t="s">
        <v>19</v>
      </c>
      <c r="N15" s="3" t="s">
        <v>69</v>
      </c>
    </row>
    <row r="16" spans="1:14" ht="18" hidden="1" customHeight="1">
      <c r="A16" s="3">
        <v>10005997</v>
      </c>
      <c r="B16" s="3" t="str">
        <f>VLOOKUP(A16,[1]단품수량!$B$5:$E$27,4,FALSE)</f>
        <v>CCP</v>
      </c>
      <c r="C16" s="3">
        <v>31</v>
      </c>
      <c r="D16" s="3" t="s">
        <v>66</v>
      </c>
      <c r="E16" s="3">
        <v>30120716</v>
      </c>
      <c r="F16" s="3" t="s">
        <v>72</v>
      </c>
      <c r="G16" s="3"/>
      <c r="H16" s="3" t="s">
        <v>71</v>
      </c>
      <c r="I16" s="3" t="s">
        <v>18</v>
      </c>
      <c r="J16" s="3">
        <v>1</v>
      </c>
      <c r="K16" s="3">
        <v>1</v>
      </c>
      <c r="L16" s="3">
        <f>VLOOKUP(A16,[1]단품수량!$B$5:$P$27,13,FALSE)*K16</f>
        <v>158</v>
      </c>
      <c r="M16" s="3" t="s">
        <v>19</v>
      </c>
      <c r="N16" s="3" t="s">
        <v>69</v>
      </c>
    </row>
    <row r="17" spans="1:14" ht="18" hidden="1" customHeight="1">
      <c r="A17" s="3">
        <v>10005997</v>
      </c>
      <c r="B17" s="3" t="str">
        <f>VLOOKUP(A17,[1]단품수량!$B$5:$E$27,4,FALSE)</f>
        <v>CCP</v>
      </c>
      <c r="C17" s="3">
        <v>32</v>
      </c>
      <c r="D17" s="3" t="s">
        <v>21</v>
      </c>
      <c r="E17" s="3">
        <v>30120718</v>
      </c>
      <c r="F17" s="3" t="s">
        <v>73</v>
      </c>
      <c r="G17" s="3"/>
      <c r="H17" s="3" t="s">
        <v>17</v>
      </c>
      <c r="I17" s="3" t="s">
        <v>18</v>
      </c>
      <c r="J17" s="3">
        <v>1</v>
      </c>
      <c r="K17" s="3">
        <v>1</v>
      </c>
      <c r="L17" s="3">
        <f>VLOOKUP(A17,[1]단품수량!$B$5:$P$27,13,FALSE)*K17</f>
        <v>158</v>
      </c>
      <c r="M17" s="3" t="s">
        <v>19</v>
      </c>
      <c r="N17" s="3" t="s">
        <v>69</v>
      </c>
    </row>
    <row r="18" spans="1:14" ht="18" hidden="1" customHeight="1">
      <c r="A18" s="3">
        <v>10005997</v>
      </c>
      <c r="B18" s="3" t="str">
        <f>VLOOKUP(A18,[1]단품수량!$B$5:$E$27,4,FALSE)</f>
        <v>CCP</v>
      </c>
      <c r="C18" s="3">
        <v>33</v>
      </c>
      <c r="D18" s="3" t="s">
        <v>24</v>
      </c>
      <c r="E18" s="3">
        <v>30120765</v>
      </c>
      <c r="F18" s="3"/>
      <c r="G18" s="3"/>
      <c r="H18" s="3" t="s">
        <v>74</v>
      </c>
      <c r="I18" s="3" t="s">
        <v>75</v>
      </c>
      <c r="J18" s="3">
        <v>1</v>
      </c>
      <c r="K18" s="3">
        <v>1</v>
      </c>
      <c r="L18" s="3">
        <f>VLOOKUP(A18,[1]단품수량!$B$5:$P$27,13,FALSE)*K18</f>
        <v>158</v>
      </c>
      <c r="M18" s="3" t="s">
        <v>27</v>
      </c>
      <c r="N18" s="3" t="s">
        <v>76</v>
      </c>
    </row>
    <row r="19" spans="1:14" ht="18" hidden="1" customHeight="1">
      <c r="A19" s="3">
        <v>10005997</v>
      </c>
      <c r="B19" s="3" t="str">
        <f>VLOOKUP(A19,[1]단품수량!$B$5:$E$27,4,FALSE)</f>
        <v>CCP</v>
      </c>
      <c r="C19" s="3">
        <v>34</v>
      </c>
      <c r="D19" s="3" t="s">
        <v>29</v>
      </c>
      <c r="E19" s="3">
        <v>30120766</v>
      </c>
      <c r="F19" s="3"/>
      <c r="G19" s="3"/>
      <c r="H19" s="3" t="s">
        <v>77</v>
      </c>
      <c r="I19" s="3" t="s">
        <v>78</v>
      </c>
      <c r="J19" s="3">
        <v>1</v>
      </c>
      <c r="K19" s="3">
        <v>1</v>
      </c>
      <c r="L19" s="3">
        <f>VLOOKUP(A19,[1]단품수량!$B$5:$P$27,13,FALSE)*K19</f>
        <v>158</v>
      </c>
      <c r="M19" s="3" t="s">
        <v>27</v>
      </c>
      <c r="N19" s="3" t="s">
        <v>76</v>
      </c>
    </row>
    <row r="20" spans="1:14" ht="18" hidden="1" customHeight="1">
      <c r="A20" s="3">
        <v>10005997</v>
      </c>
      <c r="B20" s="3" t="str">
        <f>VLOOKUP(A20,[1]단품수량!$B$5:$E$27,4,FALSE)</f>
        <v>CCP</v>
      </c>
      <c r="C20" s="3">
        <v>35</v>
      </c>
      <c r="D20" s="3" t="s">
        <v>32</v>
      </c>
      <c r="E20" s="3">
        <v>30120717</v>
      </c>
      <c r="F20" s="3" t="s">
        <v>79</v>
      </c>
      <c r="G20" s="3"/>
      <c r="H20" s="3" t="s">
        <v>80</v>
      </c>
      <c r="I20" s="3" t="s">
        <v>18</v>
      </c>
      <c r="J20" s="3">
        <v>1</v>
      </c>
      <c r="K20" s="3">
        <v>1</v>
      </c>
      <c r="L20" s="3">
        <f>VLOOKUP(A20,[1]단품수량!$B$5:$P$27,13,FALSE)*K20</f>
        <v>158</v>
      </c>
      <c r="M20" s="3" t="s">
        <v>19</v>
      </c>
      <c r="N20" s="3" t="s">
        <v>69</v>
      </c>
    </row>
    <row r="21" spans="1:14" s="13" customFormat="1" ht="18" hidden="1" customHeight="1">
      <c r="A21" s="12">
        <v>10005997</v>
      </c>
      <c r="B21" s="12" t="str">
        <f>VLOOKUP(A21,[1]단품수량!$B$5:$E$27,4,FALSE)</f>
        <v>CCP</v>
      </c>
      <c r="C21" s="12">
        <v>36</v>
      </c>
      <c r="D21" s="12" t="s">
        <v>37</v>
      </c>
      <c r="E21" s="12">
        <v>30118555</v>
      </c>
      <c r="F21" s="12"/>
      <c r="G21" s="12"/>
      <c r="H21" s="12" t="s">
        <v>81</v>
      </c>
      <c r="I21" s="12" t="s">
        <v>82</v>
      </c>
      <c r="J21" s="12">
        <v>1</v>
      </c>
      <c r="K21" s="12">
        <v>1</v>
      </c>
      <c r="L21" s="12">
        <f>VLOOKUP(A21,[1]단품수량!$B$5:$P$27,13,FALSE)*K21</f>
        <v>158</v>
      </c>
      <c r="M21" s="12" t="s">
        <v>35</v>
      </c>
      <c r="N21" s="12" t="s">
        <v>36</v>
      </c>
    </row>
    <row r="22" spans="1:14" s="13" customFormat="1" ht="18" hidden="1" customHeight="1">
      <c r="A22" s="12">
        <v>10005997</v>
      </c>
      <c r="B22" s="12" t="str">
        <f>VLOOKUP(A22,[1]단품수량!$B$5:$E$27,4,FALSE)</f>
        <v>CCP</v>
      </c>
      <c r="C22" s="12">
        <v>37</v>
      </c>
      <c r="D22" s="12" t="s">
        <v>40</v>
      </c>
      <c r="E22" s="12">
        <v>30118583</v>
      </c>
      <c r="F22" s="12"/>
      <c r="G22" s="12"/>
      <c r="H22" s="12" t="s">
        <v>83</v>
      </c>
      <c r="I22" s="12" t="s">
        <v>84</v>
      </c>
      <c r="J22" s="12">
        <v>1</v>
      </c>
      <c r="K22" s="12">
        <v>1</v>
      </c>
      <c r="L22" s="12">
        <f>VLOOKUP(A22,[1]단품수량!$B$5:$P$27,13,FALSE)*K22</f>
        <v>158</v>
      </c>
      <c r="M22" s="12" t="s">
        <v>35</v>
      </c>
      <c r="N22" s="12" t="s">
        <v>36</v>
      </c>
    </row>
    <row r="23" spans="1:14" ht="18" hidden="1" customHeight="1">
      <c r="A23" s="3">
        <v>10005997</v>
      </c>
      <c r="B23" s="3" t="str">
        <f>VLOOKUP(A23,[1]단품수량!$B$5:$E$27,4,FALSE)</f>
        <v>CCP</v>
      </c>
      <c r="C23" s="3">
        <v>38</v>
      </c>
      <c r="D23" s="3" t="s">
        <v>43</v>
      </c>
      <c r="E23" s="3">
        <v>30120669</v>
      </c>
      <c r="F23" s="3" t="s">
        <v>85</v>
      </c>
      <c r="G23" s="3"/>
      <c r="H23" s="3" t="s">
        <v>51</v>
      </c>
      <c r="I23" s="3" t="s">
        <v>86</v>
      </c>
      <c r="J23" s="3">
        <v>1</v>
      </c>
      <c r="K23" s="3">
        <v>1</v>
      </c>
      <c r="L23" s="3">
        <f>VLOOKUP(A23,[1]단품수량!$B$5:$P$27,13,FALSE)*K23</f>
        <v>158</v>
      </c>
      <c r="M23" s="3" t="s">
        <v>19</v>
      </c>
      <c r="N23" s="3" t="s">
        <v>53</v>
      </c>
    </row>
    <row r="24" spans="1:14" ht="18" hidden="1" customHeight="1">
      <c r="A24" s="3">
        <v>10005997</v>
      </c>
      <c r="B24" s="3" t="str">
        <f>VLOOKUP(A24,[1]단품수량!$B$5:$E$27,4,FALSE)</f>
        <v>CCP</v>
      </c>
      <c r="C24" s="3">
        <v>39</v>
      </c>
      <c r="D24" s="3" t="s">
        <v>46</v>
      </c>
      <c r="E24" s="3">
        <v>30118569</v>
      </c>
      <c r="F24" s="3"/>
      <c r="G24" s="3"/>
      <c r="H24" s="12" t="s">
        <v>47</v>
      </c>
      <c r="I24" s="12" t="s">
        <v>48</v>
      </c>
      <c r="J24" s="3">
        <v>6</v>
      </c>
      <c r="K24" s="3">
        <v>6</v>
      </c>
      <c r="L24" s="3">
        <f>VLOOKUP(A24,[1]단품수량!$B$5:$P$27,13,FALSE)*K24</f>
        <v>948</v>
      </c>
      <c r="M24" s="3" t="s">
        <v>35</v>
      </c>
      <c r="N24" s="3" t="s">
        <v>36</v>
      </c>
    </row>
    <row r="25" spans="1:14" ht="18" hidden="1" customHeight="1">
      <c r="A25" s="3">
        <v>10005997</v>
      </c>
      <c r="B25" s="3" t="str">
        <f>VLOOKUP(A25,[1]단품수량!$B$5:$E$27,4,FALSE)</f>
        <v>CCP</v>
      </c>
      <c r="C25" s="3">
        <v>40</v>
      </c>
      <c r="D25" s="3" t="s">
        <v>49</v>
      </c>
      <c r="E25" s="3">
        <v>30118573</v>
      </c>
      <c r="F25" s="3"/>
      <c r="G25" s="3"/>
      <c r="H25" s="12" t="s">
        <v>87</v>
      </c>
      <c r="I25" s="12" t="s">
        <v>88</v>
      </c>
      <c r="J25" s="3">
        <v>19</v>
      </c>
      <c r="K25" s="3">
        <v>19</v>
      </c>
      <c r="L25" s="3">
        <f>VLOOKUP(A25,[1]단품수량!$B$5:$P$27,13,FALSE)*K25</f>
        <v>3002</v>
      </c>
      <c r="M25" s="3" t="s">
        <v>35</v>
      </c>
      <c r="N25" s="3" t="s">
        <v>36</v>
      </c>
    </row>
    <row r="26" spans="1:14" ht="18" hidden="1" customHeight="1">
      <c r="A26" s="3">
        <v>10005997</v>
      </c>
      <c r="B26" s="3" t="str">
        <f>VLOOKUP(A26,[1]단품수량!$B$5:$E$27,4,FALSE)</f>
        <v>CCP</v>
      </c>
      <c r="C26" s="3">
        <v>41</v>
      </c>
      <c r="D26" s="3" t="s">
        <v>54</v>
      </c>
      <c r="E26" s="3">
        <v>30118582</v>
      </c>
      <c r="F26" s="3"/>
      <c r="G26" s="3"/>
      <c r="H26" s="12" t="s">
        <v>89</v>
      </c>
      <c r="I26" s="12" t="s">
        <v>90</v>
      </c>
      <c r="J26" s="3">
        <v>4</v>
      </c>
      <c r="K26" s="3">
        <v>4</v>
      </c>
      <c r="L26" s="3">
        <f>VLOOKUP(A26,[1]단품수량!$B$5:$P$27,13,FALSE)*K26</f>
        <v>632</v>
      </c>
      <c r="M26" s="3" t="s">
        <v>35</v>
      </c>
      <c r="N26" s="3" t="s">
        <v>36</v>
      </c>
    </row>
    <row r="27" spans="1:14" ht="18" hidden="1" customHeight="1">
      <c r="A27" s="3">
        <v>10005997</v>
      </c>
      <c r="B27" s="3" t="str">
        <f>VLOOKUP(A27,[1]단품수량!$B$5:$E$27,4,FALSE)</f>
        <v>CCP</v>
      </c>
      <c r="C27" s="3">
        <v>42</v>
      </c>
      <c r="D27" s="3" t="s">
        <v>91</v>
      </c>
      <c r="E27" s="3">
        <v>30118581</v>
      </c>
      <c r="F27" s="3"/>
      <c r="G27" s="3"/>
      <c r="H27" s="12" t="s">
        <v>92</v>
      </c>
      <c r="I27" s="12" t="s">
        <v>93</v>
      </c>
      <c r="J27" s="3">
        <v>15</v>
      </c>
      <c r="K27" s="3">
        <v>15</v>
      </c>
      <c r="L27" s="3">
        <f>VLOOKUP(A27,[1]단품수량!$B$5:$P$27,13,FALSE)*K27</f>
        <v>2370</v>
      </c>
      <c r="M27" s="3" t="s">
        <v>35</v>
      </c>
      <c r="N27" s="3" t="s">
        <v>36</v>
      </c>
    </row>
    <row r="28" spans="1:14" ht="18" hidden="1" customHeight="1">
      <c r="A28" s="3">
        <v>10005997</v>
      </c>
      <c r="B28" s="3" t="str">
        <f>VLOOKUP(A28,[1]단품수량!$B$5:$E$27,4,FALSE)</f>
        <v>CCP</v>
      </c>
      <c r="C28" s="3">
        <v>43</v>
      </c>
      <c r="D28" s="3" t="s">
        <v>94</v>
      </c>
      <c r="E28" s="3">
        <v>30120835</v>
      </c>
      <c r="F28" s="3"/>
      <c r="G28" s="3"/>
      <c r="H28" s="12" t="s">
        <v>95</v>
      </c>
      <c r="I28" s="12" t="s">
        <v>18</v>
      </c>
      <c r="J28" s="3">
        <v>1</v>
      </c>
      <c r="K28" s="3">
        <v>1</v>
      </c>
      <c r="L28" s="3">
        <f>VLOOKUP(A28,[1]단품수량!$B$5:$P$27,13,FALSE)*K28</f>
        <v>158</v>
      </c>
      <c r="M28" s="3" t="s">
        <v>19</v>
      </c>
      <c r="N28" s="3" t="s">
        <v>76</v>
      </c>
    </row>
    <row r="29" spans="1:14" ht="18" hidden="1" customHeight="1">
      <c r="A29" s="3">
        <v>10005997</v>
      </c>
      <c r="B29" s="3" t="str">
        <f>VLOOKUP(A29,[1]단품수량!$B$5:$E$27,4,FALSE)</f>
        <v>CCP</v>
      </c>
      <c r="C29" s="3">
        <v>44</v>
      </c>
      <c r="D29" s="3" t="s">
        <v>64</v>
      </c>
      <c r="E29" s="3">
        <v>30120992</v>
      </c>
      <c r="F29" s="3"/>
      <c r="G29" s="3"/>
      <c r="H29" s="12" t="s">
        <v>96</v>
      </c>
      <c r="I29" s="12" t="s">
        <v>97</v>
      </c>
      <c r="J29" s="3">
        <v>1</v>
      </c>
      <c r="K29" s="3">
        <v>1</v>
      </c>
      <c r="L29" s="3">
        <f>VLOOKUP(A29,[1]단품수량!$B$5:$P$27,13,FALSE)*K29</f>
        <v>158</v>
      </c>
      <c r="M29" s="3" t="s">
        <v>35</v>
      </c>
      <c r="N29" s="3" t="s">
        <v>98</v>
      </c>
    </row>
    <row r="30" spans="1:14" ht="18" hidden="1" customHeight="1">
      <c r="A30" s="3">
        <v>10005997</v>
      </c>
      <c r="B30" s="3" t="str">
        <f>VLOOKUP(A30,[1]단품수량!$B$5:$E$27,4,FALSE)</f>
        <v>CCP</v>
      </c>
      <c r="C30" s="3">
        <v>45</v>
      </c>
      <c r="D30" s="3" t="s">
        <v>66</v>
      </c>
      <c r="E30" s="3">
        <v>30121672</v>
      </c>
      <c r="F30" s="3"/>
      <c r="G30" s="3"/>
      <c r="H30" s="12" t="s">
        <v>99</v>
      </c>
      <c r="I30" s="12" t="s">
        <v>100</v>
      </c>
      <c r="J30" s="3">
        <v>1</v>
      </c>
      <c r="K30" s="3">
        <v>1</v>
      </c>
      <c r="L30" s="3">
        <f>VLOOKUP(A30,[1]단품수량!$B$5:$P$27,13,FALSE)*K30</f>
        <v>158</v>
      </c>
      <c r="M30" s="3" t="s">
        <v>27</v>
      </c>
      <c r="N30" s="3" t="s">
        <v>98</v>
      </c>
    </row>
    <row r="31" spans="1:14" ht="18" hidden="1" customHeight="1">
      <c r="A31" s="3">
        <v>10005997</v>
      </c>
      <c r="B31" s="3" t="str">
        <f>VLOOKUP(A31,[1]단품수량!$B$5:$E$27,4,FALSE)</f>
        <v>CCP</v>
      </c>
      <c r="C31" s="3">
        <v>46</v>
      </c>
      <c r="D31" s="3" t="s">
        <v>101</v>
      </c>
      <c r="E31" s="3">
        <v>30120836</v>
      </c>
      <c r="F31" s="3"/>
      <c r="G31" s="3"/>
      <c r="H31" s="3" t="s">
        <v>102</v>
      </c>
      <c r="I31" s="3" t="s">
        <v>103</v>
      </c>
      <c r="J31" s="3">
        <v>1</v>
      </c>
      <c r="K31" s="3">
        <v>1</v>
      </c>
      <c r="L31" s="3">
        <f>VLOOKUP(A31,[1]단품수량!$B$5:$P$27,13,FALSE)*K31</f>
        <v>158</v>
      </c>
      <c r="M31" s="3" t="s">
        <v>27</v>
      </c>
      <c r="N31" s="3" t="s">
        <v>28</v>
      </c>
    </row>
    <row r="32" spans="1:14" ht="18" hidden="1" customHeight="1">
      <c r="A32" s="3">
        <v>10005997</v>
      </c>
      <c r="B32" s="3" t="str">
        <f>VLOOKUP(A32,[1]단품수량!$B$5:$E$27,4,FALSE)</f>
        <v>CCP</v>
      </c>
      <c r="C32" s="3">
        <v>47</v>
      </c>
      <c r="D32" s="3" t="s">
        <v>104</v>
      </c>
      <c r="E32" s="3">
        <v>30120837</v>
      </c>
      <c r="F32" s="3"/>
      <c r="G32" s="3"/>
      <c r="H32" s="12" t="s">
        <v>105</v>
      </c>
      <c r="I32" s="12" t="s">
        <v>106</v>
      </c>
      <c r="J32" s="3">
        <v>1</v>
      </c>
      <c r="K32" s="3">
        <v>1</v>
      </c>
      <c r="L32" s="3">
        <f>VLOOKUP(A32,[1]단품수량!$B$5:$P$27,13,FALSE)*K32</f>
        <v>158</v>
      </c>
      <c r="M32" s="3" t="s">
        <v>19</v>
      </c>
      <c r="N32" s="3" t="s">
        <v>107</v>
      </c>
    </row>
    <row r="33" spans="1:14" ht="18" hidden="1" customHeight="1">
      <c r="A33" s="3">
        <v>10005997</v>
      </c>
      <c r="B33" s="3" t="str">
        <f>VLOOKUP(A33,[1]단품수량!$B$5:$E$27,4,FALSE)</f>
        <v>CCP</v>
      </c>
      <c r="C33" s="3">
        <v>48</v>
      </c>
      <c r="D33" s="3" t="s">
        <v>109</v>
      </c>
      <c r="E33" s="3">
        <v>20061700</v>
      </c>
      <c r="F33" s="3" t="s">
        <v>110</v>
      </c>
      <c r="G33" s="3"/>
      <c r="H33" s="3" t="s">
        <v>111</v>
      </c>
      <c r="I33" s="3" t="s">
        <v>112</v>
      </c>
      <c r="J33" s="3">
        <v>1</v>
      </c>
      <c r="K33" s="3">
        <v>1</v>
      </c>
      <c r="L33" s="3">
        <f>VLOOKUP(A33,[1]단품수량!$B$5:$P$27,13,FALSE)*K33</f>
        <v>158</v>
      </c>
      <c r="M33" s="3" t="s">
        <v>113</v>
      </c>
      <c r="N33" s="3"/>
    </row>
    <row r="34" spans="1:14" ht="18" hidden="1" customHeight="1">
      <c r="A34" s="3">
        <v>10005997</v>
      </c>
      <c r="B34" s="3" t="str">
        <f>VLOOKUP(A34,[1]단품수량!$B$5:$E$27,4,FALSE)</f>
        <v>CCP</v>
      </c>
      <c r="C34" s="3">
        <v>49</v>
      </c>
      <c r="D34" s="3" t="s">
        <v>64</v>
      </c>
      <c r="E34" s="3">
        <v>30075140</v>
      </c>
      <c r="F34" s="3"/>
      <c r="G34" s="3"/>
      <c r="H34" s="3" t="s">
        <v>61</v>
      </c>
      <c r="I34" s="3" t="s">
        <v>114</v>
      </c>
      <c r="J34" s="3">
        <v>1</v>
      </c>
      <c r="K34" s="3">
        <v>1</v>
      </c>
      <c r="L34" s="3">
        <f>VLOOKUP(A34,[1]단품수량!$B$5:$P$27,13,FALSE)*K34</f>
        <v>158</v>
      </c>
      <c r="M34" s="3" t="s">
        <v>35</v>
      </c>
      <c r="N34" s="3" t="s">
        <v>36</v>
      </c>
    </row>
    <row r="35" spans="1:14" ht="18" hidden="1" customHeight="1">
      <c r="A35" s="3">
        <v>10005997</v>
      </c>
      <c r="B35" s="3" t="str">
        <f>VLOOKUP(A35,[1]단품수량!$B$5:$E$27,4,FALSE)</f>
        <v>CCP</v>
      </c>
      <c r="C35" s="3">
        <v>50</v>
      </c>
      <c r="D35" s="3" t="s">
        <v>66</v>
      </c>
      <c r="E35" s="3">
        <v>30054014</v>
      </c>
      <c r="F35" s="3"/>
      <c r="G35" s="3"/>
      <c r="H35" s="3" t="s">
        <v>61</v>
      </c>
      <c r="I35" s="3" t="s">
        <v>115</v>
      </c>
      <c r="J35" s="3">
        <v>2</v>
      </c>
      <c r="K35" s="3">
        <v>2</v>
      </c>
      <c r="L35" s="3">
        <f>VLOOKUP(A35,[1]단품수량!$B$5:$P$27,13,FALSE)*K35</f>
        <v>316</v>
      </c>
      <c r="M35" s="3" t="s">
        <v>27</v>
      </c>
      <c r="N35" s="3" t="s">
        <v>36</v>
      </c>
    </row>
    <row r="36" spans="1:14" ht="18" hidden="1" customHeight="1">
      <c r="A36" s="3">
        <v>10005997</v>
      </c>
      <c r="B36" s="3" t="str">
        <f>VLOOKUP(A36,[1]단품수량!$B$5:$E$27,4,FALSE)</f>
        <v>CCP</v>
      </c>
      <c r="C36" s="3">
        <v>51</v>
      </c>
      <c r="D36" s="3" t="s">
        <v>116</v>
      </c>
      <c r="E36" s="3">
        <v>30121474</v>
      </c>
      <c r="F36" s="3"/>
      <c r="G36" s="3"/>
      <c r="H36" s="3" t="s">
        <v>61</v>
      </c>
      <c r="I36" s="3" t="s">
        <v>117</v>
      </c>
      <c r="J36" s="3">
        <v>1</v>
      </c>
      <c r="K36" s="3">
        <v>1</v>
      </c>
      <c r="L36" s="3">
        <f>VLOOKUP(A36,[1]단품수량!$B$5:$P$27,13,FALSE)*K36</f>
        <v>158</v>
      </c>
      <c r="M36" s="3" t="s">
        <v>35</v>
      </c>
      <c r="N36" s="3" t="s">
        <v>36</v>
      </c>
    </row>
    <row r="37" spans="1:14" ht="18" hidden="1" customHeight="1">
      <c r="A37" s="3">
        <v>10005997</v>
      </c>
      <c r="B37" s="3" t="str">
        <f>VLOOKUP(A37,[1]단품수량!$B$5:$E$27,4,FALSE)</f>
        <v>CCP</v>
      </c>
      <c r="C37" s="3">
        <v>52</v>
      </c>
      <c r="D37" s="3" t="s">
        <v>118</v>
      </c>
      <c r="E37" s="3">
        <v>30100325</v>
      </c>
      <c r="F37" s="3"/>
      <c r="G37" s="3"/>
      <c r="H37" s="3" t="s">
        <v>119</v>
      </c>
      <c r="I37" s="3" t="s">
        <v>120</v>
      </c>
      <c r="J37" s="3">
        <v>1</v>
      </c>
      <c r="K37" s="3">
        <v>1</v>
      </c>
      <c r="L37" s="3">
        <f>VLOOKUP(A37,[1]단품수량!$B$5:$P$27,13,FALSE)*K37</f>
        <v>158</v>
      </c>
      <c r="M37" s="3" t="s">
        <v>35</v>
      </c>
      <c r="N37" s="3" t="s">
        <v>28</v>
      </c>
    </row>
    <row r="38" spans="1:14" ht="18" hidden="1" customHeight="1">
      <c r="A38" s="3">
        <v>10005997</v>
      </c>
      <c r="B38" s="3" t="str">
        <f>VLOOKUP(A38,[1]단품수량!$B$5:$E$27,4,FALSE)</f>
        <v>CCP</v>
      </c>
      <c r="C38" s="3">
        <v>53</v>
      </c>
      <c r="D38" s="3" t="s">
        <v>121</v>
      </c>
      <c r="E38" s="3">
        <v>30115073</v>
      </c>
      <c r="F38" s="3"/>
      <c r="G38" s="3"/>
      <c r="H38" s="3" t="s">
        <v>59</v>
      </c>
      <c r="I38" s="3" t="s">
        <v>122</v>
      </c>
      <c r="J38" s="3">
        <v>1</v>
      </c>
      <c r="K38" s="3">
        <v>1</v>
      </c>
      <c r="L38" s="3">
        <f>VLOOKUP(A38,[1]단품수량!$B$5:$P$27,13,FALSE)*K38</f>
        <v>158</v>
      </c>
      <c r="M38" s="3" t="s">
        <v>27</v>
      </c>
      <c r="N38" s="3" t="s">
        <v>28</v>
      </c>
    </row>
    <row r="39" spans="1:14" ht="18" hidden="1" customHeight="1">
      <c r="A39" s="3">
        <v>10005997</v>
      </c>
      <c r="B39" s="3" t="str">
        <f>VLOOKUP(A39,[1]단품수량!$B$5:$E$27,4,FALSE)</f>
        <v>CCP</v>
      </c>
      <c r="C39" s="3">
        <v>54</v>
      </c>
      <c r="D39" s="3" t="s">
        <v>123</v>
      </c>
      <c r="E39" s="3">
        <v>30081231</v>
      </c>
      <c r="F39" s="3"/>
      <c r="G39" s="3"/>
      <c r="H39" s="3" t="s">
        <v>124</v>
      </c>
      <c r="I39" s="3" t="s">
        <v>125</v>
      </c>
      <c r="J39" s="3">
        <v>10</v>
      </c>
      <c r="K39" s="3">
        <v>10</v>
      </c>
      <c r="L39" s="3">
        <f>VLOOKUP(A39,[1]단품수량!$B$5:$P$27,13,FALSE)*K39</f>
        <v>1580</v>
      </c>
      <c r="M39" s="3" t="s">
        <v>35</v>
      </c>
      <c r="N39" s="3" t="s">
        <v>28</v>
      </c>
    </row>
    <row r="40" spans="1:14" ht="18" hidden="1" customHeight="1">
      <c r="A40" s="3">
        <v>10005997</v>
      </c>
      <c r="B40" s="3" t="str">
        <f>VLOOKUP(A40,[1]단품수량!$B$5:$E$27,4,FALSE)</f>
        <v>CCP</v>
      </c>
      <c r="C40" s="3">
        <v>55</v>
      </c>
      <c r="D40" s="3" t="s">
        <v>126</v>
      </c>
      <c r="E40" s="3">
        <v>30118485</v>
      </c>
      <c r="F40" s="3"/>
      <c r="G40" s="3"/>
      <c r="H40" s="3" t="s">
        <v>127</v>
      </c>
      <c r="I40" s="3" t="s">
        <v>128</v>
      </c>
      <c r="J40" s="3">
        <v>1</v>
      </c>
      <c r="K40" s="3">
        <v>1</v>
      </c>
      <c r="L40" s="3">
        <f>VLOOKUP(A40,[1]단품수량!$B$5:$P$27,13,FALSE)*K40</f>
        <v>158</v>
      </c>
      <c r="M40" s="3" t="s">
        <v>27</v>
      </c>
      <c r="N40" s="3" t="s">
        <v>28</v>
      </c>
    </row>
    <row r="41" spans="1:14" ht="18" hidden="1" customHeight="1">
      <c r="A41" s="3">
        <v>10005997</v>
      </c>
      <c r="B41" s="3" t="str">
        <f>VLOOKUP(A41,[1]단품수량!$B$5:$E$27,4,FALSE)</f>
        <v>CCP</v>
      </c>
      <c r="C41" s="3">
        <v>56</v>
      </c>
      <c r="D41" s="3" t="s">
        <v>129</v>
      </c>
      <c r="E41" s="3">
        <v>30118484</v>
      </c>
      <c r="F41" s="3"/>
      <c r="G41" s="3"/>
      <c r="H41" s="3" t="s">
        <v>130</v>
      </c>
      <c r="I41" s="3" t="s">
        <v>131</v>
      </c>
      <c r="J41" s="3">
        <v>16</v>
      </c>
      <c r="K41" s="3">
        <v>16</v>
      </c>
      <c r="L41" s="3">
        <f>VLOOKUP(A41,[1]단품수량!$B$5:$P$27,13,FALSE)*K41</f>
        <v>2528</v>
      </c>
      <c r="M41" s="3" t="s">
        <v>27</v>
      </c>
      <c r="N41" s="3" t="s">
        <v>28</v>
      </c>
    </row>
    <row r="42" spans="1:14" ht="18" hidden="1" customHeight="1">
      <c r="A42" s="3">
        <v>10005997</v>
      </c>
      <c r="B42" s="3" t="str">
        <f>VLOOKUP(A42,[1]단품수량!$B$5:$E$27,4,FALSE)</f>
        <v>CCP</v>
      </c>
      <c r="C42" s="3">
        <v>57</v>
      </c>
      <c r="D42" s="3" t="s">
        <v>132</v>
      </c>
      <c r="E42" s="3">
        <v>30125533</v>
      </c>
      <c r="F42" s="3"/>
      <c r="G42" s="3"/>
      <c r="H42" s="3" t="s">
        <v>133</v>
      </c>
      <c r="I42" s="3" t="s">
        <v>134</v>
      </c>
      <c r="J42" s="3">
        <v>1</v>
      </c>
      <c r="K42" s="3">
        <v>1</v>
      </c>
      <c r="L42" s="3">
        <f>VLOOKUP(A42,[1]단품수량!$B$5:$P$27,13,FALSE)*K42</f>
        <v>158</v>
      </c>
      <c r="M42" s="3" t="s">
        <v>19</v>
      </c>
      <c r="N42" s="3" t="s">
        <v>53</v>
      </c>
    </row>
    <row r="43" spans="1:14" ht="18" hidden="1" customHeight="1">
      <c r="A43" s="5">
        <v>10005982</v>
      </c>
      <c r="B43" s="3" t="str">
        <f>VLOOKUP(A43,[1]단품수량!$B$5:$E$27,4,FALSE)</f>
        <v>CSP</v>
      </c>
      <c r="C43" s="3">
        <v>58</v>
      </c>
      <c r="D43" s="3" t="s">
        <v>15</v>
      </c>
      <c r="E43" s="3">
        <v>30120723</v>
      </c>
      <c r="F43" s="3" t="s">
        <v>135</v>
      </c>
      <c r="G43" s="3"/>
      <c r="H43" s="3" t="s">
        <v>65</v>
      </c>
      <c r="I43" s="3" t="s">
        <v>18</v>
      </c>
      <c r="J43" s="3">
        <v>1</v>
      </c>
      <c r="K43" s="3">
        <v>1</v>
      </c>
      <c r="L43" s="3">
        <f>VLOOKUP(A43,[1]단품수량!$B$5:$P$27,13,FALSE)*K43</f>
        <v>158</v>
      </c>
      <c r="M43" s="3" t="s">
        <v>19</v>
      </c>
      <c r="N43" s="3" t="s">
        <v>20</v>
      </c>
    </row>
    <row r="44" spans="1:14" ht="18" hidden="1" customHeight="1">
      <c r="A44" s="5">
        <v>10005982</v>
      </c>
      <c r="B44" s="3" t="str">
        <f>VLOOKUP(A44,[1]단품수량!$B$5:$E$27,4,FALSE)</f>
        <v>CSP</v>
      </c>
      <c r="C44" s="3">
        <v>59</v>
      </c>
      <c r="D44" s="3" t="s">
        <v>21</v>
      </c>
      <c r="E44" s="3">
        <v>30120724</v>
      </c>
      <c r="F44" s="3" t="s">
        <v>136</v>
      </c>
      <c r="G44" s="3"/>
      <c r="H44" s="3" t="s">
        <v>17</v>
      </c>
      <c r="I44" s="3" t="s">
        <v>18</v>
      </c>
      <c r="J44" s="3">
        <v>1</v>
      </c>
      <c r="K44" s="3">
        <v>1</v>
      </c>
      <c r="L44" s="3">
        <f>VLOOKUP(A44,[1]단품수량!$B$5:$P$27,13,FALSE)*K44</f>
        <v>158</v>
      </c>
      <c r="M44" s="3" t="s">
        <v>19</v>
      </c>
      <c r="N44" s="3" t="s">
        <v>20</v>
      </c>
    </row>
    <row r="45" spans="1:14" s="10" customFormat="1" ht="18" hidden="1" customHeight="1">
      <c r="A45" s="11">
        <v>10005982</v>
      </c>
      <c r="B45" s="9" t="str">
        <f>VLOOKUP(A45,[1]단품수량!$B$5:$E$27,4,FALSE)</f>
        <v>CSP</v>
      </c>
      <c r="C45" s="9">
        <v>60</v>
      </c>
      <c r="D45" s="9" t="s">
        <v>24</v>
      </c>
      <c r="E45" s="9">
        <v>30118495</v>
      </c>
      <c r="F45" s="9"/>
      <c r="G45" s="9"/>
      <c r="H45" s="9" t="s">
        <v>137</v>
      </c>
      <c r="I45" s="9" t="s">
        <v>138</v>
      </c>
      <c r="J45" s="9">
        <v>1</v>
      </c>
      <c r="K45" s="9">
        <v>1</v>
      </c>
      <c r="L45" s="9">
        <f>VLOOKUP(A45,[1]단품수량!$B$5:$P$27,13,FALSE)*K45</f>
        <v>158</v>
      </c>
      <c r="M45" s="9" t="s">
        <v>27</v>
      </c>
      <c r="N45" s="9" t="s">
        <v>28</v>
      </c>
    </row>
    <row r="46" spans="1:14" ht="18" hidden="1" customHeight="1">
      <c r="A46" s="5">
        <v>10005982</v>
      </c>
      <c r="B46" s="3" t="str">
        <f>VLOOKUP(A46,[1]단품수량!$B$5:$E$27,4,FALSE)</f>
        <v>CSP</v>
      </c>
      <c r="C46" s="3">
        <v>61</v>
      </c>
      <c r="D46" s="3" t="s">
        <v>29</v>
      </c>
      <c r="E46" s="3">
        <v>30123883</v>
      </c>
      <c r="F46" s="3"/>
      <c r="G46" s="3"/>
      <c r="H46" s="3" t="s">
        <v>139</v>
      </c>
      <c r="I46" s="3" t="s">
        <v>140</v>
      </c>
      <c r="J46" s="3">
        <v>1</v>
      </c>
      <c r="K46" s="3">
        <v>1</v>
      </c>
      <c r="L46" s="3">
        <f>VLOOKUP(A46,[1]단품수량!$B$5:$P$27,13,FALSE)*K46</f>
        <v>158</v>
      </c>
      <c r="M46" s="3" t="s">
        <v>27</v>
      </c>
      <c r="N46" s="3" t="s">
        <v>28</v>
      </c>
    </row>
    <row r="47" spans="1:14" ht="18" hidden="1" customHeight="1">
      <c r="A47" s="5">
        <v>10005982</v>
      </c>
      <c r="B47" s="3" t="str">
        <f>VLOOKUP(A47,[1]단품수량!$B$5:$E$27,4,FALSE)</f>
        <v>CSP</v>
      </c>
      <c r="C47" s="3">
        <v>62</v>
      </c>
      <c r="D47" s="3" t="s">
        <v>32</v>
      </c>
      <c r="E47" s="3">
        <v>30120767</v>
      </c>
      <c r="F47" s="3" t="s">
        <v>141</v>
      </c>
      <c r="G47" s="3"/>
      <c r="H47" s="3" t="s">
        <v>142</v>
      </c>
      <c r="I47" s="3" t="s">
        <v>143</v>
      </c>
      <c r="J47" s="3">
        <v>1</v>
      </c>
      <c r="K47" s="3">
        <v>1</v>
      </c>
      <c r="L47" s="3">
        <f>VLOOKUP(A47,[1]단품수량!$B$5:$P$27,13,FALSE)*K47</f>
        <v>158</v>
      </c>
      <c r="M47" s="3" t="s">
        <v>27</v>
      </c>
      <c r="N47" s="3" t="s">
        <v>144</v>
      </c>
    </row>
    <row r="48" spans="1:14" ht="18" hidden="1" customHeight="1">
      <c r="A48" s="5">
        <v>10005982</v>
      </c>
      <c r="B48" s="3" t="str">
        <f>VLOOKUP(A48,[1]단품수량!$B$5:$E$27,4,FALSE)</f>
        <v>CSP</v>
      </c>
      <c r="C48" s="3">
        <v>63</v>
      </c>
      <c r="D48" s="3" t="s">
        <v>64</v>
      </c>
      <c r="E48" s="3">
        <v>30124429</v>
      </c>
      <c r="F48" s="3"/>
      <c r="G48" s="3"/>
      <c r="H48" s="3" t="s">
        <v>145</v>
      </c>
      <c r="I48" s="3" t="s">
        <v>146</v>
      </c>
      <c r="J48" s="3">
        <v>1</v>
      </c>
      <c r="K48" s="3">
        <v>1</v>
      </c>
      <c r="L48" s="3">
        <f>VLOOKUP(A48,[1]단품수량!$B$5:$P$27,13,FALSE)*K48</f>
        <v>158</v>
      </c>
      <c r="M48" s="3" t="s">
        <v>19</v>
      </c>
      <c r="N48" s="3" t="s">
        <v>147</v>
      </c>
    </row>
    <row r="49" spans="1:14" ht="18" hidden="1" customHeight="1">
      <c r="A49" s="5">
        <v>10005982</v>
      </c>
      <c r="B49" s="3" t="str">
        <f>VLOOKUP(A49,[1]단품수량!$B$5:$E$27,4,FALSE)</f>
        <v>CSP</v>
      </c>
      <c r="C49" s="3">
        <v>64</v>
      </c>
      <c r="D49" s="3" t="s">
        <v>37</v>
      </c>
      <c r="E49" s="3">
        <v>30120726</v>
      </c>
      <c r="F49" s="3" t="s">
        <v>148</v>
      </c>
      <c r="G49" s="3"/>
      <c r="H49" s="3" t="s">
        <v>71</v>
      </c>
      <c r="I49" s="3" t="s">
        <v>18</v>
      </c>
      <c r="J49" s="3">
        <v>1</v>
      </c>
      <c r="K49" s="3">
        <v>1</v>
      </c>
      <c r="L49" s="3">
        <f>VLOOKUP(A49,[1]단품수량!$B$5:$P$27,13,FALSE)*K49</f>
        <v>158</v>
      </c>
      <c r="M49" s="3" t="s">
        <v>19</v>
      </c>
      <c r="N49" s="3" t="s">
        <v>20</v>
      </c>
    </row>
    <row r="50" spans="1:14" ht="18" hidden="1" customHeight="1">
      <c r="A50" s="5">
        <v>10005982</v>
      </c>
      <c r="B50" s="3" t="str">
        <f>VLOOKUP(A50,[1]단품수량!$B$5:$E$27,4,FALSE)</f>
        <v>CSP</v>
      </c>
      <c r="C50" s="3">
        <v>65</v>
      </c>
      <c r="D50" s="3" t="s">
        <v>40</v>
      </c>
      <c r="E50" s="3">
        <v>30120651</v>
      </c>
      <c r="F50" s="3" t="s">
        <v>149</v>
      </c>
      <c r="G50" s="3"/>
      <c r="H50" s="3" t="s">
        <v>51</v>
      </c>
      <c r="I50" s="3" t="s">
        <v>150</v>
      </c>
      <c r="J50" s="3">
        <v>1</v>
      </c>
      <c r="K50" s="3">
        <v>1</v>
      </c>
      <c r="L50" s="3">
        <f>VLOOKUP(A50,[1]단품수량!$B$5:$P$27,13,FALSE)*K50</f>
        <v>158</v>
      </c>
      <c r="M50" s="3" t="s">
        <v>19</v>
      </c>
      <c r="N50" s="3" t="s">
        <v>53</v>
      </c>
    </row>
    <row r="51" spans="1:14" ht="18" hidden="1" customHeight="1">
      <c r="A51" s="5">
        <v>10005982</v>
      </c>
      <c r="B51" s="3" t="str">
        <f>VLOOKUP(A51,[1]단품수량!$B$5:$E$27,4,FALSE)</f>
        <v>CSP</v>
      </c>
      <c r="C51" s="3">
        <v>66</v>
      </c>
      <c r="D51" s="3" t="s">
        <v>43</v>
      </c>
      <c r="E51" s="3">
        <v>30120725</v>
      </c>
      <c r="F51" s="3" t="s">
        <v>151</v>
      </c>
      <c r="G51" s="3"/>
      <c r="H51" s="3" t="s">
        <v>65</v>
      </c>
      <c r="I51" s="3" t="s">
        <v>18</v>
      </c>
      <c r="J51" s="3">
        <v>1</v>
      </c>
      <c r="K51" s="3">
        <v>1</v>
      </c>
      <c r="L51" s="3">
        <f>VLOOKUP(A51,[1]단품수량!$B$5:$P$27,13,FALSE)*K51</f>
        <v>158</v>
      </c>
      <c r="M51" s="3" t="s">
        <v>19</v>
      </c>
      <c r="N51" s="3" t="s">
        <v>20</v>
      </c>
    </row>
    <row r="52" spans="1:14" ht="18" hidden="1" customHeight="1">
      <c r="A52" s="5">
        <v>10005982</v>
      </c>
      <c r="B52" s="3" t="str">
        <f>VLOOKUP(A52,[1]단품수량!$B$5:$E$27,4,FALSE)</f>
        <v>CSP</v>
      </c>
      <c r="C52" s="3">
        <v>67</v>
      </c>
      <c r="D52" s="3" t="s">
        <v>46</v>
      </c>
      <c r="E52" s="3">
        <v>30118493</v>
      </c>
      <c r="F52" s="3"/>
      <c r="G52" s="3"/>
      <c r="H52" s="3" t="s">
        <v>59</v>
      </c>
      <c r="I52" s="3" t="s">
        <v>152</v>
      </c>
      <c r="J52" s="3">
        <v>1</v>
      </c>
      <c r="K52" s="3">
        <v>1</v>
      </c>
      <c r="L52" s="3">
        <f>VLOOKUP(A52,[1]단품수량!$B$5:$P$27,13,FALSE)*K52</f>
        <v>158</v>
      </c>
      <c r="M52" s="3" t="s">
        <v>27</v>
      </c>
      <c r="N52" s="3" t="s">
        <v>60</v>
      </c>
    </row>
    <row r="53" spans="1:14" ht="18" hidden="1" customHeight="1">
      <c r="A53" s="5">
        <v>10005982</v>
      </c>
      <c r="B53" s="3" t="str">
        <f>VLOOKUP(A53,[1]단품수량!$B$5:$E$27,4,FALSE)</f>
        <v>CSP</v>
      </c>
      <c r="C53" s="3">
        <v>68</v>
      </c>
      <c r="D53" s="3" t="s">
        <v>49</v>
      </c>
      <c r="E53" s="3">
        <v>30118494</v>
      </c>
      <c r="F53" s="3"/>
      <c r="G53" s="3"/>
      <c r="H53" s="3" t="s">
        <v>59</v>
      </c>
      <c r="I53" s="3" t="s">
        <v>153</v>
      </c>
      <c r="J53" s="3">
        <v>1</v>
      </c>
      <c r="K53" s="3">
        <v>1</v>
      </c>
      <c r="L53" s="3">
        <f>VLOOKUP(A53,[1]단품수량!$B$5:$P$27,13,FALSE)*K53</f>
        <v>158</v>
      </c>
      <c r="M53" s="3" t="s">
        <v>27</v>
      </c>
      <c r="N53" s="3" t="s">
        <v>60</v>
      </c>
    </row>
    <row r="54" spans="1:14" ht="18" hidden="1" customHeight="1">
      <c r="A54" s="5">
        <v>10005982</v>
      </c>
      <c r="B54" s="3" t="str">
        <f>VLOOKUP(A54,[1]단품수량!$B$5:$E$27,4,FALSE)</f>
        <v>CSP</v>
      </c>
      <c r="C54" s="3">
        <v>69</v>
      </c>
      <c r="D54" s="3" t="s">
        <v>54</v>
      </c>
      <c r="E54" s="3">
        <v>30063371</v>
      </c>
      <c r="F54" s="3"/>
      <c r="G54" s="3"/>
      <c r="H54" s="3" t="s">
        <v>61</v>
      </c>
      <c r="I54" s="3" t="s">
        <v>62</v>
      </c>
      <c r="J54" s="3">
        <v>1</v>
      </c>
      <c r="K54" s="3">
        <v>1</v>
      </c>
      <c r="L54" s="3">
        <f>VLOOKUP(A54,[1]단품수량!$B$5:$P$27,13,FALSE)*K54</f>
        <v>158</v>
      </c>
      <c r="M54" s="3" t="s">
        <v>35</v>
      </c>
      <c r="N54" s="3" t="s">
        <v>36</v>
      </c>
    </row>
    <row r="55" spans="1:14" ht="18" hidden="1" customHeight="1">
      <c r="A55" s="5">
        <v>10005988</v>
      </c>
      <c r="B55" s="3" t="str">
        <f>VLOOKUP(A55,[1]단품수량!$B$5:$E$27,4,FALSE)</f>
        <v>ESP</v>
      </c>
      <c r="C55" s="3">
        <v>83</v>
      </c>
      <c r="D55" s="3" t="s">
        <v>15</v>
      </c>
      <c r="E55" s="3">
        <v>30120730</v>
      </c>
      <c r="F55" s="3" t="s">
        <v>160</v>
      </c>
      <c r="G55" s="3"/>
      <c r="H55" s="3" t="s">
        <v>65</v>
      </c>
      <c r="I55" s="3" t="s">
        <v>18</v>
      </c>
      <c r="J55" s="3">
        <v>1</v>
      </c>
      <c r="K55" s="3">
        <v>1</v>
      </c>
      <c r="L55" s="3">
        <f>VLOOKUP(A55,[1]단품수량!$B$5:$P$27,13,FALSE)*K55</f>
        <v>480</v>
      </c>
      <c r="M55" s="3" t="s">
        <v>19</v>
      </c>
      <c r="N55" s="3" t="s">
        <v>69</v>
      </c>
    </row>
    <row r="56" spans="1:14" ht="18" hidden="1" customHeight="1">
      <c r="A56" s="5">
        <v>10005988</v>
      </c>
      <c r="B56" s="3" t="str">
        <f>VLOOKUP(A56,[1]단품수량!$B$5:$E$27,4,FALSE)</f>
        <v>ESP</v>
      </c>
      <c r="C56" s="3">
        <v>84</v>
      </c>
      <c r="D56" s="3" t="s">
        <v>21</v>
      </c>
      <c r="E56" s="3">
        <v>30120732</v>
      </c>
      <c r="F56" s="3" t="s">
        <v>161</v>
      </c>
      <c r="G56" s="3"/>
      <c r="H56" s="3" t="s">
        <v>71</v>
      </c>
      <c r="I56" s="3" t="s">
        <v>18</v>
      </c>
      <c r="J56" s="3">
        <v>1</v>
      </c>
      <c r="K56" s="3">
        <v>1</v>
      </c>
      <c r="L56" s="3">
        <f>VLOOKUP(A56,[1]단품수량!$B$5:$P$27,13,FALSE)*K56</f>
        <v>480</v>
      </c>
      <c r="M56" s="3" t="s">
        <v>19</v>
      </c>
      <c r="N56" s="3" t="s">
        <v>69</v>
      </c>
    </row>
    <row r="57" spans="1:14" ht="18" hidden="1" customHeight="1">
      <c r="A57" s="5">
        <v>10005988</v>
      </c>
      <c r="B57" s="3" t="str">
        <f>VLOOKUP(A57,[1]단품수량!$B$5:$E$27,4,FALSE)</f>
        <v>ESP</v>
      </c>
      <c r="C57" s="3">
        <v>85</v>
      </c>
      <c r="D57" s="3" t="s">
        <v>24</v>
      </c>
      <c r="E57" s="3">
        <v>30120728</v>
      </c>
      <c r="F57" s="3" t="s">
        <v>162</v>
      </c>
      <c r="G57" s="3"/>
      <c r="H57" s="3" t="s">
        <v>163</v>
      </c>
      <c r="I57" s="3" t="s">
        <v>18</v>
      </c>
      <c r="J57" s="3">
        <v>1</v>
      </c>
      <c r="K57" s="3">
        <v>1</v>
      </c>
      <c r="L57" s="3">
        <f>VLOOKUP(A57,[1]단품수량!$B$5:$P$27,13,FALSE)*K57</f>
        <v>480</v>
      </c>
      <c r="M57" s="3" t="s">
        <v>19</v>
      </c>
      <c r="N57" s="3" t="s">
        <v>57</v>
      </c>
    </row>
    <row r="58" spans="1:14" ht="18" hidden="1" customHeight="1">
      <c r="A58" s="5">
        <v>10005988</v>
      </c>
      <c r="B58" s="3" t="str">
        <f>VLOOKUP(A58,[1]단품수량!$B$5:$E$27,4,FALSE)</f>
        <v>ESP</v>
      </c>
      <c r="C58" s="3">
        <v>86</v>
      </c>
      <c r="D58" s="3" t="s">
        <v>29</v>
      </c>
      <c r="E58" s="3">
        <v>30120729</v>
      </c>
      <c r="F58" s="3" t="s">
        <v>164</v>
      </c>
      <c r="G58" s="3"/>
      <c r="H58" s="3" t="s">
        <v>17</v>
      </c>
      <c r="I58" s="3" t="s">
        <v>18</v>
      </c>
      <c r="J58" s="3">
        <v>1</v>
      </c>
      <c r="K58" s="3">
        <v>1</v>
      </c>
      <c r="L58" s="3">
        <f>VLOOKUP(A58,[1]단품수량!$B$5:$P$27,13,FALSE)*K58</f>
        <v>480</v>
      </c>
      <c r="M58" s="3" t="s">
        <v>19</v>
      </c>
      <c r="N58" s="3" t="s">
        <v>69</v>
      </c>
    </row>
    <row r="59" spans="1:14" s="10" customFormat="1" ht="18" hidden="1" customHeight="1">
      <c r="A59" s="11">
        <v>10005988</v>
      </c>
      <c r="B59" s="9" t="str">
        <f>VLOOKUP(A59,[1]단품수량!$B$5:$E$27,4,FALSE)</f>
        <v>ESP</v>
      </c>
      <c r="C59" s="9">
        <v>87</v>
      </c>
      <c r="D59" s="9" t="s">
        <v>32</v>
      </c>
      <c r="E59" s="9">
        <v>30118495</v>
      </c>
      <c r="F59" s="9"/>
      <c r="G59" s="9"/>
      <c r="H59" s="9" t="s">
        <v>137</v>
      </c>
      <c r="I59" s="9" t="s">
        <v>138</v>
      </c>
      <c r="J59" s="9">
        <v>1</v>
      </c>
      <c r="K59" s="9">
        <v>1</v>
      </c>
      <c r="L59" s="9">
        <f>VLOOKUP(A59,[1]단품수량!$B$5:$P$27,13,FALSE)*K59</f>
        <v>480</v>
      </c>
      <c r="M59" s="9" t="s">
        <v>27</v>
      </c>
      <c r="N59" s="9" t="s">
        <v>28</v>
      </c>
    </row>
    <row r="60" spans="1:14" ht="18" hidden="1" customHeight="1">
      <c r="A60" s="5">
        <v>10005988</v>
      </c>
      <c r="B60" s="3" t="str">
        <f>VLOOKUP(A60,[1]단품수량!$B$5:$E$27,4,FALSE)</f>
        <v>ESP</v>
      </c>
      <c r="C60" s="3">
        <v>88</v>
      </c>
      <c r="D60" s="3" t="s">
        <v>37</v>
      </c>
      <c r="E60" s="3">
        <v>30118493</v>
      </c>
      <c r="F60" s="3"/>
      <c r="G60" s="3"/>
      <c r="H60" s="3" t="s">
        <v>59</v>
      </c>
      <c r="I60" s="3" t="s">
        <v>152</v>
      </c>
      <c r="J60" s="3">
        <v>1</v>
      </c>
      <c r="K60" s="3">
        <v>1</v>
      </c>
      <c r="L60" s="3">
        <f>VLOOKUP(A60,[1]단품수량!$B$5:$P$27,13,FALSE)*K60</f>
        <v>480</v>
      </c>
      <c r="M60" s="3" t="s">
        <v>27</v>
      </c>
      <c r="N60" s="3" t="s">
        <v>60</v>
      </c>
    </row>
    <row r="61" spans="1:14" ht="18" hidden="1" customHeight="1">
      <c r="A61" s="5">
        <v>10005988</v>
      </c>
      <c r="B61" s="3" t="str">
        <f>VLOOKUP(A61,[1]단품수량!$B$5:$E$27,4,FALSE)</f>
        <v>ESP</v>
      </c>
      <c r="C61" s="3">
        <v>89</v>
      </c>
      <c r="D61" s="3" t="s">
        <v>40</v>
      </c>
      <c r="E61" s="3">
        <v>30118494</v>
      </c>
      <c r="F61" s="3"/>
      <c r="G61" s="3"/>
      <c r="H61" s="3" t="s">
        <v>59</v>
      </c>
      <c r="I61" s="3" t="s">
        <v>153</v>
      </c>
      <c r="J61" s="3">
        <v>1</v>
      </c>
      <c r="K61" s="3">
        <v>1</v>
      </c>
      <c r="L61" s="3">
        <f>VLOOKUP(A61,[1]단품수량!$B$5:$P$27,13,FALSE)*K61</f>
        <v>480</v>
      </c>
      <c r="M61" s="3" t="s">
        <v>27</v>
      </c>
      <c r="N61" s="3" t="s">
        <v>60</v>
      </c>
    </row>
    <row r="62" spans="1:14" ht="18" hidden="1" customHeight="1">
      <c r="A62" s="5">
        <v>10005988</v>
      </c>
      <c r="B62" s="3" t="str">
        <f>VLOOKUP(A62,[1]단품수량!$B$5:$E$27,4,FALSE)</f>
        <v>ESP</v>
      </c>
      <c r="C62" s="3">
        <v>90</v>
      </c>
      <c r="D62" s="3" t="s">
        <v>43</v>
      </c>
      <c r="E62" s="3">
        <v>30099477</v>
      </c>
      <c r="F62" s="3"/>
      <c r="G62" s="3"/>
      <c r="H62" s="3" t="s">
        <v>165</v>
      </c>
      <c r="I62" s="3" t="s">
        <v>166</v>
      </c>
      <c r="J62" s="3">
        <v>1</v>
      </c>
      <c r="K62" s="3">
        <v>1</v>
      </c>
      <c r="L62" s="3">
        <f>VLOOKUP(A62,[1]단품수량!$B$5:$P$27,13,FALSE)*K62</f>
        <v>480</v>
      </c>
      <c r="M62" s="3" t="s">
        <v>27</v>
      </c>
      <c r="N62" s="3" t="s">
        <v>57</v>
      </c>
    </row>
    <row r="63" spans="1:14" ht="18" hidden="1" customHeight="1">
      <c r="A63" s="5">
        <v>10005988</v>
      </c>
      <c r="B63" s="3" t="str">
        <f>VLOOKUP(A63,[1]단품수량!$B$5:$E$27,4,FALSE)</f>
        <v>ESP</v>
      </c>
      <c r="C63" s="3">
        <v>91</v>
      </c>
      <c r="D63" s="3" t="s">
        <v>46</v>
      </c>
      <c r="E63" s="3">
        <v>30063371</v>
      </c>
      <c r="F63" s="3"/>
      <c r="G63" s="3"/>
      <c r="H63" s="3" t="s">
        <v>61</v>
      </c>
      <c r="I63" s="3" t="s">
        <v>62</v>
      </c>
      <c r="J63" s="3">
        <v>1</v>
      </c>
      <c r="K63" s="3">
        <v>1</v>
      </c>
      <c r="L63" s="3">
        <f>VLOOKUP(A63,[1]단품수량!$B$5:$P$27,13,FALSE)*K63</f>
        <v>480</v>
      </c>
      <c r="M63" s="3" t="s">
        <v>35</v>
      </c>
      <c r="N63" s="3" t="s">
        <v>36</v>
      </c>
    </row>
    <row r="64" spans="1:14" ht="18" hidden="1" customHeight="1">
      <c r="A64" s="5">
        <v>10005988</v>
      </c>
      <c r="B64" s="3" t="str">
        <f>VLOOKUP(A64,[1]단품수량!$B$5:$E$27,4,FALSE)</f>
        <v>ESP</v>
      </c>
      <c r="C64" s="3">
        <v>92</v>
      </c>
      <c r="D64" s="3" t="s">
        <v>49</v>
      </c>
      <c r="E64" s="3">
        <v>30124437</v>
      </c>
      <c r="F64" s="3"/>
      <c r="G64" s="3"/>
      <c r="H64" s="3" t="s">
        <v>167</v>
      </c>
      <c r="I64" s="3" t="s">
        <v>168</v>
      </c>
      <c r="J64" s="3">
        <v>2</v>
      </c>
      <c r="K64" s="3">
        <v>2</v>
      </c>
      <c r="L64" s="3">
        <f>VLOOKUP(A64,[1]단품수량!$B$5:$P$27,13,FALSE)*K64</f>
        <v>960</v>
      </c>
      <c r="M64" s="3" t="s">
        <v>27</v>
      </c>
      <c r="N64" s="3"/>
    </row>
    <row r="65" spans="1:14" ht="18" hidden="1" customHeight="1">
      <c r="A65" s="3">
        <v>10005992</v>
      </c>
      <c r="B65" s="3" t="str">
        <f>VLOOKUP(A65,[1]단품수량!$B$5:$E$27,4,FALSE)</f>
        <v>FDI</v>
      </c>
      <c r="C65" s="3">
        <v>93</v>
      </c>
      <c r="D65" s="3" t="s">
        <v>15</v>
      </c>
      <c r="E65" s="3">
        <v>30120684</v>
      </c>
      <c r="F65" s="3" t="s">
        <v>169</v>
      </c>
      <c r="G65" s="3"/>
      <c r="H65" s="3" t="s">
        <v>65</v>
      </c>
      <c r="I65" s="3" t="s">
        <v>18</v>
      </c>
      <c r="J65" s="3">
        <v>1</v>
      </c>
      <c r="K65" s="3">
        <v>1</v>
      </c>
      <c r="L65" s="3">
        <f>VLOOKUP(A65,[1]단품수량!$B$5:$P$27,13,FALSE)*K65</f>
        <v>158</v>
      </c>
      <c r="M65" s="3" t="s">
        <v>19</v>
      </c>
      <c r="N65" s="3" t="s">
        <v>20</v>
      </c>
    </row>
    <row r="66" spans="1:14" ht="18" hidden="1" customHeight="1">
      <c r="A66" s="3">
        <v>10005992</v>
      </c>
      <c r="B66" s="3" t="str">
        <f>VLOOKUP(A66,[1]단품수량!$B$5:$E$27,4,FALSE)</f>
        <v>FDI</v>
      </c>
      <c r="C66" s="3">
        <v>94</v>
      </c>
      <c r="D66" s="3" t="s">
        <v>21</v>
      </c>
      <c r="E66" s="3">
        <v>30120686</v>
      </c>
      <c r="F66" s="3" t="s">
        <v>170</v>
      </c>
      <c r="G66" s="3"/>
      <c r="H66" s="3" t="s">
        <v>17</v>
      </c>
      <c r="I66" s="3" t="s">
        <v>18</v>
      </c>
      <c r="J66" s="3">
        <v>1</v>
      </c>
      <c r="K66" s="3">
        <v>1</v>
      </c>
      <c r="L66" s="3">
        <f>VLOOKUP(A66,[1]단품수량!$B$5:$P$27,13,FALSE)*K66</f>
        <v>158</v>
      </c>
      <c r="M66" s="3" t="s">
        <v>19</v>
      </c>
      <c r="N66" s="3" t="s">
        <v>20</v>
      </c>
    </row>
    <row r="67" spans="1:14" ht="18" hidden="1" customHeight="1">
      <c r="A67" s="3">
        <v>10005992</v>
      </c>
      <c r="B67" s="3" t="str">
        <f>VLOOKUP(A67,[1]단품수량!$B$5:$E$27,4,FALSE)</f>
        <v>FDI</v>
      </c>
      <c r="C67" s="3">
        <v>95</v>
      </c>
      <c r="D67" s="3" t="s">
        <v>24</v>
      </c>
      <c r="E67" s="3">
        <v>30120687</v>
      </c>
      <c r="F67" s="3" t="s">
        <v>171</v>
      </c>
      <c r="G67" s="3"/>
      <c r="H67" s="3" t="s">
        <v>17</v>
      </c>
      <c r="I67" s="3" t="s">
        <v>18</v>
      </c>
      <c r="J67" s="3">
        <v>2</v>
      </c>
      <c r="K67" s="3">
        <v>2</v>
      </c>
      <c r="L67" s="3">
        <f>VLOOKUP(A67,[1]단품수량!$B$5:$P$27,13,FALSE)*K67</f>
        <v>316</v>
      </c>
      <c r="M67" s="3" t="s">
        <v>19</v>
      </c>
      <c r="N67" s="3" t="s">
        <v>20</v>
      </c>
    </row>
    <row r="68" spans="1:14" ht="18" hidden="1" customHeight="1">
      <c r="A68" s="3">
        <v>10005992</v>
      </c>
      <c r="B68" s="3" t="str">
        <f>VLOOKUP(A68,[1]단품수량!$B$5:$E$27,4,FALSE)</f>
        <v>FDI</v>
      </c>
      <c r="C68" s="3">
        <v>96</v>
      </c>
      <c r="D68" s="3" t="s">
        <v>29</v>
      </c>
      <c r="E68" s="3">
        <v>30120688</v>
      </c>
      <c r="F68" s="3" t="s">
        <v>172</v>
      </c>
      <c r="G68" s="3"/>
      <c r="H68" s="3" t="s">
        <v>80</v>
      </c>
      <c r="I68" s="3" t="s">
        <v>18</v>
      </c>
      <c r="J68" s="3">
        <v>1</v>
      </c>
      <c r="K68" s="3">
        <v>1</v>
      </c>
      <c r="L68" s="3">
        <f>VLOOKUP(A68,[1]단품수량!$B$5:$P$27,13,FALSE)*K68</f>
        <v>158</v>
      </c>
      <c r="M68" s="3" t="s">
        <v>19</v>
      </c>
      <c r="N68" s="3" t="s">
        <v>20</v>
      </c>
    </row>
    <row r="69" spans="1:14" ht="18" hidden="1" customHeight="1">
      <c r="A69" s="3">
        <v>10005992</v>
      </c>
      <c r="B69" s="3" t="str">
        <f>VLOOKUP(A69,[1]단품수량!$B$5:$E$27,4,FALSE)</f>
        <v>FDI</v>
      </c>
      <c r="C69" s="3">
        <v>97</v>
      </c>
      <c r="D69" s="3" t="s">
        <v>32</v>
      </c>
      <c r="E69" s="3">
        <v>30118098</v>
      </c>
      <c r="F69" s="3"/>
      <c r="G69" s="3"/>
      <c r="H69" s="3" t="s">
        <v>173</v>
      </c>
      <c r="I69" s="3" t="s">
        <v>174</v>
      </c>
      <c r="J69" s="3">
        <v>3</v>
      </c>
      <c r="K69" s="3">
        <v>3</v>
      </c>
      <c r="L69" s="3">
        <f>VLOOKUP(A69,[1]단품수량!$B$5:$P$27,13,FALSE)*K69</f>
        <v>474</v>
      </c>
      <c r="M69" s="3" t="s">
        <v>27</v>
      </c>
      <c r="N69" s="3" t="s">
        <v>175</v>
      </c>
    </row>
    <row r="70" spans="1:14" ht="18" hidden="1" customHeight="1">
      <c r="A70" s="3">
        <v>10005992</v>
      </c>
      <c r="B70" s="3" t="str">
        <f>VLOOKUP(A70,[1]단품수량!$B$5:$E$27,4,FALSE)</f>
        <v>FDI</v>
      </c>
      <c r="C70" s="3">
        <v>98</v>
      </c>
      <c r="D70" s="3" t="s">
        <v>37</v>
      </c>
      <c r="E70" s="3">
        <v>30120749</v>
      </c>
      <c r="F70" s="3"/>
      <c r="G70" s="3"/>
      <c r="H70" s="12" t="s">
        <v>176</v>
      </c>
      <c r="I70" s="12" t="s">
        <v>177</v>
      </c>
      <c r="J70" s="3">
        <v>10</v>
      </c>
      <c r="K70" s="3">
        <v>10</v>
      </c>
      <c r="L70" s="3">
        <f>VLOOKUP(A70,[1]단품수량!$B$5:$P$27,13,FALSE)*K70</f>
        <v>1580</v>
      </c>
      <c r="M70" s="3" t="s">
        <v>27</v>
      </c>
      <c r="N70" s="3" t="s">
        <v>178</v>
      </c>
    </row>
    <row r="71" spans="1:14" ht="18" hidden="1" customHeight="1">
      <c r="A71" s="3">
        <v>10005992</v>
      </c>
      <c r="B71" s="3" t="str">
        <f>VLOOKUP(A71,[1]단품수량!$B$5:$E$27,4,FALSE)</f>
        <v>FDI</v>
      </c>
      <c r="C71" s="3">
        <v>99</v>
      </c>
      <c r="D71" s="3" t="s">
        <v>40</v>
      </c>
      <c r="E71" s="3">
        <v>30120750</v>
      </c>
      <c r="F71" s="3"/>
      <c r="G71" s="3"/>
      <c r="H71" s="12" t="s">
        <v>176</v>
      </c>
      <c r="I71" s="12" t="s">
        <v>179</v>
      </c>
      <c r="J71" s="3">
        <v>2</v>
      </c>
      <c r="K71" s="3">
        <v>2</v>
      </c>
      <c r="L71" s="3">
        <f>VLOOKUP(A71,[1]단품수량!$B$5:$P$27,13,FALSE)*K71</f>
        <v>316</v>
      </c>
      <c r="M71" s="3" t="s">
        <v>27</v>
      </c>
      <c r="N71" s="3" t="s">
        <v>178</v>
      </c>
    </row>
    <row r="72" spans="1:14" ht="18" hidden="1" customHeight="1">
      <c r="A72" s="3">
        <v>10005992</v>
      </c>
      <c r="B72" s="3" t="str">
        <f>VLOOKUP(A72,[1]단품수량!$B$5:$E$27,4,FALSE)</f>
        <v>FDI</v>
      </c>
      <c r="C72" s="3">
        <v>100</v>
      </c>
      <c r="D72" s="3" t="s">
        <v>43</v>
      </c>
      <c r="E72" s="3">
        <v>30120838</v>
      </c>
      <c r="F72" s="3"/>
      <c r="G72" s="3"/>
      <c r="H72" s="12" t="s">
        <v>180</v>
      </c>
      <c r="I72" s="12" t="s">
        <v>181</v>
      </c>
      <c r="J72" s="3">
        <v>1</v>
      </c>
      <c r="K72" s="3">
        <v>1</v>
      </c>
      <c r="L72" s="3">
        <f>VLOOKUP(A72,[1]단품수량!$B$5:$P$27,13,FALSE)*K72</f>
        <v>158</v>
      </c>
      <c r="M72" s="3" t="s">
        <v>27</v>
      </c>
      <c r="N72" s="3" t="s">
        <v>178</v>
      </c>
    </row>
    <row r="73" spans="1:14" ht="18" hidden="1" customHeight="1">
      <c r="A73" s="3">
        <v>10005992</v>
      </c>
      <c r="B73" s="3" t="str">
        <f>VLOOKUP(A73,[1]단품수량!$B$5:$E$27,4,FALSE)</f>
        <v>FDI</v>
      </c>
      <c r="C73" s="3">
        <v>101</v>
      </c>
      <c r="D73" s="3" t="s">
        <v>46</v>
      </c>
      <c r="E73" s="3">
        <v>30120839</v>
      </c>
      <c r="F73" s="3"/>
      <c r="G73" s="3"/>
      <c r="H73" s="12" t="s">
        <v>182</v>
      </c>
      <c r="I73" s="12" t="s">
        <v>183</v>
      </c>
      <c r="J73" s="3">
        <v>1</v>
      </c>
      <c r="K73" s="3">
        <v>1</v>
      </c>
      <c r="L73" s="3">
        <f>VLOOKUP(A73,[1]단품수량!$B$5:$P$27,13,FALSE)*K73</f>
        <v>158</v>
      </c>
      <c r="M73" s="3" t="s">
        <v>19</v>
      </c>
      <c r="N73" s="3" t="s">
        <v>107</v>
      </c>
    </row>
    <row r="74" spans="1:14" ht="18" hidden="1" customHeight="1">
      <c r="A74" s="3">
        <v>10005992</v>
      </c>
      <c r="B74" s="3" t="str">
        <f>VLOOKUP(A74,[1]단품수량!$B$5:$E$27,4,FALSE)</f>
        <v>FDI</v>
      </c>
      <c r="C74" s="3">
        <v>102</v>
      </c>
      <c r="D74" s="3" t="s">
        <v>49</v>
      </c>
      <c r="E74" s="3">
        <v>30120751</v>
      </c>
      <c r="F74" s="3"/>
      <c r="G74" s="3"/>
      <c r="H74" s="3" t="s">
        <v>184</v>
      </c>
      <c r="I74" s="3" t="s">
        <v>185</v>
      </c>
      <c r="J74" s="3">
        <v>1</v>
      </c>
      <c r="K74" s="3">
        <v>1</v>
      </c>
      <c r="L74" s="3">
        <f>VLOOKUP(A74,[1]단품수량!$B$5:$P$27,13,FALSE)*K74</f>
        <v>158</v>
      </c>
      <c r="M74" s="3" t="s">
        <v>19</v>
      </c>
      <c r="N74" s="3" t="s">
        <v>186</v>
      </c>
    </row>
    <row r="75" spans="1:14" ht="18" hidden="1" customHeight="1">
      <c r="A75" s="3">
        <v>10005992</v>
      </c>
      <c r="B75" s="3" t="str">
        <f>VLOOKUP(A75,[1]단품수량!$B$5:$E$27,4,FALSE)</f>
        <v>FDI</v>
      </c>
      <c r="C75" s="3">
        <v>103</v>
      </c>
      <c r="D75" s="3" t="s">
        <v>64</v>
      </c>
      <c r="E75" s="3">
        <v>30120992</v>
      </c>
      <c r="F75" s="3"/>
      <c r="G75" s="3"/>
      <c r="H75" s="12" t="s">
        <v>96</v>
      </c>
      <c r="I75" s="12" t="s">
        <v>97</v>
      </c>
      <c r="J75" s="3">
        <v>1</v>
      </c>
      <c r="K75" s="3">
        <v>1</v>
      </c>
      <c r="L75" s="3">
        <f>VLOOKUP(A75,[1]단품수량!$B$5:$P$27,13,FALSE)*K75</f>
        <v>158</v>
      </c>
      <c r="M75" s="3" t="s">
        <v>35</v>
      </c>
      <c r="N75" s="3" t="s">
        <v>98</v>
      </c>
    </row>
    <row r="76" spans="1:14" ht="18" hidden="1" customHeight="1">
      <c r="A76" s="3">
        <v>10005992</v>
      </c>
      <c r="B76" s="3" t="str">
        <f>VLOOKUP(A76,[1]단품수량!$B$5:$E$27,4,FALSE)</f>
        <v>FDI</v>
      </c>
      <c r="C76" s="3">
        <v>104</v>
      </c>
      <c r="D76" s="3" t="s">
        <v>66</v>
      </c>
      <c r="E76" s="3">
        <v>30121672</v>
      </c>
      <c r="F76" s="3"/>
      <c r="G76" s="3"/>
      <c r="H76" s="12" t="s">
        <v>99</v>
      </c>
      <c r="I76" s="12" t="s">
        <v>100</v>
      </c>
      <c r="J76" s="3">
        <v>1</v>
      </c>
      <c r="K76" s="3">
        <v>1</v>
      </c>
      <c r="L76" s="3">
        <f>VLOOKUP(A76,[1]단품수량!$B$5:$P$27,13,FALSE)*K76</f>
        <v>158</v>
      </c>
      <c r="M76" s="3" t="s">
        <v>27</v>
      </c>
      <c r="N76" s="3" t="s">
        <v>98</v>
      </c>
    </row>
    <row r="77" spans="1:14" ht="18" hidden="1" customHeight="1">
      <c r="A77" s="3">
        <v>10005992</v>
      </c>
      <c r="B77" s="3" t="str">
        <f>VLOOKUP(A77,[1]단품수량!$B$5:$E$27,4,FALSE)</f>
        <v>FDI</v>
      </c>
      <c r="C77" s="3">
        <v>105</v>
      </c>
      <c r="D77" s="3" t="s">
        <v>54</v>
      </c>
      <c r="E77" s="3">
        <v>30120752</v>
      </c>
      <c r="F77" s="3"/>
      <c r="G77" s="3"/>
      <c r="H77" s="3" t="s">
        <v>187</v>
      </c>
      <c r="I77" s="3" t="s">
        <v>18</v>
      </c>
      <c r="J77" s="3">
        <v>1</v>
      </c>
      <c r="K77" s="3">
        <v>1</v>
      </c>
      <c r="L77" s="3">
        <f>VLOOKUP(A77,[1]단품수량!$B$5:$P$27,13,FALSE)*K77</f>
        <v>158</v>
      </c>
      <c r="M77" s="3" t="s">
        <v>19</v>
      </c>
      <c r="N77" s="3" t="s">
        <v>186</v>
      </c>
    </row>
    <row r="78" spans="1:14" ht="18" hidden="1" customHeight="1">
      <c r="A78" s="3">
        <v>10005992</v>
      </c>
      <c r="B78" s="3" t="str">
        <f>VLOOKUP(A78,[1]단품수량!$B$5:$E$27,4,FALSE)</f>
        <v>FDI</v>
      </c>
      <c r="C78" s="3">
        <v>106</v>
      </c>
      <c r="D78" s="3" t="s">
        <v>91</v>
      </c>
      <c r="E78" s="3">
        <v>30118546</v>
      </c>
      <c r="F78" s="3"/>
      <c r="G78" s="3"/>
      <c r="H78" s="12" t="s">
        <v>188</v>
      </c>
      <c r="I78" s="12" t="s">
        <v>189</v>
      </c>
      <c r="J78" s="3">
        <v>1</v>
      </c>
      <c r="K78" s="3">
        <v>1</v>
      </c>
      <c r="L78" s="3">
        <f>VLOOKUP(A78,[1]단품수량!$B$5:$P$27,13,FALSE)*K78</f>
        <v>158</v>
      </c>
      <c r="M78" s="3" t="s">
        <v>35</v>
      </c>
      <c r="N78" s="3" t="s">
        <v>36</v>
      </c>
    </row>
    <row r="79" spans="1:14" ht="18" hidden="1" customHeight="1">
      <c r="A79" s="3">
        <v>10005992</v>
      </c>
      <c r="B79" s="3" t="str">
        <f>VLOOKUP(A79,[1]단품수량!$B$5:$E$27,4,FALSE)</f>
        <v>FDI</v>
      </c>
      <c r="C79" s="3">
        <v>107</v>
      </c>
      <c r="D79" s="3" t="s">
        <v>94</v>
      </c>
      <c r="E79" s="3">
        <v>30118561</v>
      </c>
      <c r="F79" s="3"/>
      <c r="G79" s="3"/>
      <c r="H79" s="12" t="s">
        <v>190</v>
      </c>
      <c r="I79" s="12" t="s">
        <v>191</v>
      </c>
      <c r="J79" s="3">
        <v>1</v>
      </c>
      <c r="K79" s="3">
        <v>1</v>
      </c>
      <c r="L79" s="3">
        <f>VLOOKUP(A79,[1]단품수량!$B$5:$P$27,13,FALSE)*K79</f>
        <v>158</v>
      </c>
      <c r="M79" s="3" t="s">
        <v>35</v>
      </c>
      <c r="N79" s="3" t="s">
        <v>36</v>
      </c>
    </row>
    <row r="80" spans="1:14" ht="18" hidden="1" customHeight="1">
      <c r="A80" s="3">
        <v>10005992</v>
      </c>
      <c r="B80" s="3" t="str">
        <f>VLOOKUP(A80,[1]단품수량!$B$5:$E$27,4,FALSE)</f>
        <v>FDI</v>
      </c>
      <c r="C80" s="3">
        <v>108</v>
      </c>
      <c r="D80" s="3" t="s">
        <v>101</v>
      </c>
      <c r="E80" s="3">
        <v>30118569</v>
      </c>
      <c r="F80" s="3"/>
      <c r="G80" s="3"/>
      <c r="H80" s="12" t="s">
        <v>47</v>
      </c>
      <c r="I80" s="12" t="s">
        <v>48</v>
      </c>
      <c r="J80" s="3">
        <v>4</v>
      </c>
      <c r="K80" s="3">
        <v>4</v>
      </c>
      <c r="L80" s="3">
        <f>VLOOKUP(A80,[1]단품수량!$B$5:$P$27,13,FALSE)*K80</f>
        <v>632</v>
      </c>
      <c r="M80" s="3" t="s">
        <v>35</v>
      </c>
      <c r="N80" s="3" t="s">
        <v>36</v>
      </c>
    </row>
    <row r="81" spans="1:14" ht="18" hidden="1" customHeight="1">
      <c r="A81" s="3">
        <v>10005992</v>
      </c>
      <c r="B81" s="3" t="str">
        <f>VLOOKUP(A81,[1]단품수량!$B$5:$E$27,4,FALSE)</f>
        <v>FDI</v>
      </c>
      <c r="C81" s="3">
        <v>109</v>
      </c>
      <c r="D81" s="3" t="s">
        <v>104</v>
      </c>
      <c r="E81" s="3">
        <v>30118573</v>
      </c>
      <c r="F81" s="3"/>
      <c r="G81" s="3"/>
      <c r="H81" s="12" t="s">
        <v>87</v>
      </c>
      <c r="I81" s="12" t="s">
        <v>88</v>
      </c>
      <c r="J81" s="3">
        <v>17</v>
      </c>
      <c r="K81" s="3">
        <v>17</v>
      </c>
      <c r="L81" s="3">
        <f>VLOOKUP(A81,[1]단품수량!$B$5:$P$27,13,FALSE)*K81</f>
        <v>2686</v>
      </c>
      <c r="M81" s="3" t="s">
        <v>35</v>
      </c>
      <c r="N81" s="3" t="s">
        <v>36</v>
      </c>
    </row>
    <row r="82" spans="1:14" ht="18" hidden="1" customHeight="1">
      <c r="A82" s="3">
        <v>10005992</v>
      </c>
      <c r="B82" s="3" t="str">
        <f>VLOOKUP(A82,[1]단품수량!$B$5:$E$27,4,FALSE)</f>
        <v>FDI</v>
      </c>
      <c r="C82" s="3">
        <v>110</v>
      </c>
      <c r="D82" s="3" t="s">
        <v>109</v>
      </c>
      <c r="E82" s="3">
        <v>30118582</v>
      </c>
      <c r="F82" s="3"/>
      <c r="G82" s="3"/>
      <c r="H82" s="12" t="s">
        <v>89</v>
      </c>
      <c r="I82" s="12" t="s">
        <v>90</v>
      </c>
      <c r="J82" s="3">
        <v>17</v>
      </c>
      <c r="K82" s="3">
        <v>17</v>
      </c>
      <c r="L82" s="3">
        <f>VLOOKUP(A82,[1]단품수량!$B$5:$P$27,13,FALSE)*K82</f>
        <v>2686</v>
      </c>
      <c r="M82" s="3" t="s">
        <v>35</v>
      </c>
      <c r="N82" s="3" t="s">
        <v>36</v>
      </c>
    </row>
    <row r="83" spans="1:14" ht="18" customHeight="1">
      <c r="A83" s="3">
        <v>10005992</v>
      </c>
      <c r="B83" s="3" t="str">
        <f>VLOOKUP(A83,[1]단품수량!$B$5:$E$27,4,FALSE)</f>
        <v>FDI</v>
      </c>
      <c r="C83" s="3">
        <v>111</v>
      </c>
      <c r="D83" s="3" t="s">
        <v>132</v>
      </c>
      <c r="E83" s="3">
        <v>30120840</v>
      </c>
      <c r="F83" s="3"/>
      <c r="G83" s="3"/>
      <c r="H83" s="12" t="s">
        <v>192</v>
      </c>
      <c r="I83" s="3" t="s">
        <v>193</v>
      </c>
      <c r="J83" s="3">
        <v>4</v>
      </c>
      <c r="K83" s="3">
        <v>4</v>
      </c>
      <c r="L83" s="3">
        <f>VLOOKUP(A83,[1]단품수량!$B$5:$P$27,13,FALSE)*K83</f>
        <v>632</v>
      </c>
      <c r="M83" s="3" t="s">
        <v>35</v>
      </c>
      <c r="N83" s="3" t="s">
        <v>194</v>
      </c>
    </row>
    <row r="84" spans="1:14" ht="18" customHeight="1">
      <c r="A84" s="3">
        <v>10005992</v>
      </c>
      <c r="B84" s="3" t="str">
        <f>VLOOKUP(A84,[1]단품수량!$B$5:$E$27,4,FALSE)</f>
        <v>FDI</v>
      </c>
      <c r="C84" s="3">
        <v>112</v>
      </c>
      <c r="D84" s="3" t="s">
        <v>195</v>
      </c>
      <c r="E84" s="3">
        <v>30120532</v>
      </c>
      <c r="F84" s="3"/>
      <c r="G84" s="3"/>
      <c r="H84" s="12" t="s">
        <v>196</v>
      </c>
      <c r="I84" s="3" t="s">
        <v>197</v>
      </c>
      <c r="J84" s="3">
        <v>4</v>
      </c>
      <c r="K84" s="3">
        <v>4</v>
      </c>
      <c r="L84" s="3">
        <f>VLOOKUP(A84,[1]단품수량!$B$5:$P$27,13,FALSE)*K84</f>
        <v>632</v>
      </c>
      <c r="M84" s="3" t="s">
        <v>35</v>
      </c>
      <c r="N84" s="3" t="s">
        <v>194</v>
      </c>
    </row>
    <row r="85" spans="1:14" ht="18" customHeight="1">
      <c r="A85" s="3">
        <v>10005992</v>
      </c>
      <c r="B85" s="3" t="str">
        <f>VLOOKUP(A85,[1]단품수량!$B$5:$E$27,4,FALSE)</f>
        <v>FDI</v>
      </c>
      <c r="C85" s="3">
        <v>113</v>
      </c>
      <c r="D85" s="3" t="s">
        <v>198</v>
      </c>
      <c r="E85" s="3">
        <v>30120533</v>
      </c>
      <c r="F85" s="3"/>
      <c r="G85" s="3"/>
      <c r="H85" s="12" t="s">
        <v>199</v>
      </c>
      <c r="I85" s="3" t="s">
        <v>200</v>
      </c>
      <c r="J85" s="3">
        <v>4</v>
      </c>
      <c r="K85" s="3">
        <v>4</v>
      </c>
      <c r="L85" s="3">
        <f>VLOOKUP(A85,[1]단품수량!$B$5:$P$27,13,FALSE)*K85</f>
        <v>632</v>
      </c>
      <c r="M85" s="3" t="s">
        <v>35</v>
      </c>
      <c r="N85" s="3" t="s">
        <v>194</v>
      </c>
    </row>
    <row r="86" spans="1:14" ht="18" customHeight="1">
      <c r="A86" s="3">
        <v>10005992</v>
      </c>
      <c r="B86" s="3" t="str">
        <f>VLOOKUP(A86,[1]단품수량!$B$5:$E$27,4,FALSE)</f>
        <v>FDI</v>
      </c>
      <c r="C86" s="3">
        <v>114</v>
      </c>
      <c r="D86" s="3" t="s">
        <v>201</v>
      </c>
      <c r="E86" s="3">
        <v>30120534</v>
      </c>
      <c r="F86" s="3"/>
      <c r="G86" s="3"/>
      <c r="H86" s="12" t="s">
        <v>202</v>
      </c>
      <c r="I86" s="3" t="s">
        <v>203</v>
      </c>
      <c r="J86" s="3">
        <v>4</v>
      </c>
      <c r="K86" s="3">
        <v>4</v>
      </c>
      <c r="L86" s="3">
        <f>VLOOKUP(A86,[1]단품수량!$B$5:$P$27,13,FALSE)*K86</f>
        <v>632</v>
      </c>
      <c r="M86" s="3" t="s">
        <v>35</v>
      </c>
      <c r="N86" s="3" t="s">
        <v>194</v>
      </c>
    </row>
    <row r="87" spans="1:14" ht="18" customHeight="1">
      <c r="A87" s="3">
        <v>10005992</v>
      </c>
      <c r="B87" s="3" t="str">
        <f>VLOOKUP(A87,[1]단품수량!$B$5:$E$27,4,FALSE)</f>
        <v>FDI</v>
      </c>
      <c r="C87" s="3">
        <v>115</v>
      </c>
      <c r="D87" s="3" t="s">
        <v>204</v>
      </c>
      <c r="E87" s="3">
        <v>30120535</v>
      </c>
      <c r="F87" s="3"/>
      <c r="G87" s="3"/>
      <c r="H87" s="12" t="s">
        <v>205</v>
      </c>
      <c r="I87" s="3" t="s">
        <v>206</v>
      </c>
      <c r="J87" s="3">
        <v>4</v>
      </c>
      <c r="K87" s="3">
        <v>4</v>
      </c>
      <c r="L87" s="3">
        <f>VLOOKUP(A87,[1]단품수량!$B$5:$P$27,13,FALSE)*K87</f>
        <v>632</v>
      </c>
      <c r="M87" s="3" t="s">
        <v>35</v>
      </c>
      <c r="N87" s="3" t="s">
        <v>194</v>
      </c>
    </row>
    <row r="88" spans="1:14" ht="18" hidden="1" customHeight="1">
      <c r="A88" s="3">
        <v>10005992</v>
      </c>
      <c r="B88" s="3" t="str">
        <f>VLOOKUP(A88,[1]단품수량!$B$5:$E$27,4,FALSE)</f>
        <v>FDI</v>
      </c>
      <c r="C88" s="3">
        <v>116</v>
      </c>
      <c r="D88" s="3" t="s">
        <v>207</v>
      </c>
      <c r="E88" s="3">
        <v>30120666</v>
      </c>
      <c r="F88" s="3" t="s">
        <v>208</v>
      </c>
      <c r="G88" s="3"/>
      <c r="H88" s="3" t="s">
        <v>51</v>
      </c>
      <c r="I88" s="3" t="s">
        <v>209</v>
      </c>
      <c r="J88" s="3">
        <v>1</v>
      </c>
      <c r="K88" s="3">
        <v>1</v>
      </c>
      <c r="L88" s="3">
        <f>VLOOKUP(A88,[1]단품수량!$B$5:$P$27,13,FALSE)*K88</f>
        <v>158</v>
      </c>
      <c r="M88" s="3" t="s">
        <v>19</v>
      </c>
      <c r="N88" s="3" t="s">
        <v>53</v>
      </c>
    </row>
    <row r="89" spans="1:14" ht="18" hidden="1" customHeight="1">
      <c r="A89" s="3">
        <v>10005992</v>
      </c>
      <c r="B89" s="3" t="str">
        <f>VLOOKUP(A89,[1]단품수량!$B$5:$E$27,4,FALSE)</f>
        <v>FDI</v>
      </c>
      <c r="C89" s="3">
        <v>117</v>
      </c>
      <c r="D89" s="3" t="s">
        <v>210</v>
      </c>
      <c r="E89" s="3">
        <v>20061697</v>
      </c>
      <c r="F89" s="3" t="s">
        <v>211</v>
      </c>
      <c r="G89" s="3"/>
      <c r="H89" s="3" t="s">
        <v>111</v>
      </c>
      <c r="I89" s="3" t="s">
        <v>212</v>
      </c>
      <c r="J89" s="3">
        <v>1</v>
      </c>
      <c r="K89" s="3">
        <v>1</v>
      </c>
      <c r="L89" s="3">
        <f>VLOOKUP(A89,[1]단품수량!$B$5:$P$27,13,FALSE)*K89</f>
        <v>158</v>
      </c>
      <c r="M89" s="3" t="s">
        <v>113</v>
      </c>
      <c r="N89" s="3"/>
    </row>
    <row r="90" spans="1:14" ht="18" hidden="1" customHeight="1">
      <c r="A90" s="3">
        <v>10005992</v>
      </c>
      <c r="B90" s="3" t="str">
        <f>VLOOKUP(A90,[1]단품수량!$B$5:$E$27,4,FALSE)</f>
        <v>FDI</v>
      </c>
      <c r="C90" s="3">
        <v>118</v>
      </c>
      <c r="D90" s="3" t="s">
        <v>64</v>
      </c>
      <c r="E90" s="3">
        <v>30075140</v>
      </c>
      <c r="F90" s="3"/>
      <c r="G90" s="3"/>
      <c r="H90" s="3" t="s">
        <v>61</v>
      </c>
      <c r="I90" s="3" t="s">
        <v>114</v>
      </c>
      <c r="J90" s="3">
        <v>50</v>
      </c>
      <c r="K90" s="3">
        <v>50</v>
      </c>
      <c r="L90" s="3">
        <f>VLOOKUP(A90,[1]단품수량!$B$5:$P$27,13,FALSE)*K90</f>
        <v>7900</v>
      </c>
      <c r="M90" s="3" t="s">
        <v>35</v>
      </c>
      <c r="N90" s="3" t="s">
        <v>36</v>
      </c>
    </row>
    <row r="91" spans="1:14" ht="18" hidden="1" customHeight="1">
      <c r="A91" s="3">
        <v>10005992</v>
      </c>
      <c r="B91" s="3" t="str">
        <f>VLOOKUP(A91,[1]단품수량!$B$5:$E$27,4,FALSE)</f>
        <v>FDI</v>
      </c>
      <c r="C91" s="3">
        <v>119</v>
      </c>
      <c r="D91" s="3" t="s">
        <v>66</v>
      </c>
      <c r="E91" s="3">
        <v>30093304</v>
      </c>
      <c r="F91" s="3"/>
      <c r="G91" s="3"/>
      <c r="H91" s="3" t="s">
        <v>55</v>
      </c>
      <c r="I91" s="3" t="s">
        <v>56</v>
      </c>
      <c r="J91" s="3">
        <v>4</v>
      </c>
      <c r="K91" s="3">
        <v>4</v>
      </c>
      <c r="L91" s="3">
        <f>VLOOKUP(A91,[1]단품수량!$B$5:$P$27,13,FALSE)*K91</f>
        <v>632</v>
      </c>
      <c r="M91" s="3" t="s">
        <v>35</v>
      </c>
      <c r="N91" s="3" t="s">
        <v>36</v>
      </c>
    </row>
    <row r="92" spans="1:14" ht="18" hidden="1" customHeight="1">
      <c r="A92" s="3">
        <v>10005992</v>
      </c>
      <c r="B92" s="3" t="str">
        <f>VLOOKUP(A92,[1]단품수량!$B$5:$E$27,4,FALSE)</f>
        <v>FDI</v>
      </c>
      <c r="C92" s="3">
        <v>120</v>
      </c>
      <c r="D92" s="3" t="s">
        <v>116</v>
      </c>
      <c r="E92" s="3">
        <v>30115146</v>
      </c>
      <c r="F92" s="3"/>
      <c r="G92" s="3"/>
      <c r="H92" s="3" t="s">
        <v>59</v>
      </c>
      <c r="I92" s="3" t="s">
        <v>213</v>
      </c>
      <c r="J92" s="3">
        <v>1</v>
      </c>
      <c r="K92" s="3">
        <v>1</v>
      </c>
      <c r="L92" s="3">
        <f>VLOOKUP(A92,[1]단품수량!$B$5:$P$27,13,FALSE)*K92</f>
        <v>158</v>
      </c>
      <c r="M92" s="3" t="s">
        <v>35</v>
      </c>
      <c r="N92" s="3" t="s">
        <v>28</v>
      </c>
    </row>
    <row r="93" spans="1:14" ht="18" hidden="1" customHeight="1">
      <c r="A93" s="3">
        <v>10005992</v>
      </c>
      <c r="B93" s="3" t="str">
        <f>VLOOKUP(A93,[1]단품수량!$B$5:$E$27,4,FALSE)</f>
        <v>FDI</v>
      </c>
      <c r="C93" s="3">
        <v>121</v>
      </c>
      <c r="D93" s="3" t="s">
        <v>118</v>
      </c>
      <c r="E93" s="3">
        <v>30110820</v>
      </c>
      <c r="F93" s="3"/>
      <c r="G93" s="3"/>
      <c r="H93" s="3" t="s">
        <v>214</v>
      </c>
      <c r="I93" s="3" t="s">
        <v>215</v>
      </c>
      <c r="J93" s="3">
        <v>1</v>
      </c>
      <c r="K93" s="3">
        <v>1</v>
      </c>
      <c r="L93" s="3">
        <f>VLOOKUP(A93,[1]단품수량!$B$5:$P$27,13,FALSE)*K93</f>
        <v>158</v>
      </c>
      <c r="M93" s="3" t="s">
        <v>35</v>
      </c>
      <c r="N93" s="3" t="s">
        <v>28</v>
      </c>
    </row>
    <row r="94" spans="1:14" ht="18" hidden="1" customHeight="1">
      <c r="A94" s="3">
        <v>10005992</v>
      </c>
      <c r="B94" s="3" t="str">
        <f>VLOOKUP(A94,[1]단품수량!$B$5:$E$27,4,FALSE)</f>
        <v>FDI</v>
      </c>
      <c r="C94" s="3">
        <v>122</v>
      </c>
      <c r="D94" s="3" t="s">
        <v>121</v>
      </c>
      <c r="E94" s="3">
        <v>30100325</v>
      </c>
      <c r="F94" s="3"/>
      <c r="G94" s="3"/>
      <c r="H94" s="3" t="s">
        <v>119</v>
      </c>
      <c r="I94" s="3" t="s">
        <v>120</v>
      </c>
      <c r="J94" s="3">
        <v>1</v>
      </c>
      <c r="K94" s="3">
        <v>1</v>
      </c>
      <c r="L94" s="3">
        <f>VLOOKUP(A94,[1]단품수량!$B$5:$P$27,13,FALSE)*K94</f>
        <v>158</v>
      </c>
      <c r="M94" s="3" t="s">
        <v>35</v>
      </c>
      <c r="N94" s="3" t="s">
        <v>28</v>
      </c>
    </row>
    <row r="95" spans="1:14" ht="18" hidden="1" customHeight="1">
      <c r="A95" s="3">
        <v>10005992</v>
      </c>
      <c r="B95" s="3" t="str">
        <f>VLOOKUP(A95,[1]단품수량!$B$5:$E$27,4,FALSE)</f>
        <v>FDI</v>
      </c>
      <c r="C95" s="3">
        <v>123</v>
      </c>
      <c r="D95" s="3" t="s">
        <v>123</v>
      </c>
      <c r="E95" s="3">
        <v>30111991</v>
      </c>
      <c r="F95" s="3"/>
      <c r="G95" s="3"/>
      <c r="H95" s="3" t="s">
        <v>59</v>
      </c>
      <c r="I95" s="3" t="s">
        <v>216</v>
      </c>
      <c r="J95" s="3">
        <v>1</v>
      </c>
      <c r="K95" s="3">
        <v>1</v>
      </c>
      <c r="L95" s="3">
        <f>VLOOKUP(A95,[1]단품수량!$B$5:$P$27,13,FALSE)*K95</f>
        <v>158</v>
      </c>
      <c r="M95" s="3" t="s">
        <v>27</v>
      </c>
      <c r="N95" s="3" t="s">
        <v>28</v>
      </c>
    </row>
    <row r="96" spans="1:14" ht="18" hidden="1" customHeight="1">
      <c r="A96" s="3">
        <v>10005992</v>
      </c>
      <c r="B96" s="3" t="str">
        <f>VLOOKUP(A96,[1]단품수량!$B$5:$E$27,4,FALSE)</f>
        <v>FDI</v>
      </c>
      <c r="C96" s="3">
        <v>124</v>
      </c>
      <c r="D96" s="3" t="s">
        <v>126</v>
      </c>
      <c r="E96" s="3">
        <v>30081231</v>
      </c>
      <c r="F96" s="3"/>
      <c r="G96" s="3"/>
      <c r="H96" s="3" t="s">
        <v>124</v>
      </c>
      <c r="I96" s="3" t="s">
        <v>125</v>
      </c>
      <c r="J96" s="3">
        <v>42</v>
      </c>
      <c r="K96" s="3">
        <v>42</v>
      </c>
      <c r="L96" s="3">
        <f>VLOOKUP(A96,[1]단품수량!$B$5:$P$27,13,FALSE)*K96</f>
        <v>6636</v>
      </c>
      <c r="M96" s="3" t="s">
        <v>35</v>
      </c>
      <c r="N96" s="3" t="s">
        <v>28</v>
      </c>
    </row>
    <row r="97" spans="1:14" ht="18" hidden="1" customHeight="1">
      <c r="A97" s="3">
        <v>10005983</v>
      </c>
      <c r="B97" s="3" t="str">
        <f>VLOOKUP(A97,[1]단품수량!$B$5:$E$27,4,FALSE)</f>
        <v>ISP</v>
      </c>
      <c r="C97" s="3">
        <v>125</v>
      </c>
      <c r="D97" s="3" t="s">
        <v>15</v>
      </c>
      <c r="E97" s="3">
        <v>30120734</v>
      </c>
      <c r="F97" s="3" t="s">
        <v>217</v>
      </c>
      <c r="G97" s="3"/>
      <c r="H97" s="3" t="s">
        <v>65</v>
      </c>
      <c r="I97" s="3" t="s">
        <v>18</v>
      </c>
      <c r="J97" s="3">
        <v>1</v>
      </c>
      <c r="K97" s="3">
        <v>1</v>
      </c>
      <c r="L97" s="3">
        <f>VLOOKUP(A97,[1]단품수량!$B$5:$P$27,13,FALSE)*K97</f>
        <v>960</v>
      </c>
      <c r="M97" s="3" t="s">
        <v>19</v>
      </c>
      <c r="N97" s="3" t="s">
        <v>69</v>
      </c>
    </row>
    <row r="98" spans="1:14" ht="18" hidden="1" customHeight="1">
      <c r="A98" s="3">
        <v>10005983</v>
      </c>
      <c r="B98" s="3" t="str">
        <f>VLOOKUP(A98,[1]단품수량!$B$5:$E$27,4,FALSE)</f>
        <v>ISP</v>
      </c>
      <c r="C98" s="3">
        <v>126</v>
      </c>
      <c r="D98" s="3" t="s">
        <v>64</v>
      </c>
      <c r="E98" s="3">
        <v>30120732</v>
      </c>
      <c r="F98" s="3" t="s">
        <v>161</v>
      </c>
      <c r="G98" s="3"/>
      <c r="H98" s="3" t="s">
        <v>71</v>
      </c>
      <c r="I98" s="3" t="s">
        <v>18</v>
      </c>
      <c r="J98" s="3">
        <v>1</v>
      </c>
      <c r="K98" s="3">
        <v>1</v>
      </c>
      <c r="L98" s="3">
        <f>VLOOKUP(A98,[1]단품수량!$B$5:$P$27,13,FALSE)*K98</f>
        <v>960</v>
      </c>
      <c r="M98" s="3" t="s">
        <v>19</v>
      </c>
      <c r="N98" s="3" t="s">
        <v>69</v>
      </c>
    </row>
    <row r="99" spans="1:14" ht="18" hidden="1" customHeight="1">
      <c r="A99" s="3">
        <v>10005983</v>
      </c>
      <c r="B99" s="3" t="str">
        <f>VLOOKUP(A99,[1]단품수량!$B$5:$E$27,4,FALSE)</f>
        <v>ISP</v>
      </c>
      <c r="C99" s="3">
        <v>127</v>
      </c>
      <c r="D99" s="3" t="s">
        <v>66</v>
      </c>
      <c r="E99" s="3">
        <v>30120733</v>
      </c>
      <c r="F99" s="3" t="s">
        <v>218</v>
      </c>
      <c r="G99" s="3"/>
      <c r="H99" s="3" t="s">
        <v>17</v>
      </c>
      <c r="I99" s="3" t="s">
        <v>18</v>
      </c>
      <c r="J99" s="3">
        <v>1</v>
      </c>
      <c r="K99" s="3">
        <v>1</v>
      </c>
      <c r="L99" s="3">
        <f>VLOOKUP(A99,[1]단품수량!$B$5:$P$27,13,FALSE)*K99</f>
        <v>960</v>
      </c>
      <c r="M99" s="3" t="s">
        <v>19</v>
      </c>
      <c r="N99" s="3" t="s">
        <v>69</v>
      </c>
    </row>
    <row r="100" spans="1:14" s="10" customFormat="1" ht="18" hidden="1" customHeight="1">
      <c r="A100" s="9">
        <v>10005983</v>
      </c>
      <c r="B100" s="9" t="str">
        <f>VLOOKUP(A100,[1]단품수량!$B$5:$E$27,4,FALSE)</f>
        <v>ISP</v>
      </c>
      <c r="C100" s="9">
        <v>128</v>
      </c>
      <c r="D100" s="9" t="s">
        <v>21</v>
      </c>
      <c r="E100" s="9">
        <v>30118495</v>
      </c>
      <c r="F100" s="9"/>
      <c r="G100" s="9"/>
      <c r="H100" s="9" t="s">
        <v>137</v>
      </c>
      <c r="I100" s="9" t="s">
        <v>138</v>
      </c>
      <c r="J100" s="9">
        <v>1</v>
      </c>
      <c r="K100" s="9">
        <v>1</v>
      </c>
      <c r="L100" s="9">
        <f>VLOOKUP(A100,[1]단품수량!$B$5:$P$27,13,FALSE)*K100</f>
        <v>960</v>
      </c>
      <c r="M100" s="9" t="s">
        <v>27</v>
      </c>
      <c r="N100" s="9" t="s">
        <v>28</v>
      </c>
    </row>
    <row r="101" spans="1:14" ht="18" hidden="1" customHeight="1">
      <c r="A101" s="3">
        <v>10005983</v>
      </c>
      <c r="B101" s="3" t="str">
        <f>VLOOKUP(A101,[1]단품수량!$B$5:$E$27,4,FALSE)</f>
        <v>ISP</v>
      </c>
      <c r="C101" s="3">
        <v>129</v>
      </c>
      <c r="D101" s="3" t="s">
        <v>24</v>
      </c>
      <c r="E101" s="3">
        <v>30120769</v>
      </c>
      <c r="F101" s="3" t="s">
        <v>219</v>
      </c>
      <c r="G101" s="3"/>
      <c r="H101" s="3" t="s">
        <v>184</v>
      </c>
      <c r="I101" s="3" t="s">
        <v>220</v>
      </c>
      <c r="J101" s="3">
        <v>1</v>
      </c>
      <c r="K101" s="3">
        <v>1</v>
      </c>
      <c r="L101" s="3">
        <f>VLOOKUP(A101,[1]단품수량!$B$5:$P$27,13,FALSE)*K101</f>
        <v>960</v>
      </c>
      <c r="M101" s="3" t="s">
        <v>19</v>
      </c>
      <c r="N101" s="3" t="s">
        <v>186</v>
      </c>
    </row>
    <row r="102" spans="1:14" ht="18" hidden="1" customHeight="1">
      <c r="A102" s="3">
        <v>10005983</v>
      </c>
      <c r="B102" s="3" t="str">
        <f>VLOOKUP(A102,[1]단품수량!$B$5:$E$27,4,FALSE)</f>
        <v>ISP</v>
      </c>
      <c r="C102" s="3">
        <v>130</v>
      </c>
      <c r="D102" s="3" t="s">
        <v>29</v>
      </c>
      <c r="E102" s="3">
        <v>30120773</v>
      </c>
      <c r="F102" s="3" t="s">
        <v>221</v>
      </c>
      <c r="G102" s="3"/>
      <c r="H102" s="12" t="s">
        <v>222</v>
      </c>
      <c r="I102" s="12" t="s">
        <v>18</v>
      </c>
      <c r="J102" s="3">
        <v>1</v>
      </c>
      <c r="K102" s="3">
        <v>1</v>
      </c>
      <c r="L102" s="3">
        <f>VLOOKUP(A102,[1]단품수량!$B$5:$P$27,13,FALSE)*K102</f>
        <v>960</v>
      </c>
      <c r="M102" s="3" t="s">
        <v>27</v>
      </c>
      <c r="N102" s="3" t="s">
        <v>223</v>
      </c>
    </row>
    <row r="103" spans="1:14" ht="18" hidden="1" customHeight="1">
      <c r="A103" s="3">
        <v>10005983</v>
      </c>
      <c r="B103" s="3" t="str">
        <f>VLOOKUP(A103,[1]단품수량!$B$5:$E$27,4,FALSE)</f>
        <v>ISP</v>
      </c>
      <c r="C103" s="3">
        <v>131</v>
      </c>
      <c r="D103" s="3" t="s">
        <v>32</v>
      </c>
      <c r="E103" s="3">
        <v>30120269</v>
      </c>
      <c r="F103" s="3"/>
      <c r="G103" s="3"/>
      <c r="H103" s="3" t="s">
        <v>59</v>
      </c>
      <c r="I103" s="3" t="s">
        <v>224</v>
      </c>
      <c r="J103" s="3">
        <v>1</v>
      </c>
      <c r="K103" s="3">
        <v>1</v>
      </c>
      <c r="L103" s="3">
        <f>VLOOKUP(A103,[1]단품수량!$B$5:$P$27,13,FALSE)*K103</f>
        <v>960</v>
      </c>
      <c r="M103" s="3" t="s">
        <v>27</v>
      </c>
      <c r="N103" s="3" t="s">
        <v>60</v>
      </c>
    </row>
    <row r="104" spans="1:14" ht="18" hidden="1" customHeight="1">
      <c r="A104" s="3">
        <v>10005983</v>
      </c>
      <c r="B104" s="3" t="str">
        <f>VLOOKUP(A104,[1]단품수량!$B$5:$E$27,4,FALSE)</f>
        <v>ISP</v>
      </c>
      <c r="C104" s="3">
        <v>132</v>
      </c>
      <c r="D104" s="3" t="s">
        <v>37</v>
      </c>
      <c r="E104" s="3">
        <v>30120270</v>
      </c>
      <c r="F104" s="3"/>
      <c r="G104" s="3"/>
      <c r="H104" s="3" t="s">
        <v>59</v>
      </c>
      <c r="I104" s="3" t="s">
        <v>225</v>
      </c>
      <c r="J104" s="3">
        <v>1</v>
      </c>
      <c r="K104" s="3">
        <v>1</v>
      </c>
      <c r="L104" s="3">
        <f>VLOOKUP(A104,[1]단품수량!$B$5:$P$27,13,FALSE)*K104</f>
        <v>960</v>
      </c>
      <c r="M104" s="3" t="s">
        <v>27</v>
      </c>
      <c r="N104" s="3" t="s">
        <v>60</v>
      </c>
    </row>
    <row r="105" spans="1:14" ht="18" hidden="1" customHeight="1">
      <c r="A105" s="3">
        <v>10005983</v>
      </c>
      <c r="B105" s="3" t="str">
        <f>VLOOKUP(A105,[1]단품수량!$B$5:$E$27,4,FALSE)</f>
        <v>ISP</v>
      </c>
      <c r="C105" s="3">
        <v>133</v>
      </c>
      <c r="D105" s="3" t="s">
        <v>40</v>
      </c>
      <c r="E105" s="3">
        <v>30120808</v>
      </c>
      <c r="F105" s="3"/>
      <c r="G105" s="3"/>
      <c r="H105" s="3" t="s">
        <v>165</v>
      </c>
      <c r="I105" s="3" t="s">
        <v>226</v>
      </c>
      <c r="J105" s="3">
        <v>1</v>
      </c>
      <c r="K105" s="3">
        <v>1</v>
      </c>
      <c r="L105" s="3">
        <f>VLOOKUP(A105,[1]단품수량!$B$5:$P$27,13,FALSE)*K105</f>
        <v>960</v>
      </c>
      <c r="M105" s="3" t="s">
        <v>27</v>
      </c>
      <c r="N105" s="3" t="s">
        <v>57</v>
      </c>
    </row>
    <row r="106" spans="1:14" ht="18" hidden="1" customHeight="1">
      <c r="A106" s="3">
        <v>10005983</v>
      </c>
      <c r="B106" s="3" t="str">
        <f>VLOOKUP(A106,[1]단품수량!$B$5:$E$27,4,FALSE)</f>
        <v>ISP</v>
      </c>
      <c r="C106" s="3">
        <v>134</v>
      </c>
      <c r="D106" s="3" t="s">
        <v>43</v>
      </c>
      <c r="E106" s="3">
        <v>30120650</v>
      </c>
      <c r="F106" s="3" t="s">
        <v>227</v>
      </c>
      <c r="G106" s="3"/>
      <c r="H106" s="3" t="s">
        <v>51</v>
      </c>
      <c r="I106" s="3" t="s">
        <v>228</v>
      </c>
      <c r="J106" s="3">
        <v>1</v>
      </c>
      <c r="K106" s="3">
        <v>1</v>
      </c>
      <c r="L106" s="3">
        <f>VLOOKUP(A106,[1]단품수량!$B$5:$P$27,13,FALSE)*K106</f>
        <v>960</v>
      </c>
      <c r="M106" s="3" t="s">
        <v>19</v>
      </c>
      <c r="N106" s="3" t="s">
        <v>53</v>
      </c>
    </row>
    <row r="107" spans="1:14" ht="18" hidden="1" customHeight="1">
      <c r="A107" s="3">
        <v>10005983</v>
      </c>
      <c r="B107" s="3" t="str">
        <f>VLOOKUP(A107,[1]단품수량!$B$5:$E$27,4,FALSE)</f>
        <v>ISP</v>
      </c>
      <c r="C107" s="3">
        <v>135</v>
      </c>
      <c r="D107" s="3" t="s">
        <v>46</v>
      </c>
      <c r="E107" s="3">
        <v>20061635</v>
      </c>
      <c r="F107" s="3" t="s">
        <v>229</v>
      </c>
      <c r="G107" s="3"/>
      <c r="H107" s="3" t="s">
        <v>230</v>
      </c>
      <c r="I107" s="3" t="s">
        <v>18</v>
      </c>
      <c r="J107" s="3">
        <v>1</v>
      </c>
      <c r="K107" s="3">
        <v>1</v>
      </c>
      <c r="L107" s="3">
        <f>VLOOKUP(A107,[1]단품수량!$B$5:$P$27,13,FALSE)*K107</f>
        <v>960</v>
      </c>
      <c r="M107" s="3" t="s">
        <v>113</v>
      </c>
      <c r="N107" s="3" t="s">
        <v>231</v>
      </c>
    </row>
    <row r="108" spans="1:14" ht="18" hidden="1" customHeight="1">
      <c r="A108" s="3">
        <v>10005983</v>
      </c>
      <c r="B108" s="3" t="str">
        <f>VLOOKUP(A108,[1]단품수량!$B$5:$E$27,4,FALSE)</f>
        <v>ISP</v>
      </c>
      <c r="C108" s="3">
        <v>136</v>
      </c>
      <c r="D108" s="3" t="s">
        <v>64</v>
      </c>
      <c r="E108" s="3">
        <v>30075140</v>
      </c>
      <c r="F108" s="3"/>
      <c r="G108" s="3"/>
      <c r="H108" s="3" t="s">
        <v>61</v>
      </c>
      <c r="I108" s="3" t="s">
        <v>114</v>
      </c>
      <c r="J108" s="3">
        <v>2</v>
      </c>
      <c r="K108" s="3">
        <v>2</v>
      </c>
      <c r="L108" s="3">
        <f>VLOOKUP(A108,[1]단품수량!$B$5:$P$27,13,FALSE)*K108</f>
        <v>1920</v>
      </c>
      <c r="M108" s="3" t="s">
        <v>35</v>
      </c>
      <c r="N108" s="3" t="s">
        <v>36</v>
      </c>
    </row>
    <row r="109" spans="1:14" ht="18" hidden="1" customHeight="1">
      <c r="A109" s="3">
        <v>10005983</v>
      </c>
      <c r="B109" s="3" t="str">
        <f>VLOOKUP(A109,[1]단품수량!$B$5:$E$27,4,FALSE)</f>
        <v>ISP</v>
      </c>
      <c r="C109" s="3">
        <v>137</v>
      </c>
      <c r="D109" s="3" t="s">
        <v>66</v>
      </c>
      <c r="E109" s="3">
        <v>30111991</v>
      </c>
      <c r="F109" s="3"/>
      <c r="G109" s="3"/>
      <c r="H109" s="3" t="s">
        <v>59</v>
      </c>
      <c r="I109" s="3" t="s">
        <v>216</v>
      </c>
      <c r="J109" s="3">
        <v>1</v>
      </c>
      <c r="K109" s="3">
        <v>1</v>
      </c>
      <c r="L109" s="3">
        <f>VLOOKUP(A109,[1]단품수량!$B$5:$P$27,13,FALSE)*K109</f>
        <v>960</v>
      </c>
      <c r="M109" s="3" t="s">
        <v>27</v>
      </c>
      <c r="N109" s="3" t="s">
        <v>28</v>
      </c>
    </row>
    <row r="110" spans="1:14" ht="18" hidden="1" customHeight="1">
      <c r="A110" s="3">
        <v>10005983</v>
      </c>
      <c r="B110" s="3" t="str">
        <f>VLOOKUP(A110,[1]단품수량!$B$5:$E$27,4,FALSE)</f>
        <v>ISP</v>
      </c>
      <c r="C110" s="3">
        <v>138</v>
      </c>
      <c r="D110" s="3" t="s">
        <v>116</v>
      </c>
      <c r="E110" s="3">
        <v>30120775</v>
      </c>
      <c r="F110" s="3"/>
      <c r="G110" s="3"/>
      <c r="H110" s="3" t="s">
        <v>59</v>
      </c>
      <c r="I110" s="3" t="s">
        <v>232</v>
      </c>
      <c r="J110" s="3">
        <v>1</v>
      </c>
      <c r="K110" s="3">
        <v>1</v>
      </c>
      <c r="L110" s="3">
        <f>VLOOKUP(A110,[1]단품수량!$B$5:$P$27,13,FALSE)*K110</f>
        <v>960</v>
      </c>
      <c r="M110" s="3" t="s">
        <v>27</v>
      </c>
      <c r="N110" s="3" t="s">
        <v>28</v>
      </c>
    </row>
    <row r="111" spans="1:14" ht="18" hidden="1" customHeight="1">
      <c r="A111" s="3">
        <v>10005983</v>
      </c>
      <c r="B111" s="3" t="str">
        <f>VLOOKUP(A111,[1]단품수량!$B$5:$E$27,4,FALSE)</f>
        <v>ISP</v>
      </c>
      <c r="C111" s="3">
        <v>139</v>
      </c>
      <c r="D111" s="3" t="s">
        <v>118</v>
      </c>
      <c r="E111" s="3">
        <v>30115073</v>
      </c>
      <c r="F111" s="3"/>
      <c r="G111" s="3"/>
      <c r="H111" s="3" t="s">
        <v>59</v>
      </c>
      <c r="I111" s="3" t="s">
        <v>122</v>
      </c>
      <c r="J111" s="3">
        <v>1</v>
      </c>
      <c r="K111" s="3">
        <v>1</v>
      </c>
      <c r="L111" s="3">
        <f>VLOOKUP(A111,[1]단품수량!$B$5:$P$27,13,FALSE)*K111</f>
        <v>960</v>
      </c>
      <c r="M111" s="3" t="s">
        <v>27</v>
      </c>
      <c r="N111" s="3" t="s">
        <v>28</v>
      </c>
    </row>
    <row r="112" spans="1:14" ht="18" hidden="1" customHeight="1">
      <c r="A112" s="3">
        <v>10005983</v>
      </c>
      <c r="B112" s="3" t="str">
        <f>VLOOKUP(A112,[1]단품수량!$B$5:$E$27,4,FALSE)</f>
        <v>ISP</v>
      </c>
      <c r="C112" s="3">
        <v>140</v>
      </c>
      <c r="D112" s="3" t="s">
        <v>121</v>
      </c>
      <c r="E112" s="3">
        <v>30081231</v>
      </c>
      <c r="F112" s="3"/>
      <c r="G112" s="3"/>
      <c r="H112" s="3" t="s">
        <v>124</v>
      </c>
      <c r="I112" s="3" t="s">
        <v>125</v>
      </c>
      <c r="J112" s="3">
        <v>12</v>
      </c>
      <c r="K112" s="3">
        <v>12</v>
      </c>
      <c r="L112" s="3">
        <f>VLOOKUP(A112,[1]단품수량!$B$5:$P$27,13,FALSE)*K112</f>
        <v>11520</v>
      </c>
      <c r="M112" s="3" t="s">
        <v>35</v>
      </c>
      <c r="N112" s="3" t="s">
        <v>28</v>
      </c>
    </row>
    <row r="113" spans="1:14" ht="18" hidden="1" customHeight="1">
      <c r="A113" s="3">
        <v>10005983</v>
      </c>
      <c r="B113" s="3" t="str">
        <f>VLOOKUP(A113,[1]단품수량!$B$5:$E$27,4,FALSE)</f>
        <v>ISP</v>
      </c>
      <c r="C113" s="3">
        <v>141</v>
      </c>
      <c r="D113" s="3" t="s">
        <v>49</v>
      </c>
      <c r="E113" s="3">
        <v>30124437</v>
      </c>
      <c r="F113" s="3"/>
      <c r="G113" s="3"/>
      <c r="H113" s="3" t="s">
        <v>167</v>
      </c>
      <c r="I113" s="3" t="s">
        <v>168</v>
      </c>
      <c r="J113" s="3">
        <v>8</v>
      </c>
      <c r="K113" s="3">
        <v>8</v>
      </c>
      <c r="L113" s="3">
        <f>VLOOKUP(A113,[1]단품수량!$B$5:$P$27,13,FALSE)*K113</f>
        <v>7680</v>
      </c>
      <c r="M113" s="3" t="s">
        <v>27</v>
      </c>
      <c r="N113" s="3"/>
    </row>
    <row r="114" spans="1:14" ht="18" hidden="1" customHeight="1">
      <c r="A114" s="3">
        <v>10006243</v>
      </c>
      <c r="B114" s="3" t="str">
        <f>VLOOKUP(A114,[1]단품수량!$B$5:$E$27,4,FALSE)</f>
        <v>JCR</v>
      </c>
      <c r="C114" s="3">
        <v>142</v>
      </c>
      <c r="D114" s="3" t="s">
        <v>15</v>
      </c>
      <c r="E114" s="3">
        <v>20061702</v>
      </c>
      <c r="F114" s="3"/>
      <c r="G114" s="3"/>
      <c r="H114" s="12" t="s">
        <v>233</v>
      </c>
      <c r="I114" s="12" t="s">
        <v>234</v>
      </c>
      <c r="J114" s="3">
        <v>1</v>
      </c>
      <c r="K114" s="3">
        <v>1</v>
      </c>
      <c r="L114" s="3">
        <f>VLOOKUP(A114,[1]단품수량!$B$5:$P$27,13,FALSE)*K114</f>
        <v>0</v>
      </c>
      <c r="M114" s="3" t="s">
        <v>19</v>
      </c>
      <c r="N114" s="3" t="s">
        <v>36</v>
      </c>
    </row>
    <row r="115" spans="1:14" ht="18" hidden="1" customHeight="1">
      <c r="A115" s="3">
        <v>10006243</v>
      </c>
      <c r="B115" s="3" t="str">
        <f>VLOOKUP(A115,[1]단품수량!$B$5:$E$27,4,FALSE)</f>
        <v>JCR</v>
      </c>
      <c r="C115" s="3">
        <v>143</v>
      </c>
      <c r="D115" s="3" t="s">
        <v>21</v>
      </c>
      <c r="E115" s="3">
        <v>20061703</v>
      </c>
      <c r="F115" s="3"/>
      <c r="G115" s="3"/>
      <c r="H115" s="12" t="s">
        <v>235</v>
      </c>
      <c r="I115" s="12" t="s">
        <v>234</v>
      </c>
      <c r="J115" s="3">
        <v>2</v>
      </c>
      <c r="K115" s="3">
        <v>2</v>
      </c>
      <c r="L115" s="3">
        <f>VLOOKUP(A115,[1]단품수량!$B$5:$P$27,13,FALSE)*K115</f>
        <v>0</v>
      </c>
      <c r="M115" s="3" t="s">
        <v>19</v>
      </c>
      <c r="N115" s="3" t="s">
        <v>36</v>
      </c>
    </row>
    <row r="116" spans="1:14" ht="18" hidden="1" customHeight="1">
      <c r="A116" s="3">
        <v>10006243</v>
      </c>
      <c r="B116" s="3" t="str">
        <f>VLOOKUP(A116,[1]단품수량!$B$5:$E$27,4,FALSE)</f>
        <v>JCR</v>
      </c>
      <c r="C116" s="3">
        <v>144</v>
      </c>
      <c r="D116" s="3" t="s">
        <v>24</v>
      </c>
      <c r="E116" s="3">
        <v>20061704</v>
      </c>
      <c r="F116" s="3"/>
      <c r="G116" s="3"/>
      <c r="H116" s="12" t="s">
        <v>236</v>
      </c>
      <c r="I116" s="12" t="s">
        <v>234</v>
      </c>
      <c r="J116" s="3">
        <v>1</v>
      </c>
      <c r="K116" s="3">
        <v>1</v>
      </c>
      <c r="L116" s="3">
        <f>VLOOKUP(A116,[1]단품수량!$B$5:$P$27,13,FALSE)*K116</f>
        <v>0</v>
      </c>
      <c r="M116" s="3" t="s">
        <v>19</v>
      </c>
      <c r="N116" s="3"/>
    </row>
    <row r="117" spans="1:14" ht="18" hidden="1" customHeight="1">
      <c r="A117" s="3">
        <v>10006243</v>
      </c>
      <c r="B117" s="3" t="str">
        <f>VLOOKUP(A117,[1]단품수량!$B$5:$E$27,4,FALSE)</f>
        <v>JCR</v>
      </c>
      <c r="C117" s="3">
        <v>145</v>
      </c>
      <c r="D117" s="3" t="s">
        <v>64</v>
      </c>
      <c r="E117" s="3">
        <v>30121210</v>
      </c>
      <c r="F117" s="3"/>
      <c r="G117" s="3"/>
      <c r="H117" s="12" t="s">
        <v>237</v>
      </c>
      <c r="I117" s="12" t="s">
        <v>238</v>
      </c>
      <c r="J117" s="3">
        <v>1</v>
      </c>
      <c r="K117" s="3">
        <v>1</v>
      </c>
      <c r="L117" s="3">
        <f>VLOOKUP(A117,[1]단품수량!$B$5:$P$27,13,FALSE)*K117</f>
        <v>0</v>
      </c>
      <c r="M117" s="3" t="s">
        <v>27</v>
      </c>
      <c r="N117" s="3" t="s">
        <v>36</v>
      </c>
    </row>
    <row r="118" spans="1:14" ht="18" hidden="1" customHeight="1">
      <c r="A118" s="3">
        <v>10006243</v>
      </c>
      <c r="B118" s="3" t="str">
        <f>VLOOKUP(A118,[1]단품수량!$B$5:$E$27,4,FALSE)</f>
        <v>JCR</v>
      </c>
      <c r="C118" s="3">
        <v>146</v>
      </c>
      <c r="D118" s="3" t="s">
        <v>66</v>
      </c>
      <c r="E118" s="3">
        <v>30121211</v>
      </c>
      <c r="F118" s="3"/>
      <c r="G118" s="3"/>
      <c r="H118" s="12" t="s">
        <v>237</v>
      </c>
      <c r="I118" s="12" t="s">
        <v>239</v>
      </c>
      <c r="J118" s="3">
        <v>1</v>
      </c>
      <c r="K118" s="3">
        <v>1</v>
      </c>
      <c r="L118" s="3">
        <f>VLOOKUP(A118,[1]단품수량!$B$5:$P$27,13,FALSE)*K118</f>
        <v>0</v>
      </c>
      <c r="M118" s="3" t="s">
        <v>27</v>
      </c>
      <c r="N118" s="3" t="s">
        <v>36</v>
      </c>
    </row>
    <row r="119" spans="1:14" ht="18" hidden="1" customHeight="1">
      <c r="A119" s="3">
        <v>10006243</v>
      </c>
      <c r="B119" s="3" t="str">
        <f>VLOOKUP(A119,[1]단품수량!$B$5:$E$27,4,FALSE)</f>
        <v>JCR</v>
      </c>
      <c r="C119" s="3">
        <v>147</v>
      </c>
      <c r="D119" s="3" t="s">
        <v>116</v>
      </c>
      <c r="E119" s="3">
        <v>30121212</v>
      </c>
      <c r="F119" s="3"/>
      <c r="G119" s="3"/>
      <c r="H119" s="12" t="s">
        <v>237</v>
      </c>
      <c r="I119" s="12" t="s">
        <v>240</v>
      </c>
      <c r="J119" s="3">
        <v>1</v>
      </c>
      <c r="K119" s="3">
        <v>1</v>
      </c>
      <c r="L119" s="3">
        <f>VLOOKUP(A119,[1]단품수량!$B$5:$P$27,13,FALSE)*K119</f>
        <v>0</v>
      </c>
      <c r="M119" s="3" t="s">
        <v>27</v>
      </c>
      <c r="N119" s="3" t="s">
        <v>36</v>
      </c>
    </row>
    <row r="120" spans="1:14" ht="18" hidden="1" customHeight="1">
      <c r="A120" s="3">
        <v>10006243</v>
      </c>
      <c r="B120" s="3" t="str">
        <f>VLOOKUP(A120,[1]단품수량!$B$5:$E$27,4,FALSE)</f>
        <v>JCR</v>
      </c>
      <c r="C120" s="3">
        <v>148</v>
      </c>
      <c r="D120" s="3" t="s">
        <v>118</v>
      </c>
      <c r="E120" s="3">
        <v>30121213</v>
      </c>
      <c r="F120" s="3"/>
      <c r="G120" s="3"/>
      <c r="H120" s="12" t="s">
        <v>237</v>
      </c>
      <c r="I120" s="12" t="s">
        <v>241</v>
      </c>
      <c r="J120" s="3">
        <v>1</v>
      </c>
      <c r="K120" s="3">
        <v>1</v>
      </c>
      <c r="L120" s="3">
        <f>VLOOKUP(A120,[1]단품수량!$B$5:$P$27,13,FALSE)*K120</f>
        <v>0</v>
      </c>
      <c r="M120" s="3" t="s">
        <v>27</v>
      </c>
      <c r="N120" s="3" t="s">
        <v>36</v>
      </c>
    </row>
    <row r="121" spans="1:14" ht="18" hidden="1" customHeight="1">
      <c r="A121" s="3">
        <v>10006243</v>
      </c>
      <c r="B121" s="3" t="str">
        <f>VLOOKUP(A121,[1]단품수량!$B$5:$E$27,4,FALSE)</f>
        <v>JCR</v>
      </c>
      <c r="C121" s="3">
        <v>149</v>
      </c>
      <c r="D121" s="3" t="s">
        <v>121</v>
      </c>
      <c r="E121" s="3">
        <v>30121214</v>
      </c>
      <c r="F121" s="3"/>
      <c r="G121" s="3"/>
      <c r="H121" s="12" t="s">
        <v>237</v>
      </c>
      <c r="I121" s="12" t="s">
        <v>242</v>
      </c>
      <c r="J121" s="3">
        <v>1</v>
      </c>
      <c r="K121" s="3">
        <v>1</v>
      </c>
      <c r="L121" s="3">
        <f>VLOOKUP(A121,[1]단품수량!$B$5:$P$27,13,FALSE)*K121</f>
        <v>0</v>
      </c>
      <c r="M121" s="3" t="s">
        <v>27</v>
      </c>
      <c r="N121" s="3" t="s">
        <v>36</v>
      </c>
    </row>
    <row r="122" spans="1:14" ht="18" hidden="1" customHeight="1">
      <c r="A122" s="3">
        <v>10006243</v>
      </c>
      <c r="B122" s="3" t="str">
        <f>VLOOKUP(A122,[1]단품수량!$B$5:$E$27,4,FALSE)</f>
        <v>JCR</v>
      </c>
      <c r="C122" s="3">
        <v>150</v>
      </c>
      <c r="D122" s="3" t="s">
        <v>123</v>
      </c>
      <c r="E122" s="3">
        <v>30121215</v>
      </c>
      <c r="F122" s="3"/>
      <c r="G122" s="3"/>
      <c r="H122" s="12" t="s">
        <v>237</v>
      </c>
      <c r="I122" s="12" t="s">
        <v>243</v>
      </c>
      <c r="J122" s="3">
        <v>1</v>
      </c>
      <c r="K122" s="3">
        <v>1</v>
      </c>
      <c r="L122" s="3">
        <f>VLOOKUP(A122,[1]단품수량!$B$5:$P$27,13,FALSE)*K122</f>
        <v>0</v>
      </c>
      <c r="M122" s="3" t="s">
        <v>27</v>
      </c>
      <c r="N122" s="3" t="s">
        <v>36</v>
      </c>
    </row>
    <row r="123" spans="1:14" ht="18" hidden="1" customHeight="1">
      <c r="A123" s="3">
        <v>10006243</v>
      </c>
      <c r="B123" s="3" t="str">
        <f>VLOOKUP(A123,[1]단품수량!$B$5:$E$27,4,FALSE)</f>
        <v>JCR</v>
      </c>
      <c r="C123" s="3">
        <v>151</v>
      </c>
      <c r="D123" s="3" t="s">
        <v>126</v>
      </c>
      <c r="E123" s="3">
        <v>30121216</v>
      </c>
      <c r="F123" s="3"/>
      <c r="G123" s="3"/>
      <c r="H123" s="12" t="s">
        <v>237</v>
      </c>
      <c r="I123" s="12" t="s">
        <v>244</v>
      </c>
      <c r="J123" s="3">
        <v>1</v>
      </c>
      <c r="K123" s="3">
        <v>1</v>
      </c>
      <c r="L123" s="3">
        <f>VLOOKUP(A123,[1]단품수량!$B$5:$P$27,13,FALSE)*K123</f>
        <v>0</v>
      </c>
      <c r="M123" s="3" t="s">
        <v>27</v>
      </c>
      <c r="N123" s="3" t="s">
        <v>36</v>
      </c>
    </row>
    <row r="124" spans="1:14" ht="18" hidden="1" customHeight="1">
      <c r="A124" s="3">
        <v>10006243</v>
      </c>
      <c r="B124" s="3" t="str">
        <f>VLOOKUP(A124,[1]단품수량!$B$5:$E$27,4,FALSE)</f>
        <v>JCR</v>
      </c>
      <c r="C124" s="3">
        <v>152</v>
      </c>
      <c r="D124" s="3" t="s">
        <v>129</v>
      </c>
      <c r="E124" s="3">
        <v>30121217</v>
      </c>
      <c r="F124" s="3"/>
      <c r="G124" s="3"/>
      <c r="H124" s="12" t="s">
        <v>237</v>
      </c>
      <c r="I124" s="12" t="s">
        <v>245</v>
      </c>
      <c r="J124" s="3">
        <v>1</v>
      </c>
      <c r="K124" s="3">
        <v>1</v>
      </c>
      <c r="L124" s="3">
        <f>VLOOKUP(A124,[1]단품수량!$B$5:$P$27,13,FALSE)*K124</f>
        <v>0</v>
      </c>
      <c r="M124" s="3" t="s">
        <v>27</v>
      </c>
      <c r="N124" s="3" t="s">
        <v>36</v>
      </c>
    </row>
    <row r="125" spans="1:14" ht="18" hidden="1" customHeight="1">
      <c r="A125" s="3">
        <v>10006243</v>
      </c>
      <c r="B125" s="3" t="str">
        <f>VLOOKUP(A125,[1]단품수량!$B$5:$E$27,4,FALSE)</f>
        <v>JCR</v>
      </c>
      <c r="C125" s="3">
        <v>153</v>
      </c>
      <c r="D125" s="3" t="s">
        <v>246</v>
      </c>
      <c r="E125" s="3">
        <v>30121218</v>
      </c>
      <c r="F125" s="3"/>
      <c r="G125" s="3"/>
      <c r="H125" s="12" t="s">
        <v>237</v>
      </c>
      <c r="I125" s="12" t="s">
        <v>247</v>
      </c>
      <c r="J125" s="3">
        <v>1</v>
      </c>
      <c r="K125" s="3">
        <v>1</v>
      </c>
      <c r="L125" s="3">
        <f>VLOOKUP(A125,[1]단품수량!$B$5:$P$27,13,FALSE)*K125</f>
        <v>0</v>
      </c>
      <c r="M125" s="3" t="s">
        <v>27</v>
      </c>
      <c r="N125" s="3" t="s">
        <v>36</v>
      </c>
    </row>
    <row r="126" spans="1:14" ht="18" hidden="1" customHeight="1">
      <c r="A126" s="3">
        <v>10006243</v>
      </c>
      <c r="B126" s="3" t="str">
        <f>VLOOKUP(A126,[1]단품수량!$B$5:$E$27,4,FALSE)</f>
        <v>JCR</v>
      </c>
      <c r="C126" s="3">
        <v>154</v>
      </c>
      <c r="D126" s="3" t="s">
        <v>248</v>
      </c>
      <c r="E126" s="3">
        <v>30121219</v>
      </c>
      <c r="F126" s="3"/>
      <c r="G126" s="3"/>
      <c r="H126" s="12" t="s">
        <v>237</v>
      </c>
      <c r="I126" s="12" t="s">
        <v>249</v>
      </c>
      <c r="J126" s="3">
        <v>1</v>
      </c>
      <c r="K126" s="3">
        <v>1</v>
      </c>
      <c r="L126" s="3">
        <f>VLOOKUP(A126,[1]단품수량!$B$5:$P$27,13,FALSE)*K126</f>
        <v>0</v>
      </c>
      <c r="M126" s="3" t="s">
        <v>27</v>
      </c>
      <c r="N126" s="3" t="s">
        <v>36</v>
      </c>
    </row>
    <row r="127" spans="1:14" ht="18" hidden="1" customHeight="1">
      <c r="A127" s="3">
        <v>10006243</v>
      </c>
      <c r="B127" s="3" t="str">
        <f>VLOOKUP(A127,[1]단품수량!$B$5:$E$27,4,FALSE)</f>
        <v>JCR</v>
      </c>
      <c r="C127" s="3">
        <v>155</v>
      </c>
      <c r="D127" s="3" t="s">
        <v>250</v>
      </c>
      <c r="E127" s="3">
        <v>30121220</v>
      </c>
      <c r="F127" s="3"/>
      <c r="G127" s="3"/>
      <c r="H127" s="12" t="s">
        <v>237</v>
      </c>
      <c r="I127" s="12" t="s">
        <v>251</v>
      </c>
      <c r="J127" s="3">
        <v>1</v>
      </c>
      <c r="K127" s="3">
        <v>1</v>
      </c>
      <c r="L127" s="3">
        <f>VLOOKUP(A127,[1]단품수량!$B$5:$P$27,13,FALSE)*K127</f>
        <v>0</v>
      </c>
      <c r="M127" s="3" t="s">
        <v>27</v>
      </c>
      <c r="N127" s="3" t="s">
        <v>36</v>
      </c>
    </row>
    <row r="128" spans="1:14" ht="18" hidden="1" customHeight="1">
      <c r="A128" s="3">
        <v>10006243</v>
      </c>
      <c r="B128" s="3" t="str">
        <f>VLOOKUP(A128,[1]단품수량!$B$5:$E$27,4,FALSE)</f>
        <v>JCR</v>
      </c>
      <c r="C128" s="3">
        <v>156</v>
      </c>
      <c r="D128" s="3" t="s">
        <v>252</v>
      </c>
      <c r="E128" s="3">
        <v>30121221</v>
      </c>
      <c r="F128" s="3"/>
      <c r="G128" s="3"/>
      <c r="H128" s="12" t="s">
        <v>237</v>
      </c>
      <c r="I128" s="12" t="s">
        <v>253</v>
      </c>
      <c r="J128" s="3">
        <v>1</v>
      </c>
      <c r="K128" s="3">
        <v>1</v>
      </c>
      <c r="L128" s="3">
        <f>VLOOKUP(A128,[1]단품수량!$B$5:$P$27,13,FALSE)*K128</f>
        <v>0</v>
      </c>
      <c r="M128" s="3" t="s">
        <v>27</v>
      </c>
      <c r="N128" s="3" t="s">
        <v>36</v>
      </c>
    </row>
    <row r="129" spans="1:14" ht="18" hidden="1" customHeight="1">
      <c r="A129" s="3">
        <v>10006243</v>
      </c>
      <c r="B129" s="3" t="str">
        <f>VLOOKUP(A129,[1]단품수량!$B$5:$E$27,4,FALSE)</f>
        <v>JCR</v>
      </c>
      <c r="C129" s="3">
        <v>157</v>
      </c>
      <c r="D129" s="3" t="s">
        <v>254</v>
      </c>
      <c r="E129" s="3">
        <v>30121222</v>
      </c>
      <c r="F129" s="3"/>
      <c r="G129" s="3"/>
      <c r="H129" s="12" t="s">
        <v>237</v>
      </c>
      <c r="I129" s="12" t="s">
        <v>255</v>
      </c>
      <c r="J129" s="3">
        <v>1</v>
      </c>
      <c r="K129" s="3">
        <v>1</v>
      </c>
      <c r="L129" s="3">
        <f>VLOOKUP(A129,[1]단품수량!$B$5:$P$27,13,FALSE)*K129</f>
        <v>0</v>
      </c>
      <c r="M129" s="3" t="s">
        <v>27</v>
      </c>
      <c r="N129" s="3" t="s">
        <v>36</v>
      </c>
    </row>
    <row r="130" spans="1:14" ht="18" hidden="1" customHeight="1">
      <c r="A130" s="3">
        <v>10006243</v>
      </c>
      <c r="B130" s="3" t="str">
        <f>VLOOKUP(A130,[1]단품수량!$B$5:$E$27,4,FALSE)</f>
        <v>JCR</v>
      </c>
      <c r="C130" s="3">
        <v>158</v>
      </c>
      <c r="D130" s="3" t="s">
        <v>256</v>
      </c>
      <c r="E130" s="3">
        <v>30121223</v>
      </c>
      <c r="F130" s="3"/>
      <c r="G130" s="3"/>
      <c r="H130" s="12" t="s">
        <v>237</v>
      </c>
      <c r="I130" s="12" t="s">
        <v>257</v>
      </c>
      <c r="J130" s="3">
        <v>1</v>
      </c>
      <c r="K130" s="3">
        <v>1</v>
      </c>
      <c r="L130" s="3">
        <f>VLOOKUP(A130,[1]단품수량!$B$5:$P$27,13,FALSE)*K130</f>
        <v>0</v>
      </c>
      <c r="M130" s="3" t="s">
        <v>27</v>
      </c>
      <c r="N130" s="3" t="s">
        <v>36</v>
      </c>
    </row>
    <row r="131" spans="1:14" ht="18" hidden="1" customHeight="1">
      <c r="A131" s="3">
        <v>10006243</v>
      </c>
      <c r="B131" s="3" t="str">
        <f>VLOOKUP(A131,[1]단품수량!$B$5:$E$27,4,FALSE)</f>
        <v>JCR</v>
      </c>
      <c r="C131" s="3">
        <v>159</v>
      </c>
      <c r="D131" s="3" t="s">
        <v>258</v>
      </c>
      <c r="E131" s="3">
        <v>30121224</v>
      </c>
      <c r="F131" s="3"/>
      <c r="G131" s="3"/>
      <c r="H131" s="12" t="s">
        <v>237</v>
      </c>
      <c r="I131" s="12" t="s">
        <v>259</v>
      </c>
      <c r="J131" s="3">
        <v>1</v>
      </c>
      <c r="K131" s="3">
        <v>1</v>
      </c>
      <c r="L131" s="3">
        <f>VLOOKUP(A131,[1]단품수량!$B$5:$P$27,13,FALSE)*K131</f>
        <v>0</v>
      </c>
      <c r="M131" s="3" t="s">
        <v>27</v>
      </c>
      <c r="N131" s="3" t="s">
        <v>36</v>
      </c>
    </row>
    <row r="132" spans="1:14" ht="18" hidden="1" customHeight="1">
      <c r="A132" s="3">
        <v>10006243</v>
      </c>
      <c r="B132" s="3" t="str">
        <f>VLOOKUP(A132,[1]단품수량!$B$5:$E$27,4,FALSE)</f>
        <v>JCR</v>
      </c>
      <c r="C132" s="3">
        <v>160</v>
      </c>
      <c r="D132" s="3" t="s">
        <v>260</v>
      </c>
      <c r="E132" s="3">
        <v>30121225</v>
      </c>
      <c r="F132" s="3"/>
      <c r="G132" s="3"/>
      <c r="H132" s="12" t="s">
        <v>237</v>
      </c>
      <c r="I132" s="12" t="s">
        <v>261</v>
      </c>
      <c r="J132" s="3">
        <v>1</v>
      </c>
      <c r="K132" s="3">
        <v>1</v>
      </c>
      <c r="L132" s="3">
        <f>VLOOKUP(A132,[1]단품수량!$B$5:$P$27,13,FALSE)*K132</f>
        <v>0</v>
      </c>
      <c r="M132" s="3" t="s">
        <v>27</v>
      </c>
      <c r="N132" s="3" t="s">
        <v>36</v>
      </c>
    </row>
    <row r="133" spans="1:14" ht="18" hidden="1" customHeight="1">
      <c r="A133" s="3">
        <v>10006243</v>
      </c>
      <c r="B133" s="3" t="str">
        <f>VLOOKUP(A133,[1]단품수량!$B$5:$E$27,4,FALSE)</f>
        <v>JCR</v>
      </c>
      <c r="C133" s="3">
        <v>161</v>
      </c>
      <c r="D133" s="3" t="s">
        <v>262</v>
      </c>
      <c r="E133" s="3">
        <v>30121226</v>
      </c>
      <c r="F133" s="3"/>
      <c r="G133" s="3"/>
      <c r="H133" s="12" t="s">
        <v>237</v>
      </c>
      <c r="I133" s="12" t="s">
        <v>263</v>
      </c>
      <c r="J133" s="3">
        <v>1</v>
      </c>
      <c r="K133" s="3">
        <v>1</v>
      </c>
      <c r="L133" s="3">
        <f>VLOOKUP(A133,[1]단품수량!$B$5:$P$27,13,FALSE)*K133</f>
        <v>0</v>
      </c>
      <c r="M133" s="3" t="s">
        <v>27</v>
      </c>
      <c r="N133" s="3" t="s">
        <v>36</v>
      </c>
    </row>
    <row r="134" spans="1:14" ht="18" hidden="1" customHeight="1">
      <c r="A134" s="3">
        <v>10006243</v>
      </c>
      <c r="B134" s="3" t="str">
        <f>VLOOKUP(A134,[1]단품수량!$B$5:$E$27,4,FALSE)</f>
        <v>JCR</v>
      </c>
      <c r="C134" s="3">
        <v>162</v>
      </c>
      <c r="D134" s="3" t="s">
        <v>264</v>
      </c>
      <c r="E134" s="3">
        <v>30121227</v>
      </c>
      <c r="F134" s="3"/>
      <c r="G134" s="3"/>
      <c r="H134" s="12" t="s">
        <v>237</v>
      </c>
      <c r="I134" s="12" t="s">
        <v>265</v>
      </c>
      <c r="J134" s="3">
        <v>1</v>
      </c>
      <c r="K134" s="3">
        <v>1</v>
      </c>
      <c r="L134" s="3">
        <f>VLOOKUP(A134,[1]단품수량!$B$5:$P$27,13,FALSE)*K134</f>
        <v>0</v>
      </c>
      <c r="M134" s="3" t="s">
        <v>27</v>
      </c>
      <c r="N134" s="3" t="s">
        <v>36</v>
      </c>
    </row>
    <row r="135" spans="1:14" ht="18" hidden="1" customHeight="1">
      <c r="A135" s="3">
        <v>10006243</v>
      </c>
      <c r="B135" s="3" t="str">
        <f>VLOOKUP(A135,[1]단품수량!$B$5:$E$27,4,FALSE)</f>
        <v>JCR</v>
      </c>
      <c r="C135" s="3">
        <v>163</v>
      </c>
      <c r="D135" s="3" t="s">
        <v>266</v>
      </c>
      <c r="E135" s="3">
        <v>30121228</v>
      </c>
      <c r="F135" s="3"/>
      <c r="G135" s="3"/>
      <c r="H135" s="12" t="s">
        <v>237</v>
      </c>
      <c r="I135" s="12" t="s">
        <v>267</v>
      </c>
      <c r="J135" s="3">
        <v>1</v>
      </c>
      <c r="K135" s="3">
        <v>1</v>
      </c>
      <c r="L135" s="3">
        <f>VLOOKUP(A135,[1]단품수량!$B$5:$P$27,13,FALSE)*K135</f>
        <v>0</v>
      </c>
      <c r="M135" s="3" t="s">
        <v>27</v>
      </c>
      <c r="N135" s="3" t="s">
        <v>36</v>
      </c>
    </row>
    <row r="136" spans="1:14" ht="18" hidden="1" customHeight="1">
      <c r="A136" s="3">
        <v>10006243</v>
      </c>
      <c r="B136" s="3" t="str">
        <f>VLOOKUP(A136,[1]단품수량!$B$5:$E$27,4,FALSE)</f>
        <v>JCR</v>
      </c>
      <c r="C136" s="3">
        <v>164</v>
      </c>
      <c r="D136" s="3" t="s">
        <v>268</v>
      </c>
      <c r="E136" s="3">
        <v>30121229</v>
      </c>
      <c r="F136" s="3"/>
      <c r="G136" s="3"/>
      <c r="H136" s="12" t="s">
        <v>237</v>
      </c>
      <c r="I136" s="12" t="s">
        <v>269</v>
      </c>
      <c r="J136" s="3">
        <v>1</v>
      </c>
      <c r="K136" s="3">
        <v>1</v>
      </c>
      <c r="L136" s="3">
        <f>VLOOKUP(A136,[1]단품수량!$B$5:$P$27,13,FALSE)*K136</f>
        <v>0</v>
      </c>
      <c r="M136" s="3" t="s">
        <v>27</v>
      </c>
      <c r="N136" s="3" t="s">
        <v>36</v>
      </c>
    </row>
    <row r="137" spans="1:14" ht="18" hidden="1" customHeight="1">
      <c r="A137" s="3">
        <v>10006243</v>
      </c>
      <c r="B137" s="3" t="str">
        <f>VLOOKUP(A137,[1]단품수량!$B$5:$E$27,4,FALSE)</f>
        <v>JCR</v>
      </c>
      <c r="C137" s="3">
        <v>165</v>
      </c>
      <c r="D137" s="3" t="s">
        <v>270</v>
      </c>
      <c r="E137" s="3">
        <v>30121230</v>
      </c>
      <c r="F137" s="3"/>
      <c r="G137" s="3"/>
      <c r="H137" s="12" t="s">
        <v>237</v>
      </c>
      <c r="I137" s="12" t="s">
        <v>271</v>
      </c>
      <c r="J137" s="3">
        <v>1</v>
      </c>
      <c r="K137" s="3">
        <v>1</v>
      </c>
      <c r="L137" s="3">
        <f>VLOOKUP(A137,[1]단품수량!$B$5:$P$27,13,FALSE)*K137</f>
        <v>0</v>
      </c>
      <c r="M137" s="3" t="s">
        <v>27</v>
      </c>
      <c r="N137" s="3" t="s">
        <v>36</v>
      </c>
    </row>
    <row r="138" spans="1:14" ht="18" hidden="1" customHeight="1">
      <c r="A138" s="3">
        <v>10006243</v>
      </c>
      <c r="B138" s="3" t="str">
        <f>VLOOKUP(A138,[1]단품수량!$B$5:$E$27,4,FALSE)</f>
        <v>JCR</v>
      </c>
      <c r="C138" s="3">
        <v>166</v>
      </c>
      <c r="D138" s="3" t="s">
        <v>272</v>
      </c>
      <c r="E138" s="3">
        <v>30121231</v>
      </c>
      <c r="F138" s="3"/>
      <c r="G138" s="3"/>
      <c r="H138" s="12" t="s">
        <v>237</v>
      </c>
      <c r="I138" s="12" t="s">
        <v>273</v>
      </c>
      <c r="J138" s="3">
        <v>1</v>
      </c>
      <c r="K138" s="3">
        <v>1</v>
      </c>
      <c r="L138" s="3">
        <f>VLOOKUP(A138,[1]단품수량!$B$5:$P$27,13,FALSE)*K138</f>
        <v>0</v>
      </c>
      <c r="M138" s="3" t="s">
        <v>27</v>
      </c>
      <c r="N138" s="3" t="s">
        <v>36</v>
      </c>
    </row>
    <row r="139" spans="1:14" ht="18" hidden="1" customHeight="1">
      <c r="A139" s="6">
        <v>10005989</v>
      </c>
      <c r="B139" s="3" t="str">
        <f>VLOOKUP(A139,[1]단품수량!$B$5:$E$27,4,FALSE)</f>
        <v>PID1</v>
      </c>
      <c r="C139" s="3">
        <v>167</v>
      </c>
      <c r="D139" s="3"/>
      <c r="E139" s="3"/>
      <c r="F139" s="3"/>
      <c r="G139" s="3"/>
      <c r="H139" s="3" t="s">
        <v>274</v>
      </c>
      <c r="I139" s="3"/>
      <c r="J139" s="3">
        <v>1</v>
      </c>
      <c r="K139" s="3">
        <v>1</v>
      </c>
      <c r="L139" s="3">
        <f>VLOOKUP(A139,[1]단품수량!$B$5:$P$27,13,FALSE)*K139</f>
        <v>480</v>
      </c>
      <c r="M139" s="3" t="s">
        <v>67</v>
      </c>
      <c r="N139" s="3" t="s">
        <v>275</v>
      </c>
    </row>
    <row r="140" spans="1:14" ht="18" hidden="1" customHeight="1">
      <c r="A140" s="6">
        <v>10005989</v>
      </c>
      <c r="B140" s="3" t="str">
        <f>VLOOKUP(A140,[1]단품수량!$B$5:$E$27,4,FALSE)</f>
        <v>PID1</v>
      </c>
      <c r="C140" s="3">
        <v>167</v>
      </c>
      <c r="D140" s="3" t="s">
        <v>15</v>
      </c>
      <c r="E140" s="3">
        <v>30120702</v>
      </c>
      <c r="F140" s="3" t="s">
        <v>276</v>
      </c>
      <c r="G140" s="3"/>
      <c r="H140" s="3" t="s">
        <v>277</v>
      </c>
      <c r="I140" s="3" t="s">
        <v>18</v>
      </c>
      <c r="J140" s="3">
        <v>1</v>
      </c>
      <c r="K140" s="3">
        <v>1</v>
      </c>
      <c r="L140" s="3">
        <f>VLOOKUP(A140,[1]단품수량!$B$5:$P$27,13,FALSE)*K140</f>
        <v>480</v>
      </c>
      <c r="M140" s="3" t="s">
        <v>19</v>
      </c>
      <c r="N140" s="3" t="s">
        <v>69</v>
      </c>
    </row>
    <row r="141" spans="1:14" ht="18" hidden="1" customHeight="1">
      <c r="A141" s="6">
        <v>10005989</v>
      </c>
      <c r="B141" s="3" t="str">
        <f>VLOOKUP(A141,[1]단품수량!$B$5:$E$27,4,FALSE)</f>
        <v>PID1</v>
      </c>
      <c r="C141" s="3">
        <v>168</v>
      </c>
      <c r="D141" s="3" t="s">
        <v>21</v>
      </c>
      <c r="E141" s="3">
        <v>30120703</v>
      </c>
      <c r="F141" s="3" t="s">
        <v>278</v>
      </c>
      <c r="G141" s="3"/>
      <c r="H141" s="3" t="s">
        <v>80</v>
      </c>
      <c r="I141" s="3" t="s">
        <v>18</v>
      </c>
      <c r="J141" s="3">
        <v>1</v>
      </c>
      <c r="K141" s="3">
        <v>1</v>
      </c>
      <c r="L141" s="3">
        <f>VLOOKUP(A141,[1]단품수량!$B$5:$P$27,13,FALSE)*K141</f>
        <v>480</v>
      </c>
      <c r="M141" s="3" t="s">
        <v>19</v>
      </c>
      <c r="N141" s="3" t="s">
        <v>69</v>
      </c>
    </row>
    <row r="142" spans="1:14" ht="18" hidden="1" customHeight="1">
      <c r="A142" s="6">
        <v>10005989</v>
      </c>
      <c r="B142" s="3" t="str">
        <f>VLOOKUP(A142,[1]단품수량!$B$5:$E$27,4,FALSE)</f>
        <v>PID1</v>
      </c>
      <c r="C142" s="3">
        <v>169</v>
      </c>
      <c r="D142" s="3" t="s">
        <v>24</v>
      </c>
      <c r="E142" s="3">
        <v>30120704</v>
      </c>
      <c r="F142" s="3" t="s">
        <v>279</v>
      </c>
      <c r="G142" s="3"/>
      <c r="H142" s="3" t="s">
        <v>80</v>
      </c>
      <c r="I142" s="3" t="s">
        <v>280</v>
      </c>
      <c r="J142" s="3">
        <v>1</v>
      </c>
      <c r="K142" s="3">
        <v>1</v>
      </c>
      <c r="L142" s="3">
        <f>VLOOKUP(A142,[1]단품수량!$B$5:$P$27,13,FALSE)*K142</f>
        <v>480</v>
      </c>
      <c r="M142" s="3" t="s">
        <v>19</v>
      </c>
      <c r="N142" s="3" t="s">
        <v>53</v>
      </c>
    </row>
    <row r="143" spans="1:14" ht="18" hidden="1" customHeight="1">
      <c r="A143" s="6">
        <v>10005989</v>
      </c>
      <c r="B143" s="3" t="str">
        <f>VLOOKUP(A143,[1]단품수량!$B$5:$E$27,4,FALSE)</f>
        <v>PID1</v>
      </c>
      <c r="C143" s="3">
        <v>170</v>
      </c>
      <c r="D143" s="3" t="s">
        <v>29</v>
      </c>
      <c r="E143" s="3">
        <v>30118138</v>
      </c>
      <c r="F143" s="3"/>
      <c r="G143" s="3"/>
      <c r="H143" s="12" t="s">
        <v>281</v>
      </c>
      <c r="I143" s="12" t="s">
        <v>282</v>
      </c>
      <c r="J143" s="3">
        <v>1</v>
      </c>
      <c r="K143" s="3">
        <v>1</v>
      </c>
      <c r="L143" s="3">
        <f>VLOOKUP(A143,[1]단품수량!$B$5:$P$27,13,FALSE)*K143</f>
        <v>480</v>
      </c>
      <c r="M143" s="3" t="s">
        <v>27</v>
      </c>
      <c r="N143" s="3" t="s">
        <v>283</v>
      </c>
    </row>
    <row r="144" spans="1:14" ht="18" hidden="1" customHeight="1">
      <c r="A144" s="6">
        <v>10005989</v>
      </c>
      <c r="B144" s="3" t="str">
        <f>VLOOKUP(A144,[1]단품수량!$B$5:$E$27,4,FALSE)</f>
        <v>PID1</v>
      </c>
      <c r="C144" s="3">
        <v>171</v>
      </c>
      <c r="D144" s="3" t="s">
        <v>32</v>
      </c>
      <c r="E144" s="3">
        <v>30121671</v>
      </c>
      <c r="F144" s="3"/>
      <c r="G144" s="3"/>
      <c r="H144" s="12" t="s">
        <v>284</v>
      </c>
      <c r="I144" s="12" t="s">
        <v>285</v>
      </c>
      <c r="J144" s="3">
        <v>1</v>
      </c>
      <c r="K144" s="3">
        <v>1</v>
      </c>
      <c r="L144" s="3">
        <f>VLOOKUP(A144,[1]단품수량!$B$5:$P$27,13,FALSE)*K144</f>
        <v>480</v>
      </c>
      <c r="M144" s="3" t="s">
        <v>27</v>
      </c>
      <c r="N144" s="3" t="s">
        <v>283</v>
      </c>
    </row>
    <row r="145" spans="1:14" ht="18" hidden="1" customHeight="1">
      <c r="A145" s="6">
        <v>10005989</v>
      </c>
      <c r="B145" s="3" t="str">
        <f>VLOOKUP(A145,[1]단품수량!$B$5:$E$27,4,FALSE)</f>
        <v>PID1</v>
      </c>
      <c r="C145" s="3">
        <v>172</v>
      </c>
      <c r="D145" s="3" t="s">
        <v>37</v>
      </c>
      <c r="E145" s="3">
        <v>30120705</v>
      </c>
      <c r="F145" s="3" t="s">
        <v>286</v>
      </c>
      <c r="G145" s="3"/>
      <c r="H145" s="12" t="s">
        <v>17</v>
      </c>
      <c r="I145" s="12" t="s">
        <v>280</v>
      </c>
      <c r="J145" s="3">
        <v>1</v>
      </c>
      <c r="K145" s="3">
        <v>1</v>
      </c>
      <c r="L145" s="3">
        <f>VLOOKUP(A145,[1]단품수량!$B$5:$P$27,13,FALSE)*K145</f>
        <v>480</v>
      </c>
      <c r="M145" s="3" t="s">
        <v>19</v>
      </c>
      <c r="N145" s="3" t="s">
        <v>53</v>
      </c>
    </row>
    <row r="146" spans="1:14" ht="18" hidden="1" customHeight="1">
      <c r="A146" s="6">
        <v>10005989</v>
      </c>
      <c r="B146" s="3" t="str">
        <f>VLOOKUP(A146,[1]단품수량!$B$5:$E$27,4,FALSE)</f>
        <v>PID1</v>
      </c>
      <c r="C146" s="3">
        <v>173</v>
      </c>
      <c r="D146" s="3" t="s">
        <v>40</v>
      </c>
      <c r="E146" s="3">
        <v>30120526</v>
      </c>
      <c r="F146" s="3"/>
      <c r="G146" s="3"/>
      <c r="H146" s="12" t="s">
        <v>287</v>
      </c>
      <c r="I146" s="12" t="s">
        <v>288</v>
      </c>
      <c r="J146" s="3">
        <v>1</v>
      </c>
      <c r="K146" s="3">
        <v>1</v>
      </c>
      <c r="L146" s="3">
        <f>VLOOKUP(A146,[1]단품수량!$B$5:$P$27,13,FALSE)*K146</f>
        <v>480</v>
      </c>
      <c r="M146" s="3" t="s">
        <v>27</v>
      </c>
      <c r="N146" s="3" t="s">
        <v>289</v>
      </c>
    </row>
    <row r="147" spans="1:14" ht="18" hidden="1" customHeight="1">
      <c r="A147" s="6">
        <v>10005989</v>
      </c>
      <c r="B147" s="3" t="str">
        <f>VLOOKUP(A147,[1]단품수량!$B$5:$E$27,4,FALSE)</f>
        <v>PID1</v>
      </c>
      <c r="C147" s="3">
        <v>174</v>
      </c>
      <c r="D147" s="3" t="s">
        <v>43</v>
      </c>
      <c r="E147" s="3">
        <v>30120764</v>
      </c>
      <c r="F147" s="3"/>
      <c r="G147" s="3"/>
      <c r="H147" s="12" t="s">
        <v>287</v>
      </c>
      <c r="I147" s="12" t="s">
        <v>290</v>
      </c>
      <c r="J147" s="3">
        <v>1</v>
      </c>
      <c r="K147" s="3">
        <v>1</v>
      </c>
      <c r="L147" s="3">
        <f>VLOOKUP(A147,[1]단품수량!$B$5:$P$27,13,FALSE)*K147</f>
        <v>480</v>
      </c>
      <c r="M147" s="3" t="s">
        <v>27</v>
      </c>
      <c r="N147" s="3" t="s">
        <v>289</v>
      </c>
    </row>
    <row r="148" spans="1:14" ht="18" hidden="1" customHeight="1">
      <c r="A148" s="6">
        <v>10005989</v>
      </c>
      <c r="B148" s="3" t="str">
        <f>VLOOKUP(A148,[1]단품수량!$B$5:$E$27,4,FALSE)</f>
        <v>PID1</v>
      </c>
      <c r="C148" s="3">
        <v>175</v>
      </c>
      <c r="D148" s="3" t="s">
        <v>46</v>
      </c>
      <c r="E148" s="3">
        <v>30071734</v>
      </c>
      <c r="F148" s="3"/>
      <c r="G148" s="3"/>
      <c r="H148" s="12" t="s">
        <v>291</v>
      </c>
      <c r="I148" s="12" t="s">
        <v>292</v>
      </c>
      <c r="J148" s="3">
        <v>1</v>
      </c>
      <c r="K148" s="3">
        <v>1</v>
      </c>
      <c r="L148" s="3">
        <f>VLOOKUP(A148,[1]단품수량!$B$5:$P$27,13,FALSE)*K148</f>
        <v>480</v>
      </c>
      <c r="M148" s="3" t="s">
        <v>35</v>
      </c>
      <c r="N148" s="3" t="s">
        <v>289</v>
      </c>
    </row>
    <row r="149" spans="1:14" ht="18" hidden="1" customHeight="1">
      <c r="A149" s="6">
        <v>10005989</v>
      </c>
      <c r="B149" s="3" t="str">
        <f>VLOOKUP(A149,[1]단품수량!$B$5:$E$27,4,FALSE)</f>
        <v>PID1</v>
      </c>
      <c r="C149" s="3">
        <v>176</v>
      </c>
      <c r="D149" s="3" t="s">
        <v>49</v>
      </c>
      <c r="E149" s="3">
        <v>30060777</v>
      </c>
      <c r="F149" s="3"/>
      <c r="G149" s="3"/>
      <c r="H149" s="12" t="s">
        <v>293</v>
      </c>
      <c r="I149" s="12" t="s">
        <v>294</v>
      </c>
      <c r="J149" s="3">
        <v>12</v>
      </c>
      <c r="K149" s="3">
        <v>12</v>
      </c>
      <c r="L149" s="3">
        <f>VLOOKUP(A149,[1]단품수량!$B$5:$P$27,13,FALSE)*K149</f>
        <v>5760</v>
      </c>
      <c r="M149" s="3" t="s">
        <v>35</v>
      </c>
      <c r="N149" s="3" t="s">
        <v>289</v>
      </c>
    </row>
    <row r="150" spans="1:14" ht="18" hidden="1" customHeight="1">
      <c r="A150" s="6">
        <v>10005989</v>
      </c>
      <c r="B150" s="3" t="str">
        <f>VLOOKUP(A150,[1]단품수량!$B$5:$E$27,4,FALSE)</f>
        <v>PID1</v>
      </c>
      <c r="C150" s="3">
        <v>177</v>
      </c>
      <c r="D150" s="3" t="s">
        <v>54</v>
      </c>
      <c r="E150" s="3">
        <v>30088566</v>
      </c>
      <c r="F150" s="3"/>
      <c r="G150" s="3"/>
      <c r="H150" s="12" t="s">
        <v>287</v>
      </c>
      <c r="I150" s="12" t="s">
        <v>295</v>
      </c>
      <c r="J150" s="3">
        <v>12</v>
      </c>
      <c r="K150" s="3">
        <v>12</v>
      </c>
      <c r="L150" s="3">
        <f>VLOOKUP(A150,[1]단품수량!$B$5:$P$27,13,FALSE)*K150</f>
        <v>5760</v>
      </c>
      <c r="M150" s="3" t="s">
        <v>27</v>
      </c>
      <c r="N150" s="3" t="s">
        <v>289</v>
      </c>
    </row>
    <row r="151" spans="1:14" ht="18" hidden="1" customHeight="1">
      <c r="A151" s="6">
        <v>10005989</v>
      </c>
      <c r="B151" s="3" t="str">
        <f>VLOOKUP(A151,[1]단품수량!$B$5:$E$27,4,FALSE)</f>
        <v>PID1</v>
      </c>
      <c r="C151" s="3">
        <v>178</v>
      </c>
      <c r="D151" s="3" t="s">
        <v>91</v>
      </c>
      <c r="E151" s="3">
        <v>30118569</v>
      </c>
      <c r="F151" s="3"/>
      <c r="G151" s="3"/>
      <c r="H151" s="12" t="s">
        <v>47</v>
      </c>
      <c r="I151" s="12" t="s">
        <v>48</v>
      </c>
      <c r="J151" s="3">
        <v>8</v>
      </c>
      <c r="K151" s="3">
        <v>8</v>
      </c>
      <c r="L151" s="3">
        <f>VLOOKUP(A151,[1]단품수량!$B$5:$P$27,13,FALSE)*K151</f>
        <v>3840</v>
      </c>
      <c r="M151" s="3" t="s">
        <v>35</v>
      </c>
      <c r="N151" s="3" t="s">
        <v>36</v>
      </c>
    </row>
    <row r="152" spans="1:14" ht="18" hidden="1" customHeight="1">
      <c r="A152" s="6">
        <v>10005989</v>
      </c>
      <c r="B152" s="3" t="str">
        <f>VLOOKUP(A152,[1]단품수량!$B$5:$E$27,4,FALSE)</f>
        <v>PID1</v>
      </c>
      <c r="C152" s="3">
        <v>179</v>
      </c>
      <c r="D152" s="3" t="s">
        <v>94</v>
      </c>
      <c r="E152" s="3">
        <v>30118570</v>
      </c>
      <c r="F152" s="3"/>
      <c r="G152" s="3"/>
      <c r="H152" s="12" t="s">
        <v>38</v>
      </c>
      <c r="I152" s="12" t="s">
        <v>39</v>
      </c>
      <c r="J152" s="3">
        <v>14</v>
      </c>
      <c r="K152" s="3">
        <v>14</v>
      </c>
      <c r="L152" s="3">
        <f>VLOOKUP(A152,[1]단품수량!$B$5:$P$27,13,FALSE)*K152</f>
        <v>6720</v>
      </c>
      <c r="M152" s="3" t="s">
        <v>35</v>
      </c>
      <c r="N152" s="3" t="s">
        <v>36</v>
      </c>
    </row>
    <row r="153" spans="1:14" ht="18" hidden="1" customHeight="1">
      <c r="A153" s="6">
        <v>10005989</v>
      </c>
      <c r="B153" s="3" t="str">
        <f>VLOOKUP(A153,[1]단품수량!$B$5:$E$27,4,FALSE)</f>
        <v>PID1</v>
      </c>
      <c r="C153" s="3">
        <v>180</v>
      </c>
      <c r="D153" s="3" t="s">
        <v>101</v>
      </c>
      <c r="E153" s="3">
        <v>30118572</v>
      </c>
      <c r="F153" s="3"/>
      <c r="G153" s="3"/>
      <c r="H153" s="12" t="s">
        <v>44</v>
      </c>
      <c r="I153" s="12" t="s">
        <v>45</v>
      </c>
      <c r="J153" s="3">
        <v>14</v>
      </c>
      <c r="K153" s="3">
        <v>14</v>
      </c>
      <c r="L153" s="3">
        <f>VLOOKUP(A153,[1]단품수량!$B$5:$P$27,13,FALSE)*K153</f>
        <v>6720</v>
      </c>
      <c r="M153" s="3" t="s">
        <v>35</v>
      </c>
      <c r="N153" s="3" t="s">
        <v>36</v>
      </c>
    </row>
    <row r="154" spans="1:14" ht="18" hidden="1" customHeight="1">
      <c r="A154" s="6">
        <v>10005989</v>
      </c>
      <c r="B154" s="3" t="str">
        <f>VLOOKUP(A154,[1]단품수량!$B$5:$E$27,4,FALSE)</f>
        <v>PID1</v>
      </c>
      <c r="C154" s="3">
        <v>181</v>
      </c>
      <c r="D154" s="3" t="s">
        <v>104</v>
      </c>
      <c r="E154" s="3">
        <v>30118550</v>
      </c>
      <c r="F154" s="3"/>
      <c r="G154" s="3"/>
      <c r="H154" s="9" t="s">
        <v>296</v>
      </c>
      <c r="I154" s="9" t="s">
        <v>297</v>
      </c>
      <c r="J154" s="3">
        <v>1</v>
      </c>
      <c r="K154" s="3">
        <v>1</v>
      </c>
      <c r="L154" s="3">
        <f>VLOOKUP(A154,[1]단품수량!$B$5:$P$27,13,FALSE)*K154</f>
        <v>480</v>
      </c>
      <c r="M154" s="3" t="s">
        <v>35</v>
      </c>
      <c r="N154" s="3" t="s">
        <v>36</v>
      </c>
    </row>
    <row r="155" spans="1:14" ht="18" hidden="1" customHeight="1">
      <c r="A155" s="6">
        <v>10005989</v>
      </c>
      <c r="B155" s="3" t="str">
        <f>VLOOKUP(A155,[1]단품수량!$B$5:$E$27,4,FALSE)</f>
        <v>PID1</v>
      </c>
      <c r="C155" s="3">
        <v>182</v>
      </c>
      <c r="D155" s="3" t="s">
        <v>109</v>
      </c>
      <c r="E155" s="3">
        <v>30118557</v>
      </c>
      <c r="F155" s="3"/>
      <c r="G155" s="3"/>
      <c r="H155" s="9" t="s">
        <v>33</v>
      </c>
      <c r="I155" s="9" t="s">
        <v>34</v>
      </c>
      <c r="J155" s="3">
        <v>1</v>
      </c>
      <c r="K155" s="3">
        <v>1</v>
      </c>
      <c r="L155" s="3">
        <f>VLOOKUP(A155,[1]단품수량!$B$5:$P$27,13,FALSE)*K155</f>
        <v>480</v>
      </c>
      <c r="M155" s="3" t="s">
        <v>35</v>
      </c>
      <c r="N155" s="3" t="s">
        <v>36</v>
      </c>
    </row>
    <row r="156" spans="1:14" ht="18" hidden="1" customHeight="1">
      <c r="A156" s="6">
        <v>10005989</v>
      </c>
      <c r="B156" s="3" t="str">
        <f>VLOOKUP(A156,[1]단품수량!$B$5:$E$27,4,FALSE)</f>
        <v>PID1</v>
      </c>
      <c r="C156" s="3">
        <v>183</v>
      </c>
      <c r="D156" s="3" t="s">
        <v>132</v>
      </c>
      <c r="E156" s="3">
        <v>30118552</v>
      </c>
      <c r="F156" s="3"/>
      <c r="G156" s="3"/>
      <c r="H156" s="12" t="s">
        <v>296</v>
      </c>
      <c r="I156" s="12" t="s">
        <v>298</v>
      </c>
      <c r="J156" s="3">
        <v>1</v>
      </c>
      <c r="K156" s="3">
        <v>1</v>
      </c>
      <c r="L156" s="3">
        <f>VLOOKUP(A156,[1]단품수량!$B$5:$P$27,13,FALSE)*K156</f>
        <v>480</v>
      </c>
      <c r="M156" s="3" t="s">
        <v>35</v>
      </c>
      <c r="N156" s="3" t="s">
        <v>36</v>
      </c>
    </row>
    <row r="157" spans="1:14" ht="18" hidden="1" customHeight="1">
      <c r="A157" s="6">
        <v>10005989</v>
      </c>
      <c r="B157" s="3" t="str">
        <f>VLOOKUP(A157,[1]단품수량!$B$5:$E$27,4,FALSE)</f>
        <v>PID1</v>
      </c>
      <c r="C157" s="3">
        <v>184</v>
      </c>
      <c r="D157" s="3" t="s">
        <v>195</v>
      </c>
      <c r="E157" s="3">
        <v>30118558</v>
      </c>
      <c r="F157" s="3"/>
      <c r="G157" s="3"/>
      <c r="H157" s="12" t="s">
        <v>33</v>
      </c>
      <c r="I157" s="12" t="s">
        <v>299</v>
      </c>
      <c r="J157" s="3">
        <v>1</v>
      </c>
      <c r="K157" s="3">
        <v>1</v>
      </c>
      <c r="L157" s="3">
        <f>VLOOKUP(A157,[1]단품수량!$B$5:$P$27,13,FALSE)*K157</f>
        <v>480</v>
      </c>
      <c r="M157" s="3" t="s">
        <v>35</v>
      </c>
      <c r="N157" s="3" t="s">
        <v>36</v>
      </c>
    </row>
    <row r="158" spans="1:14" ht="18" hidden="1" customHeight="1">
      <c r="A158" s="6">
        <v>10005989</v>
      </c>
      <c r="B158" s="3" t="str">
        <f>VLOOKUP(A158,[1]단품수량!$B$5:$E$27,4,FALSE)</f>
        <v>PID1</v>
      </c>
      <c r="C158" s="3">
        <v>185</v>
      </c>
      <c r="D158" s="3" t="s">
        <v>198</v>
      </c>
      <c r="E158" s="3">
        <v>30120649</v>
      </c>
      <c r="F158" s="3" t="s">
        <v>300</v>
      </c>
      <c r="G158" s="3"/>
      <c r="H158" s="3" t="s">
        <v>51</v>
      </c>
      <c r="I158" s="3" t="s">
        <v>301</v>
      </c>
      <c r="J158" s="3">
        <v>1</v>
      </c>
      <c r="K158" s="3">
        <v>1</v>
      </c>
      <c r="L158" s="3">
        <f>VLOOKUP(A158,[1]단품수량!$B$5:$P$27,13,FALSE)*K158</f>
        <v>480</v>
      </c>
      <c r="M158" s="3" t="s">
        <v>19</v>
      </c>
      <c r="N158" s="3" t="s">
        <v>53</v>
      </c>
    </row>
    <row r="159" spans="1:14" ht="18" hidden="1" customHeight="1">
      <c r="A159" s="6">
        <v>10005989</v>
      </c>
      <c r="B159" s="3" t="str">
        <f>VLOOKUP(A159,[1]단품수량!$B$5:$E$27,4,FALSE)</f>
        <v>PID1</v>
      </c>
      <c r="C159" s="3">
        <v>186</v>
      </c>
      <c r="D159" s="3" t="s">
        <v>201</v>
      </c>
      <c r="E159" s="3">
        <v>30120825</v>
      </c>
      <c r="F159" s="3"/>
      <c r="G159" s="3"/>
      <c r="H159" s="12" t="s">
        <v>302</v>
      </c>
      <c r="I159" s="12" t="s">
        <v>303</v>
      </c>
      <c r="J159" s="3">
        <v>1</v>
      </c>
      <c r="K159" s="3">
        <v>1</v>
      </c>
      <c r="L159" s="3">
        <f>VLOOKUP(A159,[1]단품수량!$B$5:$P$27,13,FALSE)*K159</f>
        <v>480</v>
      </c>
      <c r="M159" s="3" t="s">
        <v>19</v>
      </c>
      <c r="N159" s="3" t="s">
        <v>304</v>
      </c>
    </row>
    <row r="160" spans="1:14" ht="18" hidden="1" customHeight="1">
      <c r="A160" s="6">
        <v>10005989</v>
      </c>
      <c r="B160" s="3" t="str">
        <f>VLOOKUP(A160,[1]단품수량!$B$5:$E$27,4,FALSE)</f>
        <v>PID1</v>
      </c>
      <c r="C160" s="3">
        <v>187</v>
      </c>
      <c r="D160" s="3" t="s">
        <v>204</v>
      </c>
      <c r="E160" s="3">
        <v>30120826</v>
      </c>
      <c r="F160" s="3"/>
      <c r="G160" s="3"/>
      <c r="H160" s="3" t="s">
        <v>305</v>
      </c>
      <c r="I160" s="3" t="s">
        <v>306</v>
      </c>
      <c r="J160" s="3">
        <v>1</v>
      </c>
      <c r="K160" s="3">
        <v>1</v>
      </c>
      <c r="L160" s="3">
        <f>VLOOKUP(A160,[1]단품수량!$B$5:$P$27,13,FALSE)*K160</f>
        <v>480</v>
      </c>
      <c r="M160" s="3" t="s">
        <v>19</v>
      </c>
      <c r="N160" s="3" t="s">
        <v>186</v>
      </c>
    </row>
    <row r="161" spans="1:14" ht="18" hidden="1" customHeight="1">
      <c r="A161" s="6">
        <v>10005989</v>
      </c>
      <c r="B161" s="3" t="str">
        <f>VLOOKUP(A161,[1]단품수량!$B$5:$E$27,4,FALSE)</f>
        <v>PID1</v>
      </c>
      <c r="C161" s="3">
        <v>188</v>
      </c>
      <c r="D161" s="3" t="s">
        <v>64</v>
      </c>
      <c r="E161" s="3">
        <v>30120992</v>
      </c>
      <c r="F161" s="3"/>
      <c r="G161" s="3"/>
      <c r="H161" s="12" t="s">
        <v>96</v>
      </c>
      <c r="I161" s="12" t="s">
        <v>97</v>
      </c>
      <c r="J161" s="3">
        <v>1</v>
      </c>
      <c r="K161" s="3">
        <v>1</v>
      </c>
      <c r="L161" s="3">
        <f>VLOOKUP(A161,[1]단품수량!$B$5:$P$27,13,FALSE)*K161</f>
        <v>480</v>
      </c>
      <c r="M161" s="3" t="s">
        <v>35</v>
      </c>
      <c r="N161" s="3" t="s">
        <v>98</v>
      </c>
    </row>
    <row r="162" spans="1:14" ht="18" hidden="1" customHeight="1">
      <c r="A162" s="6">
        <v>10005989</v>
      </c>
      <c r="B162" s="3" t="str">
        <f>VLOOKUP(A162,[1]단품수량!$B$5:$E$27,4,FALSE)</f>
        <v>PID1</v>
      </c>
      <c r="C162" s="3">
        <v>189</v>
      </c>
      <c r="D162" s="3" t="s">
        <v>66</v>
      </c>
      <c r="E162" s="3">
        <v>30121672</v>
      </c>
      <c r="F162" s="3"/>
      <c r="G162" s="3"/>
      <c r="H162" s="12" t="s">
        <v>99</v>
      </c>
      <c r="I162" s="12" t="s">
        <v>100</v>
      </c>
      <c r="J162" s="3">
        <v>1</v>
      </c>
      <c r="K162" s="3">
        <v>1</v>
      </c>
      <c r="L162" s="3">
        <f>VLOOKUP(A162,[1]단품수량!$B$5:$P$27,13,FALSE)*K162</f>
        <v>480</v>
      </c>
      <c r="M162" s="3" t="s">
        <v>27</v>
      </c>
      <c r="N162" s="3" t="s">
        <v>98</v>
      </c>
    </row>
    <row r="163" spans="1:14" ht="18" hidden="1" customHeight="1">
      <c r="A163" s="6">
        <v>10005989</v>
      </c>
      <c r="B163" s="3" t="str">
        <f>VLOOKUP(A163,[1]단품수량!$B$5:$E$27,4,FALSE)</f>
        <v>PID1</v>
      </c>
      <c r="C163" s="3">
        <v>190</v>
      </c>
      <c r="D163" s="3" t="s">
        <v>207</v>
      </c>
      <c r="E163" s="3">
        <v>30120762</v>
      </c>
      <c r="F163" s="3"/>
      <c r="G163" s="3"/>
      <c r="H163" s="3" t="s">
        <v>165</v>
      </c>
      <c r="I163" s="3" t="s">
        <v>307</v>
      </c>
      <c r="J163" s="3">
        <v>1</v>
      </c>
      <c r="K163" s="3">
        <v>1</v>
      </c>
      <c r="L163" s="3">
        <f>VLOOKUP(A163,[1]단품수량!$B$5:$P$27,13,FALSE)*K163</f>
        <v>480</v>
      </c>
      <c r="M163" s="3" t="s">
        <v>27</v>
      </c>
      <c r="N163" s="3" t="s">
        <v>57</v>
      </c>
    </row>
    <row r="164" spans="1:14" ht="18" customHeight="1">
      <c r="A164" s="6">
        <v>10005989</v>
      </c>
      <c r="B164" s="3" t="str">
        <f>VLOOKUP(A164,[1]단품수량!$B$5:$E$27,4,FALSE)</f>
        <v>PID1</v>
      </c>
      <c r="C164" s="3">
        <v>191</v>
      </c>
      <c r="D164" s="3" t="s">
        <v>210</v>
      </c>
      <c r="E164" s="3">
        <v>30120533</v>
      </c>
      <c r="F164" s="3"/>
      <c r="G164" s="3"/>
      <c r="H164" s="12" t="s">
        <v>199</v>
      </c>
      <c r="I164" s="12" t="s">
        <v>200</v>
      </c>
      <c r="J164" s="3">
        <v>2</v>
      </c>
      <c r="K164" s="3">
        <v>2</v>
      </c>
      <c r="L164" s="3">
        <f>VLOOKUP(A164,[1]단품수량!$B$5:$P$27,13,FALSE)*K164</f>
        <v>960</v>
      </c>
      <c r="M164" s="3" t="s">
        <v>35</v>
      </c>
      <c r="N164" s="3" t="s">
        <v>194</v>
      </c>
    </row>
    <row r="165" spans="1:14" ht="18" customHeight="1">
      <c r="A165" s="6">
        <v>10005989</v>
      </c>
      <c r="B165" s="3" t="str">
        <f>VLOOKUP(A165,[1]단품수량!$B$5:$E$27,4,FALSE)</f>
        <v>PID1</v>
      </c>
      <c r="C165" s="3">
        <v>192</v>
      </c>
      <c r="D165" s="3" t="s">
        <v>308</v>
      </c>
      <c r="E165" s="3">
        <v>30120534</v>
      </c>
      <c r="F165" s="3"/>
      <c r="G165" s="3"/>
      <c r="H165" s="12" t="s">
        <v>202</v>
      </c>
      <c r="I165" s="12" t="s">
        <v>203</v>
      </c>
      <c r="J165" s="3">
        <v>2</v>
      </c>
      <c r="K165" s="3">
        <v>2</v>
      </c>
      <c r="L165" s="3">
        <f>VLOOKUP(A165,[1]단품수량!$B$5:$P$27,13,FALSE)*K165</f>
        <v>960</v>
      </c>
      <c r="M165" s="3" t="s">
        <v>35</v>
      </c>
      <c r="N165" s="3" t="s">
        <v>194</v>
      </c>
    </row>
    <row r="166" spans="1:14" ht="18" customHeight="1">
      <c r="A166" s="6">
        <v>10005989</v>
      </c>
      <c r="B166" s="3" t="str">
        <f>VLOOKUP(A166,[1]단품수량!$B$5:$E$27,4,FALSE)</f>
        <v>PID1</v>
      </c>
      <c r="C166" s="3">
        <v>193</v>
      </c>
      <c r="D166" s="3" t="s">
        <v>309</v>
      </c>
      <c r="E166" s="3">
        <v>30120535</v>
      </c>
      <c r="F166" s="3"/>
      <c r="G166" s="3"/>
      <c r="H166" s="12" t="s">
        <v>205</v>
      </c>
      <c r="I166" s="12" t="s">
        <v>206</v>
      </c>
      <c r="J166" s="3">
        <v>2</v>
      </c>
      <c r="K166" s="3">
        <v>2</v>
      </c>
      <c r="L166" s="3">
        <f>VLOOKUP(A166,[1]단품수량!$B$5:$P$27,13,FALSE)*K166</f>
        <v>960</v>
      </c>
      <c r="M166" s="3" t="s">
        <v>35</v>
      </c>
      <c r="N166" s="3" t="s">
        <v>194</v>
      </c>
    </row>
    <row r="167" spans="1:14" ht="18" customHeight="1">
      <c r="A167" s="6">
        <v>10005989</v>
      </c>
      <c r="B167" s="3" t="str">
        <f>VLOOKUP(A167,[1]단품수량!$B$5:$E$27,4,FALSE)</f>
        <v>PID1</v>
      </c>
      <c r="C167" s="3">
        <v>194</v>
      </c>
      <c r="D167" s="3" t="s">
        <v>310</v>
      </c>
      <c r="E167" s="3">
        <v>30120536</v>
      </c>
      <c r="F167" s="3"/>
      <c r="G167" s="3"/>
      <c r="H167" s="12" t="s">
        <v>311</v>
      </c>
      <c r="I167" s="12" t="s">
        <v>312</v>
      </c>
      <c r="J167" s="3">
        <v>2</v>
      </c>
      <c r="K167" s="3">
        <v>2</v>
      </c>
      <c r="L167" s="3">
        <f>VLOOKUP(A167,[1]단품수량!$B$5:$P$27,13,FALSE)*K167</f>
        <v>960</v>
      </c>
      <c r="M167" s="3" t="s">
        <v>35</v>
      </c>
      <c r="N167" s="3" t="s">
        <v>194</v>
      </c>
    </row>
    <row r="168" spans="1:14" ht="18" customHeight="1">
      <c r="A168" s="6">
        <v>10005989</v>
      </c>
      <c r="B168" s="3" t="str">
        <f>VLOOKUP(A168,[1]단품수량!$B$5:$E$27,4,FALSE)</f>
        <v>PID1</v>
      </c>
      <c r="C168" s="3">
        <v>195</v>
      </c>
      <c r="D168" s="3" t="s">
        <v>313</v>
      </c>
      <c r="E168" s="3">
        <v>30120824</v>
      </c>
      <c r="F168" s="3"/>
      <c r="G168" s="3"/>
      <c r="H168" s="12" t="s">
        <v>314</v>
      </c>
      <c r="I168" s="12" t="s">
        <v>315</v>
      </c>
      <c r="J168" s="3">
        <v>2</v>
      </c>
      <c r="K168" s="3">
        <v>2</v>
      </c>
      <c r="L168" s="3">
        <f>VLOOKUP(A168,[1]단품수량!$B$5:$P$27,13,FALSE)*K168</f>
        <v>960</v>
      </c>
      <c r="M168" s="3" t="s">
        <v>35</v>
      </c>
      <c r="N168" s="3" t="s">
        <v>194</v>
      </c>
    </row>
    <row r="169" spans="1:14" ht="18" hidden="1" customHeight="1">
      <c r="A169" s="6">
        <v>10005989</v>
      </c>
      <c r="B169" s="3" t="str">
        <f>VLOOKUP(A169,[1]단품수량!$B$5:$E$27,4,FALSE)</f>
        <v>PID1</v>
      </c>
      <c r="C169" s="3">
        <v>196</v>
      </c>
      <c r="D169" s="3" t="s">
        <v>316</v>
      </c>
      <c r="E169" s="3">
        <v>30121673</v>
      </c>
      <c r="F169" s="3"/>
      <c r="G169" s="3"/>
      <c r="H169" s="3" t="s">
        <v>317</v>
      </c>
      <c r="I169" s="3" t="s">
        <v>146</v>
      </c>
      <c r="J169" s="3">
        <v>1</v>
      </c>
      <c r="K169" s="3">
        <v>1</v>
      </c>
      <c r="L169" s="3">
        <f>VLOOKUP(A169,[1]단품수량!$B$5:$P$27,13,FALSE)*K169</f>
        <v>480</v>
      </c>
      <c r="M169" s="3" t="s">
        <v>27</v>
      </c>
      <c r="N169" s="3"/>
    </row>
    <row r="170" spans="1:14" ht="18" hidden="1" customHeight="1">
      <c r="A170" s="6">
        <v>10005989</v>
      </c>
      <c r="B170" s="3" t="str">
        <f>VLOOKUP(A170,[1]단품수량!$B$5:$E$27,4,FALSE)</f>
        <v>PID1</v>
      </c>
      <c r="C170" s="3">
        <v>197</v>
      </c>
      <c r="D170" s="3" t="s">
        <v>318</v>
      </c>
      <c r="E170" s="3">
        <v>20061694</v>
      </c>
      <c r="F170" s="3" t="s">
        <v>319</v>
      </c>
      <c r="G170" s="3"/>
      <c r="H170" s="3" t="s">
        <v>111</v>
      </c>
      <c r="I170" s="3" t="s">
        <v>320</v>
      </c>
      <c r="J170" s="3">
        <v>1</v>
      </c>
      <c r="K170" s="3">
        <v>1</v>
      </c>
      <c r="L170" s="3">
        <f>VLOOKUP(A170,[1]단품수량!$B$5:$P$27,13,FALSE)*K170</f>
        <v>480</v>
      </c>
      <c r="M170" s="3" t="s">
        <v>113</v>
      </c>
      <c r="N170" s="3"/>
    </row>
    <row r="171" spans="1:14" ht="18" hidden="1" customHeight="1">
      <c r="A171" s="6">
        <v>10005989</v>
      </c>
      <c r="B171" s="3" t="str">
        <f>VLOOKUP(A171,[1]단품수량!$B$5:$E$27,4,FALSE)</f>
        <v>PID1</v>
      </c>
      <c r="C171" s="3">
        <v>198</v>
      </c>
      <c r="D171" s="3" t="s">
        <v>64</v>
      </c>
      <c r="E171" s="3">
        <v>30075140</v>
      </c>
      <c r="F171" s="3"/>
      <c r="G171" s="3"/>
      <c r="H171" s="3" t="s">
        <v>61</v>
      </c>
      <c r="I171" s="3" t="s">
        <v>114</v>
      </c>
      <c r="J171" s="3">
        <v>4</v>
      </c>
      <c r="K171" s="3">
        <v>4</v>
      </c>
      <c r="L171" s="3">
        <f>VLOOKUP(A171,[1]단품수량!$B$5:$P$27,13,FALSE)*K171</f>
        <v>1920</v>
      </c>
      <c r="M171" s="3" t="s">
        <v>35</v>
      </c>
      <c r="N171" s="3" t="s">
        <v>36</v>
      </c>
    </row>
    <row r="172" spans="1:14" ht="18" hidden="1" customHeight="1">
      <c r="A172" s="6">
        <v>10005989</v>
      </c>
      <c r="B172" s="3" t="str">
        <f>VLOOKUP(A172,[1]단품수량!$B$5:$E$27,4,FALSE)</f>
        <v>PID1</v>
      </c>
      <c r="C172" s="3">
        <v>199</v>
      </c>
      <c r="D172" s="3" t="s">
        <v>66</v>
      </c>
      <c r="E172" s="3">
        <v>30093304</v>
      </c>
      <c r="F172" s="3"/>
      <c r="G172" s="3"/>
      <c r="H172" s="3" t="s">
        <v>55</v>
      </c>
      <c r="I172" s="3" t="s">
        <v>56</v>
      </c>
      <c r="J172" s="3">
        <v>1</v>
      </c>
      <c r="K172" s="3">
        <v>1</v>
      </c>
      <c r="L172" s="3">
        <f>VLOOKUP(A172,[1]단품수량!$B$5:$P$27,13,FALSE)*K172</f>
        <v>480</v>
      </c>
      <c r="M172" s="3" t="s">
        <v>35</v>
      </c>
      <c r="N172" s="3" t="s">
        <v>36</v>
      </c>
    </row>
    <row r="173" spans="1:14" ht="18" hidden="1" customHeight="1">
      <c r="A173" s="6">
        <v>10005989</v>
      </c>
      <c r="B173" s="3" t="str">
        <f>VLOOKUP(A173,[1]단품수량!$B$5:$E$27,4,FALSE)</f>
        <v>PID1</v>
      </c>
      <c r="C173" s="3">
        <v>200</v>
      </c>
      <c r="D173" s="3" t="s">
        <v>116</v>
      </c>
      <c r="E173" s="3">
        <v>30073369</v>
      </c>
      <c r="F173" s="3"/>
      <c r="G173" s="3"/>
      <c r="H173" s="3" t="s">
        <v>321</v>
      </c>
      <c r="I173" s="3" t="s">
        <v>322</v>
      </c>
      <c r="J173" s="3">
        <v>1</v>
      </c>
      <c r="K173" s="3">
        <v>1</v>
      </c>
      <c r="L173" s="3">
        <f>VLOOKUP(A173,[1]단품수량!$B$5:$P$27,13,FALSE)*K173</f>
        <v>480</v>
      </c>
      <c r="M173" s="3" t="s">
        <v>35</v>
      </c>
      <c r="N173" s="3" t="s">
        <v>28</v>
      </c>
    </row>
    <row r="174" spans="1:14" ht="18" hidden="1" customHeight="1">
      <c r="A174" s="6">
        <v>10005989</v>
      </c>
      <c r="B174" s="3" t="str">
        <f>VLOOKUP(A174,[1]단품수량!$B$5:$E$27,4,FALSE)</f>
        <v>PID1</v>
      </c>
      <c r="C174" s="3">
        <v>201</v>
      </c>
      <c r="D174" s="3" t="s">
        <v>118</v>
      </c>
      <c r="E174" s="3">
        <v>30110820</v>
      </c>
      <c r="F174" s="3"/>
      <c r="G174" s="3"/>
      <c r="H174" s="3" t="s">
        <v>214</v>
      </c>
      <c r="I174" s="3" t="s">
        <v>215</v>
      </c>
      <c r="J174" s="3">
        <v>1</v>
      </c>
      <c r="K174" s="3">
        <v>1</v>
      </c>
      <c r="L174" s="3">
        <f>VLOOKUP(A174,[1]단품수량!$B$5:$P$27,13,FALSE)*K174</f>
        <v>480</v>
      </c>
      <c r="M174" s="3" t="s">
        <v>35</v>
      </c>
      <c r="N174" s="3" t="s">
        <v>28</v>
      </c>
    </row>
    <row r="175" spans="1:14" ht="18" hidden="1" customHeight="1">
      <c r="A175" s="6">
        <v>10005989</v>
      </c>
      <c r="B175" s="3" t="str">
        <f>VLOOKUP(A175,[1]단품수량!$B$5:$E$27,4,FALSE)</f>
        <v>PID1</v>
      </c>
      <c r="C175" s="3">
        <v>202</v>
      </c>
      <c r="D175" s="3" t="s">
        <v>121</v>
      </c>
      <c r="E175" s="3">
        <v>30115073</v>
      </c>
      <c r="F175" s="3"/>
      <c r="G175" s="3"/>
      <c r="H175" s="3" t="s">
        <v>59</v>
      </c>
      <c r="I175" s="3" t="s">
        <v>122</v>
      </c>
      <c r="J175" s="3">
        <v>1</v>
      </c>
      <c r="K175" s="3">
        <v>1</v>
      </c>
      <c r="L175" s="3">
        <f>VLOOKUP(A175,[1]단품수량!$B$5:$P$27,13,FALSE)*K175</f>
        <v>480</v>
      </c>
      <c r="M175" s="3" t="s">
        <v>27</v>
      </c>
      <c r="N175" s="3" t="s">
        <v>28</v>
      </c>
    </row>
    <row r="176" spans="1:14" ht="18" hidden="1" customHeight="1">
      <c r="A176" s="6">
        <v>10005989</v>
      </c>
      <c r="B176" s="3" t="str">
        <f>VLOOKUP(A176,[1]단품수량!$B$5:$E$27,4,FALSE)</f>
        <v>PID1</v>
      </c>
      <c r="C176" s="3">
        <v>203</v>
      </c>
      <c r="D176" s="3" t="s">
        <v>123</v>
      </c>
      <c r="E176" s="3">
        <v>30100325</v>
      </c>
      <c r="F176" s="3"/>
      <c r="G176" s="3"/>
      <c r="H176" s="3" t="s">
        <v>119</v>
      </c>
      <c r="I176" s="3" t="s">
        <v>120</v>
      </c>
      <c r="J176" s="3">
        <v>1</v>
      </c>
      <c r="K176" s="3">
        <v>1</v>
      </c>
      <c r="L176" s="3">
        <f>VLOOKUP(A176,[1]단품수량!$B$5:$P$27,13,FALSE)*K176</f>
        <v>480</v>
      </c>
      <c r="M176" s="3" t="s">
        <v>35</v>
      </c>
      <c r="N176" s="3" t="s">
        <v>28</v>
      </c>
    </row>
    <row r="177" spans="1:14" ht="18" hidden="1" customHeight="1">
      <c r="A177" s="6">
        <v>10005989</v>
      </c>
      <c r="B177" s="3" t="str">
        <f>VLOOKUP(A177,[1]단품수량!$B$5:$E$27,4,FALSE)</f>
        <v>PID1</v>
      </c>
      <c r="C177" s="3">
        <v>204</v>
      </c>
      <c r="D177" s="3" t="s">
        <v>126</v>
      </c>
      <c r="E177" s="3">
        <v>30081231</v>
      </c>
      <c r="F177" s="3"/>
      <c r="G177" s="3"/>
      <c r="H177" s="3" t="s">
        <v>124</v>
      </c>
      <c r="I177" s="3" t="s">
        <v>125</v>
      </c>
      <c r="J177" s="3">
        <v>32</v>
      </c>
      <c r="K177" s="3">
        <v>32</v>
      </c>
      <c r="L177" s="3">
        <f>VLOOKUP(A177,[1]단품수량!$B$5:$P$27,13,FALSE)*K177</f>
        <v>15360</v>
      </c>
      <c r="M177" s="3" t="s">
        <v>35</v>
      </c>
      <c r="N177" s="3" t="s">
        <v>28</v>
      </c>
    </row>
    <row r="178" spans="1:14" ht="18" hidden="1" customHeight="1">
      <c r="A178" s="7">
        <v>10005990</v>
      </c>
      <c r="B178" s="3" t="str">
        <f>VLOOKUP(A178,[1]단품수량!$B$5:$E$27,4,FALSE)</f>
        <v>PID2</v>
      </c>
      <c r="C178" s="3">
        <v>205</v>
      </c>
      <c r="D178" s="3"/>
      <c r="E178" s="3"/>
      <c r="F178" s="3"/>
      <c r="G178" s="3"/>
      <c r="H178" s="3" t="s">
        <v>274</v>
      </c>
      <c r="I178" s="3"/>
      <c r="J178" s="3">
        <v>1</v>
      </c>
      <c r="K178" s="3">
        <v>1</v>
      </c>
      <c r="L178" s="3">
        <f>VLOOKUP(A178,[1]단품수량!$B$5:$P$27,13,FALSE)*K178</f>
        <v>240</v>
      </c>
      <c r="M178" s="3" t="s">
        <v>67</v>
      </c>
      <c r="N178" s="3" t="s">
        <v>275</v>
      </c>
    </row>
    <row r="179" spans="1:14" ht="18" hidden="1" customHeight="1">
      <c r="A179" s="7">
        <v>10005990</v>
      </c>
      <c r="B179" s="3" t="str">
        <f>VLOOKUP(A179,[1]단품수량!$B$5:$E$27,4,FALSE)</f>
        <v>PID2</v>
      </c>
      <c r="C179" s="3">
        <v>205</v>
      </c>
      <c r="D179" s="3" t="s">
        <v>15</v>
      </c>
      <c r="E179" s="3">
        <v>30120706</v>
      </c>
      <c r="F179" s="3" t="s">
        <v>323</v>
      </c>
      <c r="G179" s="3"/>
      <c r="H179" s="3" t="s">
        <v>65</v>
      </c>
      <c r="I179" s="3" t="s">
        <v>18</v>
      </c>
      <c r="J179" s="3">
        <v>1</v>
      </c>
      <c r="K179" s="3">
        <v>1</v>
      </c>
      <c r="L179" s="3">
        <f>VLOOKUP(A179,[1]단품수량!$B$5:$P$27,13,FALSE)*K179</f>
        <v>240</v>
      </c>
      <c r="M179" s="3" t="s">
        <v>19</v>
      </c>
      <c r="N179" s="3" t="s">
        <v>69</v>
      </c>
    </row>
    <row r="180" spans="1:14" ht="18" hidden="1" customHeight="1">
      <c r="A180" s="7">
        <v>10005990</v>
      </c>
      <c r="B180" s="3" t="str">
        <f>VLOOKUP(A180,[1]단품수량!$B$5:$E$27,4,FALSE)</f>
        <v>PID2</v>
      </c>
      <c r="C180" s="3">
        <v>206</v>
      </c>
      <c r="D180" s="3" t="s">
        <v>21</v>
      </c>
      <c r="E180" s="3">
        <v>30120707</v>
      </c>
      <c r="F180" s="3" t="s">
        <v>324</v>
      </c>
      <c r="G180" s="3"/>
      <c r="H180" s="3" t="s">
        <v>325</v>
      </c>
      <c r="I180" s="3" t="s">
        <v>18</v>
      </c>
      <c r="J180" s="3">
        <v>1</v>
      </c>
      <c r="K180" s="3">
        <v>1</v>
      </c>
      <c r="L180" s="3">
        <f>VLOOKUP(A180,[1]단품수량!$B$5:$P$27,13,FALSE)*K180</f>
        <v>240</v>
      </c>
      <c r="M180" s="3" t="s">
        <v>19</v>
      </c>
      <c r="N180" s="3" t="s">
        <v>53</v>
      </c>
    </row>
    <row r="181" spans="1:14" ht="18" hidden="1" customHeight="1">
      <c r="A181" s="7">
        <v>10005990</v>
      </c>
      <c r="B181" s="3" t="str">
        <f>VLOOKUP(A181,[1]단품수량!$B$5:$E$27,4,FALSE)</f>
        <v>PID2</v>
      </c>
      <c r="C181" s="3">
        <v>207</v>
      </c>
      <c r="D181" s="3" t="s">
        <v>24</v>
      </c>
      <c r="E181" s="3">
        <v>30120708</v>
      </c>
      <c r="F181" s="3" t="s">
        <v>326</v>
      </c>
      <c r="G181" s="3"/>
      <c r="H181" s="3" t="s">
        <v>17</v>
      </c>
      <c r="I181" s="3" t="s">
        <v>18</v>
      </c>
      <c r="J181" s="3">
        <v>1</v>
      </c>
      <c r="K181" s="3">
        <v>1</v>
      </c>
      <c r="L181" s="3">
        <f>VLOOKUP(A181,[1]단품수량!$B$5:$P$27,13,FALSE)*K181</f>
        <v>240</v>
      </c>
      <c r="M181" s="3" t="s">
        <v>19</v>
      </c>
      <c r="N181" s="3" t="s">
        <v>69</v>
      </c>
    </row>
    <row r="182" spans="1:14" ht="18" hidden="1" customHeight="1">
      <c r="A182" s="7">
        <v>10005990</v>
      </c>
      <c r="B182" s="3" t="str">
        <f>VLOOKUP(A182,[1]단품수량!$B$5:$E$27,4,FALSE)</f>
        <v>PID2</v>
      </c>
      <c r="C182" s="3">
        <v>208</v>
      </c>
      <c r="D182" s="3" t="s">
        <v>29</v>
      </c>
      <c r="E182" s="3">
        <v>30120709</v>
      </c>
      <c r="F182" s="3" t="s">
        <v>327</v>
      </c>
      <c r="G182" s="3"/>
      <c r="H182" s="3" t="s">
        <v>17</v>
      </c>
      <c r="I182" s="3" t="s">
        <v>18</v>
      </c>
      <c r="J182" s="3">
        <v>1</v>
      </c>
      <c r="K182" s="3">
        <v>1</v>
      </c>
      <c r="L182" s="3">
        <f>VLOOKUP(A182,[1]단품수량!$B$5:$P$27,13,FALSE)*K182</f>
        <v>240</v>
      </c>
      <c r="M182" s="3" t="s">
        <v>19</v>
      </c>
      <c r="N182" s="3" t="s">
        <v>69</v>
      </c>
    </row>
    <row r="183" spans="1:14" ht="18" hidden="1" customHeight="1">
      <c r="A183" s="7">
        <v>10005990</v>
      </c>
      <c r="B183" s="3" t="str">
        <f>VLOOKUP(A183,[1]단품수량!$B$5:$E$27,4,FALSE)</f>
        <v>PID2</v>
      </c>
      <c r="C183" s="3">
        <v>209</v>
      </c>
      <c r="D183" s="3" t="s">
        <v>32</v>
      </c>
      <c r="E183" s="3">
        <v>30120710</v>
      </c>
      <c r="F183" s="3" t="s">
        <v>328</v>
      </c>
      <c r="G183" s="3"/>
      <c r="H183" s="3" t="s">
        <v>80</v>
      </c>
      <c r="I183" s="3" t="s">
        <v>18</v>
      </c>
      <c r="J183" s="3">
        <v>1</v>
      </c>
      <c r="K183" s="3">
        <v>1</v>
      </c>
      <c r="L183" s="3">
        <f>VLOOKUP(A183,[1]단품수량!$B$5:$P$27,13,FALSE)*K183</f>
        <v>240</v>
      </c>
      <c r="M183" s="3" t="s">
        <v>19</v>
      </c>
      <c r="N183" s="3" t="s">
        <v>69</v>
      </c>
    </row>
    <row r="184" spans="1:14" ht="18" hidden="1" customHeight="1">
      <c r="A184" s="7">
        <v>10005990</v>
      </c>
      <c r="B184" s="3" t="str">
        <f>VLOOKUP(A184,[1]단품수량!$B$5:$E$27,4,FALSE)</f>
        <v>PID2</v>
      </c>
      <c r="C184" s="3">
        <v>210</v>
      </c>
      <c r="D184" s="3" t="s">
        <v>37</v>
      </c>
      <c r="E184" s="3">
        <v>30120713</v>
      </c>
      <c r="F184" s="3" t="s">
        <v>329</v>
      </c>
      <c r="G184" s="3"/>
      <c r="H184" s="3" t="s">
        <v>80</v>
      </c>
      <c r="I184" s="3" t="s">
        <v>18</v>
      </c>
      <c r="J184" s="3">
        <v>1</v>
      </c>
      <c r="K184" s="3">
        <v>1</v>
      </c>
      <c r="L184" s="3">
        <f>VLOOKUP(A184,[1]단품수량!$B$5:$P$27,13,FALSE)*K184</f>
        <v>240</v>
      </c>
      <c r="M184" s="3" t="s">
        <v>19</v>
      </c>
      <c r="N184" s="3" t="s">
        <v>69</v>
      </c>
    </row>
    <row r="185" spans="1:14" ht="18" hidden="1" customHeight="1">
      <c r="A185" s="7">
        <v>10005990</v>
      </c>
      <c r="B185" s="3" t="str">
        <f>VLOOKUP(A185,[1]단품수량!$B$5:$E$27,4,FALSE)</f>
        <v>PID2</v>
      </c>
      <c r="C185" s="3">
        <v>211</v>
      </c>
      <c r="D185" s="3" t="s">
        <v>40</v>
      </c>
      <c r="E185" s="3">
        <v>30118138</v>
      </c>
      <c r="F185" s="3"/>
      <c r="G185" s="3"/>
      <c r="H185" s="12" t="s">
        <v>281</v>
      </c>
      <c r="I185" s="12" t="s">
        <v>282</v>
      </c>
      <c r="J185" s="3">
        <v>1</v>
      </c>
      <c r="K185" s="3">
        <v>1</v>
      </c>
      <c r="L185" s="3">
        <f>VLOOKUP(A185,[1]단품수량!$B$5:$P$27,13,FALSE)*K185</f>
        <v>240</v>
      </c>
      <c r="M185" s="3" t="s">
        <v>27</v>
      </c>
      <c r="N185" s="3" t="s">
        <v>283</v>
      </c>
    </row>
    <row r="186" spans="1:14" ht="18" hidden="1" customHeight="1">
      <c r="A186" s="7">
        <v>10005990</v>
      </c>
      <c r="B186" s="3" t="str">
        <f>VLOOKUP(A186,[1]단품수량!$B$5:$E$27,4,FALSE)</f>
        <v>PID2</v>
      </c>
      <c r="C186" s="3">
        <v>212</v>
      </c>
      <c r="D186" s="3" t="s">
        <v>43</v>
      </c>
      <c r="E186" s="3">
        <v>30121671</v>
      </c>
      <c r="F186" s="3"/>
      <c r="G186" s="3"/>
      <c r="H186" s="12" t="s">
        <v>284</v>
      </c>
      <c r="I186" s="12" t="s">
        <v>285</v>
      </c>
      <c r="J186" s="3">
        <v>1</v>
      </c>
      <c r="K186" s="3">
        <v>1</v>
      </c>
      <c r="L186" s="3">
        <f>VLOOKUP(A186,[1]단품수량!$B$5:$P$27,13,FALSE)*K186</f>
        <v>240</v>
      </c>
      <c r="M186" s="3" t="s">
        <v>27</v>
      </c>
      <c r="N186" s="3" t="s">
        <v>283</v>
      </c>
    </row>
    <row r="187" spans="1:14" ht="18" hidden="1" customHeight="1">
      <c r="A187" s="7">
        <v>10005990</v>
      </c>
      <c r="B187" s="3" t="str">
        <f>VLOOKUP(A187,[1]단품수량!$B$5:$E$27,4,FALSE)</f>
        <v>PID2</v>
      </c>
      <c r="C187" s="3">
        <v>213</v>
      </c>
      <c r="D187" s="3" t="s">
        <v>46</v>
      </c>
      <c r="E187" s="3">
        <v>30120663</v>
      </c>
      <c r="F187" s="3" t="s">
        <v>330</v>
      </c>
      <c r="G187" s="3"/>
      <c r="H187" s="3" t="s">
        <v>51</v>
      </c>
      <c r="I187" s="3" t="s">
        <v>331</v>
      </c>
      <c r="J187" s="3">
        <v>1</v>
      </c>
      <c r="K187" s="3">
        <v>1</v>
      </c>
      <c r="L187" s="3">
        <f>VLOOKUP(A187,[1]단품수량!$B$5:$P$27,13,FALSE)*K187</f>
        <v>240</v>
      </c>
      <c r="M187" s="3" t="s">
        <v>19</v>
      </c>
      <c r="N187" s="3" t="s">
        <v>53</v>
      </c>
    </row>
    <row r="188" spans="1:14" ht="18" hidden="1" customHeight="1">
      <c r="A188" s="7">
        <v>10005990</v>
      </c>
      <c r="B188" s="3" t="str">
        <f>VLOOKUP(A188,[1]단품수량!$B$5:$E$27,4,FALSE)</f>
        <v>PID2</v>
      </c>
      <c r="C188" s="3">
        <v>214</v>
      </c>
      <c r="D188" s="3" t="s">
        <v>49</v>
      </c>
      <c r="E188" s="3">
        <v>30118569</v>
      </c>
      <c r="F188" s="3"/>
      <c r="G188" s="3"/>
      <c r="H188" s="12" t="s">
        <v>47</v>
      </c>
      <c r="I188" s="12" t="s">
        <v>48</v>
      </c>
      <c r="J188" s="3">
        <v>4</v>
      </c>
      <c r="K188" s="3">
        <v>4</v>
      </c>
      <c r="L188" s="3">
        <f>VLOOKUP(A188,[1]단품수량!$B$5:$P$27,13,FALSE)*K188</f>
        <v>960</v>
      </c>
      <c r="M188" s="3" t="s">
        <v>35</v>
      </c>
      <c r="N188" s="3" t="s">
        <v>36</v>
      </c>
    </row>
    <row r="189" spans="1:14" ht="18" hidden="1" customHeight="1">
      <c r="A189" s="7">
        <v>10005990</v>
      </c>
      <c r="B189" s="3" t="str">
        <f>VLOOKUP(A189,[1]단품수량!$B$5:$E$27,4,FALSE)</f>
        <v>PID2</v>
      </c>
      <c r="C189" s="3">
        <v>215</v>
      </c>
      <c r="D189" s="3" t="s">
        <v>54</v>
      </c>
      <c r="E189" s="3">
        <v>30118573</v>
      </c>
      <c r="F189" s="3"/>
      <c r="G189" s="3"/>
      <c r="H189" s="12" t="s">
        <v>87</v>
      </c>
      <c r="I189" s="12" t="s">
        <v>88</v>
      </c>
      <c r="J189" s="3">
        <v>17</v>
      </c>
      <c r="K189" s="3">
        <v>17</v>
      </c>
      <c r="L189" s="3">
        <f>VLOOKUP(A189,[1]단품수량!$B$5:$P$27,13,FALSE)*K189</f>
        <v>4080</v>
      </c>
      <c r="M189" s="3" t="s">
        <v>35</v>
      </c>
      <c r="N189" s="3" t="s">
        <v>36</v>
      </c>
    </row>
    <row r="190" spans="1:14" ht="18" hidden="1" customHeight="1">
      <c r="A190" s="7">
        <v>10005990</v>
      </c>
      <c r="B190" s="3" t="str">
        <f>VLOOKUP(A190,[1]단품수량!$B$5:$E$27,4,FALSE)</f>
        <v>PID2</v>
      </c>
      <c r="C190" s="3">
        <v>216</v>
      </c>
      <c r="D190" s="3" t="s">
        <v>91</v>
      </c>
      <c r="E190" s="3">
        <v>30118582</v>
      </c>
      <c r="F190" s="3"/>
      <c r="G190" s="3"/>
      <c r="H190" s="12" t="s">
        <v>89</v>
      </c>
      <c r="I190" s="12" t="s">
        <v>90</v>
      </c>
      <c r="J190" s="3">
        <v>17</v>
      </c>
      <c r="K190" s="3">
        <v>17</v>
      </c>
      <c r="L190" s="3">
        <f>VLOOKUP(A190,[1]단품수량!$B$5:$P$27,13,FALSE)*K190</f>
        <v>4080</v>
      </c>
      <c r="M190" s="3" t="s">
        <v>35</v>
      </c>
      <c r="N190" s="3" t="s">
        <v>36</v>
      </c>
    </row>
    <row r="191" spans="1:14" ht="18" hidden="1" customHeight="1">
      <c r="A191" s="7">
        <v>10005990</v>
      </c>
      <c r="B191" s="3" t="str">
        <f>VLOOKUP(A191,[1]단품수량!$B$5:$E$27,4,FALSE)</f>
        <v>PID2</v>
      </c>
      <c r="C191" s="3">
        <v>217</v>
      </c>
      <c r="D191" s="3" t="s">
        <v>94</v>
      </c>
      <c r="E191" s="3">
        <v>30118554</v>
      </c>
      <c r="F191" s="3"/>
      <c r="G191" s="3"/>
      <c r="H191" s="12" t="s">
        <v>188</v>
      </c>
      <c r="I191" s="12" t="s">
        <v>332</v>
      </c>
      <c r="J191" s="3">
        <v>1</v>
      </c>
      <c r="K191" s="3">
        <v>1</v>
      </c>
      <c r="L191" s="3">
        <f>VLOOKUP(A191,[1]단품수량!$B$5:$P$27,13,FALSE)*K191</f>
        <v>240</v>
      </c>
      <c r="M191" s="3" t="s">
        <v>35</v>
      </c>
      <c r="N191" s="3" t="s">
        <v>36</v>
      </c>
    </row>
    <row r="192" spans="1:14" ht="18" hidden="1" customHeight="1">
      <c r="A192" s="7">
        <v>10005990</v>
      </c>
      <c r="B192" s="3" t="str">
        <f>VLOOKUP(A192,[1]단품수량!$B$5:$E$27,4,FALSE)</f>
        <v>PID2</v>
      </c>
      <c r="C192" s="3">
        <v>218</v>
      </c>
      <c r="D192" s="3" t="s">
        <v>101</v>
      </c>
      <c r="E192" s="3">
        <v>30118561</v>
      </c>
      <c r="F192" s="3"/>
      <c r="G192" s="3"/>
      <c r="H192" s="12" t="s">
        <v>190</v>
      </c>
      <c r="I192" s="12" t="s">
        <v>191</v>
      </c>
      <c r="J192" s="3">
        <v>1</v>
      </c>
      <c r="K192" s="3">
        <v>1</v>
      </c>
      <c r="L192" s="3">
        <f>VLOOKUP(A192,[1]단품수량!$B$5:$P$27,13,FALSE)*K192</f>
        <v>240</v>
      </c>
      <c r="M192" s="3" t="s">
        <v>35</v>
      </c>
      <c r="N192" s="3" t="s">
        <v>36</v>
      </c>
    </row>
    <row r="193" spans="1:14" ht="18" hidden="1" customHeight="1">
      <c r="A193" s="7">
        <v>10005990</v>
      </c>
      <c r="B193" s="3" t="str">
        <f>VLOOKUP(A193,[1]단품수량!$B$5:$E$27,4,FALSE)</f>
        <v>PID2</v>
      </c>
      <c r="C193" s="3">
        <v>219</v>
      </c>
      <c r="D193" s="3" t="s">
        <v>104</v>
      </c>
      <c r="E193" s="3">
        <v>30120825</v>
      </c>
      <c r="F193" s="3"/>
      <c r="G193" s="3"/>
      <c r="H193" s="12" t="s">
        <v>302</v>
      </c>
      <c r="I193" s="12" t="s">
        <v>303</v>
      </c>
      <c r="J193" s="3">
        <v>1</v>
      </c>
      <c r="K193" s="3">
        <v>1</v>
      </c>
      <c r="L193" s="3">
        <f>VLOOKUP(A193,[1]단품수량!$B$5:$P$27,13,FALSE)*K193</f>
        <v>240</v>
      </c>
      <c r="M193" s="3" t="s">
        <v>19</v>
      </c>
      <c r="N193" s="3" t="s">
        <v>107</v>
      </c>
    </row>
    <row r="194" spans="1:14" ht="18" hidden="1" customHeight="1">
      <c r="A194" s="7">
        <v>10005990</v>
      </c>
      <c r="B194" s="3" t="str">
        <f>VLOOKUP(A194,[1]단품수량!$B$5:$E$27,4,FALSE)</f>
        <v>PID2</v>
      </c>
      <c r="C194" s="3">
        <v>220</v>
      </c>
      <c r="D194" s="3" t="s">
        <v>109</v>
      </c>
      <c r="E194" s="3">
        <v>30120826</v>
      </c>
      <c r="F194" s="3"/>
      <c r="G194" s="3"/>
      <c r="H194" s="3" t="s">
        <v>305</v>
      </c>
      <c r="I194" s="3" t="s">
        <v>306</v>
      </c>
      <c r="J194" s="3">
        <v>1</v>
      </c>
      <c r="K194" s="3">
        <v>1</v>
      </c>
      <c r="L194" s="3">
        <f>VLOOKUP(A194,[1]단품수량!$B$5:$P$27,13,FALSE)*K194</f>
        <v>240</v>
      </c>
      <c r="M194" s="3" t="s">
        <v>19</v>
      </c>
      <c r="N194" s="3" t="s">
        <v>186</v>
      </c>
    </row>
    <row r="195" spans="1:14" ht="18" hidden="1" customHeight="1">
      <c r="A195" s="7">
        <v>10005990</v>
      </c>
      <c r="B195" s="3" t="str">
        <f>VLOOKUP(A195,[1]단품수량!$B$5:$E$27,4,FALSE)</f>
        <v>PID2</v>
      </c>
      <c r="C195" s="3">
        <v>221</v>
      </c>
      <c r="D195" s="3" t="s">
        <v>64</v>
      </c>
      <c r="E195" s="3">
        <v>30120992</v>
      </c>
      <c r="F195" s="3"/>
      <c r="G195" s="3"/>
      <c r="H195" s="12" t="s">
        <v>96</v>
      </c>
      <c r="I195" s="12" t="s">
        <v>97</v>
      </c>
      <c r="J195" s="3">
        <v>1</v>
      </c>
      <c r="K195" s="3">
        <v>1</v>
      </c>
      <c r="L195" s="3">
        <f>VLOOKUP(A195,[1]단품수량!$B$5:$P$27,13,FALSE)*K195</f>
        <v>240</v>
      </c>
      <c r="M195" s="3" t="s">
        <v>35</v>
      </c>
      <c r="N195" s="3" t="s">
        <v>98</v>
      </c>
    </row>
    <row r="196" spans="1:14" ht="18" hidden="1" customHeight="1">
      <c r="A196" s="7">
        <v>10005990</v>
      </c>
      <c r="B196" s="3" t="str">
        <f>VLOOKUP(A196,[1]단품수량!$B$5:$E$27,4,FALSE)</f>
        <v>PID2</v>
      </c>
      <c r="C196" s="3">
        <v>222</v>
      </c>
      <c r="D196" s="3" t="s">
        <v>66</v>
      </c>
      <c r="E196" s="3">
        <v>30121672</v>
      </c>
      <c r="F196" s="3"/>
      <c r="G196" s="3"/>
      <c r="H196" s="12" t="s">
        <v>99</v>
      </c>
      <c r="I196" s="12" t="s">
        <v>100</v>
      </c>
      <c r="J196" s="3">
        <v>1</v>
      </c>
      <c r="K196" s="3">
        <v>1</v>
      </c>
      <c r="L196" s="3">
        <f>VLOOKUP(A196,[1]단품수량!$B$5:$P$27,13,FALSE)*K196</f>
        <v>240</v>
      </c>
      <c r="M196" s="3" t="s">
        <v>27</v>
      </c>
      <c r="N196" s="3" t="s">
        <v>98</v>
      </c>
    </row>
    <row r="197" spans="1:14" ht="18" hidden="1" customHeight="1">
      <c r="A197" s="7">
        <v>10005990</v>
      </c>
      <c r="B197" s="3" t="str">
        <f>VLOOKUP(A197,[1]단품수량!$B$5:$E$27,4,FALSE)</f>
        <v>PID2</v>
      </c>
      <c r="C197" s="3">
        <v>223</v>
      </c>
      <c r="D197" s="3" t="s">
        <v>132</v>
      </c>
      <c r="E197" s="3">
        <v>20061695</v>
      </c>
      <c r="F197" s="3" t="s">
        <v>333</v>
      </c>
      <c r="G197" s="3"/>
      <c r="H197" s="3" t="s">
        <v>111</v>
      </c>
      <c r="I197" s="3" t="s">
        <v>334</v>
      </c>
      <c r="J197" s="3">
        <v>1</v>
      </c>
      <c r="K197" s="3">
        <v>1</v>
      </c>
      <c r="L197" s="3">
        <f>VLOOKUP(A197,[1]단품수량!$B$5:$P$27,13,FALSE)*K197</f>
        <v>240</v>
      </c>
      <c r="M197" s="3" t="s">
        <v>113</v>
      </c>
      <c r="N197" s="3"/>
    </row>
    <row r="198" spans="1:14" ht="18" hidden="1" customHeight="1">
      <c r="A198" s="7">
        <v>10005990</v>
      </c>
      <c r="B198" s="3" t="str">
        <f>VLOOKUP(A198,[1]단품수량!$B$5:$E$27,4,FALSE)</f>
        <v>PID2</v>
      </c>
      <c r="C198" s="3">
        <v>224</v>
      </c>
      <c r="D198" s="3" t="s">
        <v>64</v>
      </c>
      <c r="E198" s="3">
        <v>30075140</v>
      </c>
      <c r="F198" s="3"/>
      <c r="G198" s="3"/>
      <c r="H198" s="3" t="s">
        <v>61</v>
      </c>
      <c r="I198" s="3" t="s">
        <v>114</v>
      </c>
      <c r="J198" s="3">
        <v>4</v>
      </c>
      <c r="K198" s="3">
        <v>4</v>
      </c>
      <c r="L198" s="3">
        <f>VLOOKUP(A198,[1]단품수량!$B$5:$P$27,13,FALSE)*K198</f>
        <v>960</v>
      </c>
      <c r="M198" s="3" t="s">
        <v>35</v>
      </c>
      <c r="N198" s="3" t="s">
        <v>36</v>
      </c>
    </row>
    <row r="199" spans="1:14" ht="18" hidden="1" customHeight="1">
      <c r="A199" s="7">
        <v>10005990</v>
      </c>
      <c r="B199" s="3" t="str">
        <f>VLOOKUP(A199,[1]단품수량!$B$5:$E$27,4,FALSE)</f>
        <v>PID2</v>
      </c>
      <c r="C199" s="3">
        <v>225</v>
      </c>
      <c r="D199" s="3" t="s">
        <v>66</v>
      </c>
      <c r="E199" s="3">
        <v>30093304</v>
      </c>
      <c r="F199" s="3"/>
      <c r="G199" s="3"/>
      <c r="H199" s="3" t="s">
        <v>55</v>
      </c>
      <c r="I199" s="3" t="s">
        <v>56</v>
      </c>
      <c r="J199" s="3">
        <v>1</v>
      </c>
      <c r="K199" s="3">
        <v>1</v>
      </c>
      <c r="L199" s="3">
        <f>VLOOKUP(A199,[1]단품수량!$B$5:$P$27,13,FALSE)*K199</f>
        <v>240</v>
      </c>
      <c r="M199" s="3" t="s">
        <v>35</v>
      </c>
      <c r="N199" s="3" t="s">
        <v>36</v>
      </c>
    </row>
    <row r="200" spans="1:14" ht="18" hidden="1" customHeight="1">
      <c r="A200" s="7">
        <v>10005990</v>
      </c>
      <c r="B200" s="3" t="str">
        <f>VLOOKUP(A200,[1]단품수량!$B$5:$E$27,4,FALSE)</f>
        <v>PID2</v>
      </c>
      <c r="C200" s="3">
        <v>226</v>
      </c>
      <c r="D200" s="3" t="s">
        <v>116</v>
      </c>
      <c r="E200" s="3">
        <v>30073369</v>
      </c>
      <c r="F200" s="3"/>
      <c r="G200" s="3"/>
      <c r="H200" s="3" t="s">
        <v>321</v>
      </c>
      <c r="I200" s="3" t="s">
        <v>322</v>
      </c>
      <c r="J200" s="3">
        <v>1</v>
      </c>
      <c r="K200" s="3">
        <v>1</v>
      </c>
      <c r="L200" s="3">
        <f>VLOOKUP(A200,[1]단품수량!$B$5:$P$27,13,FALSE)*K200</f>
        <v>240</v>
      </c>
      <c r="M200" s="3" t="s">
        <v>35</v>
      </c>
      <c r="N200" s="3" t="s">
        <v>28</v>
      </c>
    </row>
    <row r="201" spans="1:14" ht="18" hidden="1" customHeight="1">
      <c r="A201" s="7">
        <v>10005990</v>
      </c>
      <c r="B201" s="3" t="str">
        <f>VLOOKUP(A201,[1]단품수량!$B$5:$E$27,4,FALSE)</f>
        <v>PID2</v>
      </c>
      <c r="C201" s="3">
        <v>227</v>
      </c>
      <c r="D201" s="3" t="s">
        <v>118</v>
      </c>
      <c r="E201" s="3">
        <v>30110820</v>
      </c>
      <c r="F201" s="3"/>
      <c r="G201" s="3"/>
      <c r="H201" s="3" t="s">
        <v>214</v>
      </c>
      <c r="I201" s="3" t="s">
        <v>215</v>
      </c>
      <c r="J201" s="3">
        <v>1</v>
      </c>
      <c r="K201" s="3">
        <v>1</v>
      </c>
      <c r="L201" s="3">
        <f>VLOOKUP(A201,[1]단품수량!$B$5:$P$27,13,FALSE)*K201</f>
        <v>240</v>
      </c>
      <c r="M201" s="3" t="s">
        <v>35</v>
      </c>
      <c r="N201" s="3" t="s">
        <v>28</v>
      </c>
    </row>
    <row r="202" spans="1:14" ht="18" hidden="1" customHeight="1">
      <c r="A202" s="7">
        <v>10005990</v>
      </c>
      <c r="B202" s="3" t="str">
        <f>VLOOKUP(A202,[1]단품수량!$B$5:$E$27,4,FALSE)</f>
        <v>PID2</v>
      </c>
      <c r="C202" s="3">
        <v>228</v>
      </c>
      <c r="D202" s="3" t="s">
        <v>121</v>
      </c>
      <c r="E202" s="3">
        <v>30115073</v>
      </c>
      <c r="F202" s="3"/>
      <c r="G202" s="3"/>
      <c r="H202" s="3" t="s">
        <v>59</v>
      </c>
      <c r="I202" s="3" t="s">
        <v>122</v>
      </c>
      <c r="J202" s="3">
        <v>1</v>
      </c>
      <c r="K202" s="3">
        <v>1</v>
      </c>
      <c r="L202" s="3">
        <f>VLOOKUP(A202,[1]단품수량!$B$5:$P$27,13,FALSE)*K202</f>
        <v>240</v>
      </c>
      <c r="M202" s="3" t="s">
        <v>27</v>
      </c>
      <c r="N202" s="3" t="s">
        <v>28</v>
      </c>
    </row>
    <row r="203" spans="1:14" ht="18" hidden="1" customHeight="1">
      <c r="A203" s="7">
        <v>10005990</v>
      </c>
      <c r="B203" s="3" t="str">
        <f>VLOOKUP(A203,[1]단품수량!$B$5:$E$27,4,FALSE)</f>
        <v>PID2</v>
      </c>
      <c r="C203" s="3">
        <v>229</v>
      </c>
      <c r="D203" s="3" t="s">
        <v>123</v>
      </c>
      <c r="E203" s="3">
        <v>30100325</v>
      </c>
      <c r="F203" s="3"/>
      <c r="G203" s="3"/>
      <c r="H203" s="3" t="s">
        <v>119</v>
      </c>
      <c r="I203" s="3" t="s">
        <v>120</v>
      </c>
      <c r="J203" s="3">
        <v>1</v>
      </c>
      <c r="K203" s="3">
        <v>1</v>
      </c>
      <c r="L203" s="3">
        <f>VLOOKUP(A203,[1]단품수량!$B$5:$P$27,13,FALSE)*K203</f>
        <v>240</v>
      </c>
      <c r="M203" s="3" t="s">
        <v>35</v>
      </c>
      <c r="N203" s="3" t="s">
        <v>28</v>
      </c>
    </row>
    <row r="204" spans="1:14" ht="18" hidden="1" customHeight="1">
      <c r="A204" s="7">
        <v>10005990</v>
      </c>
      <c r="B204" s="3" t="str">
        <f>VLOOKUP(A204,[1]단품수량!$B$5:$E$27,4,FALSE)</f>
        <v>PID2</v>
      </c>
      <c r="C204" s="3">
        <v>230</v>
      </c>
      <c r="D204" s="3" t="s">
        <v>126</v>
      </c>
      <c r="E204" s="3">
        <v>30081231</v>
      </c>
      <c r="F204" s="3"/>
      <c r="G204" s="3"/>
      <c r="H204" s="3" t="s">
        <v>124</v>
      </c>
      <c r="I204" s="3" t="s">
        <v>125</v>
      </c>
      <c r="J204" s="3">
        <v>32</v>
      </c>
      <c r="K204" s="3">
        <v>32</v>
      </c>
      <c r="L204" s="3">
        <f>VLOOKUP(A204,[1]단품수량!$B$5:$P$27,13,FALSE)*K204</f>
        <v>7680</v>
      </c>
      <c r="M204" s="3" t="s">
        <v>35</v>
      </c>
      <c r="N204" s="3" t="s">
        <v>28</v>
      </c>
    </row>
    <row r="205" spans="1:14" ht="18" hidden="1" customHeight="1">
      <c r="A205" s="7">
        <v>10005990</v>
      </c>
      <c r="B205" s="3" t="str">
        <f>VLOOKUP(A205,[1]단품수량!$B$5:$E$27,4,FALSE)</f>
        <v>PID2</v>
      </c>
      <c r="C205" s="3">
        <v>231</v>
      </c>
      <c r="D205" s="3" t="s">
        <v>195</v>
      </c>
      <c r="E205" s="3">
        <v>30124436</v>
      </c>
      <c r="F205" s="3"/>
      <c r="G205" s="3"/>
      <c r="H205" s="3" t="s">
        <v>335</v>
      </c>
      <c r="I205" s="3" t="s">
        <v>336</v>
      </c>
      <c r="J205" s="3">
        <v>2</v>
      </c>
      <c r="K205" s="3">
        <v>2</v>
      </c>
      <c r="L205" s="3">
        <f>VLOOKUP(A205,[1]단품수량!$B$5:$P$27,13,FALSE)*K205</f>
        <v>480</v>
      </c>
      <c r="M205" s="3" t="s">
        <v>27</v>
      </c>
      <c r="N205" s="3"/>
    </row>
    <row r="206" spans="1:14" ht="18" hidden="1" customHeight="1">
      <c r="A206" s="6">
        <v>10005991</v>
      </c>
      <c r="B206" s="3" t="str">
        <f>VLOOKUP(A206,[1]단품수량!$B$5:$E$27,4,FALSE)</f>
        <v>PII</v>
      </c>
      <c r="C206" s="3">
        <v>232</v>
      </c>
      <c r="D206" s="3" t="s">
        <v>15</v>
      </c>
      <c r="E206" s="3">
        <v>30120691</v>
      </c>
      <c r="F206" s="3" t="s">
        <v>337</v>
      </c>
      <c r="G206" s="3"/>
      <c r="H206" s="3" t="s">
        <v>65</v>
      </c>
      <c r="I206" s="3" t="s">
        <v>18</v>
      </c>
      <c r="J206" s="3">
        <v>1</v>
      </c>
      <c r="K206" s="3">
        <v>1</v>
      </c>
      <c r="L206" s="3">
        <f>VLOOKUP(A206,[1]단품수량!$B$5:$P$27,13,FALSE)*K206</f>
        <v>240</v>
      </c>
      <c r="M206" s="3" t="s">
        <v>19</v>
      </c>
      <c r="N206" s="3" t="s">
        <v>20</v>
      </c>
    </row>
    <row r="207" spans="1:14" ht="18" hidden="1" customHeight="1">
      <c r="A207" s="6">
        <v>10005991</v>
      </c>
      <c r="B207" s="3" t="str">
        <f>VLOOKUP(A207,[1]단품수량!$B$5:$E$27,4,FALSE)</f>
        <v>PII</v>
      </c>
      <c r="C207" s="3">
        <v>233</v>
      </c>
      <c r="D207" s="3" t="s">
        <v>21</v>
      </c>
      <c r="E207" s="3">
        <v>30120689</v>
      </c>
      <c r="F207" s="3" t="s">
        <v>338</v>
      </c>
      <c r="G207" s="3"/>
      <c r="H207" s="3" t="s">
        <v>71</v>
      </c>
      <c r="I207" s="3" t="s">
        <v>18</v>
      </c>
      <c r="J207" s="3">
        <v>1</v>
      </c>
      <c r="K207" s="3">
        <v>1</v>
      </c>
      <c r="L207" s="3">
        <f>VLOOKUP(A207,[1]단품수량!$B$5:$P$27,13,FALSE)*K207</f>
        <v>240</v>
      </c>
      <c r="M207" s="3" t="s">
        <v>19</v>
      </c>
      <c r="N207" s="3" t="s">
        <v>20</v>
      </c>
    </row>
    <row r="208" spans="1:14" ht="18" hidden="1" customHeight="1">
      <c r="A208" s="6">
        <v>10005991</v>
      </c>
      <c r="B208" s="3" t="str">
        <f>VLOOKUP(A208,[1]단품수량!$B$5:$E$27,4,FALSE)</f>
        <v>PII</v>
      </c>
      <c r="C208" s="3">
        <v>234</v>
      </c>
      <c r="D208" s="3" t="s">
        <v>24</v>
      </c>
      <c r="E208" s="3">
        <v>30120692</v>
      </c>
      <c r="F208" s="3" t="s">
        <v>339</v>
      </c>
      <c r="G208" s="3"/>
      <c r="H208" s="3" t="s">
        <v>17</v>
      </c>
      <c r="I208" s="3" t="s">
        <v>18</v>
      </c>
      <c r="J208" s="3">
        <v>1</v>
      </c>
      <c r="K208" s="3">
        <v>1</v>
      </c>
      <c r="L208" s="3">
        <f>VLOOKUP(A208,[1]단품수량!$B$5:$P$27,13,FALSE)*K208</f>
        <v>240</v>
      </c>
      <c r="M208" s="3" t="s">
        <v>19</v>
      </c>
      <c r="N208" s="3" t="s">
        <v>20</v>
      </c>
    </row>
    <row r="209" spans="1:14" ht="18" hidden="1" customHeight="1">
      <c r="A209" s="6">
        <v>10005991</v>
      </c>
      <c r="B209" s="3" t="str">
        <f>VLOOKUP(A209,[1]단품수량!$B$5:$E$27,4,FALSE)</f>
        <v>PII</v>
      </c>
      <c r="C209" s="3">
        <v>235</v>
      </c>
      <c r="D209" s="3" t="s">
        <v>29</v>
      </c>
      <c r="E209" s="3">
        <v>30120693</v>
      </c>
      <c r="F209" s="3" t="s">
        <v>340</v>
      </c>
      <c r="G209" s="3"/>
      <c r="H209" s="3" t="s">
        <v>341</v>
      </c>
      <c r="I209" s="3" t="s">
        <v>342</v>
      </c>
      <c r="J209" s="3">
        <v>1</v>
      </c>
      <c r="K209" s="3">
        <v>1</v>
      </c>
      <c r="L209" s="3">
        <f>VLOOKUP(A209,[1]단품수량!$B$5:$P$27,13,FALSE)*K209</f>
        <v>240</v>
      </c>
      <c r="M209" s="3" t="s">
        <v>19</v>
      </c>
      <c r="N209" s="3" t="s">
        <v>53</v>
      </c>
    </row>
    <row r="210" spans="1:14" ht="18" hidden="1" customHeight="1">
      <c r="A210" s="6">
        <v>10005991</v>
      </c>
      <c r="B210" s="3" t="str">
        <f>VLOOKUP(A210,[1]단품수량!$B$5:$E$27,4,FALSE)</f>
        <v>PII</v>
      </c>
      <c r="C210" s="3">
        <v>236</v>
      </c>
      <c r="D210" s="3" t="s">
        <v>32</v>
      </c>
      <c r="E210" s="3">
        <v>30120694</v>
      </c>
      <c r="F210" s="3" t="s">
        <v>343</v>
      </c>
      <c r="G210" s="3"/>
      <c r="H210" s="3" t="s">
        <v>17</v>
      </c>
      <c r="I210" s="3" t="s">
        <v>18</v>
      </c>
      <c r="J210" s="3">
        <v>1</v>
      </c>
      <c r="K210" s="3">
        <v>1</v>
      </c>
      <c r="L210" s="3">
        <f>VLOOKUP(A210,[1]단품수량!$B$5:$P$27,13,FALSE)*K210</f>
        <v>240</v>
      </c>
      <c r="M210" s="3" t="s">
        <v>19</v>
      </c>
      <c r="N210" s="3" t="s">
        <v>20</v>
      </c>
    </row>
    <row r="211" spans="1:14" ht="18" hidden="1" customHeight="1">
      <c r="A211" s="6">
        <v>10005991</v>
      </c>
      <c r="B211" s="3" t="str">
        <f>VLOOKUP(A211,[1]단품수량!$B$5:$E$27,4,FALSE)</f>
        <v>PII</v>
      </c>
      <c r="C211" s="3">
        <v>237</v>
      </c>
      <c r="D211" s="3" t="s">
        <v>37</v>
      </c>
      <c r="E211" s="3">
        <v>30120695</v>
      </c>
      <c r="F211" s="3" t="s">
        <v>344</v>
      </c>
      <c r="G211" s="3"/>
      <c r="H211" s="3" t="s">
        <v>80</v>
      </c>
      <c r="I211" s="3" t="s">
        <v>18</v>
      </c>
      <c r="J211" s="3">
        <v>1</v>
      </c>
      <c r="K211" s="3">
        <v>1</v>
      </c>
      <c r="L211" s="3">
        <f>VLOOKUP(A211,[1]단품수량!$B$5:$P$27,13,FALSE)*K211</f>
        <v>240</v>
      </c>
      <c r="M211" s="3" t="s">
        <v>19</v>
      </c>
      <c r="N211" s="3" t="s">
        <v>20</v>
      </c>
    </row>
    <row r="212" spans="1:14" ht="18" hidden="1" customHeight="1">
      <c r="A212" s="6">
        <v>10005991</v>
      </c>
      <c r="B212" s="3" t="str">
        <f>VLOOKUP(A212,[1]단품수량!$B$5:$E$27,4,FALSE)</f>
        <v>PII</v>
      </c>
      <c r="C212" s="3">
        <v>238</v>
      </c>
      <c r="D212" s="3" t="s">
        <v>40</v>
      </c>
      <c r="E212" s="3">
        <v>30118098</v>
      </c>
      <c r="F212" s="3"/>
      <c r="G212" s="3"/>
      <c r="H212" s="3" t="s">
        <v>173</v>
      </c>
      <c r="I212" s="3" t="s">
        <v>174</v>
      </c>
      <c r="J212" s="3">
        <v>4</v>
      </c>
      <c r="K212" s="3">
        <v>4</v>
      </c>
      <c r="L212" s="3">
        <f>VLOOKUP(A212,[1]단품수량!$B$5:$P$27,13,FALSE)*K212</f>
        <v>960</v>
      </c>
      <c r="M212" s="3" t="s">
        <v>27</v>
      </c>
      <c r="N212" s="3" t="s">
        <v>175</v>
      </c>
    </row>
    <row r="213" spans="1:14" ht="18" hidden="1" customHeight="1">
      <c r="A213" s="6">
        <v>10005991</v>
      </c>
      <c r="B213" s="3" t="str">
        <f>VLOOKUP(A213,[1]단품수량!$B$5:$E$27,4,FALSE)</f>
        <v>PII</v>
      </c>
      <c r="C213" s="3">
        <v>239</v>
      </c>
      <c r="D213" s="3" t="s">
        <v>43</v>
      </c>
      <c r="E213" s="3">
        <v>30120754</v>
      </c>
      <c r="F213" s="3"/>
      <c r="G213" s="3"/>
      <c r="H213" s="12" t="s">
        <v>345</v>
      </c>
      <c r="I213" s="12" t="s">
        <v>346</v>
      </c>
      <c r="J213" s="3">
        <v>8</v>
      </c>
      <c r="K213" s="3">
        <v>8</v>
      </c>
      <c r="L213" s="3">
        <f>VLOOKUP(A213,[1]단품수량!$B$5:$P$27,13,FALSE)*K213</f>
        <v>1920</v>
      </c>
      <c r="M213" s="3" t="s">
        <v>27</v>
      </c>
      <c r="N213" s="3" t="s">
        <v>178</v>
      </c>
    </row>
    <row r="214" spans="1:14" ht="18" hidden="1" customHeight="1">
      <c r="A214" s="6">
        <v>10005991</v>
      </c>
      <c r="B214" s="3" t="str">
        <f>VLOOKUP(A214,[1]단품수량!$B$5:$E$27,4,FALSE)</f>
        <v>PII</v>
      </c>
      <c r="C214" s="3">
        <v>240</v>
      </c>
      <c r="D214" s="3" t="s">
        <v>46</v>
      </c>
      <c r="E214" s="3">
        <v>30120838</v>
      </c>
      <c r="F214" s="3"/>
      <c r="G214" s="3"/>
      <c r="H214" s="12" t="s">
        <v>180</v>
      </c>
      <c r="I214" s="12" t="s">
        <v>181</v>
      </c>
      <c r="J214" s="3">
        <v>1</v>
      </c>
      <c r="K214" s="3">
        <v>1</v>
      </c>
      <c r="L214" s="3">
        <f>VLOOKUP(A214,[1]단품수량!$B$5:$P$27,13,FALSE)*K214</f>
        <v>240</v>
      </c>
      <c r="M214" s="3" t="s">
        <v>27</v>
      </c>
      <c r="N214" s="3" t="s">
        <v>178</v>
      </c>
    </row>
    <row r="215" spans="1:14" ht="18" hidden="1" customHeight="1">
      <c r="A215" s="6">
        <v>10005991</v>
      </c>
      <c r="B215" s="3" t="str">
        <f>VLOOKUP(A215,[1]단품수량!$B$5:$E$27,4,FALSE)</f>
        <v>PII</v>
      </c>
      <c r="C215" s="3">
        <v>241</v>
      </c>
      <c r="D215" s="3" t="s">
        <v>49</v>
      </c>
      <c r="E215" s="3">
        <v>30120876</v>
      </c>
      <c r="F215" s="3"/>
      <c r="G215" s="3"/>
      <c r="H215" s="12" t="s">
        <v>347</v>
      </c>
      <c r="I215" s="12" t="s">
        <v>18</v>
      </c>
      <c r="J215" s="3">
        <v>1</v>
      </c>
      <c r="K215" s="3">
        <v>1</v>
      </c>
      <c r="L215" s="3">
        <f>VLOOKUP(A215,[1]단품수량!$B$5:$P$27,13,FALSE)*K215</f>
        <v>240</v>
      </c>
      <c r="M215" s="3" t="s">
        <v>19</v>
      </c>
      <c r="N215" s="3" t="s">
        <v>107</v>
      </c>
    </row>
    <row r="216" spans="1:14" ht="18" hidden="1" customHeight="1">
      <c r="A216" s="6">
        <v>10005991</v>
      </c>
      <c r="B216" s="3" t="str">
        <f>VLOOKUP(A216,[1]단품수량!$B$5:$E$27,4,FALSE)</f>
        <v>PII</v>
      </c>
      <c r="C216" s="3">
        <v>242</v>
      </c>
      <c r="D216" s="3" t="s">
        <v>54</v>
      </c>
      <c r="E216" s="3">
        <v>30120751</v>
      </c>
      <c r="F216" s="3"/>
      <c r="G216" s="3"/>
      <c r="H216" s="3" t="s">
        <v>184</v>
      </c>
      <c r="I216" s="3" t="s">
        <v>185</v>
      </c>
      <c r="J216" s="3">
        <v>1</v>
      </c>
      <c r="K216" s="3">
        <v>1</v>
      </c>
      <c r="L216" s="3">
        <f>VLOOKUP(A216,[1]단품수량!$B$5:$P$27,13,FALSE)*K216</f>
        <v>240</v>
      </c>
      <c r="M216" s="3" t="s">
        <v>19</v>
      </c>
      <c r="N216" s="3" t="s">
        <v>186</v>
      </c>
    </row>
    <row r="217" spans="1:14" ht="18" hidden="1" customHeight="1">
      <c r="A217" s="6">
        <v>10005991</v>
      </c>
      <c r="B217" s="3" t="str">
        <f>VLOOKUP(A217,[1]단품수량!$B$5:$E$27,4,FALSE)</f>
        <v>PII</v>
      </c>
      <c r="C217" s="3">
        <v>243</v>
      </c>
      <c r="D217" s="3" t="s">
        <v>64</v>
      </c>
      <c r="E217" s="3">
        <v>30120992</v>
      </c>
      <c r="F217" s="3"/>
      <c r="G217" s="3"/>
      <c r="H217" s="12" t="s">
        <v>96</v>
      </c>
      <c r="I217" s="12" t="s">
        <v>97</v>
      </c>
      <c r="J217" s="3">
        <v>1</v>
      </c>
      <c r="K217" s="3">
        <v>1</v>
      </c>
      <c r="L217" s="3">
        <f>VLOOKUP(A217,[1]단품수량!$B$5:$P$27,13,FALSE)*K217</f>
        <v>240</v>
      </c>
      <c r="M217" s="3" t="s">
        <v>35</v>
      </c>
      <c r="N217" s="3" t="s">
        <v>98</v>
      </c>
    </row>
    <row r="218" spans="1:14" ht="18" hidden="1" customHeight="1">
      <c r="A218" s="6">
        <v>10005991</v>
      </c>
      <c r="B218" s="3" t="str">
        <f>VLOOKUP(A218,[1]단품수량!$B$5:$E$27,4,FALSE)</f>
        <v>PII</v>
      </c>
      <c r="C218" s="3">
        <v>244</v>
      </c>
      <c r="D218" s="3" t="s">
        <v>66</v>
      </c>
      <c r="E218" s="3">
        <v>30121672</v>
      </c>
      <c r="F218" s="3"/>
      <c r="G218" s="3"/>
      <c r="H218" s="12" t="s">
        <v>99</v>
      </c>
      <c r="I218" s="12" t="s">
        <v>100</v>
      </c>
      <c r="J218" s="3">
        <v>1</v>
      </c>
      <c r="K218" s="3">
        <v>1</v>
      </c>
      <c r="L218" s="3">
        <f>VLOOKUP(A218,[1]단품수량!$B$5:$P$27,13,FALSE)*K218</f>
        <v>240</v>
      </c>
      <c r="M218" s="3" t="s">
        <v>27</v>
      </c>
      <c r="N218" s="3" t="s">
        <v>98</v>
      </c>
    </row>
    <row r="219" spans="1:14" ht="18" hidden="1" customHeight="1">
      <c r="A219" s="6">
        <v>10005991</v>
      </c>
      <c r="B219" s="3" t="str">
        <f>VLOOKUP(A219,[1]단품수량!$B$5:$E$27,4,FALSE)</f>
        <v>PII</v>
      </c>
      <c r="C219" s="3">
        <v>245</v>
      </c>
      <c r="D219" s="3" t="s">
        <v>91</v>
      </c>
      <c r="E219" s="3">
        <v>30118546</v>
      </c>
      <c r="F219" s="3"/>
      <c r="G219" s="3"/>
      <c r="H219" s="12" t="s">
        <v>188</v>
      </c>
      <c r="I219" s="12" t="s">
        <v>189</v>
      </c>
      <c r="J219" s="3">
        <v>1</v>
      </c>
      <c r="K219" s="3">
        <v>1</v>
      </c>
      <c r="L219" s="3">
        <f>VLOOKUP(A219,[1]단품수량!$B$5:$P$27,13,FALSE)*K219</f>
        <v>240</v>
      </c>
      <c r="M219" s="3" t="s">
        <v>35</v>
      </c>
      <c r="N219" s="3" t="s">
        <v>36</v>
      </c>
    </row>
    <row r="220" spans="1:14" ht="18" hidden="1" customHeight="1">
      <c r="A220" s="6">
        <v>10005991</v>
      </c>
      <c r="B220" s="3" t="str">
        <f>VLOOKUP(A220,[1]단품수량!$B$5:$E$27,4,FALSE)</f>
        <v>PII</v>
      </c>
      <c r="C220" s="3">
        <v>246</v>
      </c>
      <c r="D220" s="3" t="s">
        <v>94</v>
      </c>
      <c r="E220" s="3">
        <v>30118561</v>
      </c>
      <c r="F220" s="3"/>
      <c r="G220" s="3"/>
      <c r="H220" s="12" t="s">
        <v>190</v>
      </c>
      <c r="I220" s="12" t="s">
        <v>191</v>
      </c>
      <c r="J220" s="3">
        <v>1</v>
      </c>
      <c r="K220" s="3">
        <v>1</v>
      </c>
      <c r="L220" s="3">
        <f>VLOOKUP(A220,[1]단품수량!$B$5:$P$27,13,FALSE)*K220</f>
        <v>240</v>
      </c>
      <c r="M220" s="3" t="s">
        <v>35</v>
      </c>
      <c r="N220" s="3" t="s">
        <v>36</v>
      </c>
    </row>
    <row r="221" spans="1:14" ht="18" hidden="1" customHeight="1">
      <c r="A221" s="6">
        <v>10005991</v>
      </c>
      <c r="B221" s="3" t="str">
        <f>VLOOKUP(A221,[1]단품수량!$B$5:$E$27,4,FALSE)</f>
        <v>PII</v>
      </c>
      <c r="C221" s="3">
        <v>247</v>
      </c>
      <c r="D221" s="3" t="s">
        <v>101</v>
      </c>
      <c r="E221" s="3">
        <v>30118569</v>
      </c>
      <c r="F221" s="3"/>
      <c r="G221" s="3"/>
      <c r="H221" s="12" t="s">
        <v>47</v>
      </c>
      <c r="I221" s="12" t="s">
        <v>48</v>
      </c>
      <c r="J221" s="3">
        <v>4</v>
      </c>
      <c r="K221" s="3">
        <v>4</v>
      </c>
      <c r="L221" s="3">
        <f>VLOOKUP(A221,[1]단품수량!$B$5:$P$27,13,FALSE)*K221</f>
        <v>960</v>
      </c>
      <c r="M221" s="3" t="s">
        <v>35</v>
      </c>
      <c r="N221" s="3" t="s">
        <v>36</v>
      </c>
    </row>
    <row r="222" spans="1:14" ht="18" hidden="1" customHeight="1">
      <c r="A222" s="6">
        <v>10005991</v>
      </c>
      <c r="B222" s="3" t="str">
        <f>VLOOKUP(A222,[1]단품수량!$B$5:$E$27,4,FALSE)</f>
        <v>PII</v>
      </c>
      <c r="C222" s="3">
        <v>248</v>
      </c>
      <c r="D222" s="3" t="s">
        <v>104</v>
      </c>
      <c r="E222" s="3">
        <v>30118573</v>
      </c>
      <c r="F222" s="3"/>
      <c r="G222" s="3"/>
      <c r="H222" s="12" t="s">
        <v>87</v>
      </c>
      <c r="I222" s="12" t="s">
        <v>88</v>
      </c>
      <c r="J222" s="3">
        <v>17</v>
      </c>
      <c r="K222" s="3">
        <v>17</v>
      </c>
      <c r="L222" s="3">
        <f>VLOOKUP(A222,[1]단품수량!$B$5:$P$27,13,FALSE)*K222</f>
        <v>4080</v>
      </c>
      <c r="M222" s="3" t="s">
        <v>35</v>
      </c>
      <c r="N222" s="3" t="s">
        <v>36</v>
      </c>
    </row>
    <row r="223" spans="1:14" ht="18" hidden="1" customHeight="1">
      <c r="A223" s="6">
        <v>10005991</v>
      </c>
      <c r="B223" s="3" t="str">
        <f>VLOOKUP(A223,[1]단품수량!$B$5:$E$27,4,FALSE)</f>
        <v>PII</v>
      </c>
      <c r="C223" s="3">
        <v>249</v>
      </c>
      <c r="D223" s="3" t="s">
        <v>109</v>
      </c>
      <c r="E223" s="3">
        <v>30118582</v>
      </c>
      <c r="F223" s="3"/>
      <c r="G223" s="3"/>
      <c r="H223" s="12" t="s">
        <v>89</v>
      </c>
      <c r="I223" s="12" t="s">
        <v>90</v>
      </c>
      <c r="J223" s="3">
        <v>17</v>
      </c>
      <c r="K223" s="3">
        <v>17</v>
      </c>
      <c r="L223" s="3">
        <f>VLOOKUP(A223,[1]단품수량!$B$5:$P$27,13,FALSE)*K223</f>
        <v>4080</v>
      </c>
      <c r="M223" s="3" t="s">
        <v>35</v>
      </c>
      <c r="N223" s="3" t="s">
        <v>36</v>
      </c>
    </row>
    <row r="224" spans="1:14" ht="18" hidden="1" customHeight="1">
      <c r="A224" s="6">
        <v>10005991</v>
      </c>
      <c r="B224" s="3" t="str">
        <f>VLOOKUP(A224,[1]단품수량!$B$5:$E$27,4,FALSE)</f>
        <v>PII</v>
      </c>
      <c r="C224" s="3">
        <v>250</v>
      </c>
      <c r="D224" s="3" t="s">
        <v>132</v>
      </c>
      <c r="E224" s="3">
        <v>30120664</v>
      </c>
      <c r="F224" s="3" t="s">
        <v>348</v>
      </c>
      <c r="G224" s="3"/>
      <c r="H224" s="3" t="s">
        <v>51</v>
      </c>
      <c r="I224" s="3" t="s">
        <v>349</v>
      </c>
      <c r="J224" s="3">
        <v>1</v>
      </c>
      <c r="K224" s="3">
        <v>1</v>
      </c>
      <c r="L224" s="3">
        <f>VLOOKUP(A224,[1]단품수량!$B$5:$P$27,13,FALSE)*K224</f>
        <v>240</v>
      </c>
      <c r="M224" s="3" t="s">
        <v>19</v>
      </c>
      <c r="N224" s="3" t="s">
        <v>53</v>
      </c>
    </row>
    <row r="225" spans="1:14" ht="18" customHeight="1">
      <c r="A225" s="6">
        <v>10005991</v>
      </c>
      <c r="B225" s="3" t="str">
        <f>VLOOKUP(A225,[1]단품수량!$B$5:$E$27,4,FALSE)</f>
        <v>PII</v>
      </c>
      <c r="C225" s="3">
        <v>251</v>
      </c>
      <c r="D225" s="3" t="s">
        <v>195</v>
      </c>
      <c r="E225" s="3">
        <v>30120840</v>
      </c>
      <c r="F225" s="3"/>
      <c r="G225" s="3"/>
      <c r="H225" s="12" t="s">
        <v>192</v>
      </c>
      <c r="I225" s="12" t="s">
        <v>193</v>
      </c>
      <c r="J225" s="3">
        <v>4</v>
      </c>
      <c r="K225" s="3">
        <v>4</v>
      </c>
      <c r="L225" s="3">
        <f>VLOOKUP(A225,[1]단품수량!$B$5:$P$27,13,FALSE)*K225</f>
        <v>960</v>
      </c>
      <c r="M225" s="3" t="s">
        <v>35</v>
      </c>
      <c r="N225" s="3" t="s">
        <v>194</v>
      </c>
    </row>
    <row r="226" spans="1:14" ht="18" customHeight="1">
      <c r="A226" s="6">
        <v>10005991</v>
      </c>
      <c r="B226" s="3" t="str">
        <f>VLOOKUP(A226,[1]단품수량!$B$5:$E$27,4,FALSE)</f>
        <v>PII</v>
      </c>
      <c r="C226" s="3">
        <v>252</v>
      </c>
      <c r="D226" s="3" t="s">
        <v>198</v>
      </c>
      <c r="E226" s="3">
        <v>30120532</v>
      </c>
      <c r="F226" s="3"/>
      <c r="G226" s="3"/>
      <c r="H226" s="12" t="s">
        <v>196</v>
      </c>
      <c r="I226" s="12" t="s">
        <v>197</v>
      </c>
      <c r="J226" s="3">
        <v>4</v>
      </c>
      <c r="K226" s="3">
        <v>4</v>
      </c>
      <c r="L226" s="3">
        <f>VLOOKUP(A226,[1]단품수량!$B$5:$P$27,13,FALSE)*K226</f>
        <v>960</v>
      </c>
      <c r="M226" s="3" t="s">
        <v>35</v>
      </c>
      <c r="N226" s="3" t="s">
        <v>194</v>
      </c>
    </row>
    <row r="227" spans="1:14" ht="18" customHeight="1">
      <c r="A227" s="6">
        <v>10005991</v>
      </c>
      <c r="B227" s="3" t="str">
        <f>VLOOKUP(A227,[1]단품수량!$B$5:$E$27,4,FALSE)</f>
        <v>PII</v>
      </c>
      <c r="C227" s="3">
        <v>253</v>
      </c>
      <c r="D227" s="3" t="s">
        <v>201</v>
      </c>
      <c r="E227" s="3">
        <v>30120533</v>
      </c>
      <c r="F227" s="3"/>
      <c r="G227" s="3"/>
      <c r="H227" s="12" t="s">
        <v>199</v>
      </c>
      <c r="I227" s="12" t="s">
        <v>200</v>
      </c>
      <c r="J227" s="3">
        <v>4</v>
      </c>
      <c r="K227" s="3">
        <v>4</v>
      </c>
      <c r="L227" s="3">
        <f>VLOOKUP(A227,[1]단품수량!$B$5:$P$27,13,FALSE)*K227</f>
        <v>960</v>
      </c>
      <c r="M227" s="3" t="s">
        <v>35</v>
      </c>
      <c r="N227" s="3" t="s">
        <v>194</v>
      </c>
    </row>
    <row r="228" spans="1:14" ht="18" customHeight="1">
      <c r="A228" s="6">
        <v>10005991</v>
      </c>
      <c r="B228" s="3" t="str">
        <f>VLOOKUP(A228,[1]단품수량!$B$5:$E$27,4,FALSE)</f>
        <v>PII</v>
      </c>
      <c r="C228" s="3">
        <v>254</v>
      </c>
      <c r="D228" s="3" t="s">
        <v>204</v>
      </c>
      <c r="E228" s="3">
        <v>30120534</v>
      </c>
      <c r="F228" s="3"/>
      <c r="G228" s="3"/>
      <c r="H228" s="12" t="s">
        <v>202</v>
      </c>
      <c r="I228" s="12" t="s">
        <v>203</v>
      </c>
      <c r="J228" s="3">
        <v>4</v>
      </c>
      <c r="K228" s="3">
        <v>4</v>
      </c>
      <c r="L228" s="3">
        <f>VLOOKUP(A228,[1]단품수량!$B$5:$P$27,13,FALSE)*K228</f>
        <v>960</v>
      </c>
      <c r="M228" s="3" t="s">
        <v>35</v>
      </c>
      <c r="N228" s="3" t="s">
        <v>194</v>
      </c>
    </row>
    <row r="229" spans="1:14" ht="18" customHeight="1">
      <c r="A229" s="6">
        <v>10005991</v>
      </c>
      <c r="B229" s="3" t="str">
        <f>VLOOKUP(A229,[1]단품수량!$B$5:$E$27,4,FALSE)</f>
        <v>PII</v>
      </c>
      <c r="C229" s="3">
        <v>255</v>
      </c>
      <c r="D229" s="3" t="s">
        <v>207</v>
      </c>
      <c r="E229" s="3">
        <v>30120535</v>
      </c>
      <c r="F229" s="3"/>
      <c r="G229" s="3"/>
      <c r="H229" s="12" t="s">
        <v>205</v>
      </c>
      <c r="I229" s="12" t="s">
        <v>206</v>
      </c>
      <c r="J229" s="3">
        <v>4</v>
      </c>
      <c r="K229" s="3">
        <v>4</v>
      </c>
      <c r="L229" s="3">
        <f>VLOOKUP(A229,[1]단품수량!$B$5:$P$27,13,FALSE)*K229</f>
        <v>960</v>
      </c>
      <c r="M229" s="3" t="s">
        <v>35</v>
      </c>
      <c r="N229" s="3" t="s">
        <v>194</v>
      </c>
    </row>
    <row r="230" spans="1:14" ht="18" hidden="1" customHeight="1">
      <c r="A230" s="6">
        <v>10005991</v>
      </c>
      <c r="B230" s="3" t="str">
        <f>VLOOKUP(A230,[1]단품수량!$B$5:$E$27,4,FALSE)</f>
        <v>PII</v>
      </c>
      <c r="C230" s="3">
        <v>256</v>
      </c>
      <c r="D230" s="3" t="s">
        <v>210</v>
      </c>
      <c r="E230" s="3">
        <v>20061696</v>
      </c>
      <c r="F230" s="3" t="s">
        <v>350</v>
      </c>
      <c r="G230" s="3"/>
      <c r="H230" s="3" t="s">
        <v>111</v>
      </c>
      <c r="I230" s="3" t="s">
        <v>351</v>
      </c>
      <c r="J230" s="3">
        <v>1</v>
      </c>
      <c r="K230" s="3">
        <v>1</v>
      </c>
      <c r="L230" s="3">
        <f>VLOOKUP(A230,[1]단품수량!$B$5:$P$27,13,FALSE)*K230</f>
        <v>240</v>
      </c>
      <c r="M230" s="3" t="s">
        <v>113</v>
      </c>
      <c r="N230" s="3"/>
    </row>
    <row r="231" spans="1:14" ht="18" hidden="1" customHeight="1">
      <c r="A231" s="6">
        <v>10005991</v>
      </c>
      <c r="B231" s="3" t="str">
        <f>VLOOKUP(A231,[1]단품수량!$B$5:$E$27,4,FALSE)</f>
        <v>PII</v>
      </c>
      <c r="C231" s="3">
        <v>257</v>
      </c>
      <c r="D231" s="3" t="s">
        <v>64</v>
      </c>
      <c r="E231" s="3">
        <v>30075140</v>
      </c>
      <c r="F231" s="3"/>
      <c r="G231" s="3"/>
      <c r="H231" s="3" t="s">
        <v>61</v>
      </c>
      <c r="I231" s="3" t="s">
        <v>114</v>
      </c>
      <c r="J231" s="3">
        <v>20</v>
      </c>
      <c r="K231" s="3">
        <v>20</v>
      </c>
      <c r="L231" s="3">
        <f>VLOOKUP(A231,[1]단품수량!$B$5:$P$27,13,FALSE)*K231</f>
        <v>4800</v>
      </c>
      <c r="M231" s="3" t="s">
        <v>35</v>
      </c>
      <c r="N231" s="3" t="s">
        <v>36</v>
      </c>
    </row>
    <row r="232" spans="1:14" ht="18" hidden="1" customHeight="1">
      <c r="A232" s="6">
        <v>10005991</v>
      </c>
      <c r="B232" s="3" t="str">
        <f>VLOOKUP(A232,[1]단품수량!$B$5:$E$27,4,FALSE)</f>
        <v>PII</v>
      </c>
      <c r="C232" s="3">
        <v>258</v>
      </c>
      <c r="D232" s="3" t="s">
        <v>66</v>
      </c>
      <c r="E232" s="3">
        <v>30093304</v>
      </c>
      <c r="F232" s="3"/>
      <c r="G232" s="3"/>
      <c r="H232" s="3" t="s">
        <v>55</v>
      </c>
      <c r="I232" s="3" t="s">
        <v>56</v>
      </c>
      <c r="J232" s="3">
        <v>4</v>
      </c>
      <c r="K232" s="3">
        <v>4</v>
      </c>
      <c r="L232" s="3">
        <f>VLOOKUP(A232,[1]단품수량!$B$5:$P$27,13,FALSE)*K232</f>
        <v>960</v>
      </c>
      <c r="M232" s="3" t="s">
        <v>35</v>
      </c>
      <c r="N232" s="3" t="s">
        <v>36</v>
      </c>
    </row>
    <row r="233" spans="1:14" ht="18" hidden="1" customHeight="1">
      <c r="A233" s="6">
        <v>10005991</v>
      </c>
      <c r="B233" s="3" t="str">
        <f>VLOOKUP(A233,[1]단품수량!$B$5:$E$27,4,FALSE)</f>
        <v>PII</v>
      </c>
      <c r="C233" s="3">
        <v>259</v>
      </c>
      <c r="D233" s="3" t="s">
        <v>116</v>
      </c>
      <c r="E233" s="3">
        <v>30115145</v>
      </c>
      <c r="F233" s="3"/>
      <c r="G233" s="3"/>
      <c r="H233" s="3" t="s">
        <v>59</v>
      </c>
      <c r="I233" s="3" t="s">
        <v>352</v>
      </c>
      <c r="J233" s="3">
        <v>1</v>
      </c>
      <c r="K233" s="3">
        <v>1</v>
      </c>
      <c r="L233" s="3">
        <f>VLOOKUP(A233,[1]단품수량!$B$5:$P$27,13,FALSE)*K233</f>
        <v>240</v>
      </c>
      <c r="M233" s="3" t="s">
        <v>35</v>
      </c>
      <c r="N233" s="3" t="s">
        <v>28</v>
      </c>
    </row>
    <row r="234" spans="1:14" ht="18" hidden="1" customHeight="1">
      <c r="A234" s="6">
        <v>10005991</v>
      </c>
      <c r="B234" s="3" t="str">
        <f>VLOOKUP(A234,[1]단품수량!$B$5:$E$27,4,FALSE)</f>
        <v>PII</v>
      </c>
      <c r="C234" s="3">
        <v>260</v>
      </c>
      <c r="D234" s="3" t="s">
        <v>118</v>
      </c>
      <c r="E234" s="3">
        <v>30110820</v>
      </c>
      <c r="F234" s="3"/>
      <c r="G234" s="3"/>
      <c r="H234" s="3" t="s">
        <v>214</v>
      </c>
      <c r="I234" s="3" t="s">
        <v>215</v>
      </c>
      <c r="J234" s="3">
        <v>1</v>
      </c>
      <c r="K234" s="3">
        <v>1</v>
      </c>
      <c r="L234" s="3">
        <f>VLOOKUP(A234,[1]단품수량!$B$5:$P$27,13,FALSE)*K234</f>
        <v>240</v>
      </c>
      <c r="M234" s="3" t="s">
        <v>35</v>
      </c>
      <c r="N234" s="3" t="s">
        <v>28</v>
      </c>
    </row>
    <row r="235" spans="1:14" ht="18" hidden="1" customHeight="1">
      <c r="A235" s="6">
        <v>10005991</v>
      </c>
      <c r="B235" s="3" t="str">
        <f>VLOOKUP(A235,[1]단품수량!$B$5:$E$27,4,FALSE)</f>
        <v>PII</v>
      </c>
      <c r="C235" s="3">
        <v>261</v>
      </c>
      <c r="D235" s="3" t="s">
        <v>121</v>
      </c>
      <c r="E235" s="3">
        <v>30100325</v>
      </c>
      <c r="F235" s="3"/>
      <c r="G235" s="3"/>
      <c r="H235" s="3" t="s">
        <v>119</v>
      </c>
      <c r="I235" s="3" t="s">
        <v>120</v>
      </c>
      <c r="J235" s="3">
        <v>1</v>
      </c>
      <c r="K235" s="3">
        <v>1</v>
      </c>
      <c r="L235" s="3">
        <f>VLOOKUP(A235,[1]단품수량!$B$5:$P$27,13,FALSE)*K235</f>
        <v>240</v>
      </c>
      <c r="M235" s="3" t="s">
        <v>35</v>
      </c>
      <c r="N235" s="3" t="s">
        <v>28</v>
      </c>
    </row>
    <row r="236" spans="1:14" ht="18" hidden="1" customHeight="1">
      <c r="A236" s="6">
        <v>10005991</v>
      </c>
      <c r="B236" s="3" t="str">
        <f>VLOOKUP(A236,[1]단품수량!$B$5:$E$27,4,FALSE)</f>
        <v>PII</v>
      </c>
      <c r="C236" s="3">
        <v>262</v>
      </c>
      <c r="D236" s="3" t="s">
        <v>123</v>
      </c>
      <c r="E236" s="3">
        <v>30111991</v>
      </c>
      <c r="F236" s="3"/>
      <c r="G236" s="3"/>
      <c r="H236" s="3" t="s">
        <v>59</v>
      </c>
      <c r="I236" s="3" t="s">
        <v>216</v>
      </c>
      <c r="J236" s="3">
        <v>1</v>
      </c>
      <c r="K236" s="3">
        <v>1</v>
      </c>
      <c r="L236" s="3">
        <f>VLOOKUP(A236,[1]단품수량!$B$5:$P$27,13,FALSE)*K236</f>
        <v>240</v>
      </c>
      <c r="M236" s="3" t="s">
        <v>27</v>
      </c>
      <c r="N236" s="3" t="s">
        <v>28</v>
      </c>
    </row>
    <row r="237" spans="1:14" ht="18" hidden="1" customHeight="1">
      <c r="A237" s="6">
        <v>10005991</v>
      </c>
      <c r="B237" s="3" t="str">
        <f>VLOOKUP(A237,[1]단품수량!$B$5:$E$27,4,FALSE)</f>
        <v>PII</v>
      </c>
      <c r="C237" s="3">
        <v>263</v>
      </c>
      <c r="D237" s="3" t="s">
        <v>126</v>
      </c>
      <c r="E237" s="3">
        <v>30081231</v>
      </c>
      <c r="F237" s="3"/>
      <c r="G237" s="3"/>
      <c r="H237" s="3" t="s">
        <v>124</v>
      </c>
      <c r="I237" s="3" t="s">
        <v>125</v>
      </c>
      <c r="J237" s="3">
        <v>40</v>
      </c>
      <c r="K237" s="3">
        <v>40</v>
      </c>
      <c r="L237" s="3">
        <f>VLOOKUP(A237,[1]단품수량!$B$5:$P$27,13,FALSE)*K237</f>
        <v>9600</v>
      </c>
      <c r="M237" s="3" t="s">
        <v>35</v>
      </c>
      <c r="N237" s="3" t="s">
        <v>28</v>
      </c>
    </row>
    <row r="238" spans="1:14" ht="18" hidden="1" customHeight="1">
      <c r="A238" s="6">
        <v>10005993</v>
      </c>
      <c r="B238" s="3" t="str">
        <f>VLOOKUP(A238,[1]단품수량!$B$5:$E$27,4,FALSE)</f>
        <v>SDI</v>
      </c>
      <c r="C238" s="3">
        <v>264</v>
      </c>
      <c r="D238" s="3" t="s">
        <v>15</v>
      </c>
      <c r="E238" s="3">
        <v>30120696</v>
      </c>
      <c r="F238" s="3" t="s">
        <v>353</v>
      </c>
      <c r="G238" s="3"/>
      <c r="H238" s="3" t="s">
        <v>65</v>
      </c>
      <c r="I238" s="3" t="s">
        <v>18</v>
      </c>
      <c r="J238" s="3">
        <v>1</v>
      </c>
      <c r="K238" s="3">
        <v>1</v>
      </c>
      <c r="L238" s="3">
        <f>VLOOKUP(A238,[1]단품수량!$B$5:$P$27,13,FALSE)*K238</f>
        <v>240</v>
      </c>
      <c r="M238" s="3" t="s">
        <v>19</v>
      </c>
      <c r="N238" s="3" t="s">
        <v>20</v>
      </c>
    </row>
    <row r="239" spans="1:14" ht="18" hidden="1" customHeight="1">
      <c r="A239" s="6">
        <v>10005993</v>
      </c>
      <c r="B239" s="3" t="str">
        <f>VLOOKUP(A239,[1]단품수량!$B$5:$E$27,4,FALSE)</f>
        <v>SDI</v>
      </c>
      <c r="C239" s="3">
        <v>265</v>
      </c>
      <c r="D239" s="3" t="s">
        <v>21</v>
      </c>
      <c r="E239" s="3">
        <v>30120697</v>
      </c>
      <c r="F239" s="3" t="s">
        <v>354</v>
      </c>
      <c r="G239" s="3"/>
      <c r="H239" s="3" t="s">
        <v>17</v>
      </c>
      <c r="I239" s="3" t="s">
        <v>18</v>
      </c>
      <c r="J239" s="3">
        <v>1</v>
      </c>
      <c r="K239" s="3">
        <v>1</v>
      </c>
      <c r="L239" s="3">
        <f>VLOOKUP(A239,[1]단품수량!$B$5:$P$27,13,FALSE)*K239</f>
        <v>240</v>
      </c>
      <c r="M239" s="3" t="s">
        <v>19</v>
      </c>
      <c r="N239" s="3" t="s">
        <v>20</v>
      </c>
    </row>
    <row r="240" spans="1:14" ht="18" hidden="1" customHeight="1">
      <c r="A240" s="6">
        <v>10005993</v>
      </c>
      <c r="B240" s="3" t="str">
        <f>VLOOKUP(A240,[1]단품수량!$B$5:$E$27,4,FALSE)</f>
        <v>SDI</v>
      </c>
      <c r="C240" s="3">
        <v>266</v>
      </c>
      <c r="D240" s="3" t="s">
        <v>24</v>
      </c>
      <c r="E240" s="3">
        <v>30120698</v>
      </c>
      <c r="F240" s="3" t="s">
        <v>355</v>
      </c>
      <c r="G240" s="3"/>
      <c r="H240" s="3" t="s">
        <v>17</v>
      </c>
      <c r="I240" s="3" t="s">
        <v>18</v>
      </c>
      <c r="J240" s="3">
        <v>1</v>
      </c>
      <c r="K240" s="3">
        <v>1</v>
      </c>
      <c r="L240" s="3">
        <f>VLOOKUP(A240,[1]단품수량!$B$5:$P$27,13,FALSE)*K240</f>
        <v>240</v>
      </c>
      <c r="M240" s="3" t="s">
        <v>19</v>
      </c>
      <c r="N240" s="3" t="s">
        <v>20</v>
      </c>
    </row>
    <row r="241" spans="1:14" ht="18" hidden="1" customHeight="1">
      <c r="A241" s="6">
        <v>10005993</v>
      </c>
      <c r="B241" s="3" t="str">
        <f>VLOOKUP(A241,[1]단품수량!$B$5:$E$27,4,FALSE)</f>
        <v>SDI</v>
      </c>
      <c r="C241" s="3">
        <v>267</v>
      </c>
      <c r="D241" s="3" t="s">
        <v>29</v>
      </c>
      <c r="E241" s="3">
        <v>30120699</v>
      </c>
      <c r="F241" s="3" t="s">
        <v>356</v>
      </c>
      <c r="G241" s="3"/>
      <c r="H241" s="3" t="s">
        <v>80</v>
      </c>
      <c r="I241" s="3" t="s">
        <v>18</v>
      </c>
      <c r="J241" s="3">
        <v>1</v>
      </c>
      <c r="K241" s="3">
        <v>1</v>
      </c>
      <c r="L241" s="3">
        <f>VLOOKUP(A241,[1]단품수량!$B$5:$P$27,13,FALSE)*K241</f>
        <v>240</v>
      </c>
      <c r="M241" s="3" t="s">
        <v>19</v>
      </c>
      <c r="N241" s="3" t="s">
        <v>20</v>
      </c>
    </row>
    <row r="242" spans="1:14" ht="18" hidden="1" customHeight="1">
      <c r="A242" s="6">
        <v>10005993</v>
      </c>
      <c r="B242" s="3" t="str">
        <f>VLOOKUP(A242,[1]단품수량!$B$5:$E$27,4,FALSE)</f>
        <v>SDI</v>
      </c>
      <c r="C242" s="3">
        <v>268</v>
      </c>
      <c r="D242" s="3" t="s">
        <v>32</v>
      </c>
      <c r="E242" s="3">
        <v>30118098</v>
      </c>
      <c r="F242" s="3"/>
      <c r="G242" s="3"/>
      <c r="H242" s="3" t="s">
        <v>173</v>
      </c>
      <c r="I242" s="3" t="s">
        <v>174</v>
      </c>
      <c r="J242" s="3">
        <v>4</v>
      </c>
      <c r="K242" s="3">
        <v>4</v>
      </c>
      <c r="L242" s="3">
        <f>VLOOKUP(A242,[1]단품수량!$B$5:$P$27,13,FALSE)*K242</f>
        <v>960</v>
      </c>
      <c r="M242" s="3" t="s">
        <v>27</v>
      </c>
      <c r="N242" s="3" t="s">
        <v>175</v>
      </c>
    </row>
    <row r="243" spans="1:14" ht="18" hidden="1" customHeight="1">
      <c r="A243" s="6">
        <v>10005993</v>
      </c>
      <c r="B243" s="3" t="str">
        <f>VLOOKUP(A243,[1]단품수량!$B$5:$E$27,4,FALSE)</f>
        <v>SDI</v>
      </c>
      <c r="C243" s="3">
        <v>269</v>
      </c>
      <c r="D243" s="3" t="s">
        <v>37</v>
      </c>
      <c r="E243" s="3">
        <v>30120700</v>
      </c>
      <c r="F243" s="3" t="s">
        <v>357</v>
      </c>
      <c r="G243" s="3"/>
      <c r="H243" s="3" t="s">
        <v>17</v>
      </c>
      <c r="I243" s="3" t="s">
        <v>18</v>
      </c>
      <c r="J243" s="3">
        <v>1</v>
      </c>
      <c r="K243" s="3">
        <v>1</v>
      </c>
      <c r="L243" s="3">
        <f>VLOOKUP(A243,[1]단품수량!$B$5:$P$27,13,FALSE)*K243</f>
        <v>240</v>
      </c>
      <c r="M243" s="3" t="s">
        <v>19</v>
      </c>
      <c r="N243" s="3" t="s">
        <v>20</v>
      </c>
    </row>
    <row r="244" spans="1:14" ht="18" hidden="1" customHeight="1">
      <c r="A244" s="6">
        <v>10005993</v>
      </c>
      <c r="B244" s="3" t="str">
        <f>VLOOKUP(A244,[1]단품수량!$B$5:$E$27,4,FALSE)</f>
        <v>SDI</v>
      </c>
      <c r="C244" s="3">
        <v>270</v>
      </c>
      <c r="D244" s="3" t="s">
        <v>40</v>
      </c>
      <c r="E244" s="3">
        <v>30120694</v>
      </c>
      <c r="F244" s="3" t="s">
        <v>343</v>
      </c>
      <c r="G244" s="3"/>
      <c r="H244" s="3" t="s">
        <v>17</v>
      </c>
      <c r="I244" s="3" t="s">
        <v>18</v>
      </c>
      <c r="J244" s="3">
        <v>1</v>
      </c>
      <c r="K244" s="3">
        <v>1</v>
      </c>
      <c r="L244" s="3">
        <f>VLOOKUP(A244,[1]단품수량!$B$5:$P$27,13,FALSE)*K244</f>
        <v>240</v>
      </c>
      <c r="M244" s="3" t="s">
        <v>19</v>
      </c>
      <c r="N244" s="3" t="s">
        <v>20</v>
      </c>
    </row>
    <row r="245" spans="1:14" ht="18" hidden="1" customHeight="1">
      <c r="A245" s="6">
        <v>10005993</v>
      </c>
      <c r="B245" s="3" t="str">
        <f>VLOOKUP(A245,[1]단품수량!$B$5:$E$27,4,FALSE)</f>
        <v>SDI</v>
      </c>
      <c r="C245" s="3">
        <v>271</v>
      </c>
      <c r="D245" s="3" t="s">
        <v>43</v>
      </c>
      <c r="E245" s="3">
        <v>30120749</v>
      </c>
      <c r="F245" s="3"/>
      <c r="G245" s="3"/>
      <c r="H245" s="12" t="s">
        <v>176</v>
      </c>
      <c r="I245" s="12" t="s">
        <v>177</v>
      </c>
      <c r="J245" s="3">
        <v>8</v>
      </c>
      <c r="K245" s="3">
        <v>8</v>
      </c>
      <c r="L245" s="3">
        <f>VLOOKUP(A245,[1]단품수량!$B$5:$P$27,13,FALSE)*K245</f>
        <v>1920</v>
      </c>
      <c r="M245" s="3" t="s">
        <v>27</v>
      </c>
      <c r="N245" s="3" t="s">
        <v>178</v>
      </c>
    </row>
    <row r="246" spans="1:14" ht="18" hidden="1" customHeight="1">
      <c r="A246" s="6">
        <v>10005993</v>
      </c>
      <c r="B246" s="3" t="str">
        <f>VLOOKUP(A246,[1]단품수량!$B$5:$E$27,4,FALSE)</f>
        <v>SDI</v>
      </c>
      <c r="C246" s="3">
        <v>272</v>
      </c>
      <c r="D246" s="3" t="s">
        <v>46</v>
      </c>
      <c r="E246" s="3">
        <v>30120750</v>
      </c>
      <c r="F246" s="3"/>
      <c r="G246" s="3"/>
      <c r="H246" s="12" t="s">
        <v>176</v>
      </c>
      <c r="I246" s="12" t="s">
        <v>179</v>
      </c>
      <c r="J246" s="3">
        <v>1</v>
      </c>
      <c r="K246" s="3">
        <v>1</v>
      </c>
      <c r="L246" s="3">
        <f>VLOOKUP(A246,[1]단품수량!$B$5:$P$27,13,FALSE)*K246</f>
        <v>240</v>
      </c>
      <c r="M246" s="3" t="s">
        <v>27</v>
      </c>
      <c r="N246" s="3" t="s">
        <v>178</v>
      </c>
    </row>
    <row r="247" spans="1:14" ht="18" hidden="1" customHeight="1">
      <c r="A247" s="6">
        <v>10005993</v>
      </c>
      <c r="B247" s="3" t="str">
        <f>VLOOKUP(A247,[1]단품수량!$B$5:$E$27,4,FALSE)</f>
        <v>SDI</v>
      </c>
      <c r="C247" s="3">
        <v>273</v>
      </c>
      <c r="D247" s="3" t="s">
        <v>49</v>
      </c>
      <c r="E247" s="3">
        <v>30120838</v>
      </c>
      <c r="F247" s="3"/>
      <c r="G247" s="3"/>
      <c r="H247" s="12" t="s">
        <v>180</v>
      </c>
      <c r="I247" s="12" t="s">
        <v>181</v>
      </c>
      <c r="J247" s="3">
        <v>1</v>
      </c>
      <c r="K247" s="3">
        <v>1</v>
      </c>
      <c r="L247" s="3">
        <f>VLOOKUP(A247,[1]단품수량!$B$5:$P$27,13,FALSE)*K247</f>
        <v>240</v>
      </c>
      <c r="M247" s="3" t="s">
        <v>27</v>
      </c>
      <c r="N247" s="3" t="s">
        <v>178</v>
      </c>
    </row>
    <row r="248" spans="1:14" ht="18" hidden="1" customHeight="1">
      <c r="A248" s="6">
        <v>10005993</v>
      </c>
      <c r="B248" s="3" t="str">
        <f>VLOOKUP(A248,[1]단품수량!$B$5:$E$27,4,FALSE)</f>
        <v>SDI</v>
      </c>
      <c r="C248" s="3">
        <v>274</v>
      </c>
      <c r="D248" s="3" t="s">
        <v>54</v>
      </c>
      <c r="E248" s="3">
        <v>30120841</v>
      </c>
      <c r="F248" s="3"/>
      <c r="G248" s="3"/>
      <c r="H248" s="12" t="s">
        <v>358</v>
      </c>
      <c r="I248" s="12" t="s">
        <v>183</v>
      </c>
      <c r="J248" s="3">
        <v>1</v>
      </c>
      <c r="K248" s="3">
        <v>1</v>
      </c>
      <c r="L248" s="3">
        <f>VLOOKUP(A248,[1]단품수량!$B$5:$P$27,13,FALSE)*K248</f>
        <v>240</v>
      </c>
      <c r="M248" s="3" t="s">
        <v>19</v>
      </c>
      <c r="N248" s="3" t="s">
        <v>107</v>
      </c>
    </row>
    <row r="249" spans="1:14" ht="18" hidden="1" customHeight="1">
      <c r="A249" s="6">
        <v>10005993</v>
      </c>
      <c r="B249" s="3" t="str">
        <f>VLOOKUP(A249,[1]단품수량!$B$5:$E$27,4,FALSE)</f>
        <v>SDI</v>
      </c>
      <c r="C249" s="3">
        <v>275</v>
      </c>
      <c r="D249" s="3" t="s">
        <v>91</v>
      </c>
      <c r="E249" s="3">
        <v>30120751</v>
      </c>
      <c r="F249" s="3"/>
      <c r="G249" s="3"/>
      <c r="H249" s="3" t="s">
        <v>184</v>
      </c>
      <c r="I249" s="3" t="s">
        <v>185</v>
      </c>
      <c r="J249" s="3">
        <v>1</v>
      </c>
      <c r="K249" s="3">
        <v>1</v>
      </c>
      <c r="L249" s="3">
        <f>VLOOKUP(A249,[1]단품수량!$B$5:$P$27,13,FALSE)*K249</f>
        <v>240</v>
      </c>
      <c r="M249" s="3" t="s">
        <v>19</v>
      </c>
      <c r="N249" s="3" t="s">
        <v>186</v>
      </c>
    </row>
    <row r="250" spans="1:14" ht="18" hidden="1" customHeight="1">
      <c r="A250" s="6">
        <v>10005993</v>
      </c>
      <c r="B250" s="3" t="str">
        <f>VLOOKUP(A250,[1]단품수량!$B$5:$E$27,4,FALSE)</f>
        <v>SDI</v>
      </c>
      <c r="C250" s="3">
        <v>276</v>
      </c>
      <c r="D250" s="3" t="s">
        <v>64</v>
      </c>
      <c r="E250" s="3">
        <v>30120992</v>
      </c>
      <c r="F250" s="3"/>
      <c r="G250" s="3"/>
      <c r="H250" s="12" t="s">
        <v>96</v>
      </c>
      <c r="I250" s="12" t="s">
        <v>97</v>
      </c>
      <c r="J250" s="3">
        <v>1</v>
      </c>
      <c r="K250" s="3">
        <v>1</v>
      </c>
      <c r="L250" s="3">
        <f>VLOOKUP(A250,[1]단품수량!$B$5:$P$27,13,FALSE)*K250</f>
        <v>240</v>
      </c>
      <c r="M250" s="3" t="s">
        <v>35</v>
      </c>
      <c r="N250" s="3" t="s">
        <v>98</v>
      </c>
    </row>
    <row r="251" spans="1:14" ht="18" hidden="1" customHeight="1">
      <c r="A251" s="6">
        <v>10005993</v>
      </c>
      <c r="B251" s="3" t="str">
        <f>VLOOKUP(A251,[1]단품수량!$B$5:$E$27,4,FALSE)</f>
        <v>SDI</v>
      </c>
      <c r="C251" s="3">
        <v>277</v>
      </c>
      <c r="D251" s="3" t="s">
        <v>66</v>
      </c>
      <c r="E251" s="3">
        <v>30121672</v>
      </c>
      <c r="F251" s="3"/>
      <c r="G251" s="3"/>
      <c r="H251" s="12" t="s">
        <v>99</v>
      </c>
      <c r="I251" s="12" t="s">
        <v>100</v>
      </c>
      <c r="J251" s="3">
        <v>1</v>
      </c>
      <c r="K251" s="3">
        <v>1</v>
      </c>
      <c r="L251" s="3">
        <f>VLOOKUP(A251,[1]단품수량!$B$5:$P$27,13,FALSE)*K251</f>
        <v>240</v>
      </c>
      <c r="M251" s="3" t="s">
        <v>27</v>
      </c>
      <c r="N251" s="3" t="s">
        <v>98</v>
      </c>
    </row>
    <row r="252" spans="1:14" ht="18" hidden="1" customHeight="1">
      <c r="A252" s="6">
        <v>10005993</v>
      </c>
      <c r="B252" s="3" t="str">
        <f>VLOOKUP(A252,[1]단품수량!$B$5:$E$27,4,FALSE)</f>
        <v>SDI</v>
      </c>
      <c r="C252" s="3">
        <v>278</v>
      </c>
      <c r="D252" s="3" t="s">
        <v>94</v>
      </c>
      <c r="E252" s="3">
        <v>30120752</v>
      </c>
      <c r="F252" s="3"/>
      <c r="G252" s="3"/>
      <c r="H252" s="3" t="s">
        <v>187</v>
      </c>
      <c r="I252" s="3" t="s">
        <v>18</v>
      </c>
      <c r="J252" s="3">
        <v>1</v>
      </c>
      <c r="K252" s="3">
        <v>1</v>
      </c>
      <c r="L252" s="3">
        <f>VLOOKUP(A252,[1]단품수량!$B$5:$P$27,13,FALSE)*K252</f>
        <v>240</v>
      </c>
      <c r="M252" s="3" t="s">
        <v>19</v>
      </c>
      <c r="N252" s="3" t="s">
        <v>186</v>
      </c>
    </row>
    <row r="253" spans="1:14" ht="18" hidden="1" customHeight="1">
      <c r="A253" s="6">
        <v>10005993</v>
      </c>
      <c r="B253" s="3" t="str">
        <f>VLOOKUP(A253,[1]단품수량!$B$5:$E$27,4,FALSE)</f>
        <v>SDI</v>
      </c>
      <c r="C253" s="3">
        <v>279</v>
      </c>
      <c r="D253" s="3" t="s">
        <v>101</v>
      </c>
      <c r="E253" s="3">
        <v>30120665</v>
      </c>
      <c r="F253" s="3" t="s">
        <v>359</v>
      </c>
      <c r="G253" s="3"/>
      <c r="H253" s="3" t="s">
        <v>51</v>
      </c>
      <c r="I253" s="3" t="s">
        <v>360</v>
      </c>
      <c r="J253" s="3">
        <v>1</v>
      </c>
      <c r="K253" s="3">
        <v>1</v>
      </c>
      <c r="L253" s="3">
        <f>VLOOKUP(A253,[1]단품수량!$B$5:$P$27,13,FALSE)*K253</f>
        <v>240</v>
      </c>
      <c r="M253" s="3" t="s">
        <v>19</v>
      </c>
      <c r="N253" s="3" t="s">
        <v>53</v>
      </c>
    </row>
    <row r="254" spans="1:14" ht="18" hidden="1" customHeight="1">
      <c r="A254" s="6">
        <v>10005993</v>
      </c>
      <c r="B254" s="3" t="str">
        <f>VLOOKUP(A254,[1]단품수량!$B$5:$E$27,4,FALSE)</f>
        <v>SDI</v>
      </c>
      <c r="C254" s="3">
        <v>280</v>
      </c>
      <c r="D254" s="3" t="s">
        <v>104</v>
      </c>
      <c r="E254" s="3">
        <v>30120762</v>
      </c>
      <c r="F254" s="3"/>
      <c r="G254" s="3"/>
      <c r="H254" s="3" t="s">
        <v>165</v>
      </c>
      <c r="I254" s="3" t="s">
        <v>307</v>
      </c>
      <c r="J254" s="3">
        <v>1</v>
      </c>
      <c r="K254" s="3">
        <v>1</v>
      </c>
      <c r="L254" s="3">
        <f>VLOOKUP(A254,[1]단품수량!$B$5:$P$27,13,FALSE)*K254</f>
        <v>240</v>
      </c>
      <c r="M254" s="3" t="s">
        <v>27</v>
      </c>
      <c r="N254" s="3" t="s">
        <v>57</v>
      </c>
    </row>
    <row r="255" spans="1:14" ht="18" hidden="1" customHeight="1">
      <c r="A255" s="6">
        <v>10005993</v>
      </c>
      <c r="B255" s="3" t="str">
        <f>VLOOKUP(A255,[1]단품수량!$B$5:$E$27,4,FALSE)</f>
        <v>SDI</v>
      </c>
      <c r="C255" s="3">
        <v>281</v>
      </c>
      <c r="D255" s="3" t="s">
        <v>109</v>
      </c>
      <c r="E255" s="3">
        <v>30118573</v>
      </c>
      <c r="F255" s="3"/>
      <c r="G255" s="3"/>
      <c r="H255" s="12" t="s">
        <v>87</v>
      </c>
      <c r="I255" s="12" t="s">
        <v>88</v>
      </c>
      <c r="J255" s="3">
        <v>19</v>
      </c>
      <c r="K255" s="3">
        <v>19</v>
      </c>
      <c r="L255" s="3">
        <f>VLOOKUP(A255,[1]단품수량!$B$5:$P$27,13,FALSE)*K255</f>
        <v>4560</v>
      </c>
      <c r="M255" s="3" t="s">
        <v>35</v>
      </c>
      <c r="N255" s="3" t="s">
        <v>36</v>
      </c>
    </row>
    <row r="256" spans="1:14" ht="18" hidden="1" customHeight="1">
      <c r="A256" s="6">
        <v>10005993</v>
      </c>
      <c r="B256" s="3" t="str">
        <f>VLOOKUP(A256,[1]단품수량!$B$5:$E$27,4,FALSE)</f>
        <v>SDI</v>
      </c>
      <c r="C256" s="3">
        <v>282</v>
      </c>
      <c r="D256" s="3" t="s">
        <v>132</v>
      </c>
      <c r="E256" s="3">
        <v>30118582</v>
      </c>
      <c r="F256" s="3"/>
      <c r="G256" s="3"/>
      <c r="H256" s="12" t="s">
        <v>89</v>
      </c>
      <c r="I256" s="12" t="s">
        <v>90</v>
      </c>
      <c r="J256" s="3">
        <v>19</v>
      </c>
      <c r="K256" s="3">
        <v>19</v>
      </c>
      <c r="L256" s="3">
        <f>VLOOKUP(A256,[1]단품수량!$B$5:$P$27,13,FALSE)*K256</f>
        <v>4560</v>
      </c>
      <c r="M256" s="3" t="s">
        <v>35</v>
      </c>
      <c r="N256" s="3" t="s">
        <v>36</v>
      </c>
    </row>
    <row r="257" spans="1:14" ht="18" hidden="1" customHeight="1">
      <c r="A257" s="6">
        <v>10005993</v>
      </c>
      <c r="B257" s="3" t="str">
        <f>VLOOKUP(A257,[1]단품수량!$B$5:$E$27,4,FALSE)</f>
        <v>SDI</v>
      </c>
      <c r="C257" s="3">
        <v>283</v>
      </c>
      <c r="D257" s="3" t="s">
        <v>195</v>
      </c>
      <c r="E257" s="3">
        <v>30118548</v>
      </c>
      <c r="F257" s="3"/>
      <c r="G257" s="3"/>
      <c r="H257" s="12" t="s">
        <v>81</v>
      </c>
      <c r="I257" s="12" t="s">
        <v>361</v>
      </c>
      <c r="J257" s="3">
        <v>1</v>
      </c>
      <c r="K257" s="3">
        <v>1</v>
      </c>
      <c r="L257" s="3">
        <f>VLOOKUP(A257,[1]단품수량!$B$5:$P$27,13,FALSE)*K257</f>
        <v>240</v>
      </c>
      <c r="M257" s="3" t="s">
        <v>35</v>
      </c>
      <c r="N257" s="3" t="s">
        <v>36</v>
      </c>
    </row>
    <row r="258" spans="1:14" ht="18" hidden="1" customHeight="1">
      <c r="A258" s="6">
        <v>10005993</v>
      </c>
      <c r="B258" s="3" t="str">
        <f>VLOOKUP(A258,[1]단품수량!$B$5:$E$27,4,FALSE)</f>
        <v>SDI</v>
      </c>
      <c r="C258" s="3">
        <v>284</v>
      </c>
      <c r="D258" s="3" t="s">
        <v>198</v>
      </c>
      <c r="E258" s="3">
        <v>30118563</v>
      </c>
      <c r="F258" s="3"/>
      <c r="G258" s="3"/>
      <c r="H258" s="12" t="s">
        <v>362</v>
      </c>
      <c r="I258" s="12" t="s">
        <v>363</v>
      </c>
      <c r="J258" s="3">
        <v>1</v>
      </c>
      <c r="K258" s="3">
        <v>1</v>
      </c>
      <c r="L258" s="3">
        <f>VLOOKUP(A258,[1]단품수량!$B$5:$P$27,13,FALSE)*K258</f>
        <v>240</v>
      </c>
      <c r="M258" s="3" t="s">
        <v>35</v>
      </c>
      <c r="N258" s="3" t="s">
        <v>36</v>
      </c>
    </row>
    <row r="259" spans="1:14" ht="18" customHeight="1">
      <c r="A259" s="6">
        <v>10005993</v>
      </c>
      <c r="B259" s="3" t="str">
        <f>VLOOKUP(A259,[1]단품수량!$B$5:$E$27,4,FALSE)</f>
        <v>SDI</v>
      </c>
      <c r="C259" s="3">
        <v>285</v>
      </c>
      <c r="D259" s="3" t="s">
        <v>201</v>
      </c>
      <c r="E259" s="3">
        <v>30120840</v>
      </c>
      <c r="F259" s="3"/>
      <c r="G259" s="3"/>
      <c r="H259" s="12" t="s">
        <v>192</v>
      </c>
      <c r="I259" s="12" t="s">
        <v>193</v>
      </c>
      <c r="J259" s="3">
        <v>4</v>
      </c>
      <c r="K259" s="3">
        <v>4</v>
      </c>
      <c r="L259" s="3">
        <f>VLOOKUP(A259,[1]단품수량!$B$5:$P$27,13,FALSE)*K259</f>
        <v>960</v>
      </c>
      <c r="M259" s="3" t="s">
        <v>35</v>
      </c>
      <c r="N259" s="3" t="s">
        <v>194</v>
      </c>
    </row>
    <row r="260" spans="1:14" ht="18" customHeight="1">
      <c r="A260" s="6">
        <v>10005993</v>
      </c>
      <c r="B260" s="3" t="str">
        <f>VLOOKUP(A260,[1]단품수량!$B$5:$E$27,4,FALSE)</f>
        <v>SDI</v>
      </c>
      <c r="C260" s="3">
        <v>286</v>
      </c>
      <c r="D260" s="3" t="s">
        <v>204</v>
      </c>
      <c r="E260" s="3">
        <v>30120532</v>
      </c>
      <c r="F260" s="3"/>
      <c r="G260" s="3"/>
      <c r="H260" s="12" t="s">
        <v>196</v>
      </c>
      <c r="I260" s="12" t="s">
        <v>197</v>
      </c>
      <c r="J260" s="3">
        <v>4</v>
      </c>
      <c r="K260" s="3">
        <v>4</v>
      </c>
      <c r="L260" s="3">
        <f>VLOOKUP(A260,[1]단품수량!$B$5:$P$27,13,FALSE)*K260</f>
        <v>960</v>
      </c>
      <c r="M260" s="3" t="s">
        <v>35</v>
      </c>
      <c r="N260" s="3" t="s">
        <v>194</v>
      </c>
    </row>
    <row r="261" spans="1:14" ht="18" customHeight="1">
      <c r="A261" s="6">
        <v>10005993</v>
      </c>
      <c r="B261" s="3" t="str">
        <f>VLOOKUP(A261,[1]단품수량!$B$5:$E$27,4,FALSE)</f>
        <v>SDI</v>
      </c>
      <c r="C261" s="3">
        <v>287</v>
      </c>
      <c r="D261" s="3" t="s">
        <v>207</v>
      </c>
      <c r="E261" s="3">
        <v>30120533</v>
      </c>
      <c r="F261" s="3"/>
      <c r="G261" s="3"/>
      <c r="H261" s="12" t="s">
        <v>199</v>
      </c>
      <c r="I261" s="12" t="s">
        <v>200</v>
      </c>
      <c r="J261" s="3">
        <v>4</v>
      </c>
      <c r="K261" s="3">
        <v>4</v>
      </c>
      <c r="L261" s="3">
        <f>VLOOKUP(A261,[1]단품수량!$B$5:$P$27,13,FALSE)*K261</f>
        <v>960</v>
      </c>
      <c r="M261" s="3" t="s">
        <v>35</v>
      </c>
      <c r="N261" s="3" t="s">
        <v>194</v>
      </c>
    </row>
    <row r="262" spans="1:14" ht="18" customHeight="1">
      <c r="A262" s="6">
        <v>10005993</v>
      </c>
      <c r="B262" s="3" t="str">
        <f>VLOOKUP(A262,[1]단품수량!$B$5:$E$27,4,FALSE)</f>
        <v>SDI</v>
      </c>
      <c r="C262" s="3">
        <v>288</v>
      </c>
      <c r="D262" s="3" t="s">
        <v>210</v>
      </c>
      <c r="E262" s="3">
        <v>30120534</v>
      </c>
      <c r="F262" s="3"/>
      <c r="G262" s="3"/>
      <c r="H262" s="12" t="s">
        <v>202</v>
      </c>
      <c r="I262" s="12" t="s">
        <v>203</v>
      </c>
      <c r="J262" s="3">
        <v>4</v>
      </c>
      <c r="K262" s="3">
        <v>4</v>
      </c>
      <c r="L262" s="3">
        <f>VLOOKUP(A262,[1]단품수량!$B$5:$P$27,13,FALSE)*K262</f>
        <v>960</v>
      </c>
      <c r="M262" s="3" t="s">
        <v>35</v>
      </c>
      <c r="N262" s="3" t="s">
        <v>194</v>
      </c>
    </row>
    <row r="263" spans="1:14" ht="18" customHeight="1">
      <c r="A263" s="6">
        <v>10005993</v>
      </c>
      <c r="B263" s="3" t="str">
        <f>VLOOKUP(A263,[1]단품수량!$B$5:$E$27,4,FALSE)</f>
        <v>SDI</v>
      </c>
      <c r="C263" s="3">
        <v>289</v>
      </c>
      <c r="D263" s="3" t="s">
        <v>308</v>
      </c>
      <c r="E263" s="3">
        <v>30120535</v>
      </c>
      <c r="F263" s="3"/>
      <c r="G263" s="3"/>
      <c r="H263" s="12" t="s">
        <v>205</v>
      </c>
      <c r="I263" s="12" t="s">
        <v>206</v>
      </c>
      <c r="J263" s="3">
        <v>4</v>
      </c>
      <c r="K263" s="3">
        <v>4</v>
      </c>
      <c r="L263" s="3">
        <f>VLOOKUP(A263,[1]단품수량!$B$5:$P$27,13,FALSE)*K263</f>
        <v>960</v>
      </c>
      <c r="M263" s="3" t="s">
        <v>35</v>
      </c>
      <c r="N263" s="3" t="s">
        <v>194</v>
      </c>
    </row>
    <row r="264" spans="1:14" ht="18" hidden="1" customHeight="1">
      <c r="A264" s="6">
        <v>10005993</v>
      </c>
      <c r="B264" s="3" t="str">
        <f>VLOOKUP(A264,[1]단품수량!$B$5:$E$27,4,FALSE)</f>
        <v>SDI</v>
      </c>
      <c r="C264" s="3">
        <v>290</v>
      </c>
      <c r="D264" s="3" t="s">
        <v>309</v>
      </c>
      <c r="E264" s="3">
        <v>20061698</v>
      </c>
      <c r="F264" s="3" t="s">
        <v>364</v>
      </c>
      <c r="G264" s="3"/>
      <c r="H264" s="3" t="s">
        <v>111</v>
      </c>
      <c r="I264" s="3" t="s">
        <v>365</v>
      </c>
      <c r="J264" s="3">
        <v>1</v>
      </c>
      <c r="K264" s="3">
        <v>1</v>
      </c>
      <c r="L264" s="3">
        <f>VLOOKUP(A264,[1]단품수량!$B$5:$P$27,13,FALSE)*K264</f>
        <v>240</v>
      </c>
      <c r="M264" s="3" t="s">
        <v>113</v>
      </c>
      <c r="N264" s="3"/>
    </row>
    <row r="265" spans="1:14" ht="18" hidden="1" customHeight="1">
      <c r="A265" s="6">
        <v>10005993</v>
      </c>
      <c r="B265" s="3" t="str">
        <f>VLOOKUP(A265,[1]단품수량!$B$5:$E$27,4,FALSE)</f>
        <v>SDI</v>
      </c>
      <c r="C265" s="3">
        <v>291</v>
      </c>
      <c r="D265" s="3" t="s">
        <v>64</v>
      </c>
      <c r="E265" s="3">
        <v>30075140</v>
      </c>
      <c r="F265" s="3"/>
      <c r="G265" s="3"/>
      <c r="H265" s="3" t="s">
        <v>61</v>
      </c>
      <c r="I265" s="3" t="s">
        <v>114</v>
      </c>
      <c r="J265" s="3">
        <v>50</v>
      </c>
      <c r="K265" s="3">
        <v>50</v>
      </c>
      <c r="L265" s="3">
        <f>VLOOKUP(A265,[1]단품수량!$B$5:$P$27,13,FALSE)*K265</f>
        <v>12000</v>
      </c>
      <c r="M265" s="3" t="s">
        <v>35</v>
      </c>
      <c r="N265" s="3" t="s">
        <v>36</v>
      </c>
    </row>
    <row r="266" spans="1:14" ht="18" hidden="1" customHeight="1">
      <c r="A266" s="6">
        <v>10005993</v>
      </c>
      <c r="B266" s="3" t="str">
        <f>VLOOKUP(A266,[1]단품수량!$B$5:$E$27,4,FALSE)</f>
        <v>SDI</v>
      </c>
      <c r="C266" s="3">
        <v>292</v>
      </c>
      <c r="D266" s="3" t="s">
        <v>66</v>
      </c>
      <c r="E266" s="3">
        <v>30093304</v>
      </c>
      <c r="F266" s="3"/>
      <c r="G266" s="3"/>
      <c r="H266" s="3" t="s">
        <v>55</v>
      </c>
      <c r="I266" s="3" t="s">
        <v>56</v>
      </c>
      <c r="J266" s="3">
        <v>4</v>
      </c>
      <c r="K266" s="3">
        <v>4</v>
      </c>
      <c r="L266" s="3">
        <f>VLOOKUP(A266,[1]단품수량!$B$5:$P$27,13,FALSE)*K266</f>
        <v>960</v>
      </c>
      <c r="M266" s="3" t="s">
        <v>35</v>
      </c>
      <c r="N266" s="3" t="s">
        <v>36</v>
      </c>
    </row>
    <row r="267" spans="1:14" ht="18" hidden="1" customHeight="1">
      <c r="A267" s="6">
        <v>10005993</v>
      </c>
      <c r="B267" s="3" t="str">
        <f>VLOOKUP(A267,[1]단품수량!$B$5:$E$27,4,FALSE)</f>
        <v>SDI</v>
      </c>
      <c r="C267" s="3">
        <v>293</v>
      </c>
      <c r="D267" s="3" t="s">
        <v>116</v>
      </c>
      <c r="E267" s="3">
        <v>30115146</v>
      </c>
      <c r="F267" s="3"/>
      <c r="G267" s="3"/>
      <c r="H267" s="3" t="s">
        <v>59</v>
      </c>
      <c r="I267" s="3" t="s">
        <v>213</v>
      </c>
      <c r="J267" s="3">
        <v>1</v>
      </c>
      <c r="K267" s="3">
        <v>1</v>
      </c>
      <c r="L267" s="3">
        <f>VLOOKUP(A267,[1]단품수량!$B$5:$P$27,13,FALSE)*K267</f>
        <v>240</v>
      </c>
      <c r="M267" s="3" t="s">
        <v>35</v>
      </c>
      <c r="N267" s="3" t="s">
        <v>28</v>
      </c>
    </row>
    <row r="268" spans="1:14" ht="18" hidden="1" customHeight="1">
      <c r="A268" s="6">
        <v>10005993</v>
      </c>
      <c r="B268" s="3" t="str">
        <f>VLOOKUP(A268,[1]단품수량!$B$5:$E$27,4,FALSE)</f>
        <v>SDI</v>
      </c>
      <c r="C268" s="3">
        <v>294</v>
      </c>
      <c r="D268" s="3" t="s">
        <v>118</v>
      </c>
      <c r="E268" s="3">
        <v>30110820</v>
      </c>
      <c r="F268" s="3"/>
      <c r="G268" s="3"/>
      <c r="H268" s="3" t="s">
        <v>214</v>
      </c>
      <c r="I268" s="3" t="s">
        <v>215</v>
      </c>
      <c r="J268" s="3">
        <v>1</v>
      </c>
      <c r="K268" s="3">
        <v>1</v>
      </c>
      <c r="L268" s="3">
        <f>VLOOKUP(A268,[1]단품수량!$B$5:$P$27,13,FALSE)*K268</f>
        <v>240</v>
      </c>
      <c r="M268" s="3" t="s">
        <v>35</v>
      </c>
      <c r="N268" s="3" t="s">
        <v>28</v>
      </c>
    </row>
    <row r="269" spans="1:14" ht="18" hidden="1" customHeight="1">
      <c r="A269" s="6">
        <v>10005993</v>
      </c>
      <c r="B269" s="3" t="str">
        <f>VLOOKUP(A269,[1]단품수량!$B$5:$E$27,4,FALSE)</f>
        <v>SDI</v>
      </c>
      <c r="C269" s="3">
        <v>295</v>
      </c>
      <c r="D269" s="3" t="s">
        <v>121</v>
      </c>
      <c r="E269" s="3">
        <v>30100325</v>
      </c>
      <c r="F269" s="3"/>
      <c r="G269" s="3"/>
      <c r="H269" s="3" t="s">
        <v>119</v>
      </c>
      <c r="I269" s="3" t="s">
        <v>120</v>
      </c>
      <c r="J269" s="3">
        <v>1</v>
      </c>
      <c r="K269" s="3">
        <v>1</v>
      </c>
      <c r="L269" s="3">
        <f>VLOOKUP(A269,[1]단품수량!$B$5:$P$27,13,FALSE)*K269</f>
        <v>240</v>
      </c>
      <c r="M269" s="3" t="s">
        <v>35</v>
      </c>
      <c r="N269" s="3" t="s">
        <v>28</v>
      </c>
    </row>
    <row r="270" spans="1:14" ht="18" hidden="1" customHeight="1">
      <c r="A270" s="6">
        <v>10005993</v>
      </c>
      <c r="B270" s="3" t="str">
        <f>VLOOKUP(A270,[1]단품수량!$B$5:$E$27,4,FALSE)</f>
        <v>SDI</v>
      </c>
      <c r="C270" s="3">
        <v>296</v>
      </c>
      <c r="D270" s="3" t="s">
        <v>123</v>
      </c>
      <c r="E270" s="3">
        <v>30111991</v>
      </c>
      <c r="F270" s="3"/>
      <c r="G270" s="3"/>
      <c r="H270" s="3" t="s">
        <v>59</v>
      </c>
      <c r="I270" s="3" t="s">
        <v>216</v>
      </c>
      <c r="J270" s="3">
        <v>1</v>
      </c>
      <c r="K270" s="3">
        <v>1</v>
      </c>
      <c r="L270" s="3">
        <f>VLOOKUP(A270,[1]단품수량!$B$5:$P$27,13,FALSE)*K270</f>
        <v>240</v>
      </c>
      <c r="M270" s="3" t="s">
        <v>27</v>
      </c>
      <c r="N270" s="3" t="s">
        <v>28</v>
      </c>
    </row>
    <row r="271" spans="1:14" ht="18" hidden="1" customHeight="1">
      <c r="A271" s="6">
        <v>10005993</v>
      </c>
      <c r="B271" s="3" t="str">
        <f>VLOOKUP(A271,[1]단품수량!$B$5:$E$27,4,FALSE)</f>
        <v>SDI</v>
      </c>
      <c r="C271" s="3">
        <v>297</v>
      </c>
      <c r="D271" s="3" t="s">
        <v>126</v>
      </c>
      <c r="E271" s="3">
        <v>30081231</v>
      </c>
      <c r="F271" s="3"/>
      <c r="G271" s="3"/>
      <c r="H271" s="3" t="s">
        <v>124</v>
      </c>
      <c r="I271" s="3" t="s">
        <v>125</v>
      </c>
      <c r="J271" s="3">
        <v>42</v>
      </c>
      <c r="K271" s="3">
        <v>42</v>
      </c>
      <c r="L271" s="3">
        <f>VLOOKUP(A271,[1]단품수량!$B$5:$P$27,13,FALSE)*K271</f>
        <v>10080</v>
      </c>
      <c r="M271" s="3" t="s">
        <v>35</v>
      </c>
      <c r="N271" s="3" t="s">
        <v>28</v>
      </c>
    </row>
    <row r="272" spans="1:14" ht="18" hidden="1" customHeight="1">
      <c r="A272" s="6">
        <v>10005999</v>
      </c>
      <c r="B272" s="3" t="str">
        <f>VLOOKUP(A272,[1]단품수량!$B$5:$E$27,4,FALSE)</f>
        <v>TRF</v>
      </c>
      <c r="C272" s="3">
        <v>334</v>
      </c>
      <c r="D272" s="3" t="s">
        <v>15</v>
      </c>
      <c r="E272" s="3">
        <v>30120736</v>
      </c>
      <c r="F272" s="3" t="s">
        <v>372</v>
      </c>
      <c r="G272" s="3"/>
      <c r="H272" s="3" t="s">
        <v>65</v>
      </c>
      <c r="I272" s="3" t="s">
        <v>18</v>
      </c>
      <c r="J272" s="3">
        <v>1</v>
      </c>
      <c r="K272" s="3">
        <v>1</v>
      </c>
      <c r="L272" s="3">
        <f>VLOOKUP(A272,[1]단품수량!$B$5:$P$27,13,FALSE)*K272</f>
        <v>480</v>
      </c>
      <c r="M272" s="3" t="s">
        <v>19</v>
      </c>
      <c r="N272" s="3" t="s">
        <v>69</v>
      </c>
    </row>
    <row r="273" spans="1:14" ht="18" hidden="1" customHeight="1">
      <c r="A273" s="6">
        <v>10005999</v>
      </c>
      <c r="B273" s="3" t="str">
        <f>VLOOKUP(A273,[1]단품수량!$B$5:$E$27,4,FALSE)</f>
        <v>TRF</v>
      </c>
      <c r="C273" s="3">
        <v>335</v>
      </c>
      <c r="D273" s="3" t="s">
        <v>21</v>
      </c>
      <c r="E273" s="3">
        <v>30120773</v>
      </c>
      <c r="F273" s="3" t="s">
        <v>221</v>
      </c>
      <c r="G273" s="3"/>
      <c r="H273" s="3" t="s">
        <v>222</v>
      </c>
      <c r="I273" s="3" t="s">
        <v>18</v>
      </c>
      <c r="J273" s="3">
        <v>1</v>
      </c>
      <c r="K273" s="3">
        <v>1</v>
      </c>
      <c r="L273" s="3">
        <f>VLOOKUP(A273,[1]단품수량!$B$5:$P$27,13,FALSE)*K273</f>
        <v>480</v>
      </c>
      <c r="M273" s="3" t="s">
        <v>27</v>
      </c>
      <c r="N273" s="3" t="s">
        <v>223</v>
      </c>
    </row>
    <row r="274" spans="1:14" ht="18" hidden="1" customHeight="1">
      <c r="A274" s="6">
        <v>10005999</v>
      </c>
      <c r="B274" s="3" t="str">
        <f>VLOOKUP(A274,[1]단품수량!$B$5:$E$27,4,FALSE)</f>
        <v>TRF</v>
      </c>
      <c r="C274" s="3">
        <v>336</v>
      </c>
      <c r="D274" s="3" t="s">
        <v>24</v>
      </c>
      <c r="E274" s="3">
        <v>30120769</v>
      </c>
      <c r="F274" s="3" t="s">
        <v>219</v>
      </c>
      <c r="G274" s="3"/>
      <c r="H274" s="3" t="s">
        <v>184</v>
      </c>
      <c r="I274" s="3" t="s">
        <v>220</v>
      </c>
      <c r="J274" s="3">
        <v>1</v>
      </c>
      <c r="K274" s="3">
        <v>1</v>
      </c>
      <c r="L274" s="3">
        <f>VLOOKUP(A274,[1]단품수량!$B$5:$P$27,13,FALSE)*K274</f>
        <v>480</v>
      </c>
      <c r="M274" s="3" t="s">
        <v>19</v>
      </c>
      <c r="N274" s="3" t="s">
        <v>186</v>
      </c>
    </row>
    <row r="275" spans="1:14" ht="18" hidden="1" customHeight="1">
      <c r="A275" s="6">
        <v>10005999</v>
      </c>
      <c r="B275" s="3" t="str">
        <f>VLOOKUP(A275,[1]단품수량!$B$5:$E$27,4,FALSE)</f>
        <v>TRF</v>
      </c>
      <c r="C275" s="3">
        <v>337</v>
      </c>
      <c r="D275" s="3" t="s">
        <v>29</v>
      </c>
      <c r="E275" s="3">
        <v>30120237</v>
      </c>
      <c r="F275" s="3"/>
      <c r="G275" s="3"/>
      <c r="H275" s="3" t="s">
        <v>59</v>
      </c>
      <c r="I275" s="3" t="s">
        <v>373</v>
      </c>
      <c r="J275" s="3">
        <v>1</v>
      </c>
      <c r="K275" s="3">
        <v>1</v>
      </c>
      <c r="L275" s="3">
        <f>VLOOKUP(A275,[1]단품수량!$B$5:$P$27,13,FALSE)*K275</f>
        <v>480</v>
      </c>
      <c r="M275" s="3" t="s">
        <v>27</v>
      </c>
      <c r="N275" s="3" t="s">
        <v>60</v>
      </c>
    </row>
    <row r="276" spans="1:14" ht="18" hidden="1" customHeight="1">
      <c r="A276" s="6">
        <v>10005999</v>
      </c>
      <c r="B276" s="3" t="str">
        <f>VLOOKUP(A276,[1]단품수량!$B$5:$E$27,4,FALSE)</f>
        <v>TRF</v>
      </c>
      <c r="C276" s="3">
        <v>338</v>
      </c>
      <c r="D276" s="3" t="s">
        <v>32</v>
      </c>
      <c r="E276" s="3">
        <v>30120268</v>
      </c>
      <c r="F276" s="3"/>
      <c r="G276" s="3"/>
      <c r="H276" s="3" t="s">
        <v>59</v>
      </c>
      <c r="I276" s="3" t="s">
        <v>374</v>
      </c>
      <c r="J276" s="3">
        <v>1</v>
      </c>
      <c r="K276" s="3">
        <v>1</v>
      </c>
      <c r="L276" s="3">
        <f>VLOOKUP(A276,[1]단품수량!$B$5:$P$27,13,FALSE)*K276</f>
        <v>480</v>
      </c>
      <c r="M276" s="3" t="s">
        <v>27</v>
      </c>
      <c r="N276" s="3" t="s">
        <v>60</v>
      </c>
    </row>
    <row r="277" spans="1:14" ht="18" hidden="1" customHeight="1">
      <c r="A277" s="6">
        <v>10005999</v>
      </c>
      <c r="B277" s="3" t="str">
        <f>VLOOKUP(A277,[1]단품수량!$B$5:$E$27,4,FALSE)</f>
        <v>TRF</v>
      </c>
      <c r="C277" s="3">
        <v>339</v>
      </c>
      <c r="D277" s="3" t="s">
        <v>37</v>
      </c>
      <c r="E277" s="3">
        <v>30118493</v>
      </c>
      <c r="F277" s="3"/>
      <c r="G277" s="3"/>
      <c r="H277" s="3" t="s">
        <v>59</v>
      </c>
      <c r="I277" s="3" t="s">
        <v>152</v>
      </c>
      <c r="J277" s="3">
        <v>1</v>
      </c>
      <c r="K277" s="3">
        <v>1</v>
      </c>
      <c r="L277" s="3">
        <f>VLOOKUP(A277,[1]단품수량!$B$5:$P$27,13,FALSE)*K277</f>
        <v>480</v>
      </c>
      <c r="M277" s="3" t="s">
        <v>27</v>
      </c>
      <c r="N277" s="3" t="s">
        <v>60</v>
      </c>
    </row>
    <row r="278" spans="1:14" ht="18" hidden="1" customHeight="1">
      <c r="A278" s="6">
        <v>10005999</v>
      </c>
      <c r="B278" s="3" t="str">
        <f>VLOOKUP(A278,[1]단품수량!$B$5:$E$27,4,FALSE)</f>
        <v>TRF</v>
      </c>
      <c r="C278" s="3">
        <v>340</v>
      </c>
      <c r="D278" s="3" t="s">
        <v>40</v>
      </c>
      <c r="E278" s="3">
        <v>30118494</v>
      </c>
      <c r="F278" s="3"/>
      <c r="G278" s="3"/>
      <c r="H278" s="3" t="s">
        <v>59</v>
      </c>
      <c r="I278" s="3" t="s">
        <v>153</v>
      </c>
      <c r="J278" s="3">
        <v>1</v>
      </c>
      <c r="K278" s="3">
        <v>1</v>
      </c>
      <c r="L278" s="3">
        <f>VLOOKUP(A278,[1]단품수량!$B$5:$P$27,13,FALSE)*K278</f>
        <v>480</v>
      </c>
      <c r="M278" s="3" t="s">
        <v>27</v>
      </c>
      <c r="N278" s="3" t="s">
        <v>60</v>
      </c>
    </row>
    <row r="279" spans="1:14" ht="18" hidden="1" customHeight="1">
      <c r="A279" s="6">
        <v>10005999</v>
      </c>
      <c r="B279" s="3" t="str">
        <f>VLOOKUP(A279,[1]단품수량!$B$5:$E$27,4,FALSE)</f>
        <v>TRF</v>
      </c>
      <c r="C279" s="3">
        <v>341</v>
      </c>
      <c r="D279" s="3" t="s">
        <v>43</v>
      </c>
      <c r="E279" s="3">
        <v>20061635</v>
      </c>
      <c r="F279" s="3" t="s">
        <v>229</v>
      </c>
      <c r="G279" s="3"/>
      <c r="H279" s="3" t="s">
        <v>230</v>
      </c>
      <c r="I279" s="3" t="s">
        <v>18</v>
      </c>
      <c r="J279" s="3">
        <v>1</v>
      </c>
      <c r="K279" s="3">
        <v>1</v>
      </c>
      <c r="L279" s="3">
        <f>VLOOKUP(A279,[1]단품수량!$B$5:$P$27,13,FALSE)*K279</f>
        <v>480</v>
      </c>
      <c r="M279" s="3" t="s">
        <v>113</v>
      </c>
      <c r="N279" s="3" t="s">
        <v>231</v>
      </c>
    </row>
    <row r="280" spans="1:14" ht="18" hidden="1" customHeight="1">
      <c r="A280" s="6">
        <v>10005999</v>
      </c>
      <c r="B280" s="3" t="str">
        <f>VLOOKUP(A280,[1]단품수량!$B$5:$E$27,4,FALSE)</f>
        <v>TRF</v>
      </c>
      <c r="C280" s="3">
        <v>342</v>
      </c>
      <c r="D280" s="3" t="s">
        <v>64</v>
      </c>
      <c r="E280" s="3">
        <v>30075140</v>
      </c>
      <c r="F280" s="3"/>
      <c r="G280" s="3"/>
      <c r="H280" s="3" t="s">
        <v>61</v>
      </c>
      <c r="I280" s="3" t="s">
        <v>114</v>
      </c>
      <c r="J280" s="3">
        <v>2</v>
      </c>
      <c r="K280" s="3">
        <v>2</v>
      </c>
      <c r="L280" s="3">
        <f>VLOOKUP(A280,[1]단품수량!$B$5:$P$27,13,FALSE)*K280</f>
        <v>960</v>
      </c>
      <c r="M280" s="3" t="s">
        <v>35</v>
      </c>
      <c r="N280" s="3" t="s">
        <v>36</v>
      </c>
    </row>
    <row r="281" spans="1:14" ht="18" hidden="1" customHeight="1">
      <c r="A281" s="6">
        <v>10005999</v>
      </c>
      <c r="B281" s="3" t="str">
        <f>VLOOKUP(A281,[1]단품수량!$B$5:$E$27,4,FALSE)</f>
        <v>TRF</v>
      </c>
      <c r="C281" s="3">
        <v>343</v>
      </c>
      <c r="D281" s="3" t="s">
        <v>66</v>
      </c>
      <c r="E281" s="3">
        <v>30111991</v>
      </c>
      <c r="F281" s="3"/>
      <c r="G281" s="3"/>
      <c r="H281" s="3" t="s">
        <v>59</v>
      </c>
      <c r="I281" s="3" t="s">
        <v>216</v>
      </c>
      <c r="J281" s="3">
        <v>2</v>
      </c>
      <c r="K281" s="3">
        <v>2</v>
      </c>
      <c r="L281" s="3">
        <f>VLOOKUP(A281,[1]단품수량!$B$5:$P$27,13,FALSE)*K281</f>
        <v>960</v>
      </c>
      <c r="M281" s="3" t="s">
        <v>27</v>
      </c>
      <c r="N281" s="3" t="s">
        <v>28</v>
      </c>
    </row>
    <row r="282" spans="1:14" ht="18" hidden="1" customHeight="1">
      <c r="A282" s="6">
        <v>10005999</v>
      </c>
      <c r="B282" s="3" t="str">
        <f>VLOOKUP(A282,[1]단품수량!$B$5:$E$27,4,FALSE)</f>
        <v>TRF</v>
      </c>
      <c r="C282" s="3">
        <v>344</v>
      </c>
      <c r="D282" s="3" t="s">
        <v>116</v>
      </c>
      <c r="E282" s="3">
        <v>30120775</v>
      </c>
      <c r="F282" s="3"/>
      <c r="G282" s="3"/>
      <c r="H282" s="3" t="s">
        <v>59</v>
      </c>
      <c r="I282" s="3" t="s">
        <v>232</v>
      </c>
      <c r="J282" s="3">
        <v>1</v>
      </c>
      <c r="K282" s="3">
        <v>1</v>
      </c>
      <c r="L282" s="3">
        <f>VLOOKUP(A282,[1]단품수량!$B$5:$P$27,13,FALSE)*K282</f>
        <v>480</v>
      </c>
      <c r="M282" s="3" t="s">
        <v>27</v>
      </c>
      <c r="N282" s="3" t="s">
        <v>28</v>
      </c>
    </row>
    <row r="283" spans="1:14" ht="18" hidden="1" customHeight="1">
      <c r="A283" s="6">
        <v>10005999</v>
      </c>
      <c r="B283" s="3" t="str">
        <f>VLOOKUP(A283,[1]단품수량!$B$5:$E$27,4,FALSE)</f>
        <v>TRF</v>
      </c>
      <c r="C283" s="3">
        <v>345</v>
      </c>
      <c r="D283" s="3" t="s">
        <v>118</v>
      </c>
      <c r="E283" s="3">
        <v>30115073</v>
      </c>
      <c r="F283" s="3"/>
      <c r="G283" s="3"/>
      <c r="H283" s="3" t="s">
        <v>59</v>
      </c>
      <c r="I283" s="3" t="s">
        <v>122</v>
      </c>
      <c r="J283" s="3">
        <v>1</v>
      </c>
      <c r="K283" s="3">
        <v>1</v>
      </c>
      <c r="L283" s="3">
        <f>VLOOKUP(A283,[1]단품수량!$B$5:$P$27,13,FALSE)*K283</f>
        <v>480</v>
      </c>
      <c r="M283" s="3" t="s">
        <v>27</v>
      </c>
      <c r="N283" s="3" t="s">
        <v>28</v>
      </c>
    </row>
    <row r="284" spans="1:14" ht="18" hidden="1" customHeight="1">
      <c r="A284" s="6">
        <v>10005999</v>
      </c>
      <c r="B284" s="3" t="str">
        <f>VLOOKUP(A284,[1]단품수량!$B$5:$E$27,4,FALSE)</f>
        <v>TRF</v>
      </c>
      <c r="C284" s="3">
        <v>346</v>
      </c>
      <c r="D284" s="3" t="s">
        <v>121</v>
      </c>
      <c r="E284" s="3">
        <v>30081231</v>
      </c>
      <c r="F284" s="3"/>
      <c r="G284" s="3"/>
      <c r="H284" s="3" t="s">
        <v>124</v>
      </c>
      <c r="I284" s="3" t="s">
        <v>125</v>
      </c>
      <c r="J284" s="3">
        <v>16</v>
      </c>
      <c r="K284" s="3">
        <v>16</v>
      </c>
      <c r="L284" s="3">
        <f>VLOOKUP(A284,[1]단품수량!$B$5:$P$27,13,FALSE)*K284</f>
        <v>7680</v>
      </c>
      <c r="M284" s="3" t="s">
        <v>35</v>
      </c>
      <c r="N284" s="3" t="s">
        <v>28</v>
      </c>
    </row>
    <row r="285" spans="1:14" ht="18" hidden="1" customHeight="1">
      <c r="A285" s="6">
        <v>10005999</v>
      </c>
      <c r="B285" s="3" t="str">
        <f>VLOOKUP(A285,[1]단품수량!$B$5:$E$27,4,FALSE)</f>
        <v>TRF</v>
      </c>
      <c r="C285" s="3">
        <v>347</v>
      </c>
      <c r="D285" s="3" t="s">
        <v>46</v>
      </c>
      <c r="E285" s="3">
        <v>30124437</v>
      </c>
      <c r="F285" s="3"/>
      <c r="G285" s="3"/>
      <c r="H285" s="3" t="s">
        <v>167</v>
      </c>
      <c r="I285" s="3" t="s">
        <v>168</v>
      </c>
      <c r="J285" s="3">
        <v>8</v>
      </c>
      <c r="K285" s="3">
        <v>8</v>
      </c>
      <c r="L285" s="3">
        <f>VLOOKUP(A285,[1]단품수량!$B$5:$P$27,13,FALSE)*K285</f>
        <v>3840</v>
      </c>
      <c r="M285" s="3" t="s">
        <v>27</v>
      </c>
      <c r="N285" s="3"/>
    </row>
    <row r="286" spans="1:14" ht="18" hidden="1" customHeight="1">
      <c r="A286" s="5">
        <v>10005986</v>
      </c>
      <c r="B286" s="3" t="str">
        <f>VLOOKUP(A286,[1]단품수량!$B$5:$E$27,4,FALSE)</f>
        <v>CRA</v>
      </c>
      <c r="C286" s="3">
        <v>500</v>
      </c>
      <c r="D286" s="3" t="s">
        <v>101</v>
      </c>
      <c r="E286" s="3">
        <v>30120681</v>
      </c>
      <c r="F286" s="3" t="s">
        <v>525</v>
      </c>
      <c r="G286" s="3"/>
      <c r="H286" s="3" t="s">
        <v>526</v>
      </c>
      <c r="I286" s="3" t="s">
        <v>18</v>
      </c>
      <c r="J286" s="3">
        <v>1</v>
      </c>
      <c r="K286" s="3">
        <v>1</v>
      </c>
      <c r="L286" s="3">
        <f>VLOOKUP(A286,[1]단품수량!$B$5:$P$27,13,FALSE)*K286</f>
        <v>41</v>
      </c>
      <c r="M286" s="3" t="s">
        <v>113</v>
      </c>
      <c r="N286" s="3" t="s">
        <v>231</v>
      </c>
    </row>
    <row r="287" spans="1:14" ht="18" hidden="1" customHeight="1">
      <c r="A287" s="5">
        <v>10005986</v>
      </c>
      <c r="B287" s="3" t="str">
        <f>VLOOKUP(A287,[1]단품수량!$B$5:$E$27,4,FALSE)</f>
        <v>CRA</v>
      </c>
      <c r="C287" s="3">
        <v>508</v>
      </c>
      <c r="D287" s="3" t="s">
        <v>123</v>
      </c>
      <c r="E287" s="3">
        <v>20061628</v>
      </c>
      <c r="F287" s="3" t="s">
        <v>536</v>
      </c>
      <c r="G287" s="3"/>
      <c r="H287" s="3" t="s">
        <v>537</v>
      </c>
      <c r="I287" s="3" t="s">
        <v>18</v>
      </c>
      <c r="J287" s="3">
        <v>1</v>
      </c>
      <c r="K287" s="3">
        <v>1</v>
      </c>
      <c r="L287" s="3">
        <f>VLOOKUP(A287,[1]단품수량!$B$5:$P$27,13,FALSE)*K287</f>
        <v>41</v>
      </c>
      <c r="M287" s="3" t="s">
        <v>113</v>
      </c>
      <c r="N287" s="3" t="s">
        <v>231</v>
      </c>
    </row>
    <row r="288" spans="1:14" ht="18" hidden="1" customHeight="1">
      <c r="A288" s="5">
        <v>10005986</v>
      </c>
      <c r="B288" s="3" t="str">
        <f>VLOOKUP(A288,[1]단품수량!$B$5:$E$27,4,FALSE)</f>
        <v>CRA</v>
      </c>
      <c r="C288" s="3">
        <v>501</v>
      </c>
      <c r="D288" s="3" t="s">
        <v>64</v>
      </c>
      <c r="E288" s="3">
        <v>20061614</v>
      </c>
      <c r="F288" s="3" t="s">
        <v>527</v>
      </c>
      <c r="G288" s="3"/>
      <c r="H288" s="3" t="s">
        <v>528</v>
      </c>
      <c r="I288" s="3" t="s">
        <v>387</v>
      </c>
      <c r="J288" s="3">
        <v>1</v>
      </c>
      <c r="K288" s="3">
        <v>1</v>
      </c>
      <c r="L288" s="3">
        <f>VLOOKUP(A288,[1]단품수량!$B$5:$P$27,13,FALSE)*K288</f>
        <v>41</v>
      </c>
      <c r="M288" s="3" t="s">
        <v>19</v>
      </c>
      <c r="N288" s="3" t="s">
        <v>58</v>
      </c>
    </row>
    <row r="289" spans="1:14" ht="18" hidden="1" customHeight="1">
      <c r="A289" s="5">
        <v>10005986</v>
      </c>
      <c r="B289" s="3" t="str">
        <f>VLOOKUP(A289,[1]단품수량!$B$5:$E$27,4,FALSE)</f>
        <v>CRA</v>
      </c>
      <c r="C289" s="3">
        <v>504</v>
      </c>
      <c r="D289" s="3" t="s">
        <v>66</v>
      </c>
      <c r="E289" s="3">
        <v>30120983</v>
      </c>
      <c r="F289" s="3"/>
      <c r="G289" s="3"/>
      <c r="H289" s="3" t="s">
        <v>529</v>
      </c>
      <c r="I289" s="3" t="s">
        <v>18</v>
      </c>
      <c r="J289" s="3">
        <v>1</v>
      </c>
      <c r="K289" s="3">
        <v>1</v>
      </c>
      <c r="L289" s="3">
        <f>VLOOKUP(A289,[1]단품수량!$B$5:$P$27,13,FALSE)*K289</f>
        <v>41</v>
      </c>
      <c r="M289" s="3" t="s">
        <v>19</v>
      </c>
      <c r="N289" s="3" t="s">
        <v>402</v>
      </c>
    </row>
    <row r="290" spans="1:14" ht="18" hidden="1" customHeight="1">
      <c r="A290" s="5">
        <v>10005986</v>
      </c>
      <c r="B290" s="3" t="str">
        <f>VLOOKUP(A290,[1]단품수량!$B$5:$E$27,4,FALSE)</f>
        <v>CRA</v>
      </c>
      <c r="C290" s="3">
        <v>505</v>
      </c>
      <c r="D290" s="3" t="s">
        <v>116</v>
      </c>
      <c r="E290" s="3">
        <v>30120984</v>
      </c>
      <c r="F290" s="3"/>
      <c r="G290" s="3"/>
      <c r="H290" s="3" t="s">
        <v>530</v>
      </c>
      <c r="I290" s="3" t="s">
        <v>18</v>
      </c>
      <c r="J290" s="3">
        <v>1</v>
      </c>
      <c r="K290" s="3">
        <v>1</v>
      </c>
      <c r="L290" s="3">
        <f>VLOOKUP(A290,[1]단품수량!$B$5:$P$27,13,FALSE)*K290</f>
        <v>41</v>
      </c>
      <c r="M290" s="3" t="s">
        <v>19</v>
      </c>
      <c r="N290" s="3" t="s">
        <v>402</v>
      </c>
    </row>
    <row r="291" spans="1:14" ht="18" hidden="1" customHeight="1">
      <c r="A291" s="5">
        <v>10005986</v>
      </c>
      <c r="B291" s="3" t="str">
        <f>VLOOKUP(A291,[1]단품수량!$B$5:$E$27,4,FALSE)</f>
        <v>CRA</v>
      </c>
      <c r="C291" s="3">
        <v>507</v>
      </c>
      <c r="D291" s="3" t="s">
        <v>121</v>
      </c>
      <c r="E291" s="3">
        <v>20061627</v>
      </c>
      <c r="F291" s="3" t="s">
        <v>534</v>
      </c>
      <c r="G291" s="3"/>
      <c r="H291" s="3" t="s">
        <v>535</v>
      </c>
      <c r="I291" s="3" t="s">
        <v>18</v>
      </c>
      <c r="J291" s="3">
        <v>1</v>
      </c>
      <c r="K291" s="3">
        <v>1</v>
      </c>
      <c r="L291" s="3">
        <f>VLOOKUP(A291,[1]단품수량!$B$5:$P$27,13,FALSE)*K291</f>
        <v>41</v>
      </c>
      <c r="M291" s="3" t="s">
        <v>113</v>
      </c>
      <c r="N291" s="3" t="s">
        <v>231</v>
      </c>
    </row>
    <row r="292" spans="1:14" ht="18" hidden="1" customHeight="1">
      <c r="A292" s="5">
        <v>10005986</v>
      </c>
      <c r="B292" s="3" t="str">
        <f>VLOOKUP(A292,[1]단품수량!$B$5:$E$27,4,FALSE)</f>
        <v>CRA</v>
      </c>
      <c r="C292" s="3">
        <v>509</v>
      </c>
      <c r="D292" s="3" t="s">
        <v>126</v>
      </c>
      <c r="E292" s="3">
        <v>20061629</v>
      </c>
      <c r="F292" s="3" t="s">
        <v>538</v>
      </c>
      <c r="G292" s="3"/>
      <c r="H292" s="3" t="s">
        <v>539</v>
      </c>
      <c r="I292" s="3" t="s">
        <v>18</v>
      </c>
      <c r="J292" s="3">
        <v>1</v>
      </c>
      <c r="K292" s="3">
        <v>1</v>
      </c>
      <c r="L292" s="3">
        <f>VLOOKUP(A292,[1]단품수량!$B$5:$P$27,13,FALSE)*K292</f>
        <v>41</v>
      </c>
      <c r="M292" s="3" t="s">
        <v>113</v>
      </c>
      <c r="N292" s="3" t="s">
        <v>231</v>
      </c>
    </row>
    <row r="293" spans="1:14" ht="18" hidden="1" customHeight="1">
      <c r="A293" s="5">
        <v>10005986</v>
      </c>
      <c r="B293" s="3" t="str">
        <f>VLOOKUP(A293,[1]단품수량!$B$5:$E$27,4,FALSE)</f>
        <v>CRA</v>
      </c>
      <c r="C293" s="3">
        <v>406</v>
      </c>
      <c r="D293" s="3" t="s">
        <v>388</v>
      </c>
      <c r="E293" s="3">
        <v>30118487</v>
      </c>
      <c r="F293" s="3"/>
      <c r="G293" s="3"/>
      <c r="H293" s="3" t="s">
        <v>430</v>
      </c>
      <c r="I293" s="3" t="s">
        <v>431</v>
      </c>
      <c r="J293" s="3">
        <v>1</v>
      </c>
      <c r="K293" s="3">
        <v>1</v>
      </c>
      <c r="L293" s="3">
        <f>VLOOKUP(A293,[1]단품수량!$B$5:$P$27,13,FALSE)*K293</f>
        <v>41</v>
      </c>
      <c r="M293" s="3" t="s">
        <v>27</v>
      </c>
      <c r="N293" s="3" t="s">
        <v>283</v>
      </c>
    </row>
    <row r="294" spans="1:14" ht="18" hidden="1" customHeight="1">
      <c r="A294" s="5">
        <v>10005986</v>
      </c>
      <c r="B294" s="3" t="str">
        <f>VLOOKUP(A294,[1]단품수량!$B$5:$E$27,4,FALSE)</f>
        <v>CRA</v>
      </c>
      <c r="C294" s="3">
        <v>482</v>
      </c>
      <c r="D294" s="3" t="s">
        <v>94</v>
      </c>
      <c r="E294" s="3">
        <v>30120680</v>
      </c>
      <c r="F294" s="3" t="s">
        <v>501</v>
      </c>
      <c r="G294" s="3"/>
      <c r="H294" s="3" t="s">
        <v>502</v>
      </c>
      <c r="I294" s="3" t="s">
        <v>18</v>
      </c>
      <c r="J294" s="3">
        <v>1</v>
      </c>
      <c r="K294" s="3">
        <v>1</v>
      </c>
      <c r="L294" s="3">
        <f>VLOOKUP(A294,[1]단품수량!$B$5:$P$27,13,FALSE)*K294</f>
        <v>41</v>
      </c>
      <c r="M294" s="3" t="s">
        <v>113</v>
      </c>
      <c r="N294" s="3" t="s">
        <v>231</v>
      </c>
    </row>
    <row r="295" spans="1:14" ht="18" hidden="1" customHeight="1">
      <c r="A295" s="5">
        <v>10005986</v>
      </c>
      <c r="B295" s="3" t="str">
        <f>VLOOKUP(A295,[1]단품수량!$B$5:$E$27,4,FALSE)</f>
        <v>CRA</v>
      </c>
      <c r="C295" s="3">
        <v>483</v>
      </c>
      <c r="D295" s="3" t="s">
        <v>64</v>
      </c>
      <c r="E295" s="3">
        <v>20061613</v>
      </c>
      <c r="F295" s="3" t="s">
        <v>503</v>
      </c>
      <c r="G295" s="3"/>
      <c r="H295" s="3" t="s">
        <v>504</v>
      </c>
      <c r="I295" s="3" t="s">
        <v>387</v>
      </c>
      <c r="J295" s="3">
        <v>1</v>
      </c>
      <c r="K295" s="3">
        <v>1</v>
      </c>
      <c r="L295" s="3">
        <f>VLOOKUP(A295,[1]단품수량!$B$5:$P$27,13,FALSE)*K295</f>
        <v>41</v>
      </c>
      <c r="M295" s="3" t="s">
        <v>19</v>
      </c>
      <c r="N295" s="3" t="s">
        <v>58</v>
      </c>
    </row>
    <row r="296" spans="1:14" ht="18" hidden="1" customHeight="1">
      <c r="A296" s="5">
        <v>10005986</v>
      </c>
      <c r="B296" s="3" t="str">
        <f>VLOOKUP(A296,[1]단품수량!$B$5:$E$27,4,FALSE)</f>
        <v>CRA</v>
      </c>
      <c r="C296" s="3">
        <v>353</v>
      </c>
      <c r="D296" s="3" t="s">
        <v>21</v>
      </c>
      <c r="E296" s="3">
        <v>30120956</v>
      </c>
      <c r="F296" s="3" t="s">
        <v>377</v>
      </c>
      <c r="G296" s="3"/>
      <c r="H296" s="3" t="s">
        <v>378</v>
      </c>
      <c r="I296" s="3" t="s">
        <v>379</v>
      </c>
      <c r="J296" s="3">
        <v>1</v>
      </c>
      <c r="K296" s="3">
        <v>1</v>
      </c>
      <c r="L296" s="3">
        <f>VLOOKUP(A296,[1]단품수량!$B$5:$P$27,13,FALSE)*K296</f>
        <v>41</v>
      </c>
      <c r="M296" s="3" t="s">
        <v>19</v>
      </c>
      <c r="N296" s="3" t="s">
        <v>186</v>
      </c>
    </row>
    <row r="297" spans="1:14" ht="18" hidden="1" customHeight="1">
      <c r="A297" s="5">
        <v>10005986</v>
      </c>
      <c r="B297" s="3" t="str">
        <f>VLOOKUP(A297,[1]단품수량!$B$5:$E$27,4,FALSE)</f>
        <v>CRA</v>
      </c>
      <c r="C297" s="3">
        <v>521</v>
      </c>
      <c r="D297" s="3" t="s">
        <v>116</v>
      </c>
      <c r="E297" s="3">
        <v>30128650</v>
      </c>
      <c r="F297" s="3" t="s">
        <v>558</v>
      </c>
      <c r="G297" s="3"/>
      <c r="H297" s="3" t="s">
        <v>559</v>
      </c>
      <c r="I297" s="3" t="s">
        <v>560</v>
      </c>
      <c r="J297" s="3">
        <v>1</v>
      </c>
      <c r="K297" s="3">
        <v>1</v>
      </c>
      <c r="L297" s="3"/>
      <c r="M297" s="3" t="s">
        <v>27</v>
      </c>
      <c r="N297" s="4" t="s">
        <v>20</v>
      </c>
    </row>
    <row r="298" spans="1:14" ht="18" hidden="1" customHeight="1">
      <c r="A298" s="5">
        <v>10005986</v>
      </c>
      <c r="B298" s="3" t="str">
        <f>VLOOKUP(A298,[1]단품수량!$B$5:$E$27,4,FALSE)</f>
        <v>CRA</v>
      </c>
      <c r="C298" s="3">
        <v>408</v>
      </c>
      <c r="D298" s="3" t="s">
        <v>118</v>
      </c>
      <c r="E298" s="3">
        <v>30121676</v>
      </c>
      <c r="F298" s="3"/>
      <c r="G298" s="3"/>
      <c r="H298" s="3" t="s">
        <v>433</v>
      </c>
      <c r="I298" s="3" t="s">
        <v>146</v>
      </c>
      <c r="J298" s="3">
        <v>1</v>
      </c>
      <c r="K298" s="3">
        <v>1</v>
      </c>
      <c r="L298" s="3">
        <f>VLOOKUP(A298,[1]단품수량!$B$5:$P$27,13,FALSE)*K298</f>
        <v>41</v>
      </c>
      <c r="M298" s="3" t="s">
        <v>19</v>
      </c>
      <c r="N298" s="3"/>
    </row>
    <row r="299" spans="1:14" ht="18" hidden="1" customHeight="1">
      <c r="A299" s="5">
        <v>10005986</v>
      </c>
      <c r="B299" s="3" t="str">
        <f>VLOOKUP(A299,[1]단품수량!$B$5:$E$27,4,FALSE)</f>
        <v>CRA</v>
      </c>
      <c r="C299" s="3">
        <v>411</v>
      </c>
      <c r="D299" s="3" t="s">
        <v>409</v>
      </c>
      <c r="E299" s="3">
        <v>30117319</v>
      </c>
      <c r="F299" s="3"/>
      <c r="G299" s="3"/>
      <c r="H299" s="3" t="s">
        <v>437</v>
      </c>
      <c r="I299" s="3" t="s">
        <v>438</v>
      </c>
      <c r="J299" s="3">
        <v>1</v>
      </c>
      <c r="K299" s="3">
        <v>1</v>
      </c>
      <c r="L299" s="3">
        <f>VLOOKUP(A299,[1]단품수량!$B$5:$P$27,13,FALSE)*K299</f>
        <v>41</v>
      </c>
      <c r="M299" s="3" t="s">
        <v>27</v>
      </c>
      <c r="N299" s="3" t="s">
        <v>439</v>
      </c>
    </row>
    <row r="300" spans="1:14" ht="18" hidden="1" customHeight="1">
      <c r="A300" s="5">
        <v>10005986</v>
      </c>
      <c r="B300" s="3" t="str">
        <f>VLOOKUP(A300,[1]단품수량!$B$5:$E$27,4,FALSE)</f>
        <v>CRA</v>
      </c>
      <c r="C300" s="3">
        <v>441</v>
      </c>
      <c r="D300" s="3" t="s">
        <v>49</v>
      </c>
      <c r="E300" s="3">
        <v>30120677</v>
      </c>
      <c r="F300" s="3" t="s">
        <v>463</v>
      </c>
      <c r="G300" s="3"/>
      <c r="H300" s="3" t="s">
        <v>464</v>
      </c>
      <c r="I300" s="3" t="s">
        <v>18</v>
      </c>
      <c r="J300" s="3">
        <v>1</v>
      </c>
      <c r="K300" s="3">
        <v>1</v>
      </c>
      <c r="L300" s="3">
        <f>VLOOKUP(A300,[1]단품수량!$B$5:$P$27,13,FALSE)*K300</f>
        <v>41</v>
      </c>
      <c r="M300" s="3" t="s">
        <v>113</v>
      </c>
      <c r="N300" s="3" t="s">
        <v>231</v>
      </c>
    </row>
    <row r="301" spans="1:14" ht="18" hidden="1" customHeight="1">
      <c r="A301" s="5">
        <v>10005986</v>
      </c>
      <c r="B301" s="3" t="str">
        <f>VLOOKUP(A301,[1]단품수량!$B$5:$E$27,4,FALSE)</f>
        <v>CRA</v>
      </c>
      <c r="C301" s="3">
        <v>442</v>
      </c>
      <c r="D301" s="3" t="s">
        <v>64</v>
      </c>
      <c r="E301" s="3">
        <v>20061610</v>
      </c>
      <c r="F301" s="3" t="s">
        <v>465</v>
      </c>
      <c r="G301" s="3"/>
      <c r="H301" s="3" t="s">
        <v>466</v>
      </c>
      <c r="I301" s="3" t="s">
        <v>387</v>
      </c>
      <c r="J301" s="3">
        <v>1</v>
      </c>
      <c r="K301" s="3">
        <v>1</v>
      </c>
      <c r="L301" s="3">
        <f>VLOOKUP(A301,[1]단품수량!$B$5:$P$27,13,FALSE)*K301</f>
        <v>41</v>
      </c>
      <c r="M301" s="3" t="s">
        <v>19</v>
      </c>
      <c r="N301" s="3" t="s">
        <v>58</v>
      </c>
    </row>
    <row r="302" spans="1:14" ht="18" hidden="1" customHeight="1">
      <c r="A302" s="5">
        <v>10005986</v>
      </c>
      <c r="B302" s="3" t="str">
        <f>VLOOKUP(A302,[1]단품수량!$B$5:$E$27,4,FALSE)</f>
        <v>CRA</v>
      </c>
      <c r="C302" s="3">
        <v>445</v>
      </c>
      <c r="D302" s="3" t="s">
        <v>66</v>
      </c>
      <c r="E302" s="3">
        <v>30120993</v>
      </c>
      <c r="F302" s="3"/>
      <c r="G302" s="3"/>
      <c r="H302" s="3" t="s">
        <v>467</v>
      </c>
      <c r="I302" s="3" t="s">
        <v>18</v>
      </c>
      <c r="J302" s="3">
        <v>1</v>
      </c>
      <c r="K302" s="3">
        <v>1</v>
      </c>
      <c r="L302" s="3">
        <f>VLOOKUP(A302,[1]단품수량!$B$5:$P$27,13,FALSE)*K302</f>
        <v>41</v>
      </c>
      <c r="M302" s="3" t="s">
        <v>19</v>
      </c>
      <c r="N302" s="3" t="s">
        <v>186</v>
      </c>
    </row>
    <row r="303" spans="1:14" ht="18" hidden="1" customHeight="1">
      <c r="A303" s="5">
        <v>10005986</v>
      </c>
      <c r="B303" s="3" t="str">
        <f>VLOOKUP(A303,[1]단품수량!$B$5:$E$27,4,FALSE)</f>
        <v>CRA</v>
      </c>
      <c r="C303" s="3">
        <v>459</v>
      </c>
      <c r="D303" s="3" t="s">
        <v>252</v>
      </c>
      <c r="E303" s="3">
        <v>20061701</v>
      </c>
      <c r="F303" s="3" t="s">
        <v>475</v>
      </c>
      <c r="G303" s="3"/>
      <c r="H303" s="3" t="s">
        <v>476</v>
      </c>
      <c r="I303" s="3" t="s">
        <v>146</v>
      </c>
      <c r="J303" s="3">
        <v>1</v>
      </c>
      <c r="K303" s="3">
        <v>1</v>
      </c>
      <c r="L303" s="3">
        <f>VLOOKUP(A303,[1]단품수량!$B$5:$P$27,13,FALSE)*K303</f>
        <v>41</v>
      </c>
      <c r="M303" s="3" t="s">
        <v>27</v>
      </c>
      <c r="N303" s="3"/>
    </row>
    <row r="304" spans="1:14" ht="18" hidden="1" customHeight="1">
      <c r="A304" s="5">
        <v>10005986</v>
      </c>
      <c r="B304" s="3" t="str">
        <f>VLOOKUP(A304,[1]단품수량!$B$5:$E$27,4,FALSE)</f>
        <v>CRA</v>
      </c>
      <c r="C304" s="3">
        <v>352</v>
      </c>
      <c r="D304" s="3" t="s">
        <v>15</v>
      </c>
      <c r="E304" s="3">
        <v>10006237</v>
      </c>
      <c r="F304" s="3" t="s">
        <v>375</v>
      </c>
      <c r="G304" s="3"/>
      <c r="H304" s="8" t="s">
        <v>376</v>
      </c>
      <c r="I304" s="3" t="s">
        <v>18</v>
      </c>
      <c r="J304" s="3">
        <v>1</v>
      </c>
      <c r="K304" s="3">
        <v>1</v>
      </c>
      <c r="L304" s="3">
        <f>VLOOKUP(A304,[1]단품수량!$B$5:$P$27,13,FALSE)*K304</f>
        <v>41</v>
      </c>
      <c r="M304" s="3" t="s">
        <v>113</v>
      </c>
      <c r="N304" s="3" t="s">
        <v>108</v>
      </c>
    </row>
    <row r="305" spans="1:14" ht="18" hidden="1" customHeight="1">
      <c r="A305" s="5">
        <v>10005986</v>
      </c>
      <c r="B305" s="3" t="str">
        <f>VLOOKUP(A305,[1]단품수량!$B$5:$E$27,4,FALSE)</f>
        <v>CRA</v>
      </c>
      <c r="C305" s="3">
        <v>446</v>
      </c>
      <c r="D305" s="3" t="s">
        <v>388</v>
      </c>
      <c r="E305" s="3">
        <v>30118520</v>
      </c>
      <c r="F305" s="3"/>
      <c r="G305" s="3"/>
      <c r="H305" s="12" t="s">
        <v>468</v>
      </c>
      <c r="I305" s="12" t="s">
        <v>469</v>
      </c>
      <c r="J305" s="3">
        <v>1</v>
      </c>
      <c r="K305" s="3">
        <v>1</v>
      </c>
      <c r="L305" s="3">
        <f>VLOOKUP(A305,[1]단품수량!$B$5:$P$27,13,FALSE)*K305</f>
        <v>41</v>
      </c>
      <c r="M305" s="3" t="s">
        <v>27</v>
      </c>
      <c r="N305" s="3" t="s">
        <v>283</v>
      </c>
    </row>
    <row r="306" spans="1:14" ht="18" hidden="1" customHeight="1">
      <c r="A306" s="5">
        <v>10005986</v>
      </c>
      <c r="B306" s="3" t="str">
        <f>VLOOKUP(A306,[1]단품수량!$B$5:$E$27,4,FALSE)</f>
        <v>CRA</v>
      </c>
      <c r="C306" s="3">
        <v>464</v>
      </c>
      <c r="D306" s="3" t="s">
        <v>254</v>
      </c>
      <c r="E306" s="3">
        <v>30118520</v>
      </c>
      <c r="F306" s="3"/>
      <c r="G306" s="3"/>
      <c r="H306" s="12" t="s">
        <v>468</v>
      </c>
      <c r="I306" s="12" t="s">
        <v>469</v>
      </c>
      <c r="J306" s="3">
        <v>1</v>
      </c>
      <c r="K306" s="3">
        <v>1</v>
      </c>
      <c r="L306" s="3">
        <f>VLOOKUP(A306,[1]단품수량!$B$5:$P$27,13,FALSE)*K306</f>
        <v>41</v>
      </c>
      <c r="M306" s="3" t="s">
        <v>27</v>
      </c>
      <c r="N306" s="3" t="s">
        <v>283</v>
      </c>
    </row>
    <row r="307" spans="1:14" ht="18" hidden="1" customHeight="1">
      <c r="A307" s="5">
        <v>10005986</v>
      </c>
      <c r="B307" s="3" t="str">
        <f>VLOOKUP(A307,[1]단품수량!$B$5:$E$27,4,FALSE)</f>
        <v>CRA</v>
      </c>
      <c r="C307" s="3">
        <v>447</v>
      </c>
      <c r="D307" s="3" t="s">
        <v>470</v>
      </c>
      <c r="E307" s="3">
        <v>30125123</v>
      </c>
      <c r="F307" s="3"/>
      <c r="G307" s="3"/>
      <c r="H307" s="3" t="s">
        <v>471</v>
      </c>
      <c r="I307" s="3" t="s">
        <v>472</v>
      </c>
      <c r="J307" s="3">
        <v>1</v>
      </c>
      <c r="K307" s="3">
        <v>1</v>
      </c>
      <c r="L307" s="3">
        <f>VLOOKUP(A307,[1]단품수량!$B$5:$P$27,13,FALSE)*K307</f>
        <v>41</v>
      </c>
      <c r="M307" s="3" t="s">
        <v>27</v>
      </c>
      <c r="N307" s="3" t="s">
        <v>283</v>
      </c>
    </row>
    <row r="308" spans="1:14" ht="18" hidden="1" customHeight="1">
      <c r="A308" s="5">
        <v>10005986</v>
      </c>
      <c r="B308" s="3" t="str">
        <f>VLOOKUP(A308,[1]단품수량!$B$5:$E$27,4,FALSE)</f>
        <v>CRA</v>
      </c>
      <c r="C308" s="3">
        <v>380</v>
      </c>
      <c r="D308" s="3" t="s">
        <v>409</v>
      </c>
      <c r="E308" s="3">
        <v>30118492</v>
      </c>
      <c r="F308" s="3"/>
      <c r="G308" s="3"/>
      <c r="H308" s="3" t="s">
        <v>59</v>
      </c>
      <c r="I308" s="3" t="s">
        <v>410</v>
      </c>
      <c r="J308" s="3">
        <v>1</v>
      </c>
      <c r="K308" s="3">
        <v>1</v>
      </c>
      <c r="L308" s="3">
        <f>VLOOKUP(A308,[1]단품수량!$B$5:$P$27,13,FALSE)*K308</f>
        <v>41</v>
      </c>
      <c r="M308" s="3" t="s">
        <v>27</v>
      </c>
      <c r="N308" s="3" t="s">
        <v>28</v>
      </c>
    </row>
    <row r="309" spans="1:14" ht="18" hidden="1" customHeight="1">
      <c r="A309" s="5">
        <v>10005986</v>
      </c>
      <c r="B309" s="3" t="str">
        <f>VLOOKUP(A309,[1]단품수량!$B$5:$E$27,4,FALSE)</f>
        <v>CRA</v>
      </c>
      <c r="C309" s="3">
        <v>383</v>
      </c>
      <c r="D309" s="3" t="s">
        <v>414</v>
      </c>
      <c r="E309" s="3">
        <v>30115073</v>
      </c>
      <c r="F309" s="3"/>
      <c r="G309" s="3"/>
      <c r="H309" s="3" t="s">
        <v>59</v>
      </c>
      <c r="I309" s="3" t="s">
        <v>122</v>
      </c>
      <c r="J309" s="3">
        <v>1</v>
      </c>
      <c r="K309" s="3">
        <v>1</v>
      </c>
      <c r="L309" s="3">
        <f>VLOOKUP(A309,[1]단품수량!$B$5:$P$27,13,FALSE)*K309</f>
        <v>41</v>
      </c>
      <c r="M309" s="3" t="s">
        <v>27</v>
      </c>
      <c r="N309" s="3" t="s">
        <v>28</v>
      </c>
    </row>
    <row r="310" spans="1:14" ht="18" hidden="1" customHeight="1">
      <c r="A310" s="5">
        <v>10005986</v>
      </c>
      <c r="B310" s="3" t="str">
        <f>VLOOKUP(A310,[1]단품수량!$B$5:$E$27,4,FALSE)</f>
        <v>CRA</v>
      </c>
      <c r="C310" s="3">
        <v>407</v>
      </c>
      <c r="D310" s="3" t="s">
        <v>116</v>
      </c>
      <c r="E310" s="3">
        <v>30099795</v>
      </c>
      <c r="F310" s="3"/>
      <c r="G310" s="3"/>
      <c r="H310" s="3" t="s">
        <v>59</v>
      </c>
      <c r="I310" s="3" t="s">
        <v>432</v>
      </c>
      <c r="J310" s="3">
        <v>1</v>
      </c>
      <c r="K310" s="3">
        <v>1</v>
      </c>
      <c r="L310" s="3">
        <f>VLOOKUP(A310,[1]단품수량!$B$5:$P$27,13,FALSE)*K310</f>
        <v>41</v>
      </c>
      <c r="M310" s="3" t="s">
        <v>27</v>
      </c>
      <c r="N310" s="3" t="s">
        <v>28</v>
      </c>
    </row>
    <row r="311" spans="1:14" ht="18" hidden="1" customHeight="1">
      <c r="A311" s="5">
        <v>10005986</v>
      </c>
      <c r="B311" s="3" t="str">
        <f>VLOOKUP(A311,[1]단품수량!$B$5:$E$27,4,FALSE)</f>
        <v>CRA</v>
      </c>
      <c r="C311" s="3">
        <v>409</v>
      </c>
      <c r="D311" s="3" t="s">
        <v>388</v>
      </c>
      <c r="E311" s="3">
        <v>30121027</v>
      </c>
      <c r="F311" s="3"/>
      <c r="G311" s="3"/>
      <c r="H311" s="3" t="s">
        <v>59</v>
      </c>
      <c r="I311" s="3" t="s">
        <v>434</v>
      </c>
      <c r="J311" s="3">
        <v>1</v>
      </c>
      <c r="K311" s="3">
        <v>1</v>
      </c>
      <c r="L311" s="3">
        <f>VLOOKUP(A311,[1]단품수량!$B$5:$P$27,13,FALSE)*K311</f>
        <v>41</v>
      </c>
      <c r="M311" s="3" t="s">
        <v>27</v>
      </c>
      <c r="N311" s="3" t="s">
        <v>28</v>
      </c>
    </row>
    <row r="312" spans="1:14" ht="18" hidden="1" customHeight="1">
      <c r="A312" s="5">
        <v>10005986</v>
      </c>
      <c r="B312" s="3" t="str">
        <f>VLOOKUP(A312,[1]단품수량!$B$5:$E$27,4,FALSE)</f>
        <v>CRA</v>
      </c>
      <c r="C312" s="3">
        <v>412</v>
      </c>
      <c r="D312" s="3" t="s">
        <v>121</v>
      </c>
      <c r="E312" s="3">
        <v>30121677</v>
      </c>
      <c r="F312" s="3"/>
      <c r="G312" s="3"/>
      <c r="H312" s="3" t="s">
        <v>59</v>
      </c>
      <c r="I312" s="3" t="s">
        <v>440</v>
      </c>
      <c r="J312" s="3">
        <v>3</v>
      </c>
      <c r="K312" s="3">
        <v>3</v>
      </c>
      <c r="L312" s="3">
        <f>VLOOKUP(A312,[1]단품수량!$B$5:$P$27,13,FALSE)*K312</f>
        <v>123</v>
      </c>
      <c r="M312" s="3" t="s">
        <v>27</v>
      </c>
      <c r="N312" s="3" t="s">
        <v>368</v>
      </c>
    </row>
    <row r="313" spans="1:14" ht="18" hidden="1" customHeight="1">
      <c r="A313" s="5">
        <v>10005986</v>
      </c>
      <c r="B313" s="3" t="str">
        <f>VLOOKUP(A313,[1]단품수량!$B$5:$E$27,4,FALSE)</f>
        <v>CRA</v>
      </c>
      <c r="C313" s="3">
        <v>414</v>
      </c>
      <c r="D313" s="3" t="s">
        <v>388</v>
      </c>
      <c r="E313" s="3">
        <v>30120276</v>
      </c>
      <c r="F313" s="3"/>
      <c r="G313" s="3"/>
      <c r="H313" s="3" t="s">
        <v>59</v>
      </c>
      <c r="I313" s="3" t="s">
        <v>442</v>
      </c>
      <c r="J313" s="3">
        <v>3</v>
      </c>
      <c r="K313" s="3">
        <v>3</v>
      </c>
      <c r="L313" s="3">
        <f>VLOOKUP(A313,[1]단품수량!$B$5:$P$27,13,FALSE)*K313</f>
        <v>123</v>
      </c>
      <c r="M313" s="3" t="s">
        <v>27</v>
      </c>
      <c r="N313" s="3" t="s">
        <v>28</v>
      </c>
    </row>
    <row r="314" spans="1:14" ht="18" hidden="1" customHeight="1">
      <c r="A314" s="5">
        <v>10005986</v>
      </c>
      <c r="B314" s="3" t="str">
        <f>VLOOKUP(A314,[1]단품수량!$B$5:$E$27,4,FALSE)</f>
        <v>CRA</v>
      </c>
      <c r="C314" s="3">
        <v>416</v>
      </c>
      <c r="D314" s="3" t="s">
        <v>126</v>
      </c>
      <c r="E314" s="3">
        <v>30118489</v>
      </c>
      <c r="F314" s="3"/>
      <c r="G314" s="3"/>
      <c r="H314" s="3" t="s">
        <v>59</v>
      </c>
      <c r="I314" s="3" t="s">
        <v>443</v>
      </c>
      <c r="J314" s="3">
        <v>1</v>
      </c>
      <c r="K314" s="3">
        <v>1</v>
      </c>
      <c r="L314" s="3">
        <f>VLOOKUP(A314,[1]단품수량!$B$5:$P$27,13,FALSE)*K314</f>
        <v>41</v>
      </c>
      <c r="M314" s="3" t="s">
        <v>27</v>
      </c>
      <c r="N314" s="3" t="s">
        <v>36</v>
      </c>
    </row>
    <row r="315" spans="1:14" ht="18" hidden="1" customHeight="1">
      <c r="A315" s="5">
        <v>10005986</v>
      </c>
      <c r="B315" s="3" t="str">
        <f>VLOOKUP(A315,[1]단품수량!$B$5:$E$27,4,FALSE)</f>
        <v>CRA</v>
      </c>
      <c r="C315" s="3">
        <v>425</v>
      </c>
      <c r="D315" s="3" t="s">
        <v>409</v>
      </c>
      <c r="E315" s="3">
        <v>30118248</v>
      </c>
      <c r="F315" s="3"/>
      <c r="G315" s="3"/>
      <c r="H315" s="3" t="s">
        <v>59</v>
      </c>
      <c r="I315" s="3" t="s">
        <v>452</v>
      </c>
      <c r="J315" s="3">
        <v>1</v>
      </c>
      <c r="K315" s="3">
        <v>1</v>
      </c>
      <c r="L315" s="3">
        <f>VLOOKUP(A315,[1]단품수량!$B$5:$P$27,13,FALSE)*K315</f>
        <v>41</v>
      </c>
      <c r="M315" s="3" t="s">
        <v>27</v>
      </c>
      <c r="N315" s="3" t="s">
        <v>36</v>
      </c>
    </row>
    <row r="316" spans="1:14" ht="18" hidden="1" customHeight="1">
      <c r="A316" s="5">
        <v>10005986</v>
      </c>
      <c r="B316" s="3" t="str">
        <f>VLOOKUP(A316,[1]단품수량!$B$5:$E$27,4,FALSE)</f>
        <v>CRA</v>
      </c>
      <c r="C316" s="3">
        <v>426</v>
      </c>
      <c r="D316" s="3" t="s">
        <v>116</v>
      </c>
      <c r="E316" s="3">
        <v>30099795</v>
      </c>
      <c r="F316" s="3"/>
      <c r="G316" s="3"/>
      <c r="H316" s="3" t="s">
        <v>59</v>
      </c>
      <c r="I316" s="3" t="s">
        <v>432</v>
      </c>
      <c r="J316" s="3">
        <v>1</v>
      </c>
      <c r="K316" s="3">
        <v>1</v>
      </c>
      <c r="L316" s="3">
        <f>VLOOKUP(A316,[1]단품수량!$B$5:$P$27,13,FALSE)*K316</f>
        <v>41</v>
      </c>
      <c r="M316" s="3" t="s">
        <v>27</v>
      </c>
      <c r="N316" s="3" t="s">
        <v>28</v>
      </c>
    </row>
    <row r="317" spans="1:14" ht="18" hidden="1" customHeight="1">
      <c r="A317" s="5">
        <v>10005986</v>
      </c>
      <c r="B317" s="3" t="str">
        <f>VLOOKUP(A317,[1]단품수량!$B$5:$E$27,4,FALSE)</f>
        <v>CRA</v>
      </c>
      <c r="C317" s="3">
        <v>461</v>
      </c>
      <c r="D317" s="3" t="s">
        <v>391</v>
      </c>
      <c r="E317" s="3">
        <v>30118492</v>
      </c>
      <c r="F317" s="3"/>
      <c r="G317" s="3"/>
      <c r="H317" s="3" t="s">
        <v>59</v>
      </c>
      <c r="I317" s="3" t="s">
        <v>410</v>
      </c>
      <c r="J317" s="3">
        <v>1</v>
      </c>
      <c r="K317" s="3">
        <v>1</v>
      </c>
      <c r="L317" s="3">
        <f>VLOOKUP(A317,[1]단품수량!$B$5:$P$27,13,FALSE)*K317</f>
        <v>41</v>
      </c>
      <c r="M317" s="3" t="s">
        <v>27</v>
      </c>
      <c r="N317" s="3" t="s">
        <v>28</v>
      </c>
    </row>
    <row r="318" spans="1:14" ht="18" hidden="1" customHeight="1">
      <c r="A318" s="5">
        <v>10005986</v>
      </c>
      <c r="B318" s="3" t="str">
        <f>VLOOKUP(A318,[1]단품수량!$B$5:$E$27,4,FALSE)</f>
        <v>CRA</v>
      </c>
      <c r="C318" s="3">
        <v>462</v>
      </c>
      <c r="D318" s="3" t="s">
        <v>409</v>
      </c>
      <c r="E318" s="3">
        <v>30118491</v>
      </c>
      <c r="F318" s="3"/>
      <c r="G318" s="3"/>
      <c r="H318" s="3" t="s">
        <v>59</v>
      </c>
      <c r="I318" s="3" t="s">
        <v>477</v>
      </c>
      <c r="J318" s="3">
        <v>1</v>
      </c>
      <c r="K318" s="3">
        <v>1</v>
      </c>
      <c r="L318" s="3">
        <f>VLOOKUP(A318,[1]단품수량!$B$5:$P$27,13,FALSE)*K318</f>
        <v>41</v>
      </c>
      <c r="M318" s="3" t="s">
        <v>27</v>
      </c>
      <c r="N318" s="3" t="s">
        <v>28</v>
      </c>
    </row>
    <row r="319" spans="1:14" ht="18" hidden="1" customHeight="1">
      <c r="A319" s="5">
        <v>10005986</v>
      </c>
      <c r="B319" s="3" t="str">
        <f>VLOOKUP(A319,[1]단품수량!$B$5:$E$27,4,FALSE)</f>
        <v>CRA</v>
      </c>
      <c r="C319" s="3">
        <v>496</v>
      </c>
      <c r="D319" s="3" t="s">
        <v>118</v>
      </c>
      <c r="E319" s="3">
        <v>30120233</v>
      </c>
      <c r="F319" s="3"/>
      <c r="G319" s="3"/>
      <c r="H319" s="3" t="s">
        <v>59</v>
      </c>
      <c r="I319" s="3" t="s">
        <v>520</v>
      </c>
      <c r="J319" s="3">
        <v>1</v>
      </c>
      <c r="K319" s="3">
        <v>1</v>
      </c>
      <c r="L319" s="3">
        <f>VLOOKUP(A319,[1]단품수량!$B$5:$P$27,13,FALSE)*K319</f>
        <v>41</v>
      </c>
      <c r="M319" s="3" t="s">
        <v>27</v>
      </c>
      <c r="N319" s="3" t="s">
        <v>289</v>
      </c>
    </row>
    <row r="320" spans="1:14" ht="18" hidden="1" customHeight="1">
      <c r="A320" s="5">
        <v>10005986</v>
      </c>
      <c r="B320" s="3" t="str">
        <f>VLOOKUP(A320,[1]단품수량!$B$5:$E$27,4,FALSE)</f>
        <v>CRA</v>
      </c>
      <c r="C320" s="3">
        <v>497</v>
      </c>
      <c r="D320" s="3" t="s">
        <v>121</v>
      </c>
      <c r="E320" s="3">
        <v>30120756</v>
      </c>
      <c r="F320" s="3"/>
      <c r="G320" s="3"/>
      <c r="H320" s="3" t="s">
        <v>59</v>
      </c>
      <c r="I320" s="3" t="s">
        <v>521</v>
      </c>
      <c r="J320" s="3">
        <v>1</v>
      </c>
      <c r="K320" s="3">
        <v>1</v>
      </c>
      <c r="L320" s="3">
        <f>VLOOKUP(A320,[1]단품수량!$B$5:$P$27,13,FALSE)*K320</f>
        <v>41</v>
      </c>
      <c r="M320" s="3" t="s">
        <v>27</v>
      </c>
      <c r="N320" s="3" t="s">
        <v>28</v>
      </c>
    </row>
    <row r="321" spans="1:14" ht="18" hidden="1" customHeight="1">
      <c r="A321" s="5">
        <v>10005986</v>
      </c>
      <c r="B321" s="3" t="str">
        <f>VLOOKUP(A321,[1]단품수량!$B$5:$E$27,4,FALSE)</f>
        <v>CRA</v>
      </c>
      <c r="C321" s="3">
        <v>499</v>
      </c>
      <c r="D321" s="3" t="s">
        <v>126</v>
      </c>
      <c r="E321" s="3">
        <v>30121678</v>
      </c>
      <c r="F321" s="3"/>
      <c r="G321" s="3"/>
      <c r="H321" s="3" t="s">
        <v>59</v>
      </c>
      <c r="I321" s="3" t="s">
        <v>524</v>
      </c>
      <c r="J321" s="3">
        <v>1</v>
      </c>
      <c r="K321" s="3">
        <v>1</v>
      </c>
      <c r="L321" s="3">
        <f>VLOOKUP(A321,[1]단품수량!$B$5:$P$27,13,FALSE)*K321</f>
        <v>41</v>
      </c>
      <c r="M321" s="3" t="s">
        <v>27</v>
      </c>
      <c r="N321" s="3" t="s">
        <v>28</v>
      </c>
    </row>
    <row r="322" spans="1:14" ht="18" hidden="1" customHeight="1">
      <c r="A322" s="5">
        <v>10005986</v>
      </c>
      <c r="B322" s="3" t="str">
        <f>VLOOKUP(A322,[1]단품수량!$B$5:$E$27,4,FALSE)</f>
        <v>CRA</v>
      </c>
      <c r="C322" s="3">
        <v>510</v>
      </c>
      <c r="D322" s="3" t="s">
        <v>129</v>
      </c>
      <c r="E322" s="3">
        <v>30120233</v>
      </c>
      <c r="F322" s="3"/>
      <c r="G322" s="3"/>
      <c r="H322" s="3" t="s">
        <v>59</v>
      </c>
      <c r="I322" s="3" t="s">
        <v>520</v>
      </c>
      <c r="J322" s="3">
        <v>2</v>
      </c>
      <c r="K322" s="3">
        <v>2</v>
      </c>
      <c r="L322" s="3">
        <f>VLOOKUP(A322,[1]단품수량!$B$5:$P$27,13,FALSE)*K322</f>
        <v>82</v>
      </c>
      <c r="M322" s="3" t="s">
        <v>27</v>
      </c>
      <c r="N322" s="3" t="s">
        <v>289</v>
      </c>
    </row>
    <row r="323" spans="1:14" ht="18" hidden="1" customHeight="1">
      <c r="A323" s="5">
        <v>10005986</v>
      </c>
      <c r="B323" s="3" t="str">
        <f>VLOOKUP(A323,[1]단품수량!$B$5:$E$27,4,FALSE)</f>
        <v>CRA</v>
      </c>
      <c r="C323" s="3">
        <v>511</v>
      </c>
      <c r="D323" s="3" t="s">
        <v>246</v>
      </c>
      <c r="E323" s="3">
        <v>30120756</v>
      </c>
      <c r="F323" s="3"/>
      <c r="G323" s="3"/>
      <c r="H323" s="3" t="s">
        <v>59</v>
      </c>
      <c r="I323" s="3" t="s">
        <v>521</v>
      </c>
      <c r="J323" s="3">
        <v>2</v>
      </c>
      <c r="K323" s="3">
        <v>2</v>
      </c>
      <c r="L323" s="3">
        <f>VLOOKUP(A323,[1]단품수량!$B$5:$P$27,13,FALSE)*K323</f>
        <v>82</v>
      </c>
      <c r="M323" s="3" t="s">
        <v>27</v>
      </c>
      <c r="N323" s="3" t="s">
        <v>28</v>
      </c>
    </row>
    <row r="324" spans="1:14" ht="18" hidden="1" customHeight="1">
      <c r="A324" s="5">
        <v>10005986</v>
      </c>
      <c r="B324" s="3" t="str">
        <f>VLOOKUP(A324,[1]단품수량!$B$5:$E$27,4,FALSE)</f>
        <v>CRA</v>
      </c>
      <c r="C324" s="3">
        <v>513</v>
      </c>
      <c r="D324" s="3" t="s">
        <v>250</v>
      </c>
      <c r="E324" s="3">
        <v>30121678</v>
      </c>
      <c r="F324" s="3"/>
      <c r="G324" s="3"/>
      <c r="H324" s="3" t="s">
        <v>59</v>
      </c>
      <c r="I324" s="3" t="s">
        <v>524</v>
      </c>
      <c r="J324" s="3">
        <v>2</v>
      </c>
      <c r="K324" s="3">
        <v>2</v>
      </c>
      <c r="L324" s="3">
        <f>VLOOKUP(A324,[1]단품수량!$B$5:$P$27,13,FALSE)*K324</f>
        <v>82</v>
      </c>
      <c r="M324" s="3" t="s">
        <v>27</v>
      </c>
      <c r="N324" s="3" t="s">
        <v>28</v>
      </c>
    </row>
    <row r="325" spans="1:14" ht="18" hidden="1" customHeight="1">
      <c r="A325" s="5">
        <v>10005986</v>
      </c>
      <c r="B325" s="3" t="str">
        <f>VLOOKUP(A325,[1]단품수량!$B$5:$E$27,4,FALSE)</f>
        <v>CRA</v>
      </c>
      <c r="C325" s="3">
        <v>498</v>
      </c>
      <c r="D325" s="3" t="s">
        <v>123</v>
      </c>
      <c r="E325" s="3">
        <v>30120757</v>
      </c>
      <c r="F325" s="3"/>
      <c r="G325" s="3"/>
      <c r="H325" s="3" t="s">
        <v>522</v>
      </c>
      <c r="I325" s="3" t="s">
        <v>523</v>
      </c>
      <c r="J325" s="3">
        <v>37</v>
      </c>
      <c r="K325" s="3">
        <v>37</v>
      </c>
      <c r="L325" s="3">
        <f>VLOOKUP(A325,[1]단품수량!$B$5:$P$27,13,FALSE)*K325</f>
        <v>1517</v>
      </c>
      <c r="M325" s="3" t="s">
        <v>27</v>
      </c>
      <c r="N325" s="3" t="s">
        <v>28</v>
      </c>
    </row>
    <row r="326" spans="1:14" ht="18" hidden="1" customHeight="1">
      <c r="A326" s="5">
        <v>10005986</v>
      </c>
      <c r="B326" s="3" t="str">
        <f>VLOOKUP(A326,[1]단품수량!$B$5:$E$27,4,FALSE)</f>
        <v>CRA</v>
      </c>
      <c r="C326" s="3">
        <v>512</v>
      </c>
      <c r="D326" s="3" t="s">
        <v>248</v>
      </c>
      <c r="E326" s="3">
        <v>30120757</v>
      </c>
      <c r="F326" s="3"/>
      <c r="G326" s="3"/>
      <c r="H326" s="3" t="s">
        <v>522</v>
      </c>
      <c r="I326" s="3" t="s">
        <v>523</v>
      </c>
      <c r="J326" s="3">
        <v>74</v>
      </c>
      <c r="K326" s="3">
        <v>74</v>
      </c>
      <c r="L326" s="3">
        <f>VLOOKUP(A326,[1]단품수량!$B$5:$P$27,13,FALSE)*K326</f>
        <v>3034</v>
      </c>
      <c r="M326" s="3" t="s">
        <v>27</v>
      </c>
      <c r="N326" s="3" t="s">
        <v>28</v>
      </c>
    </row>
    <row r="327" spans="1:14" ht="18" hidden="1" customHeight="1">
      <c r="A327" s="5">
        <v>10005986</v>
      </c>
      <c r="B327" s="3" t="str">
        <f>VLOOKUP(A327,[1]단품수량!$B$5:$E$27,4,FALSE)</f>
        <v>CRA</v>
      </c>
      <c r="C327" s="3">
        <v>456</v>
      </c>
      <c r="D327" s="3" t="s">
        <v>246</v>
      </c>
      <c r="E327" s="3">
        <v>30118559</v>
      </c>
      <c r="F327" s="3"/>
      <c r="G327" s="3"/>
      <c r="H327" s="12" t="s">
        <v>473</v>
      </c>
      <c r="I327" s="12" t="s">
        <v>474</v>
      </c>
      <c r="J327" s="3">
        <v>1</v>
      </c>
      <c r="K327" s="3">
        <v>1</v>
      </c>
      <c r="L327" s="3">
        <f>VLOOKUP(A327,[1]단품수량!$B$5:$P$27,13,FALSE)*K327</f>
        <v>41</v>
      </c>
      <c r="M327" s="3" t="s">
        <v>35</v>
      </c>
      <c r="N327" s="3" t="s">
        <v>36</v>
      </c>
    </row>
    <row r="328" spans="1:14" ht="18" hidden="1" customHeight="1">
      <c r="A328" s="5">
        <v>10005986</v>
      </c>
      <c r="B328" s="3" t="str">
        <f>VLOOKUP(A328,[1]단품수량!$B$5:$E$27,4,FALSE)</f>
        <v>CRA</v>
      </c>
      <c r="C328" s="3">
        <v>454</v>
      </c>
      <c r="D328" s="3" t="s">
        <v>126</v>
      </c>
      <c r="E328" s="3">
        <v>30118553</v>
      </c>
      <c r="F328" s="3"/>
      <c r="G328" s="3"/>
      <c r="H328" s="12" t="s">
        <v>366</v>
      </c>
      <c r="I328" s="12" t="s">
        <v>367</v>
      </c>
      <c r="J328" s="3">
        <v>1</v>
      </c>
      <c r="K328" s="3">
        <v>1</v>
      </c>
      <c r="L328" s="3">
        <f>VLOOKUP(A328,[1]단품수량!$B$5:$P$27,13,FALSE)*K328</f>
        <v>41</v>
      </c>
      <c r="M328" s="3" t="s">
        <v>35</v>
      </c>
      <c r="N328" s="3" t="s">
        <v>36</v>
      </c>
    </row>
    <row r="329" spans="1:14" ht="18" hidden="1" customHeight="1">
      <c r="A329" s="5">
        <v>10005986</v>
      </c>
      <c r="B329" s="3" t="str">
        <f>VLOOKUP(A329,[1]단품수량!$B$5:$E$27,4,FALSE)</f>
        <v>CRA</v>
      </c>
      <c r="C329" s="3">
        <v>374</v>
      </c>
      <c r="D329" s="3" t="s">
        <v>250</v>
      </c>
      <c r="E329" s="3">
        <v>30118561</v>
      </c>
      <c r="F329" s="3"/>
      <c r="G329" s="3"/>
      <c r="H329" s="12" t="s">
        <v>190</v>
      </c>
      <c r="I329" s="12" t="s">
        <v>191</v>
      </c>
      <c r="J329" s="3">
        <v>1</v>
      </c>
      <c r="K329" s="3">
        <v>1</v>
      </c>
      <c r="L329" s="3">
        <f>VLOOKUP(A329,[1]단품수량!$B$5:$P$27,13,FALSE)*K329</f>
        <v>41</v>
      </c>
      <c r="M329" s="3" t="s">
        <v>35</v>
      </c>
      <c r="N329" s="3" t="s">
        <v>36</v>
      </c>
    </row>
    <row r="330" spans="1:14" ht="18" hidden="1" customHeight="1">
      <c r="A330" s="5">
        <v>10005986</v>
      </c>
      <c r="B330" s="3" t="str">
        <f>VLOOKUP(A330,[1]단품수량!$B$5:$E$27,4,FALSE)</f>
        <v>CRA</v>
      </c>
      <c r="C330" s="3">
        <v>372</v>
      </c>
      <c r="D330" s="3" t="s">
        <v>246</v>
      </c>
      <c r="E330" s="3">
        <v>30118554</v>
      </c>
      <c r="F330" s="3"/>
      <c r="G330" s="3"/>
      <c r="H330" s="12" t="s">
        <v>188</v>
      </c>
      <c r="I330" s="12" t="s">
        <v>332</v>
      </c>
      <c r="J330" s="3">
        <v>1</v>
      </c>
      <c r="K330" s="3">
        <v>1</v>
      </c>
      <c r="L330" s="3">
        <f>VLOOKUP(A330,[1]단품수량!$B$5:$P$27,13,FALSE)*K330</f>
        <v>41</v>
      </c>
      <c r="M330" s="3" t="s">
        <v>35</v>
      </c>
      <c r="N330" s="3" t="s">
        <v>36</v>
      </c>
    </row>
    <row r="331" spans="1:14" ht="18" hidden="1" customHeight="1">
      <c r="A331" s="5">
        <v>10005986</v>
      </c>
      <c r="B331" s="3" t="str">
        <f>VLOOKUP(A331,[1]단품수량!$B$5:$E$27,4,FALSE)</f>
        <v>CRA</v>
      </c>
      <c r="C331" s="3">
        <v>370</v>
      </c>
      <c r="D331" s="3" t="s">
        <v>126</v>
      </c>
      <c r="E331" s="3">
        <v>30118558</v>
      </c>
      <c r="F331" s="3"/>
      <c r="G331" s="3"/>
      <c r="H331" s="12" t="s">
        <v>33</v>
      </c>
      <c r="I331" s="12" t="s">
        <v>299</v>
      </c>
      <c r="J331" s="3">
        <v>1</v>
      </c>
      <c r="K331" s="3">
        <v>1</v>
      </c>
      <c r="L331" s="3">
        <f>VLOOKUP(A331,[1]단품수량!$B$5:$P$27,13,FALSE)*K331</f>
        <v>41</v>
      </c>
      <c r="M331" s="3" t="s">
        <v>35</v>
      </c>
      <c r="N331" s="3" t="s">
        <v>36</v>
      </c>
    </row>
    <row r="332" spans="1:14" ht="18" hidden="1" customHeight="1">
      <c r="A332" s="5">
        <v>10005986</v>
      </c>
      <c r="B332" s="3" t="str">
        <f>VLOOKUP(A332,[1]단품수량!$B$5:$E$27,4,FALSE)</f>
        <v>CRA</v>
      </c>
      <c r="C332" s="3">
        <v>393</v>
      </c>
      <c r="D332" s="3" t="s">
        <v>123</v>
      </c>
      <c r="E332" s="3">
        <v>30118557</v>
      </c>
      <c r="F332" s="3"/>
      <c r="G332" s="3"/>
      <c r="H332" s="12" t="s">
        <v>33</v>
      </c>
      <c r="I332" s="12" t="s">
        <v>34</v>
      </c>
      <c r="J332" s="3">
        <v>1</v>
      </c>
      <c r="K332" s="3">
        <v>1</v>
      </c>
      <c r="L332" s="3">
        <f>VLOOKUP(A332,[1]단품수량!$B$5:$P$27,13,FALSE)*K332</f>
        <v>41</v>
      </c>
      <c r="M332" s="3" t="s">
        <v>35</v>
      </c>
      <c r="N332" s="3" t="s">
        <v>36</v>
      </c>
    </row>
    <row r="333" spans="1:14" ht="18" hidden="1" customHeight="1">
      <c r="A333" s="5">
        <v>10005986</v>
      </c>
      <c r="B333" s="3" t="str">
        <f>VLOOKUP(A333,[1]단품수량!$B$5:$E$27,4,FALSE)</f>
        <v>CRA</v>
      </c>
      <c r="C333" s="3">
        <v>452</v>
      </c>
      <c r="D333" s="3" t="s">
        <v>121</v>
      </c>
      <c r="E333" s="3">
        <v>30118557</v>
      </c>
      <c r="F333" s="3"/>
      <c r="G333" s="3"/>
      <c r="H333" s="12" t="s">
        <v>33</v>
      </c>
      <c r="I333" s="12" t="s">
        <v>34</v>
      </c>
      <c r="J333" s="3">
        <v>1</v>
      </c>
      <c r="K333" s="3">
        <v>1</v>
      </c>
      <c r="L333" s="3">
        <f>VLOOKUP(A333,[1]단품수량!$B$5:$P$27,13,FALSE)*K333</f>
        <v>41</v>
      </c>
      <c r="M333" s="3" t="s">
        <v>35</v>
      </c>
      <c r="N333" s="3" t="s">
        <v>36</v>
      </c>
    </row>
    <row r="334" spans="1:14" ht="18" hidden="1" customHeight="1">
      <c r="A334" s="5">
        <v>10005986</v>
      </c>
      <c r="B334" s="3" t="str">
        <f>VLOOKUP(A334,[1]단품수량!$B$5:$E$27,4,FALSE)</f>
        <v>CRA</v>
      </c>
      <c r="C334" s="3">
        <v>367</v>
      </c>
      <c r="D334" s="3" t="s">
        <v>118</v>
      </c>
      <c r="E334" s="3">
        <v>30118552</v>
      </c>
      <c r="F334" s="3"/>
      <c r="G334" s="3"/>
      <c r="H334" s="12" t="s">
        <v>296</v>
      </c>
      <c r="I334" s="12" t="s">
        <v>298</v>
      </c>
      <c r="J334" s="3">
        <v>1</v>
      </c>
      <c r="K334" s="3">
        <v>1</v>
      </c>
      <c r="L334" s="3">
        <f>VLOOKUP(A334,[1]단품수량!$B$5:$P$27,13,FALSE)*K334</f>
        <v>41</v>
      </c>
      <c r="M334" s="3" t="s">
        <v>35</v>
      </c>
      <c r="N334" s="3" t="s">
        <v>36</v>
      </c>
    </row>
    <row r="335" spans="1:14" ht="18" hidden="1" customHeight="1">
      <c r="A335" s="5">
        <v>10005986</v>
      </c>
      <c r="B335" s="3" t="str">
        <f>VLOOKUP(A335,[1]단품수량!$B$5:$E$27,4,FALSE)</f>
        <v>CRA</v>
      </c>
      <c r="C335" s="3">
        <v>391</v>
      </c>
      <c r="D335" s="3" t="s">
        <v>118</v>
      </c>
      <c r="E335" s="3">
        <v>30118550</v>
      </c>
      <c r="F335" s="3"/>
      <c r="G335" s="3"/>
      <c r="H335" s="12" t="s">
        <v>296</v>
      </c>
      <c r="I335" s="12" t="s">
        <v>297</v>
      </c>
      <c r="J335" s="3">
        <v>1</v>
      </c>
      <c r="K335" s="3">
        <v>1</v>
      </c>
      <c r="L335" s="3">
        <f>VLOOKUP(A335,[1]단품수량!$B$5:$P$27,13,FALSE)*K335</f>
        <v>41</v>
      </c>
      <c r="M335" s="3" t="s">
        <v>35</v>
      </c>
      <c r="N335" s="3" t="s">
        <v>36</v>
      </c>
    </row>
    <row r="336" spans="1:14" ht="18" hidden="1" customHeight="1">
      <c r="A336" s="5">
        <v>10005986</v>
      </c>
      <c r="B336" s="3" t="str">
        <f>VLOOKUP(A336,[1]단품수량!$B$5:$E$27,4,FALSE)</f>
        <v>CRA</v>
      </c>
      <c r="C336" s="3">
        <v>450</v>
      </c>
      <c r="D336" s="3" t="s">
        <v>116</v>
      </c>
      <c r="E336" s="3">
        <v>30118550</v>
      </c>
      <c r="F336" s="3"/>
      <c r="G336" s="3"/>
      <c r="H336" s="12" t="s">
        <v>296</v>
      </c>
      <c r="I336" s="12" t="s">
        <v>297</v>
      </c>
      <c r="J336" s="3">
        <v>1</v>
      </c>
      <c r="K336" s="3">
        <v>1</v>
      </c>
      <c r="L336" s="3">
        <f>VLOOKUP(A336,[1]단품수량!$B$5:$P$27,13,FALSE)*K336</f>
        <v>41</v>
      </c>
      <c r="M336" s="3" t="s">
        <v>35</v>
      </c>
      <c r="N336" s="3" t="s">
        <v>36</v>
      </c>
    </row>
    <row r="337" spans="1:14" ht="18" hidden="1" customHeight="1">
      <c r="A337" s="5">
        <v>10005986</v>
      </c>
      <c r="B337" s="3" t="str">
        <f>VLOOKUP(A337,[1]단품수량!$B$5:$E$27,4,FALSE)</f>
        <v>CRA</v>
      </c>
      <c r="C337" s="3">
        <v>354</v>
      </c>
      <c r="D337" s="3" t="s">
        <v>64</v>
      </c>
      <c r="E337" s="3">
        <v>30125255</v>
      </c>
      <c r="F337" s="3"/>
      <c r="G337" s="3"/>
      <c r="H337" s="12" t="s">
        <v>380</v>
      </c>
      <c r="I337" s="12" t="s">
        <v>381</v>
      </c>
      <c r="J337" s="3">
        <v>10</v>
      </c>
      <c r="K337" s="3">
        <v>10</v>
      </c>
      <c r="L337" s="3">
        <f>VLOOKUP(A337,[1]단품수량!$B$5:$P$27,13,FALSE)*K337</f>
        <v>410</v>
      </c>
      <c r="M337" s="3" t="s">
        <v>35</v>
      </c>
      <c r="N337" s="3" t="s">
        <v>28</v>
      </c>
    </row>
    <row r="338" spans="1:14" ht="18" hidden="1" customHeight="1">
      <c r="A338" s="5">
        <v>10005986</v>
      </c>
      <c r="B338" s="3" t="str">
        <f>VLOOKUP(A338,[1]단품수량!$B$5:$E$27,4,FALSE)</f>
        <v>CRA</v>
      </c>
      <c r="C338" s="3">
        <v>382</v>
      </c>
      <c r="D338" s="3" t="s">
        <v>413</v>
      </c>
      <c r="E338" s="3">
        <v>30118479</v>
      </c>
      <c r="F338" s="3"/>
      <c r="G338" s="3"/>
      <c r="H338" s="3" t="s">
        <v>369</v>
      </c>
      <c r="I338" s="3" t="s">
        <v>370</v>
      </c>
      <c r="J338" s="3">
        <v>19</v>
      </c>
      <c r="K338" s="3">
        <v>19</v>
      </c>
      <c r="L338" s="3">
        <f>VLOOKUP(A338,[1]단품수량!$B$5:$P$27,13,FALSE)*K338</f>
        <v>779</v>
      </c>
      <c r="M338" s="3" t="s">
        <v>27</v>
      </c>
      <c r="N338" s="3" t="s">
        <v>28</v>
      </c>
    </row>
    <row r="339" spans="1:14" ht="18" hidden="1" customHeight="1">
      <c r="A339" s="5">
        <v>10005986</v>
      </c>
      <c r="B339" s="3" t="str">
        <f>VLOOKUP(A339,[1]단품수량!$B$5:$E$27,4,FALSE)</f>
        <v>CRA</v>
      </c>
      <c r="C339" s="3">
        <v>415</v>
      </c>
      <c r="D339" s="3" t="s">
        <v>391</v>
      </c>
      <c r="E339" s="3">
        <v>30118479</v>
      </c>
      <c r="F339" s="3"/>
      <c r="G339" s="3"/>
      <c r="H339" s="3" t="s">
        <v>369</v>
      </c>
      <c r="I339" s="3" t="s">
        <v>370</v>
      </c>
      <c r="J339" s="3">
        <v>12</v>
      </c>
      <c r="K339" s="3">
        <v>12</v>
      </c>
      <c r="L339" s="3">
        <f>VLOOKUP(A339,[1]단품수량!$B$5:$P$27,13,FALSE)*K339</f>
        <v>492</v>
      </c>
      <c r="M339" s="3" t="s">
        <v>27</v>
      </c>
      <c r="N339" s="3" t="s">
        <v>28</v>
      </c>
    </row>
    <row r="340" spans="1:14" ht="18" hidden="1" customHeight="1">
      <c r="A340" s="5">
        <v>10005986</v>
      </c>
      <c r="B340" s="3" t="str">
        <f>VLOOKUP(A340,[1]단품수량!$B$5:$E$27,4,FALSE)</f>
        <v>CRA</v>
      </c>
      <c r="C340" s="3">
        <v>463</v>
      </c>
      <c r="D340" s="3" t="s">
        <v>411</v>
      </c>
      <c r="E340" s="3">
        <v>30118479</v>
      </c>
      <c r="F340" s="3"/>
      <c r="G340" s="3"/>
      <c r="H340" s="3" t="s">
        <v>369</v>
      </c>
      <c r="I340" s="3" t="s">
        <v>370</v>
      </c>
      <c r="J340" s="3">
        <v>16</v>
      </c>
      <c r="K340" s="3">
        <v>16</v>
      </c>
      <c r="L340" s="3">
        <f>VLOOKUP(A340,[1]단품수량!$B$5:$P$27,13,FALSE)*K340</f>
        <v>656</v>
      </c>
      <c r="M340" s="3" t="s">
        <v>27</v>
      </c>
      <c r="N340" s="3" t="s">
        <v>28</v>
      </c>
    </row>
    <row r="341" spans="1:14" ht="18" hidden="1" customHeight="1">
      <c r="A341" s="5">
        <v>10005986</v>
      </c>
      <c r="B341" s="3" t="str">
        <f>VLOOKUP(A341,[1]단품수량!$B$5:$E$27,4,FALSE)</f>
        <v>CRA</v>
      </c>
      <c r="C341" s="3">
        <v>521</v>
      </c>
      <c r="D341" s="3" t="s">
        <v>109</v>
      </c>
      <c r="E341" s="3">
        <v>30123970</v>
      </c>
      <c r="F341" s="3"/>
      <c r="G341" s="3"/>
      <c r="H341" s="3" t="s">
        <v>550</v>
      </c>
      <c r="I341" s="3" t="s">
        <v>551</v>
      </c>
      <c r="J341" s="3">
        <v>1</v>
      </c>
      <c r="K341" s="3">
        <v>1</v>
      </c>
      <c r="L341" s="3">
        <f>VLOOKUP(A341,[1]단품수량!$B$5:$P$27,13,FALSE)*K341</f>
        <v>41</v>
      </c>
      <c r="M341" s="3" t="s">
        <v>27</v>
      </c>
      <c r="N341" s="3"/>
    </row>
    <row r="342" spans="1:14" ht="18" hidden="1" customHeight="1">
      <c r="A342" s="5">
        <v>10005986</v>
      </c>
      <c r="B342" s="3" t="str">
        <f>VLOOKUP(A342,[1]단품수량!$B$5:$E$27,4,FALSE)</f>
        <v>CRA</v>
      </c>
      <c r="C342" s="3">
        <v>396</v>
      </c>
      <c r="D342" s="3" t="s">
        <v>246</v>
      </c>
      <c r="E342" s="3">
        <v>30120234</v>
      </c>
      <c r="F342" s="3"/>
      <c r="G342" s="3"/>
      <c r="H342" s="3" t="s">
        <v>421</v>
      </c>
      <c r="I342" s="3" t="s">
        <v>422</v>
      </c>
      <c r="J342" s="3">
        <v>4</v>
      </c>
      <c r="K342" s="3">
        <v>4</v>
      </c>
      <c r="L342" s="3">
        <f>VLOOKUP(A342,[1]단품수량!$B$5:$P$27,13,FALSE)*K342</f>
        <v>164</v>
      </c>
      <c r="M342" s="3" t="s">
        <v>27</v>
      </c>
      <c r="N342" s="3" t="s">
        <v>28</v>
      </c>
    </row>
    <row r="343" spans="1:14" ht="18" hidden="1" customHeight="1">
      <c r="A343" s="5">
        <v>10005986</v>
      </c>
      <c r="B343" s="3" t="str">
        <f>VLOOKUP(A343,[1]단품수량!$B$5:$E$27,4,FALSE)</f>
        <v>CRA</v>
      </c>
      <c r="C343" s="3">
        <v>434</v>
      </c>
      <c r="D343" s="3" t="s">
        <v>116</v>
      </c>
      <c r="E343" s="3">
        <v>30120234</v>
      </c>
      <c r="F343" s="3"/>
      <c r="G343" s="3"/>
      <c r="H343" s="3" t="s">
        <v>421</v>
      </c>
      <c r="I343" s="3" t="s">
        <v>422</v>
      </c>
      <c r="J343" s="3">
        <v>6</v>
      </c>
      <c r="K343" s="3">
        <v>6</v>
      </c>
      <c r="L343" s="3">
        <f>VLOOKUP(A343,[1]단품수량!$B$5:$P$27,13,FALSE)*K343</f>
        <v>246</v>
      </c>
      <c r="M343" s="3" t="s">
        <v>27</v>
      </c>
      <c r="N343" s="3" t="s">
        <v>28</v>
      </c>
    </row>
    <row r="344" spans="1:14" ht="18" hidden="1" customHeight="1">
      <c r="A344" s="5">
        <v>10005986</v>
      </c>
      <c r="B344" s="3" t="str">
        <f>VLOOKUP(A344,[1]단품수량!$B$5:$E$27,4,FALSE)</f>
        <v>CRA</v>
      </c>
      <c r="C344" s="3">
        <v>440</v>
      </c>
      <c r="D344" s="3" t="s">
        <v>116</v>
      </c>
      <c r="E344" s="3">
        <v>30120234</v>
      </c>
      <c r="F344" s="3"/>
      <c r="G344" s="3"/>
      <c r="H344" s="3" t="s">
        <v>421</v>
      </c>
      <c r="I344" s="3" t="s">
        <v>422</v>
      </c>
      <c r="J344" s="3">
        <v>1</v>
      </c>
      <c r="K344" s="3">
        <v>1</v>
      </c>
      <c r="L344" s="3">
        <f>VLOOKUP(A344,[1]단품수량!$B$5:$P$27,13,FALSE)*K344</f>
        <v>41</v>
      </c>
      <c r="M344" s="3" t="s">
        <v>27</v>
      </c>
      <c r="N344" s="3" t="s">
        <v>28</v>
      </c>
    </row>
    <row r="345" spans="1:14" ht="18" hidden="1" customHeight="1">
      <c r="A345" s="5">
        <v>10005986</v>
      </c>
      <c r="B345" s="3" t="str">
        <f>VLOOKUP(A345,[1]단품수량!$B$5:$E$27,4,FALSE)</f>
        <v>CRA</v>
      </c>
      <c r="C345" s="3">
        <v>473</v>
      </c>
      <c r="D345" s="3" t="s">
        <v>121</v>
      </c>
      <c r="E345" s="3">
        <v>30120234</v>
      </c>
      <c r="F345" s="3"/>
      <c r="G345" s="3"/>
      <c r="H345" s="3" t="s">
        <v>421</v>
      </c>
      <c r="I345" s="3" t="s">
        <v>422</v>
      </c>
      <c r="J345" s="3">
        <v>6</v>
      </c>
      <c r="K345" s="3">
        <v>6</v>
      </c>
      <c r="L345" s="3">
        <f>VLOOKUP(A345,[1]단품수량!$B$5:$P$27,13,FALSE)*K345</f>
        <v>246</v>
      </c>
      <c r="M345" s="3" t="s">
        <v>27</v>
      </c>
      <c r="N345" s="3" t="s">
        <v>28</v>
      </c>
    </row>
    <row r="346" spans="1:14" ht="18" hidden="1" customHeight="1">
      <c r="A346" s="5">
        <v>10005986</v>
      </c>
      <c r="B346" s="3" t="str">
        <f>VLOOKUP(A346,[1]단품수량!$B$5:$E$27,4,FALSE)</f>
        <v>CRA</v>
      </c>
      <c r="C346" s="3">
        <v>418</v>
      </c>
      <c r="D346" s="3" t="s">
        <v>40</v>
      </c>
      <c r="E346" s="3">
        <v>30120674</v>
      </c>
      <c r="F346" s="3" t="s">
        <v>445</v>
      </c>
      <c r="G346" s="3"/>
      <c r="H346" s="9" t="s">
        <v>446</v>
      </c>
      <c r="I346" s="9" t="s">
        <v>18</v>
      </c>
      <c r="J346" s="3">
        <v>1</v>
      </c>
      <c r="K346" s="3">
        <v>1</v>
      </c>
      <c r="L346" s="3">
        <f>VLOOKUP(A346,[1]단품수량!$B$5:$P$27,13,FALSE)*K346</f>
        <v>41</v>
      </c>
      <c r="M346" s="3" t="s">
        <v>113</v>
      </c>
      <c r="N346" s="3" t="s">
        <v>231</v>
      </c>
    </row>
    <row r="347" spans="1:14" ht="18" hidden="1" customHeight="1">
      <c r="A347" s="5">
        <v>10005986</v>
      </c>
      <c r="B347" s="3" t="str">
        <f>VLOOKUP(A347,[1]단품수량!$B$5:$E$27,4,FALSE)</f>
        <v>CRA</v>
      </c>
      <c r="C347" s="3">
        <v>521</v>
      </c>
      <c r="D347" s="3" t="s">
        <v>198</v>
      </c>
      <c r="E347" s="3">
        <v>30129106</v>
      </c>
      <c r="F347" s="3" t="s">
        <v>573</v>
      </c>
      <c r="G347" s="3"/>
      <c r="H347" s="9" t="s">
        <v>574</v>
      </c>
      <c r="I347" s="9" t="s">
        <v>575</v>
      </c>
      <c r="J347" s="3">
        <v>1</v>
      </c>
      <c r="K347" s="3">
        <v>1</v>
      </c>
      <c r="L347" s="3"/>
      <c r="M347" s="3" t="s">
        <v>19</v>
      </c>
      <c r="N347" s="4" t="s">
        <v>36</v>
      </c>
    </row>
    <row r="348" spans="1:14" ht="18" hidden="1" customHeight="1">
      <c r="A348" s="5">
        <v>10005986</v>
      </c>
      <c r="B348" s="3" t="str">
        <f>VLOOKUP(A348,[1]단품수량!$B$5:$E$27,4,FALSE)</f>
        <v>CRA</v>
      </c>
      <c r="C348" s="3">
        <v>419</v>
      </c>
      <c r="D348" s="3" t="s">
        <v>64</v>
      </c>
      <c r="E348" s="3">
        <v>20061607</v>
      </c>
      <c r="F348" s="3" t="s">
        <v>447</v>
      </c>
      <c r="G348" s="3"/>
      <c r="H348" s="9" t="s">
        <v>448</v>
      </c>
      <c r="I348" s="9" t="s">
        <v>387</v>
      </c>
      <c r="J348" s="3">
        <v>1</v>
      </c>
      <c r="K348" s="3">
        <v>1</v>
      </c>
      <c r="L348" s="3">
        <f>VLOOKUP(A348,[1]단품수량!$B$5:$P$27,13,FALSE)*K348</f>
        <v>41</v>
      </c>
      <c r="M348" s="3" t="s">
        <v>19</v>
      </c>
      <c r="N348" s="3" t="s">
        <v>58</v>
      </c>
    </row>
    <row r="349" spans="1:14" ht="18" hidden="1" customHeight="1">
      <c r="A349" s="5">
        <v>10005986</v>
      </c>
      <c r="B349" s="3" t="str">
        <f>VLOOKUP(A349,[1]단품수량!$B$5:$E$27,4,FALSE)</f>
        <v>CRA</v>
      </c>
      <c r="C349" s="3">
        <v>422</v>
      </c>
      <c r="D349" s="3" t="s">
        <v>66</v>
      </c>
      <c r="E349" s="3">
        <v>30120976</v>
      </c>
      <c r="F349" s="3"/>
      <c r="G349" s="3"/>
      <c r="H349" s="9" t="s">
        <v>449</v>
      </c>
      <c r="I349" s="9" t="s">
        <v>18</v>
      </c>
      <c r="J349" s="3">
        <v>1</v>
      </c>
      <c r="K349" s="3">
        <v>1</v>
      </c>
      <c r="L349" s="3">
        <f>VLOOKUP(A349,[1]단품수량!$B$5:$P$27,13,FALSE)*K349</f>
        <v>41</v>
      </c>
      <c r="M349" s="3" t="s">
        <v>19</v>
      </c>
      <c r="N349" s="3" t="s">
        <v>450</v>
      </c>
    </row>
    <row r="350" spans="1:14" ht="18" hidden="1" customHeight="1">
      <c r="A350" s="5">
        <v>10005986</v>
      </c>
      <c r="B350" s="3" t="str">
        <f>VLOOKUP(A350,[1]단품수량!$B$5:$E$27,4,FALSE)</f>
        <v>CRA</v>
      </c>
      <c r="C350" s="3">
        <v>357</v>
      </c>
      <c r="D350" s="3" t="s">
        <v>388</v>
      </c>
      <c r="E350" s="3">
        <v>30120759</v>
      </c>
      <c r="F350" s="3"/>
      <c r="G350" s="3"/>
      <c r="H350" s="3" t="s">
        <v>389</v>
      </c>
      <c r="I350" s="3" t="s">
        <v>390</v>
      </c>
      <c r="J350" s="3">
        <v>1</v>
      </c>
      <c r="K350" s="3">
        <v>1</v>
      </c>
      <c r="L350" s="3">
        <f>VLOOKUP(A350,[1]단품수량!$B$5:$P$27,13,FALSE)*K350</f>
        <v>41</v>
      </c>
      <c r="M350" s="3" t="s">
        <v>27</v>
      </c>
      <c r="N350" s="3" t="s">
        <v>58</v>
      </c>
    </row>
    <row r="351" spans="1:14" ht="18" hidden="1" customHeight="1">
      <c r="A351" s="5">
        <v>10005986</v>
      </c>
      <c r="B351" s="3" t="str">
        <f>VLOOKUP(A351,[1]단품수량!$B$5:$E$27,4,FALSE)</f>
        <v>CRA</v>
      </c>
      <c r="C351" s="3">
        <v>363</v>
      </c>
      <c r="D351" s="3" t="s">
        <v>388</v>
      </c>
      <c r="E351" s="3">
        <v>30120759</v>
      </c>
      <c r="F351" s="3"/>
      <c r="G351" s="3"/>
      <c r="H351" s="3" t="s">
        <v>389</v>
      </c>
      <c r="I351" s="3" t="s">
        <v>390</v>
      </c>
      <c r="J351" s="3">
        <v>1</v>
      </c>
      <c r="K351" s="3">
        <v>1</v>
      </c>
      <c r="L351" s="3">
        <f>VLOOKUP(A351,[1]단품수량!$B$5:$P$27,13,FALSE)*K351</f>
        <v>41</v>
      </c>
      <c r="M351" s="3" t="s">
        <v>27</v>
      </c>
      <c r="N351" s="3" t="s">
        <v>58</v>
      </c>
    </row>
    <row r="352" spans="1:14" ht="18" hidden="1" customHeight="1">
      <c r="A352" s="5">
        <v>10005986</v>
      </c>
      <c r="B352" s="3" t="str">
        <f>VLOOKUP(A352,[1]단품수량!$B$5:$E$27,4,FALSE)</f>
        <v>CRA</v>
      </c>
      <c r="C352" s="3">
        <v>387</v>
      </c>
      <c r="D352" s="3" t="s">
        <v>388</v>
      </c>
      <c r="E352" s="3">
        <v>30120759</v>
      </c>
      <c r="F352" s="3"/>
      <c r="G352" s="3"/>
      <c r="H352" s="3" t="s">
        <v>389</v>
      </c>
      <c r="I352" s="3" t="s">
        <v>390</v>
      </c>
      <c r="J352" s="3">
        <v>1</v>
      </c>
      <c r="K352" s="3">
        <v>1</v>
      </c>
      <c r="L352" s="3">
        <f>VLOOKUP(A352,[1]단품수량!$B$5:$P$27,13,FALSE)*K352</f>
        <v>41</v>
      </c>
      <c r="M352" s="3" t="s">
        <v>27</v>
      </c>
      <c r="N352" s="3" t="s">
        <v>58</v>
      </c>
    </row>
    <row r="353" spans="1:14" ht="18" hidden="1" customHeight="1">
      <c r="A353" s="5">
        <v>10005986</v>
      </c>
      <c r="B353" s="3" t="str">
        <f>VLOOKUP(A353,[1]단품수량!$B$5:$E$27,4,FALSE)</f>
        <v>CRA</v>
      </c>
      <c r="C353" s="3">
        <v>403</v>
      </c>
      <c r="D353" s="3" t="s">
        <v>388</v>
      </c>
      <c r="E353" s="3">
        <v>30120759</v>
      </c>
      <c r="F353" s="3"/>
      <c r="G353" s="3"/>
      <c r="H353" s="3" t="s">
        <v>389</v>
      </c>
      <c r="I353" s="3" t="s">
        <v>390</v>
      </c>
      <c r="J353" s="3">
        <v>1</v>
      </c>
      <c r="K353" s="3">
        <v>1</v>
      </c>
      <c r="L353" s="3">
        <f>VLOOKUP(A353,[1]단품수량!$B$5:$P$27,13,FALSE)*K353</f>
        <v>41</v>
      </c>
      <c r="M353" s="3" t="s">
        <v>27</v>
      </c>
      <c r="N353" s="3" t="s">
        <v>58</v>
      </c>
    </row>
    <row r="354" spans="1:14" ht="18" hidden="1" customHeight="1">
      <c r="A354" s="5">
        <v>10005986</v>
      </c>
      <c r="B354" s="3" t="str">
        <f>VLOOKUP(A354,[1]단품수량!$B$5:$E$27,4,FALSE)</f>
        <v>CRA</v>
      </c>
      <c r="C354" s="3">
        <v>420</v>
      </c>
      <c r="D354" s="3" t="s">
        <v>388</v>
      </c>
      <c r="E354" s="3">
        <v>30120759</v>
      </c>
      <c r="F354" s="3"/>
      <c r="G354" s="3"/>
      <c r="H354" s="3" t="s">
        <v>389</v>
      </c>
      <c r="I354" s="3" t="s">
        <v>390</v>
      </c>
      <c r="J354" s="3">
        <v>1</v>
      </c>
      <c r="K354" s="3">
        <v>1</v>
      </c>
      <c r="L354" s="3">
        <f>VLOOKUP(A354,[1]단품수량!$B$5:$P$27,13,FALSE)*K354</f>
        <v>41</v>
      </c>
      <c r="M354" s="3" t="s">
        <v>27</v>
      </c>
      <c r="N354" s="3" t="s">
        <v>58</v>
      </c>
    </row>
    <row r="355" spans="1:14" ht="18" hidden="1" customHeight="1">
      <c r="A355" s="5">
        <v>10005986</v>
      </c>
      <c r="B355" s="3" t="str">
        <f>VLOOKUP(A355,[1]단품수량!$B$5:$E$27,4,FALSE)</f>
        <v>CRA</v>
      </c>
      <c r="C355" s="3">
        <v>429</v>
      </c>
      <c r="D355" s="3" t="s">
        <v>388</v>
      </c>
      <c r="E355" s="3">
        <v>30120759</v>
      </c>
      <c r="F355" s="3"/>
      <c r="G355" s="3"/>
      <c r="H355" s="3" t="s">
        <v>389</v>
      </c>
      <c r="I355" s="3" t="s">
        <v>390</v>
      </c>
      <c r="J355" s="3">
        <v>1</v>
      </c>
      <c r="K355" s="3">
        <v>1</v>
      </c>
      <c r="L355" s="3">
        <f>VLOOKUP(A355,[1]단품수량!$B$5:$P$27,13,FALSE)*K355</f>
        <v>41</v>
      </c>
      <c r="M355" s="3" t="s">
        <v>27</v>
      </c>
      <c r="N355" s="3" t="s">
        <v>58</v>
      </c>
    </row>
    <row r="356" spans="1:14" ht="18" hidden="1" customHeight="1">
      <c r="A356" s="5">
        <v>10005986</v>
      </c>
      <c r="B356" s="3" t="str">
        <f>VLOOKUP(A356,[1]단품수량!$B$5:$E$27,4,FALSE)</f>
        <v>CRA</v>
      </c>
      <c r="C356" s="3">
        <v>437</v>
      </c>
      <c r="D356" s="3" t="s">
        <v>388</v>
      </c>
      <c r="E356" s="3">
        <v>30120759</v>
      </c>
      <c r="F356" s="3"/>
      <c r="G356" s="3"/>
      <c r="H356" s="3" t="s">
        <v>389</v>
      </c>
      <c r="I356" s="3" t="s">
        <v>390</v>
      </c>
      <c r="J356" s="3">
        <v>1</v>
      </c>
      <c r="K356" s="3">
        <v>1</v>
      </c>
      <c r="L356" s="3">
        <f>VLOOKUP(A356,[1]단품수량!$B$5:$P$27,13,FALSE)*K356</f>
        <v>41</v>
      </c>
      <c r="M356" s="3" t="s">
        <v>27</v>
      </c>
      <c r="N356" s="3" t="s">
        <v>58</v>
      </c>
    </row>
    <row r="357" spans="1:14" ht="18" hidden="1" customHeight="1">
      <c r="A357" s="5">
        <v>10005986</v>
      </c>
      <c r="B357" s="3" t="str">
        <f>VLOOKUP(A357,[1]단품수량!$B$5:$E$27,4,FALSE)</f>
        <v>CRA</v>
      </c>
      <c r="C357" s="3">
        <v>443</v>
      </c>
      <c r="D357" s="3" t="s">
        <v>388</v>
      </c>
      <c r="E357" s="3">
        <v>30120759</v>
      </c>
      <c r="F357" s="3"/>
      <c r="G357" s="3"/>
      <c r="H357" s="3" t="s">
        <v>389</v>
      </c>
      <c r="I357" s="3" t="s">
        <v>390</v>
      </c>
      <c r="J357" s="3">
        <v>1</v>
      </c>
      <c r="K357" s="3">
        <v>1</v>
      </c>
      <c r="L357" s="3">
        <f>VLOOKUP(A357,[1]단품수량!$B$5:$P$27,13,FALSE)*K357</f>
        <v>41</v>
      </c>
      <c r="M357" s="3" t="s">
        <v>27</v>
      </c>
      <c r="N357" s="3" t="s">
        <v>58</v>
      </c>
    </row>
    <row r="358" spans="1:14" ht="18" hidden="1" customHeight="1">
      <c r="A358" s="5">
        <v>10005986</v>
      </c>
      <c r="B358" s="3" t="str">
        <f>VLOOKUP(A358,[1]단품수량!$B$5:$E$27,4,FALSE)</f>
        <v>CRA</v>
      </c>
      <c r="C358" s="3">
        <v>468</v>
      </c>
      <c r="D358" s="3" t="s">
        <v>388</v>
      </c>
      <c r="E358" s="3">
        <v>30120759</v>
      </c>
      <c r="F358" s="3"/>
      <c r="G358" s="3"/>
      <c r="H358" s="3" t="s">
        <v>389</v>
      </c>
      <c r="I358" s="3" t="s">
        <v>390</v>
      </c>
      <c r="J358" s="3">
        <v>1</v>
      </c>
      <c r="K358" s="3">
        <v>1</v>
      </c>
      <c r="L358" s="3">
        <f>VLOOKUP(A358,[1]단품수량!$B$5:$P$27,13,FALSE)*K358</f>
        <v>41</v>
      </c>
      <c r="M358" s="3" t="s">
        <v>27</v>
      </c>
      <c r="N358" s="3" t="s">
        <v>58</v>
      </c>
    </row>
    <row r="359" spans="1:14" ht="18" hidden="1" customHeight="1">
      <c r="A359" s="5">
        <v>10005986</v>
      </c>
      <c r="B359" s="3" t="str">
        <f>VLOOKUP(A359,[1]단품수량!$B$5:$E$27,4,FALSE)</f>
        <v>CRA</v>
      </c>
      <c r="C359" s="3">
        <v>476</v>
      </c>
      <c r="D359" s="3" t="s">
        <v>388</v>
      </c>
      <c r="E359" s="3">
        <v>30120759</v>
      </c>
      <c r="F359" s="3"/>
      <c r="G359" s="3"/>
      <c r="H359" s="3" t="s">
        <v>389</v>
      </c>
      <c r="I359" s="3" t="s">
        <v>390</v>
      </c>
      <c r="J359" s="3">
        <v>1</v>
      </c>
      <c r="K359" s="3">
        <v>1</v>
      </c>
      <c r="L359" s="3">
        <f>VLOOKUP(A359,[1]단품수량!$B$5:$P$27,13,FALSE)*K359</f>
        <v>41</v>
      </c>
      <c r="M359" s="3" t="s">
        <v>27</v>
      </c>
      <c r="N359" s="3" t="s">
        <v>58</v>
      </c>
    </row>
    <row r="360" spans="1:14" ht="18" hidden="1" customHeight="1">
      <c r="A360" s="5">
        <v>10005986</v>
      </c>
      <c r="B360" s="3" t="str">
        <f>VLOOKUP(A360,[1]단품수량!$B$5:$E$27,4,FALSE)</f>
        <v>CRA</v>
      </c>
      <c r="C360" s="3">
        <v>484</v>
      </c>
      <c r="D360" s="3" t="s">
        <v>388</v>
      </c>
      <c r="E360" s="3">
        <v>30120759</v>
      </c>
      <c r="F360" s="3"/>
      <c r="G360" s="3"/>
      <c r="H360" s="3" t="s">
        <v>389</v>
      </c>
      <c r="I360" s="3" t="s">
        <v>390</v>
      </c>
      <c r="J360" s="3">
        <v>1</v>
      </c>
      <c r="K360" s="3">
        <v>1</v>
      </c>
      <c r="L360" s="3">
        <f>VLOOKUP(A360,[1]단품수량!$B$5:$P$27,13,FALSE)*K360</f>
        <v>41</v>
      </c>
      <c r="M360" s="3" t="s">
        <v>27</v>
      </c>
      <c r="N360" s="3" t="s">
        <v>58</v>
      </c>
    </row>
    <row r="361" spans="1:14" ht="18" hidden="1" customHeight="1">
      <c r="A361" s="5">
        <v>10005986</v>
      </c>
      <c r="B361" s="3" t="str">
        <f>VLOOKUP(A361,[1]단품수량!$B$5:$E$27,4,FALSE)</f>
        <v>CRA</v>
      </c>
      <c r="C361" s="3">
        <v>502</v>
      </c>
      <c r="D361" s="3" t="s">
        <v>388</v>
      </c>
      <c r="E361" s="3">
        <v>30120759</v>
      </c>
      <c r="F361" s="3"/>
      <c r="G361" s="3"/>
      <c r="H361" s="3" t="s">
        <v>389</v>
      </c>
      <c r="I361" s="3" t="s">
        <v>390</v>
      </c>
      <c r="J361" s="3">
        <v>1</v>
      </c>
      <c r="K361" s="3">
        <v>1</v>
      </c>
      <c r="L361" s="3">
        <f>VLOOKUP(A361,[1]단품수량!$B$5:$P$27,13,FALSE)*K361</f>
        <v>41</v>
      </c>
      <c r="M361" s="3" t="s">
        <v>27</v>
      </c>
      <c r="N361" s="3" t="s">
        <v>58</v>
      </c>
    </row>
    <row r="362" spans="1:14" ht="18" hidden="1" customHeight="1">
      <c r="A362" s="5">
        <v>10005986</v>
      </c>
      <c r="B362" s="3" t="str">
        <f>VLOOKUP(A362,[1]단품수량!$B$5:$E$27,4,FALSE)</f>
        <v>CRA</v>
      </c>
      <c r="C362" s="3">
        <v>435</v>
      </c>
      <c r="D362" s="3" t="s">
        <v>46</v>
      </c>
      <c r="E362" s="3">
        <v>30120676</v>
      </c>
      <c r="F362" s="3" t="s">
        <v>458</v>
      </c>
      <c r="G362" s="3"/>
      <c r="H362" s="3" t="s">
        <v>459</v>
      </c>
      <c r="I362" s="3" t="s">
        <v>18</v>
      </c>
      <c r="J362" s="3">
        <v>1</v>
      </c>
      <c r="K362" s="3">
        <v>1</v>
      </c>
      <c r="L362" s="3">
        <f>VLOOKUP(A362,[1]단품수량!$B$5:$P$27,13,FALSE)*K362</f>
        <v>41</v>
      </c>
      <c r="M362" s="3" t="s">
        <v>113</v>
      </c>
      <c r="N362" s="3" t="s">
        <v>231</v>
      </c>
    </row>
    <row r="363" spans="1:14" ht="18" hidden="1" customHeight="1">
      <c r="A363" s="5">
        <v>10005986</v>
      </c>
      <c r="B363" s="3" t="str">
        <f>VLOOKUP(A363,[1]단품수량!$B$5:$E$27,4,FALSE)</f>
        <v>CRA</v>
      </c>
      <c r="C363" s="3">
        <v>436</v>
      </c>
      <c r="D363" s="3" t="s">
        <v>64</v>
      </c>
      <c r="E363" s="3">
        <v>20061609</v>
      </c>
      <c r="F363" s="3" t="s">
        <v>460</v>
      </c>
      <c r="G363" s="3"/>
      <c r="H363" s="3" t="s">
        <v>461</v>
      </c>
      <c r="I363" s="3" t="s">
        <v>387</v>
      </c>
      <c r="J363" s="3">
        <v>1</v>
      </c>
      <c r="K363" s="3">
        <v>1</v>
      </c>
      <c r="L363" s="3">
        <f>VLOOKUP(A363,[1]단품수량!$B$5:$P$27,13,FALSE)*K363</f>
        <v>41</v>
      </c>
      <c r="M363" s="3" t="s">
        <v>19</v>
      </c>
      <c r="N363" s="3" t="s">
        <v>58</v>
      </c>
    </row>
    <row r="364" spans="1:14" ht="18" hidden="1" customHeight="1">
      <c r="A364" s="5">
        <v>10005986</v>
      </c>
      <c r="B364" s="3" t="str">
        <f>VLOOKUP(A364,[1]단품수량!$B$5:$E$27,4,FALSE)</f>
        <v>CRA</v>
      </c>
      <c r="C364" s="3">
        <v>439</v>
      </c>
      <c r="D364" s="3" t="s">
        <v>66</v>
      </c>
      <c r="E364" s="3">
        <v>30120978</v>
      </c>
      <c r="F364" s="3"/>
      <c r="G364" s="3"/>
      <c r="H364" s="3" t="s">
        <v>462</v>
      </c>
      <c r="I364" s="3" t="s">
        <v>18</v>
      </c>
      <c r="J364" s="3">
        <v>1</v>
      </c>
      <c r="K364" s="3">
        <v>1</v>
      </c>
      <c r="L364" s="3">
        <f>VLOOKUP(A364,[1]단품수량!$B$5:$P$27,13,FALSE)*K364</f>
        <v>41</v>
      </c>
      <c r="M364" s="3" t="s">
        <v>19</v>
      </c>
      <c r="N364" s="3" t="s">
        <v>186</v>
      </c>
    </row>
    <row r="365" spans="1:14" ht="18" hidden="1" customHeight="1">
      <c r="A365" s="5">
        <v>10005986</v>
      </c>
      <c r="B365" s="3" t="str">
        <f>VLOOKUP(A365,[1]단품수량!$B$5:$E$27,4,FALSE)</f>
        <v>CRA</v>
      </c>
      <c r="C365" s="3">
        <v>381</v>
      </c>
      <c r="D365" s="3" t="s">
        <v>411</v>
      </c>
      <c r="E365" s="3">
        <v>30118529</v>
      </c>
      <c r="F365" s="3"/>
      <c r="G365" s="3"/>
      <c r="H365" s="3" t="s">
        <v>127</v>
      </c>
      <c r="I365" s="3" t="s">
        <v>412</v>
      </c>
      <c r="J365" s="3">
        <v>1</v>
      </c>
      <c r="K365" s="3">
        <v>1</v>
      </c>
      <c r="L365" s="3">
        <f>VLOOKUP(A365,[1]단품수량!$B$5:$P$27,13,FALSE)*K365</f>
        <v>41</v>
      </c>
      <c r="M365" s="3" t="s">
        <v>27</v>
      </c>
      <c r="N365" s="3" t="s">
        <v>28</v>
      </c>
    </row>
    <row r="366" spans="1:14" ht="18" hidden="1" customHeight="1">
      <c r="A366" s="5">
        <v>10005986</v>
      </c>
      <c r="B366" s="3" t="str">
        <f>VLOOKUP(A366,[1]단품수량!$B$5:$E$27,4,FALSE)</f>
        <v>CRA</v>
      </c>
      <c r="C366" s="3">
        <v>423</v>
      </c>
      <c r="D366" s="3" t="s">
        <v>388</v>
      </c>
      <c r="E366" s="3">
        <v>30121690</v>
      </c>
      <c r="F366" s="3"/>
      <c r="G366" s="3"/>
      <c r="H366" s="12" t="s">
        <v>96</v>
      </c>
      <c r="I366" s="12" t="s">
        <v>451</v>
      </c>
      <c r="J366" s="3">
        <v>2</v>
      </c>
      <c r="K366" s="3">
        <v>2</v>
      </c>
      <c r="L366" s="3">
        <f>VLOOKUP(A366,[1]단품수량!$B$5:$P$27,13,FALSE)*K366</f>
        <v>82</v>
      </c>
      <c r="M366" s="3" t="s">
        <v>35</v>
      </c>
      <c r="N366" s="3" t="s">
        <v>98</v>
      </c>
    </row>
    <row r="367" spans="1:14" ht="18" hidden="1" customHeight="1">
      <c r="A367" s="5">
        <v>10005986</v>
      </c>
      <c r="B367" s="3" t="str">
        <f>VLOOKUP(A367,[1]단품수량!$B$5:$E$27,4,FALSE)</f>
        <v>CRA</v>
      </c>
      <c r="C367" s="3">
        <v>432</v>
      </c>
      <c r="D367" s="3" t="s">
        <v>388</v>
      </c>
      <c r="E367" s="3">
        <v>30120992</v>
      </c>
      <c r="F367" s="3"/>
      <c r="G367" s="3"/>
      <c r="H367" s="12" t="s">
        <v>96</v>
      </c>
      <c r="I367" s="12" t="s">
        <v>97</v>
      </c>
      <c r="J367" s="3">
        <v>1</v>
      </c>
      <c r="K367" s="3">
        <v>1</v>
      </c>
      <c r="L367" s="3">
        <f>VLOOKUP(A367,[1]단품수량!$B$5:$P$27,13,FALSE)*K367</f>
        <v>41</v>
      </c>
      <c r="M367" s="3" t="s">
        <v>35</v>
      </c>
      <c r="N367" s="3" t="s">
        <v>98</v>
      </c>
    </row>
    <row r="368" spans="1:14" ht="18" hidden="1" customHeight="1">
      <c r="A368" s="5">
        <v>10005986</v>
      </c>
      <c r="B368" s="3" t="str">
        <f>VLOOKUP(A368,[1]단품수량!$B$5:$E$27,4,FALSE)</f>
        <v>CRA</v>
      </c>
      <c r="C368" s="3">
        <v>448</v>
      </c>
      <c r="D368" s="3" t="s">
        <v>391</v>
      </c>
      <c r="E368" s="3">
        <v>30120992</v>
      </c>
      <c r="F368" s="3"/>
      <c r="G368" s="3"/>
      <c r="H368" s="12" t="s">
        <v>96</v>
      </c>
      <c r="I368" s="12" t="s">
        <v>97</v>
      </c>
      <c r="J368" s="3">
        <v>1</v>
      </c>
      <c r="K368" s="3">
        <v>1</v>
      </c>
      <c r="L368" s="3">
        <f>VLOOKUP(A368,[1]단품수량!$B$5:$P$27,13,FALSE)*K368</f>
        <v>41</v>
      </c>
      <c r="M368" s="3" t="s">
        <v>35</v>
      </c>
      <c r="N368" s="3" t="s">
        <v>98</v>
      </c>
    </row>
    <row r="369" spans="1:14" ht="18" hidden="1" customHeight="1">
      <c r="A369" s="5">
        <v>10005986</v>
      </c>
      <c r="B369" s="3" t="str">
        <f>VLOOKUP(A369,[1]단품수량!$B$5:$E$27,4,FALSE)</f>
        <v>CRA</v>
      </c>
      <c r="C369" s="3">
        <v>492</v>
      </c>
      <c r="D369" s="3" t="s">
        <v>388</v>
      </c>
      <c r="E369" s="3">
        <v>30121690</v>
      </c>
      <c r="F369" s="3"/>
      <c r="G369" s="3"/>
      <c r="H369" s="12" t="s">
        <v>96</v>
      </c>
      <c r="I369" s="12" t="s">
        <v>451</v>
      </c>
      <c r="J369" s="3">
        <v>6</v>
      </c>
      <c r="K369" s="3">
        <v>6</v>
      </c>
      <c r="L369" s="3">
        <f>VLOOKUP(A369,[1]단품수량!$B$5:$P$27,13,FALSE)*K369</f>
        <v>246</v>
      </c>
      <c r="M369" s="3" t="s">
        <v>35</v>
      </c>
      <c r="N369" s="3" t="s">
        <v>98</v>
      </c>
    </row>
    <row r="370" spans="1:14" ht="18" hidden="1" customHeight="1">
      <c r="A370" s="5">
        <v>10005986</v>
      </c>
      <c r="B370" s="3" t="str">
        <f>VLOOKUP(A370,[1]단품수량!$B$5:$E$27,4,FALSE)</f>
        <v>CRA</v>
      </c>
      <c r="C370" s="3">
        <v>424</v>
      </c>
      <c r="D370" s="3" t="s">
        <v>391</v>
      </c>
      <c r="E370" s="3">
        <v>30121672</v>
      </c>
      <c r="F370" s="3"/>
      <c r="G370" s="3"/>
      <c r="H370" s="12" t="s">
        <v>99</v>
      </c>
      <c r="I370" s="12" t="s">
        <v>100</v>
      </c>
      <c r="J370" s="3">
        <v>2</v>
      </c>
      <c r="K370" s="3">
        <v>2</v>
      </c>
      <c r="L370" s="3">
        <f>VLOOKUP(A370,[1]단품수량!$B$5:$P$27,13,FALSE)*K370</f>
        <v>82</v>
      </c>
      <c r="M370" s="3" t="s">
        <v>27</v>
      </c>
      <c r="N370" s="3" t="s">
        <v>98</v>
      </c>
    </row>
    <row r="371" spans="1:14" ht="18" hidden="1" customHeight="1">
      <c r="A371" s="5">
        <v>10005986</v>
      </c>
      <c r="B371" s="3" t="str">
        <f>VLOOKUP(A371,[1]단품수량!$B$5:$E$27,4,FALSE)</f>
        <v>CRA</v>
      </c>
      <c r="C371" s="3">
        <v>433</v>
      </c>
      <c r="D371" s="3" t="s">
        <v>391</v>
      </c>
      <c r="E371" s="3">
        <v>30121672</v>
      </c>
      <c r="F371" s="3"/>
      <c r="G371" s="3"/>
      <c r="H371" s="12" t="s">
        <v>99</v>
      </c>
      <c r="I371" s="12" t="s">
        <v>100</v>
      </c>
      <c r="J371" s="3">
        <v>1</v>
      </c>
      <c r="K371" s="3">
        <v>1</v>
      </c>
      <c r="L371" s="3">
        <f>VLOOKUP(A371,[1]단품수량!$B$5:$P$27,13,FALSE)*K371</f>
        <v>41</v>
      </c>
      <c r="M371" s="3" t="s">
        <v>27</v>
      </c>
      <c r="N371" s="3" t="s">
        <v>98</v>
      </c>
    </row>
    <row r="372" spans="1:14" ht="18" hidden="1" customHeight="1">
      <c r="A372" s="5">
        <v>10005986</v>
      </c>
      <c r="B372" s="3" t="str">
        <f>VLOOKUP(A372,[1]단품수량!$B$5:$E$27,4,FALSE)</f>
        <v>CRA</v>
      </c>
      <c r="C372" s="3">
        <v>449</v>
      </c>
      <c r="D372" s="3" t="s">
        <v>409</v>
      </c>
      <c r="E372" s="3">
        <v>30121672</v>
      </c>
      <c r="F372" s="3"/>
      <c r="G372" s="3"/>
      <c r="H372" s="12" t="s">
        <v>99</v>
      </c>
      <c r="I372" s="12" t="s">
        <v>100</v>
      </c>
      <c r="J372" s="3">
        <v>1</v>
      </c>
      <c r="K372" s="3">
        <v>1</v>
      </c>
      <c r="L372" s="3">
        <f>VLOOKUP(A372,[1]단품수량!$B$5:$P$27,13,FALSE)*K372</f>
        <v>41</v>
      </c>
      <c r="M372" s="3" t="s">
        <v>27</v>
      </c>
      <c r="N372" s="3" t="s">
        <v>98</v>
      </c>
    </row>
    <row r="373" spans="1:14" ht="18" hidden="1" customHeight="1">
      <c r="A373" s="5">
        <v>10005986</v>
      </c>
      <c r="B373" s="3" t="str">
        <f>VLOOKUP(A373,[1]단품수량!$B$5:$E$27,4,FALSE)</f>
        <v>CRA</v>
      </c>
      <c r="C373" s="3">
        <v>493</v>
      </c>
      <c r="D373" s="3" t="s">
        <v>391</v>
      </c>
      <c r="E373" s="3">
        <v>30121672</v>
      </c>
      <c r="F373" s="3"/>
      <c r="G373" s="3"/>
      <c r="H373" s="12" t="s">
        <v>99</v>
      </c>
      <c r="I373" s="12" t="s">
        <v>100</v>
      </c>
      <c r="J373" s="3">
        <v>6</v>
      </c>
      <c r="K373" s="3">
        <v>6</v>
      </c>
      <c r="L373" s="3">
        <f>VLOOKUP(A373,[1]단품수량!$B$5:$P$27,13,FALSE)*K373</f>
        <v>246</v>
      </c>
      <c r="M373" s="3" t="s">
        <v>27</v>
      </c>
      <c r="N373" s="3" t="s">
        <v>98</v>
      </c>
    </row>
    <row r="374" spans="1:14" ht="18" hidden="1" customHeight="1">
      <c r="A374" s="5">
        <v>10005986</v>
      </c>
      <c r="B374" s="3" t="str">
        <f>VLOOKUP(A374,[1]단품수량!$B$5:$E$27,4,FALSE)</f>
        <v>CRA</v>
      </c>
      <c r="C374" s="3">
        <v>385</v>
      </c>
      <c r="D374" s="3" t="s">
        <v>32</v>
      </c>
      <c r="E374" s="3">
        <v>30120672</v>
      </c>
      <c r="F374" s="3" t="s">
        <v>416</v>
      </c>
      <c r="G374" s="3"/>
      <c r="H374" s="3" t="s">
        <v>417</v>
      </c>
      <c r="I374" s="3" t="s">
        <v>18</v>
      </c>
      <c r="J374" s="3">
        <v>1</v>
      </c>
      <c r="K374" s="3">
        <v>1</v>
      </c>
      <c r="L374" s="3">
        <f>VLOOKUP(A374,[1]단품수량!$B$5:$P$27,13,FALSE)*K374</f>
        <v>41</v>
      </c>
      <c r="M374" s="3" t="s">
        <v>113</v>
      </c>
      <c r="N374" s="3" t="s">
        <v>231</v>
      </c>
    </row>
    <row r="375" spans="1:14" ht="18" hidden="1" customHeight="1">
      <c r="A375" s="5">
        <v>10005986</v>
      </c>
      <c r="B375" s="3" t="str">
        <f>VLOOKUP(A375,[1]단품수량!$B$5:$E$27,4,FALSE)</f>
        <v>CRA</v>
      </c>
      <c r="C375" s="3">
        <v>386</v>
      </c>
      <c r="D375" s="3" t="s">
        <v>64</v>
      </c>
      <c r="E375" s="3">
        <v>20061605</v>
      </c>
      <c r="F375" s="3" t="s">
        <v>418</v>
      </c>
      <c r="G375" s="3"/>
      <c r="H375" s="3" t="s">
        <v>419</v>
      </c>
      <c r="I375" s="3" t="s">
        <v>387</v>
      </c>
      <c r="J375" s="3">
        <v>1</v>
      </c>
      <c r="K375" s="3">
        <v>1</v>
      </c>
      <c r="L375" s="3">
        <f>VLOOKUP(A375,[1]단품수량!$B$5:$P$27,13,FALSE)*K375</f>
        <v>41</v>
      </c>
      <c r="M375" s="3" t="s">
        <v>19</v>
      </c>
      <c r="N375" s="3" t="s">
        <v>58</v>
      </c>
    </row>
    <row r="376" spans="1:14" ht="18" hidden="1" customHeight="1">
      <c r="A376" s="5">
        <v>10005986</v>
      </c>
      <c r="B376" s="3" t="str">
        <f>VLOOKUP(A376,[1]단품수량!$B$5:$E$27,4,FALSE)</f>
        <v>CRA</v>
      </c>
      <c r="C376" s="3">
        <v>390</v>
      </c>
      <c r="D376" s="3" t="s">
        <v>116</v>
      </c>
      <c r="E376" s="3">
        <v>20061605</v>
      </c>
      <c r="F376" s="3" t="s">
        <v>418</v>
      </c>
      <c r="G376" s="3"/>
      <c r="H376" s="3" t="s">
        <v>419</v>
      </c>
      <c r="I376" s="3" t="s">
        <v>387</v>
      </c>
      <c r="J376" s="3">
        <v>1</v>
      </c>
      <c r="K376" s="3">
        <v>1</v>
      </c>
      <c r="L376" s="3">
        <f>VLOOKUP(A376,[1]단품수량!$B$5:$P$27,13,FALSE)*K376</f>
        <v>41</v>
      </c>
      <c r="M376" s="3" t="s">
        <v>19</v>
      </c>
      <c r="N376" s="3" t="s">
        <v>58</v>
      </c>
    </row>
    <row r="377" spans="1:14" ht="18" hidden="1" customHeight="1">
      <c r="A377" s="5">
        <v>10005986</v>
      </c>
      <c r="B377" s="3" t="str">
        <f>VLOOKUP(A377,[1]단품수량!$B$5:$E$27,4,FALSE)</f>
        <v>CRA</v>
      </c>
      <c r="C377" s="3">
        <v>389</v>
      </c>
      <c r="D377" s="3" t="s">
        <v>66</v>
      </c>
      <c r="E377" s="3">
        <v>30120974</v>
      </c>
      <c r="F377" s="3"/>
      <c r="G377" s="3"/>
      <c r="H377" s="3" t="s">
        <v>420</v>
      </c>
      <c r="I377" s="3" t="s">
        <v>18</v>
      </c>
      <c r="J377" s="3">
        <v>1</v>
      </c>
      <c r="K377" s="3">
        <v>1</v>
      </c>
      <c r="L377" s="3">
        <f>VLOOKUP(A377,[1]단품수량!$B$5:$P$27,13,FALSE)*K377</f>
        <v>41</v>
      </c>
      <c r="M377" s="3" t="s">
        <v>113</v>
      </c>
      <c r="N377" s="3" t="s">
        <v>231</v>
      </c>
    </row>
    <row r="378" spans="1:14" ht="18" hidden="1" customHeight="1">
      <c r="A378" s="5">
        <v>10005986</v>
      </c>
      <c r="B378" s="3" t="str">
        <f>VLOOKUP(A378,[1]단품수량!$B$5:$E$27,4,FALSE)</f>
        <v>CRA</v>
      </c>
      <c r="C378" s="3">
        <v>521</v>
      </c>
      <c r="D378" s="3" t="s">
        <v>246</v>
      </c>
      <c r="E378" s="3">
        <v>30128655</v>
      </c>
      <c r="F378" s="3" t="s">
        <v>571</v>
      </c>
      <c r="G378" s="3"/>
      <c r="H378" s="3" t="s">
        <v>51</v>
      </c>
      <c r="I378" s="3" t="s">
        <v>572</v>
      </c>
      <c r="J378" s="3">
        <v>1</v>
      </c>
      <c r="K378" s="3">
        <v>1</v>
      </c>
      <c r="L378" s="3"/>
      <c r="M378" s="3" t="s">
        <v>19</v>
      </c>
      <c r="N378" s="4" t="s">
        <v>53</v>
      </c>
    </row>
    <row r="379" spans="1:14" ht="18" hidden="1" customHeight="1">
      <c r="A379" s="5">
        <v>10005986</v>
      </c>
      <c r="B379" s="3" t="str">
        <f>VLOOKUP(A379,[1]단품수량!$B$5:$E$27,4,FALSE)</f>
        <v>CRA</v>
      </c>
      <c r="C379" s="3">
        <v>521</v>
      </c>
      <c r="D379" s="3" t="s">
        <v>204</v>
      </c>
      <c r="E379" s="3">
        <v>30129108</v>
      </c>
      <c r="F379" s="3" t="s">
        <v>579</v>
      </c>
      <c r="G379" s="3"/>
      <c r="H379" s="3" t="s">
        <v>51</v>
      </c>
      <c r="I379" s="3" t="s">
        <v>580</v>
      </c>
      <c r="J379" s="3">
        <v>1</v>
      </c>
      <c r="K379" s="3">
        <v>1</v>
      </c>
      <c r="L379" s="3"/>
      <c r="M379" s="3" t="s">
        <v>19</v>
      </c>
      <c r="N379" s="4" t="s">
        <v>53</v>
      </c>
    </row>
    <row r="380" spans="1:14" ht="18" hidden="1" customHeight="1">
      <c r="A380" s="5">
        <v>10005986</v>
      </c>
      <c r="B380" s="3" t="str">
        <f>VLOOKUP(A380,[1]단품수량!$B$5:$E$27,4,FALSE)</f>
        <v>CRA</v>
      </c>
      <c r="C380" s="3">
        <v>521</v>
      </c>
      <c r="D380" s="3" t="s">
        <v>121</v>
      </c>
      <c r="E380" s="3">
        <v>30049381</v>
      </c>
      <c r="F380" s="3"/>
      <c r="G380" s="3"/>
      <c r="H380" s="3" t="s">
        <v>564</v>
      </c>
      <c r="I380" s="3" t="s">
        <v>565</v>
      </c>
      <c r="J380" s="3">
        <v>8</v>
      </c>
      <c r="K380" s="3">
        <v>8</v>
      </c>
      <c r="L380" s="3"/>
      <c r="M380" s="3" t="s">
        <v>27</v>
      </c>
      <c r="N380" s="4"/>
    </row>
    <row r="381" spans="1:14" ht="18" hidden="1" customHeight="1">
      <c r="A381" s="5">
        <v>10005986</v>
      </c>
      <c r="B381" s="3" t="str">
        <f>VLOOKUP(A381,[1]단품수량!$B$5:$E$27,4,FALSE)</f>
        <v>CRA</v>
      </c>
      <c r="C381" s="3">
        <v>521</v>
      </c>
      <c r="D381" s="3" t="s">
        <v>126</v>
      </c>
      <c r="E381" s="3">
        <v>30054793</v>
      </c>
      <c r="F381" s="3"/>
      <c r="G381" s="3"/>
      <c r="H381" s="3" t="s">
        <v>568</v>
      </c>
      <c r="I381" s="3" t="s">
        <v>565</v>
      </c>
      <c r="J381" s="3">
        <v>8</v>
      </c>
      <c r="K381" s="3">
        <v>8</v>
      </c>
      <c r="L381" s="3"/>
      <c r="M381" s="3" t="s">
        <v>27</v>
      </c>
      <c r="N381" s="4"/>
    </row>
    <row r="382" spans="1:14" ht="18" hidden="1" customHeight="1">
      <c r="A382" s="5">
        <v>10005986</v>
      </c>
      <c r="B382" s="3" t="str">
        <f>VLOOKUP(A382,[1]단품수량!$B$5:$E$27,4,FALSE)</f>
        <v>CRA</v>
      </c>
      <c r="C382" s="3">
        <v>466</v>
      </c>
      <c r="D382" s="3" t="s">
        <v>54</v>
      </c>
      <c r="E382" s="3">
        <v>30120678</v>
      </c>
      <c r="F382" s="3" t="s">
        <v>481</v>
      </c>
      <c r="G382" s="3"/>
      <c r="H382" s="3" t="s">
        <v>482</v>
      </c>
      <c r="I382" s="3" t="s">
        <v>18</v>
      </c>
      <c r="J382" s="3">
        <v>1</v>
      </c>
      <c r="K382" s="3">
        <v>1</v>
      </c>
      <c r="L382" s="3">
        <f>VLOOKUP(A382,[1]단품수량!$B$5:$P$27,13,FALSE)*K382</f>
        <v>41</v>
      </c>
      <c r="M382" s="3" t="s">
        <v>113</v>
      </c>
      <c r="N382" s="3" t="s">
        <v>231</v>
      </c>
    </row>
    <row r="383" spans="1:14" ht="18" hidden="1" customHeight="1">
      <c r="A383" s="5">
        <v>10005986</v>
      </c>
      <c r="B383" s="3" t="str">
        <f>VLOOKUP(A383,[1]단품수량!$B$5:$E$27,4,FALSE)</f>
        <v>CRA</v>
      </c>
      <c r="C383" s="3">
        <v>471</v>
      </c>
      <c r="D383" s="3" t="s">
        <v>116</v>
      </c>
      <c r="E383" s="3">
        <v>20061621</v>
      </c>
      <c r="F383" s="3" t="s">
        <v>486</v>
      </c>
      <c r="G383" s="3"/>
      <c r="H383" s="3" t="s">
        <v>487</v>
      </c>
      <c r="I383" s="3" t="s">
        <v>18</v>
      </c>
      <c r="J383" s="3">
        <v>1</v>
      </c>
      <c r="K383" s="3">
        <v>1</v>
      </c>
      <c r="L383" s="3">
        <f>VLOOKUP(A383,[1]단품수량!$B$5:$P$27,13,FALSE)*K383</f>
        <v>41</v>
      </c>
      <c r="M383" s="3" t="s">
        <v>113</v>
      </c>
      <c r="N383" s="3" t="s">
        <v>231</v>
      </c>
    </row>
    <row r="384" spans="1:14" ht="18" hidden="1" customHeight="1">
      <c r="A384" s="5">
        <v>10005986</v>
      </c>
      <c r="B384" s="3" t="str">
        <f>VLOOKUP(A384,[1]단품수량!$B$5:$E$27,4,FALSE)</f>
        <v>CRA</v>
      </c>
      <c r="C384" s="3">
        <v>467</v>
      </c>
      <c r="D384" s="3" t="s">
        <v>64</v>
      </c>
      <c r="E384" s="3">
        <v>20061611</v>
      </c>
      <c r="F384" s="3" t="s">
        <v>483</v>
      </c>
      <c r="G384" s="3"/>
      <c r="H384" s="3" t="s">
        <v>484</v>
      </c>
      <c r="I384" s="3" t="s">
        <v>387</v>
      </c>
      <c r="J384" s="3">
        <v>1</v>
      </c>
      <c r="K384" s="3">
        <v>1</v>
      </c>
      <c r="L384" s="3">
        <f>VLOOKUP(A384,[1]단품수량!$B$5:$P$27,13,FALSE)*K384</f>
        <v>41</v>
      </c>
      <c r="M384" s="3" t="s">
        <v>19</v>
      </c>
      <c r="N384" s="3" t="s">
        <v>58</v>
      </c>
    </row>
    <row r="385" spans="1:14" ht="18" hidden="1" customHeight="1">
      <c r="A385" s="5">
        <v>10005986</v>
      </c>
      <c r="B385" s="3" t="str">
        <f>VLOOKUP(A385,[1]단품수량!$B$5:$E$27,4,FALSE)</f>
        <v>CRA</v>
      </c>
      <c r="C385" s="3">
        <v>470</v>
      </c>
      <c r="D385" s="3" t="s">
        <v>66</v>
      </c>
      <c r="E385" s="3">
        <v>30120979</v>
      </c>
      <c r="F385" s="3"/>
      <c r="G385" s="3"/>
      <c r="H385" s="3" t="s">
        <v>485</v>
      </c>
      <c r="I385" s="3" t="s">
        <v>18</v>
      </c>
      <c r="J385" s="3">
        <v>1</v>
      </c>
      <c r="K385" s="3">
        <v>1</v>
      </c>
      <c r="L385" s="3">
        <f>VLOOKUP(A385,[1]단품수량!$B$5:$P$27,13,FALSE)*K385</f>
        <v>41</v>
      </c>
      <c r="M385" s="3" t="s">
        <v>19</v>
      </c>
      <c r="N385" s="3" t="s">
        <v>402</v>
      </c>
    </row>
    <row r="386" spans="1:14" ht="18" hidden="1" customHeight="1">
      <c r="A386" s="5">
        <v>10005986</v>
      </c>
      <c r="B386" s="3" t="str">
        <f>VLOOKUP(A386,[1]단품수량!$B$5:$E$27,4,FALSE)</f>
        <v>CRA</v>
      </c>
      <c r="C386" s="3">
        <v>472</v>
      </c>
      <c r="D386" s="3" t="s">
        <v>118</v>
      </c>
      <c r="E386" s="3">
        <v>20061631</v>
      </c>
      <c r="F386" s="3" t="s">
        <v>488</v>
      </c>
      <c r="G386" s="3"/>
      <c r="H386" s="3" t="s">
        <v>489</v>
      </c>
      <c r="I386" s="3" t="s">
        <v>18</v>
      </c>
      <c r="J386" s="3">
        <v>1</v>
      </c>
      <c r="K386" s="3">
        <v>1</v>
      </c>
      <c r="L386" s="3">
        <f>VLOOKUP(A386,[1]단품수량!$B$5:$P$27,13,FALSE)*K386</f>
        <v>41</v>
      </c>
      <c r="M386" s="3" t="s">
        <v>19</v>
      </c>
      <c r="N386" s="3" t="s">
        <v>231</v>
      </c>
    </row>
    <row r="387" spans="1:14" ht="18" hidden="1" customHeight="1">
      <c r="A387" s="5">
        <v>10005986</v>
      </c>
      <c r="B387" s="3" t="str">
        <f>VLOOKUP(A387,[1]단품수량!$B$5:$E$27,4,FALSE)</f>
        <v>CRA</v>
      </c>
      <c r="C387" s="3">
        <v>474</v>
      </c>
      <c r="D387" s="3" t="s">
        <v>91</v>
      </c>
      <c r="E387" s="3">
        <v>30120679</v>
      </c>
      <c r="F387" s="3" t="s">
        <v>490</v>
      </c>
      <c r="G387" s="3"/>
      <c r="H387" s="3" t="s">
        <v>491</v>
      </c>
      <c r="I387" s="3" t="s">
        <v>18</v>
      </c>
      <c r="J387" s="3">
        <v>1</v>
      </c>
      <c r="K387" s="3">
        <v>1</v>
      </c>
      <c r="L387" s="3">
        <f>VLOOKUP(A387,[1]단품수량!$B$5:$P$27,13,FALSE)*K387</f>
        <v>41</v>
      </c>
      <c r="M387" s="3" t="s">
        <v>113</v>
      </c>
      <c r="N387" s="3" t="s">
        <v>231</v>
      </c>
    </row>
    <row r="388" spans="1:14" ht="18" hidden="1" customHeight="1">
      <c r="A388" s="5">
        <v>10005986</v>
      </c>
      <c r="B388" s="3" t="str">
        <f>VLOOKUP(A388,[1]단품수량!$B$5:$E$27,4,FALSE)</f>
        <v>CRA</v>
      </c>
      <c r="C388" s="3">
        <v>479</v>
      </c>
      <c r="D388" s="3" t="s">
        <v>116</v>
      </c>
      <c r="E388" s="3">
        <v>20061622</v>
      </c>
      <c r="F388" s="3" t="s">
        <v>495</v>
      </c>
      <c r="G388" s="3"/>
      <c r="H388" s="3" t="s">
        <v>496</v>
      </c>
      <c r="I388" s="3" t="s">
        <v>18</v>
      </c>
      <c r="J388" s="3">
        <v>1</v>
      </c>
      <c r="K388" s="3">
        <v>1</v>
      </c>
      <c r="L388" s="3">
        <f>VLOOKUP(A388,[1]단품수량!$B$5:$P$27,13,FALSE)*K388</f>
        <v>41</v>
      </c>
      <c r="M388" s="3" t="s">
        <v>113</v>
      </c>
      <c r="N388" s="3" t="s">
        <v>231</v>
      </c>
    </row>
    <row r="389" spans="1:14" ht="18" hidden="1" customHeight="1">
      <c r="A389" s="5">
        <v>10005986</v>
      </c>
      <c r="B389" s="3" t="str">
        <f>VLOOKUP(A389,[1]단품수량!$B$5:$E$27,4,FALSE)</f>
        <v>CRA</v>
      </c>
      <c r="C389" s="3">
        <v>480</v>
      </c>
      <c r="D389" s="3" t="s">
        <v>118</v>
      </c>
      <c r="E389" s="3">
        <v>20061623</v>
      </c>
      <c r="F389" s="3" t="s">
        <v>497</v>
      </c>
      <c r="G389" s="3"/>
      <c r="H389" s="3" t="s">
        <v>498</v>
      </c>
      <c r="I389" s="3" t="s">
        <v>18</v>
      </c>
      <c r="J389" s="3">
        <v>1</v>
      </c>
      <c r="K389" s="3">
        <v>1</v>
      </c>
      <c r="L389" s="3">
        <f>VLOOKUP(A389,[1]단품수량!$B$5:$P$27,13,FALSE)*K389</f>
        <v>41</v>
      </c>
      <c r="M389" s="3" t="s">
        <v>113</v>
      </c>
      <c r="N389" s="3" t="s">
        <v>231</v>
      </c>
    </row>
    <row r="390" spans="1:14" ht="18" hidden="1" customHeight="1">
      <c r="A390" s="5">
        <v>10005986</v>
      </c>
      <c r="B390" s="3" t="str">
        <f>VLOOKUP(A390,[1]단품수량!$B$5:$E$27,4,FALSE)</f>
        <v>CRA</v>
      </c>
      <c r="C390" s="3">
        <v>475</v>
      </c>
      <c r="D390" s="3" t="s">
        <v>64</v>
      </c>
      <c r="E390" s="3">
        <v>20061612</v>
      </c>
      <c r="F390" s="3" t="s">
        <v>492</v>
      </c>
      <c r="G390" s="3"/>
      <c r="H390" s="3" t="s">
        <v>493</v>
      </c>
      <c r="I390" s="3" t="s">
        <v>387</v>
      </c>
      <c r="J390" s="3">
        <v>1</v>
      </c>
      <c r="K390" s="3">
        <v>1</v>
      </c>
      <c r="L390" s="3">
        <f>VLOOKUP(A390,[1]단품수량!$B$5:$P$27,13,FALSE)*K390</f>
        <v>41</v>
      </c>
      <c r="M390" s="3" t="s">
        <v>19</v>
      </c>
      <c r="N390" s="3" t="s">
        <v>58</v>
      </c>
    </row>
    <row r="391" spans="1:14" ht="18" hidden="1" customHeight="1">
      <c r="A391" s="5">
        <v>10005986</v>
      </c>
      <c r="B391" s="3" t="str">
        <f>VLOOKUP(A391,[1]단품수량!$B$5:$E$27,4,FALSE)</f>
        <v>CRA</v>
      </c>
      <c r="C391" s="3">
        <v>478</v>
      </c>
      <c r="D391" s="3" t="s">
        <v>66</v>
      </c>
      <c r="E391" s="3">
        <v>30120980</v>
      </c>
      <c r="F391" s="3"/>
      <c r="G391" s="3"/>
      <c r="H391" s="3" t="s">
        <v>494</v>
      </c>
      <c r="I391" s="3" t="s">
        <v>18</v>
      </c>
      <c r="J391" s="3">
        <v>1</v>
      </c>
      <c r="K391" s="3">
        <v>1</v>
      </c>
      <c r="L391" s="3">
        <f>VLOOKUP(A391,[1]단품수량!$B$5:$P$27,13,FALSE)*K391</f>
        <v>41</v>
      </c>
      <c r="M391" s="3" t="s">
        <v>19</v>
      </c>
      <c r="N391" s="3" t="s">
        <v>402</v>
      </c>
    </row>
    <row r="392" spans="1:14" ht="18" hidden="1" customHeight="1">
      <c r="A392" s="5">
        <v>10005986</v>
      </c>
      <c r="B392" s="3" t="str">
        <f>VLOOKUP(A392,[1]단품수량!$B$5:$E$27,4,FALSE)</f>
        <v>CRA</v>
      </c>
      <c r="C392" s="3">
        <v>481</v>
      </c>
      <c r="D392" s="3" t="s">
        <v>121</v>
      </c>
      <c r="E392" s="3">
        <v>20061632</v>
      </c>
      <c r="F392" s="3" t="s">
        <v>499</v>
      </c>
      <c r="G392" s="3"/>
      <c r="H392" s="3" t="s">
        <v>500</v>
      </c>
      <c r="I392" s="3" t="s">
        <v>18</v>
      </c>
      <c r="J392" s="3">
        <v>1</v>
      </c>
      <c r="K392" s="3">
        <v>1</v>
      </c>
      <c r="L392" s="3">
        <f>VLOOKUP(A392,[1]단품수량!$B$5:$P$27,13,FALSE)*K392</f>
        <v>41</v>
      </c>
      <c r="M392" s="3" t="s">
        <v>19</v>
      </c>
      <c r="N392" s="3" t="s">
        <v>231</v>
      </c>
    </row>
    <row r="393" spans="1:14" ht="18" hidden="1" customHeight="1">
      <c r="A393" s="5">
        <v>10005986</v>
      </c>
      <c r="B393" s="3" t="str">
        <f>VLOOKUP(A393,[1]단품수량!$B$5:$E$27,4,FALSE)</f>
        <v>CRA</v>
      </c>
      <c r="C393" s="3">
        <v>495</v>
      </c>
      <c r="D393" s="3" t="s">
        <v>411</v>
      </c>
      <c r="E393" s="3">
        <v>20061634</v>
      </c>
      <c r="F393" s="3" t="s">
        <v>518</v>
      </c>
      <c r="G393" s="3"/>
      <c r="H393" s="3" t="s">
        <v>519</v>
      </c>
      <c r="I393" s="3" t="s">
        <v>18</v>
      </c>
      <c r="J393" s="3">
        <v>1</v>
      </c>
      <c r="K393" s="3">
        <v>1</v>
      </c>
      <c r="L393" s="3">
        <f>VLOOKUP(A393,[1]단품수량!$B$5:$P$27,13,FALSE)*K393</f>
        <v>41</v>
      </c>
      <c r="M393" s="3" t="s">
        <v>19</v>
      </c>
      <c r="N393" s="3" t="s">
        <v>231</v>
      </c>
    </row>
    <row r="394" spans="1:14" ht="18" hidden="1" customHeight="1">
      <c r="A394" s="5">
        <v>10005986</v>
      </c>
      <c r="B394" s="3" t="str">
        <f>VLOOKUP(A394,[1]단품수량!$B$5:$E$27,4,FALSE)</f>
        <v>CRA</v>
      </c>
      <c r="C394" s="3">
        <v>490</v>
      </c>
      <c r="D394" s="3" t="s">
        <v>411</v>
      </c>
      <c r="E394" s="3">
        <v>20061633</v>
      </c>
      <c r="F394" s="3" t="s">
        <v>513</v>
      </c>
      <c r="G394" s="3"/>
      <c r="H394" s="3" t="s">
        <v>514</v>
      </c>
      <c r="I394" s="3" t="s">
        <v>18</v>
      </c>
      <c r="J394" s="3">
        <v>1</v>
      </c>
      <c r="K394" s="3">
        <v>1</v>
      </c>
      <c r="L394" s="3">
        <f>VLOOKUP(A394,[1]단품수량!$B$5:$P$27,13,FALSE)*K394</f>
        <v>41</v>
      </c>
      <c r="M394" s="3" t="s">
        <v>19</v>
      </c>
      <c r="N394" s="3" t="s">
        <v>231</v>
      </c>
    </row>
    <row r="395" spans="1:14" ht="18" hidden="1" customHeight="1">
      <c r="A395" s="5">
        <v>10005986</v>
      </c>
      <c r="B395" s="3" t="str">
        <f>VLOOKUP(A395,[1]단품수량!$B$5:$E$27,4,FALSE)</f>
        <v>CRA</v>
      </c>
      <c r="C395" s="3">
        <v>521</v>
      </c>
      <c r="D395" s="3" t="s">
        <v>129</v>
      </c>
      <c r="E395" s="3">
        <v>30128653</v>
      </c>
      <c r="F395" s="3" t="s">
        <v>569</v>
      </c>
      <c r="G395" s="3"/>
      <c r="H395" s="3" t="s">
        <v>570</v>
      </c>
      <c r="I395" s="3" t="s">
        <v>557</v>
      </c>
      <c r="J395" s="3">
        <v>1</v>
      </c>
      <c r="K395" s="3">
        <v>1</v>
      </c>
      <c r="L395" s="3"/>
      <c r="M395" s="3" t="s">
        <v>27</v>
      </c>
      <c r="N395" s="4" t="s">
        <v>20</v>
      </c>
    </row>
    <row r="396" spans="1:14" ht="18" hidden="1" customHeight="1">
      <c r="A396" s="5">
        <v>10005986</v>
      </c>
      <c r="B396" s="3" t="str">
        <f>VLOOKUP(A396,[1]단품수량!$B$5:$E$27,4,FALSE)</f>
        <v>CRA</v>
      </c>
      <c r="C396" s="3">
        <v>487</v>
      </c>
      <c r="D396" s="3" t="s">
        <v>388</v>
      </c>
      <c r="E396" s="3">
        <v>30121015</v>
      </c>
      <c r="F396" s="3"/>
      <c r="G396" s="3"/>
      <c r="H396" s="3" t="s">
        <v>507</v>
      </c>
      <c r="I396" s="3" t="s">
        <v>508</v>
      </c>
      <c r="J396" s="3">
        <v>1</v>
      </c>
      <c r="K396" s="3">
        <v>1</v>
      </c>
      <c r="L396" s="3">
        <f>VLOOKUP(A396,[1]단품수량!$B$5:$P$27,13,FALSE)*K396</f>
        <v>41</v>
      </c>
      <c r="M396" s="3" t="s">
        <v>27</v>
      </c>
      <c r="N396" s="3" t="s">
        <v>28</v>
      </c>
    </row>
    <row r="397" spans="1:14" ht="18" hidden="1" customHeight="1">
      <c r="A397" s="5">
        <v>10005986</v>
      </c>
      <c r="B397" s="3" t="str">
        <f>VLOOKUP(A397,[1]단품수량!$B$5:$E$27,4,FALSE)</f>
        <v>CRA</v>
      </c>
      <c r="C397" s="3">
        <v>358</v>
      </c>
      <c r="D397" s="3" t="s">
        <v>391</v>
      </c>
      <c r="E397" s="3">
        <v>30120760</v>
      </c>
      <c r="F397" s="3"/>
      <c r="G397" s="3"/>
      <c r="H397" s="3" t="s">
        <v>392</v>
      </c>
      <c r="I397" s="3" t="s">
        <v>393</v>
      </c>
      <c r="J397" s="3">
        <v>2</v>
      </c>
      <c r="K397" s="3">
        <v>2</v>
      </c>
      <c r="L397" s="3">
        <f>VLOOKUP(A397,[1]단품수량!$B$5:$P$27,13,FALSE)*K397</f>
        <v>82</v>
      </c>
      <c r="M397" s="3" t="s">
        <v>27</v>
      </c>
      <c r="N397" s="3" t="s">
        <v>231</v>
      </c>
    </row>
    <row r="398" spans="1:14" ht="18" hidden="1" customHeight="1">
      <c r="A398" s="5">
        <v>10005986</v>
      </c>
      <c r="B398" s="3" t="str">
        <f>VLOOKUP(A398,[1]단품수량!$B$5:$E$27,4,FALSE)</f>
        <v>CRA</v>
      </c>
      <c r="C398" s="3">
        <v>364</v>
      </c>
      <c r="D398" s="3" t="s">
        <v>391</v>
      </c>
      <c r="E398" s="3">
        <v>30120760</v>
      </c>
      <c r="F398" s="3"/>
      <c r="G398" s="3"/>
      <c r="H398" s="3" t="s">
        <v>392</v>
      </c>
      <c r="I398" s="3" t="s">
        <v>393</v>
      </c>
      <c r="J398" s="3">
        <v>1</v>
      </c>
      <c r="K398" s="3">
        <v>1</v>
      </c>
      <c r="L398" s="3">
        <f>VLOOKUP(A398,[1]단품수량!$B$5:$P$27,13,FALSE)*K398</f>
        <v>41</v>
      </c>
      <c r="M398" s="3" t="s">
        <v>27</v>
      </c>
      <c r="N398" s="3" t="s">
        <v>231</v>
      </c>
    </row>
    <row r="399" spans="1:14" ht="18" hidden="1" customHeight="1">
      <c r="A399" s="5">
        <v>10005986</v>
      </c>
      <c r="B399" s="3" t="str">
        <f>VLOOKUP(A399,[1]단품수량!$B$5:$E$27,4,FALSE)</f>
        <v>CRA</v>
      </c>
      <c r="C399" s="3">
        <v>388</v>
      </c>
      <c r="D399" s="3" t="s">
        <v>391</v>
      </c>
      <c r="E399" s="3">
        <v>30120760</v>
      </c>
      <c r="F399" s="3"/>
      <c r="G399" s="3"/>
      <c r="H399" s="3" t="s">
        <v>392</v>
      </c>
      <c r="I399" s="3" t="s">
        <v>393</v>
      </c>
      <c r="J399" s="3">
        <v>1</v>
      </c>
      <c r="K399" s="3">
        <v>1</v>
      </c>
      <c r="L399" s="3">
        <f>VLOOKUP(A399,[1]단품수량!$B$5:$P$27,13,FALSE)*K399</f>
        <v>41</v>
      </c>
      <c r="M399" s="3" t="s">
        <v>27</v>
      </c>
      <c r="N399" s="3" t="s">
        <v>231</v>
      </c>
    </row>
    <row r="400" spans="1:14" ht="18" hidden="1" customHeight="1">
      <c r="A400" s="5">
        <v>10005986</v>
      </c>
      <c r="B400" s="3" t="str">
        <f>VLOOKUP(A400,[1]단품수량!$B$5:$E$27,4,FALSE)</f>
        <v>CRA</v>
      </c>
      <c r="C400" s="3">
        <v>404</v>
      </c>
      <c r="D400" s="3" t="s">
        <v>391</v>
      </c>
      <c r="E400" s="3">
        <v>30120760</v>
      </c>
      <c r="F400" s="3"/>
      <c r="G400" s="3"/>
      <c r="H400" s="3" t="s">
        <v>392</v>
      </c>
      <c r="I400" s="3" t="s">
        <v>393</v>
      </c>
      <c r="J400" s="3">
        <v>1</v>
      </c>
      <c r="K400" s="3">
        <v>1</v>
      </c>
      <c r="L400" s="3">
        <f>VLOOKUP(A400,[1]단품수량!$B$5:$P$27,13,FALSE)*K400</f>
        <v>41</v>
      </c>
      <c r="M400" s="3" t="s">
        <v>27</v>
      </c>
      <c r="N400" s="3" t="s">
        <v>231</v>
      </c>
    </row>
    <row r="401" spans="1:14" ht="18" hidden="1" customHeight="1">
      <c r="A401" s="5">
        <v>10005986</v>
      </c>
      <c r="B401" s="3" t="str">
        <f>VLOOKUP(A401,[1]단품수량!$B$5:$E$27,4,FALSE)</f>
        <v>CRA</v>
      </c>
      <c r="C401" s="3">
        <v>421</v>
      </c>
      <c r="D401" s="3" t="s">
        <v>391</v>
      </c>
      <c r="E401" s="3">
        <v>30120760</v>
      </c>
      <c r="F401" s="3"/>
      <c r="G401" s="3"/>
      <c r="H401" s="3" t="s">
        <v>392</v>
      </c>
      <c r="I401" s="3" t="s">
        <v>393</v>
      </c>
      <c r="J401" s="3">
        <v>1</v>
      </c>
      <c r="K401" s="3">
        <v>1</v>
      </c>
      <c r="L401" s="3">
        <f>VLOOKUP(A401,[1]단품수량!$B$5:$P$27,13,FALSE)*K401</f>
        <v>41</v>
      </c>
      <c r="M401" s="3" t="s">
        <v>27</v>
      </c>
      <c r="N401" s="3" t="s">
        <v>231</v>
      </c>
    </row>
    <row r="402" spans="1:14" ht="18" hidden="1" customHeight="1">
      <c r="A402" s="5">
        <v>10005986</v>
      </c>
      <c r="B402" s="3" t="str">
        <f>VLOOKUP(A402,[1]단품수량!$B$5:$E$27,4,FALSE)</f>
        <v>CRA</v>
      </c>
      <c r="C402" s="3">
        <v>430</v>
      </c>
      <c r="D402" s="3" t="s">
        <v>391</v>
      </c>
      <c r="E402" s="3">
        <v>30120760</v>
      </c>
      <c r="F402" s="3"/>
      <c r="G402" s="3"/>
      <c r="H402" s="3" t="s">
        <v>392</v>
      </c>
      <c r="I402" s="3" t="s">
        <v>393</v>
      </c>
      <c r="J402" s="3">
        <v>1</v>
      </c>
      <c r="K402" s="3">
        <v>1</v>
      </c>
      <c r="L402" s="3">
        <f>VLOOKUP(A402,[1]단품수량!$B$5:$P$27,13,FALSE)*K402</f>
        <v>41</v>
      </c>
      <c r="M402" s="3" t="s">
        <v>27</v>
      </c>
      <c r="N402" s="3" t="s">
        <v>231</v>
      </c>
    </row>
    <row r="403" spans="1:14" ht="18" hidden="1" customHeight="1">
      <c r="A403" s="5">
        <v>10005986</v>
      </c>
      <c r="B403" s="3" t="str">
        <f>VLOOKUP(A403,[1]단품수량!$B$5:$E$27,4,FALSE)</f>
        <v>CRA</v>
      </c>
      <c r="C403" s="3">
        <v>438</v>
      </c>
      <c r="D403" s="3" t="s">
        <v>391</v>
      </c>
      <c r="E403" s="3">
        <v>30120760</v>
      </c>
      <c r="F403" s="3"/>
      <c r="G403" s="3"/>
      <c r="H403" s="3" t="s">
        <v>392</v>
      </c>
      <c r="I403" s="3" t="s">
        <v>393</v>
      </c>
      <c r="J403" s="3">
        <v>1</v>
      </c>
      <c r="K403" s="3">
        <v>1</v>
      </c>
      <c r="L403" s="3">
        <f>VLOOKUP(A403,[1]단품수량!$B$5:$P$27,13,FALSE)*K403</f>
        <v>41</v>
      </c>
      <c r="M403" s="3" t="s">
        <v>27</v>
      </c>
      <c r="N403" s="3" t="s">
        <v>231</v>
      </c>
    </row>
    <row r="404" spans="1:14" ht="18" hidden="1" customHeight="1">
      <c r="A404" s="5">
        <v>10005986</v>
      </c>
      <c r="B404" s="3" t="str">
        <f>VLOOKUP(A404,[1]단품수량!$B$5:$E$27,4,FALSE)</f>
        <v>CRA</v>
      </c>
      <c r="C404" s="3">
        <v>444</v>
      </c>
      <c r="D404" s="3" t="s">
        <v>391</v>
      </c>
      <c r="E404" s="3">
        <v>30120760</v>
      </c>
      <c r="F404" s="3"/>
      <c r="G404" s="3"/>
      <c r="H404" s="3" t="s">
        <v>392</v>
      </c>
      <c r="I404" s="3" t="s">
        <v>393</v>
      </c>
      <c r="J404" s="3">
        <v>1</v>
      </c>
      <c r="K404" s="3">
        <v>1</v>
      </c>
      <c r="L404" s="3">
        <f>VLOOKUP(A404,[1]단품수량!$B$5:$P$27,13,FALSE)*K404</f>
        <v>41</v>
      </c>
      <c r="M404" s="3" t="s">
        <v>27</v>
      </c>
      <c r="N404" s="3" t="s">
        <v>231</v>
      </c>
    </row>
    <row r="405" spans="1:14" ht="18" hidden="1" customHeight="1">
      <c r="A405" s="5">
        <v>10005986</v>
      </c>
      <c r="B405" s="3" t="str">
        <f>VLOOKUP(A405,[1]단품수량!$B$5:$E$27,4,FALSE)</f>
        <v>CRA</v>
      </c>
      <c r="C405" s="3">
        <v>469</v>
      </c>
      <c r="D405" s="3" t="s">
        <v>391</v>
      </c>
      <c r="E405" s="3">
        <v>30120760</v>
      </c>
      <c r="F405" s="3"/>
      <c r="G405" s="3"/>
      <c r="H405" s="3" t="s">
        <v>392</v>
      </c>
      <c r="I405" s="3" t="s">
        <v>393</v>
      </c>
      <c r="J405" s="3">
        <v>1</v>
      </c>
      <c r="K405" s="3">
        <v>1</v>
      </c>
      <c r="L405" s="3">
        <f>VLOOKUP(A405,[1]단품수량!$B$5:$P$27,13,FALSE)*K405</f>
        <v>41</v>
      </c>
      <c r="M405" s="3" t="s">
        <v>27</v>
      </c>
      <c r="N405" s="3" t="s">
        <v>231</v>
      </c>
    </row>
    <row r="406" spans="1:14" ht="18" hidden="1" customHeight="1">
      <c r="A406" s="5">
        <v>10005986</v>
      </c>
      <c r="B406" s="3" t="str">
        <f>VLOOKUP(A406,[1]단품수량!$B$5:$E$27,4,FALSE)</f>
        <v>CRA</v>
      </c>
      <c r="C406" s="3">
        <v>477</v>
      </c>
      <c r="D406" s="3" t="s">
        <v>391</v>
      </c>
      <c r="E406" s="3">
        <v>30120760</v>
      </c>
      <c r="F406" s="3"/>
      <c r="G406" s="3"/>
      <c r="H406" s="3" t="s">
        <v>392</v>
      </c>
      <c r="I406" s="3" t="s">
        <v>393</v>
      </c>
      <c r="J406" s="3">
        <v>1</v>
      </c>
      <c r="K406" s="3">
        <v>1</v>
      </c>
      <c r="L406" s="3">
        <f>VLOOKUP(A406,[1]단품수량!$B$5:$P$27,13,FALSE)*K406</f>
        <v>41</v>
      </c>
      <c r="M406" s="3" t="s">
        <v>27</v>
      </c>
      <c r="N406" s="3" t="s">
        <v>231</v>
      </c>
    </row>
    <row r="407" spans="1:14" ht="18" hidden="1" customHeight="1">
      <c r="A407" s="5">
        <v>10005986</v>
      </c>
      <c r="B407" s="3" t="str">
        <f>VLOOKUP(A407,[1]단품수량!$B$5:$E$27,4,FALSE)</f>
        <v>CRA</v>
      </c>
      <c r="C407" s="3">
        <v>485</v>
      </c>
      <c r="D407" s="3" t="s">
        <v>391</v>
      </c>
      <c r="E407" s="3">
        <v>30120760</v>
      </c>
      <c r="F407" s="3"/>
      <c r="G407" s="3"/>
      <c r="H407" s="3" t="s">
        <v>392</v>
      </c>
      <c r="I407" s="3" t="s">
        <v>393</v>
      </c>
      <c r="J407" s="3">
        <v>2</v>
      </c>
      <c r="K407" s="3">
        <v>2</v>
      </c>
      <c r="L407" s="3">
        <f>VLOOKUP(A407,[1]단품수량!$B$5:$P$27,13,FALSE)*K407</f>
        <v>82</v>
      </c>
      <c r="M407" s="3" t="s">
        <v>27</v>
      </c>
      <c r="N407" s="3" t="s">
        <v>231</v>
      </c>
    </row>
    <row r="408" spans="1:14" ht="18" hidden="1" customHeight="1">
      <c r="A408" s="5">
        <v>10005986</v>
      </c>
      <c r="B408" s="3" t="str">
        <f>VLOOKUP(A408,[1]단품수량!$B$5:$E$27,4,FALSE)</f>
        <v>CRA</v>
      </c>
      <c r="C408" s="3">
        <v>503</v>
      </c>
      <c r="D408" s="3" t="s">
        <v>391</v>
      </c>
      <c r="E408" s="3">
        <v>30120760</v>
      </c>
      <c r="F408" s="3"/>
      <c r="G408" s="3"/>
      <c r="H408" s="3" t="s">
        <v>392</v>
      </c>
      <c r="I408" s="3" t="s">
        <v>393</v>
      </c>
      <c r="J408" s="3">
        <v>2</v>
      </c>
      <c r="K408" s="3">
        <v>2</v>
      </c>
      <c r="L408" s="3">
        <f>VLOOKUP(A408,[1]단품수량!$B$5:$P$27,13,FALSE)*K408</f>
        <v>82</v>
      </c>
      <c r="M408" s="3" t="s">
        <v>27</v>
      </c>
      <c r="N408" s="3" t="s">
        <v>231</v>
      </c>
    </row>
    <row r="409" spans="1:14" ht="18" hidden="1" customHeight="1">
      <c r="A409" s="5">
        <v>10005986</v>
      </c>
      <c r="B409" s="3" t="str">
        <f>VLOOKUP(A409,[1]단품수량!$B$5:$E$27,4,FALSE)</f>
        <v>CRA</v>
      </c>
      <c r="C409" s="3">
        <v>515</v>
      </c>
      <c r="D409" s="3" t="s">
        <v>254</v>
      </c>
      <c r="E409" s="3">
        <v>30120577</v>
      </c>
      <c r="F409" s="3"/>
      <c r="G409" s="3"/>
      <c r="H409" s="3" t="s">
        <v>541</v>
      </c>
      <c r="I409" s="3" t="s">
        <v>542</v>
      </c>
      <c r="J409" s="3">
        <v>8</v>
      </c>
      <c r="K409" s="3">
        <v>8</v>
      </c>
      <c r="L409" s="3">
        <f>VLOOKUP(A409,[1]단품수량!$B$5:$P$27,13,FALSE)*K409</f>
        <v>328</v>
      </c>
      <c r="M409" s="3" t="s">
        <v>27</v>
      </c>
      <c r="N409" s="3" t="s">
        <v>28</v>
      </c>
    </row>
    <row r="410" spans="1:14" ht="18" hidden="1" customHeight="1">
      <c r="A410" s="5">
        <v>10005986</v>
      </c>
      <c r="B410" s="3" t="str">
        <f>VLOOKUP(A410,[1]단품수량!$B$5:$E$27,4,FALSE)</f>
        <v>CRA</v>
      </c>
      <c r="C410" s="3">
        <v>373</v>
      </c>
      <c r="D410" s="3" t="s">
        <v>248</v>
      </c>
      <c r="E410" s="3">
        <v>30118581</v>
      </c>
      <c r="F410" s="3"/>
      <c r="G410" s="3"/>
      <c r="H410" s="12" t="s">
        <v>92</v>
      </c>
      <c r="I410" s="12" t="s">
        <v>93</v>
      </c>
      <c r="J410" s="3">
        <v>17</v>
      </c>
      <c r="K410" s="3">
        <v>17</v>
      </c>
      <c r="L410" s="3">
        <f>VLOOKUP(A410,[1]단품수량!$B$5:$P$27,13,FALSE)*K410</f>
        <v>697</v>
      </c>
      <c r="M410" s="3" t="s">
        <v>35</v>
      </c>
      <c r="N410" s="3" t="s">
        <v>36</v>
      </c>
    </row>
    <row r="411" spans="1:14" ht="18" hidden="1" customHeight="1">
      <c r="A411" s="5">
        <v>10005986</v>
      </c>
      <c r="B411" s="3" t="str">
        <f>VLOOKUP(A411,[1]단품수량!$B$5:$E$27,4,FALSE)</f>
        <v>CRA</v>
      </c>
      <c r="C411" s="3">
        <v>455</v>
      </c>
      <c r="D411" s="3" t="s">
        <v>129</v>
      </c>
      <c r="E411" s="3">
        <v>30118581</v>
      </c>
      <c r="F411" s="3"/>
      <c r="G411" s="3"/>
      <c r="H411" s="12" t="s">
        <v>92</v>
      </c>
      <c r="I411" s="12" t="s">
        <v>93</v>
      </c>
      <c r="J411" s="3">
        <v>10</v>
      </c>
      <c r="K411" s="3">
        <v>10</v>
      </c>
      <c r="L411" s="3">
        <f>VLOOKUP(A411,[1]단품수량!$B$5:$P$27,13,FALSE)*K411</f>
        <v>410</v>
      </c>
      <c r="M411" s="3" t="s">
        <v>35</v>
      </c>
      <c r="N411" s="3" t="s">
        <v>36</v>
      </c>
    </row>
    <row r="412" spans="1:14" ht="18" hidden="1" customHeight="1">
      <c r="A412" s="5">
        <v>10005986</v>
      </c>
      <c r="B412" s="3" t="str">
        <f>VLOOKUP(A412,[1]단품수량!$B$5:$E$27,4,FALSE)</f>
        <v>CRA</v>
      </c>
      <c r="C412" s="3">
        <v>369</v>
      </c>
      <c r="D412" s="3" t="s">
        <v>123</v>
      </c>
      <c r="E412" s="3">
        <v>30118571</v>
      </c>
      <c r="F412" s="3"/>
      <c r="G412" s="3"/>
      <c r="H412" s="12" t="s">
        <v>405</v>
      </c>
      <c r="I412" s="12" t="s">
        <v>406</v>
      </c>
      <c r="J412" s="3">
        <v>3</v>
      </c>
      <c r="K412" s="3">
        <v>3</v>
      </c>
      <c r="L412" s="3">
        <f>VLOOKUP(A412,[1]단품수량!$B$5:$P$27,13,FALSE)*K412</f>
        <v>123</v>
      </c>
      <c r="M412" s="3" t="s">
        <v>35</v>
      </c>
      <c r="N412" s="3" t="s">
        <v>36</v>
      </c>
    </row>
    <row r="413" spans="1:14" ht="18" hidden="1" customHeight="1">
      <c r="A413" s="5">
        <v>10005986</v>
      </c>
      <c r="B413" s="3" t="str">
        <f>VLOOKUP(A413,[1]단품수량!$B$5:$E$27,4,FALSE)</f>
        <v>CRA</v>
      </c>
      <c r="C413" s="3">
        <v>451</v>
      </c>
      <c r="D413" s="3" t="s">
        <v>118</v>
      </c>
      <c r="E413" s="3">
        <v>30118571</v>
      </c>
      <c r="F413" s="3"/>
      <c r="G413" s="3"/>
      <c r="H413" s="12" t="s">
        <v>405</v>
      </c>
      <c r="I413" s="12" t="s">
        <v>406</v>
      </c>
      <c r="J413" s="3">
        <v>1</v>
      </c>
      <c r="K413" s="3">
        <v>1</v>
      </c>
      <c r="L413" s="3">
        <f>VLOOKUP(A413,[1]단품수량!$B$5:$P$27,13,FALSE)*K413</f>
        <v>41</v>
      </c>
      <c r="M413" s="3" t="s">
        <v>35</v>
      </c>
      <c r="N413" s="3" t="s">
        <v>36</v>
      </c>
    </row>
    <row r="414" spans="1:14" ht="18" hidden="1" customHeight="1">
      <c r="A414" s="5">
        <v>10005986</v>
      </c>
      <c r="B414" s="3" t="str">
        <f>VLOOKUP(A414,[1]단품수량!$B$5:$E$27,4,FALSE)</f>
        <v>CRA</v>
      </c>
      <c r="C414" s="3">
        <v>368</v>
      </c>
      <c r="D414" s="3" t="s">
        <v>121</v>
      </c>
      <c r="E414" s="3">
        <v>30118572</v>
      </c>
      <c r="F414" s="3"/>
      <c r="G414" s="3"/>
      <c r="H414" s="12" t="s">
        <v>44</v>
      </c>
      <c r="I414" s="12" t="s">
        <v>45</v>
      </c>
      <c r="J414" s="3">
        <v>4</v>
      </c>
      <c r="K414" s="3">
        <v>4</v>
      </c>
      <c r="L414" s="3">
        <f>VLOOKUP(A414,[1]단품수량!$B$5:$P$27,13,FALSE)*K414</f>
        <v>164</v>
      </c>
      <c r="M414" s="3" t="s">
        <v>35</v>
      </c>
      <c r="N414" s="3" t="s">
        <v>36</v>
      </c>
    </row>
    <row r="415" spans="1:14" ht="18" hidden="1" customHeight="1">
      <c r="A415" s="5">
        <v>10005986</v>
      </c>
      <c r="B415" s="3" t="str">
        <f>VLOOKUP(A415,[1]단품수량!$B$5:$E$27,4,FALSE)</f>
        <v>CRA</v>
      </c>
      <c r="C415" s="3">
        <v>392</v>
      </c>
      <c r="D415" s="3" t="s">
        <v>121</v>
      </c>
      <c r="E415" s="3">
        <v>30118572</v>
      </c>
      <c r="F415" s="3"/>
      <c r="G415" s="3"/>
      <c r="H415" s="12" t="s">
        <v>44</v>
      </c>
      <c r="I415" s="12" t="s">
        <v>45</v>
      </c>
      <c r="J415" s="3">
        <v>7</v>
      </c>
      <c r="K415" s="3">
        <v>7</v>
      </c>
      <c r="L415" s="3">
        <f>VLOOKUP(A415,[1]단품수량!$B$5:$P$27,13,FALSE)*K415</f>
        <v>287</v>
      </c>
      <c r="M415" s="3" t="s">
        <v>35</v>
      </c>
      <c r="N415" s="3" t="s">
        <v>36</v>
      </c>
    </row>
    <row r="416" spans="1:14" ht="18" hidden="1" customHeight="1">
      <c r="A416" s="5">
        <v>10005986</v>
      </c>
      <c r="B416" s="3" t="str">
        <f>VLOOKUP(A416,[1]단품수량!$B$5:$E$27,4,FALSE)</f>
        <v>CRA</v>
      </c>
      <c r="C416" s="3">
        <v>521</v>
      </c>
      <c r="D416" s="3" t="s">
        <v>66</v>
      </c>
      <c r="E416" s="3">
        <v>30128649</v>
      </c>
      <c r="F416" s="3" t="s">
        <v>556</v>
      </c>
      <c r="G416" s="3"/>
      <c r="H416" s="3" t="s">
        <v>71</v>
      </c>
      <c r="I416" s="3" t="s">
        <v>557</v>
      </c>
      <c r="J416" s="3">
        <v>1</v>
      </c>
      <c r="K416" s="3">
        <v>1</v>
      </c>
      <c r="L416" s="3"/>
      <c r="M416" s="3" t="s">
        <v>27</v>
      </c>
      <c r="N416" s="4" t="s">
        <v>20</v>
      </c>
    </row>
    <row r="417" spans="1:14" ht="18" hidden="1" customHeight="1">
      <c r="A417" s="5">
        <v>10005986</v>
      </c>
      <c r="B417" s="3" t="str">
        <f>VLOOKUP(A417,[1]단품수량!$B$5:$E$27,4,FALSE)</f>
        <v>CRA</v>
      </c>
      <c r="C417" s="3">
        <v>399</v>
      </c>
      <c r="D417" s="3" t="s">
        <v>391</v>
      </c>
      <c r="E417" s="3">
        <v>30100325</v>
      </c>
      <c r="F417" s="3"/>
      <c r="G417" s="3"/>
      <c r="H417" s="3" t="s">
        <v>119</v>
      </c>
      <c r="I417" s="3" t="s">
        <v>120</v>
      </c>
      <c r="J417" s="3">
        <v>1</v>
      </c>
      <c r="K417" s="3">
        <v>1</v>
      </c>
      <c r="L417" s="3">
        <f>VLOOKUP(A417,[1]단품수량!$B$5:$P$27,13,FALSE)*K417</f>
        <v>41</v>
      </c>
      <c r="M417" s="3" t="s">
        <v>35</v>
      </c>
      <c r="N417" s="3" t="s">
        <v>28</v>
      </c>
    </row>
    <row r="418" spans="1:14" ht="18" hidden="1" customHeight="1">
      <c r="A418" s="5">
        <v>10005986</v>
      </c>
      <c r="B418" s="3" t="str">
        <f>VLOOKUP(A418,[1]단품수량!$B$5:$E$27,4,FALSE)</f>
        <v>CRA</v>
      </c>
      <c r="C418" s="3">
        <v>506</v>
      </c>
      <c r="D418" s="3" t="s">
        <v>118</v>
      </c>
      <c r="E418" s="3">
        <v>30120683</v>
      </c>
      <c r="F418" s="3" t="s">
        <v>531</v>
      </c>
      <c r="G418" s="3"/>
      <c r="H418" s="12" t="s">
        <v>532</v>
      </c>
      <c r="I418" s="12" t="s">
        <v>533</v>
      </c>
      <c r="J418" s="3">
        <v>1</v>
      </c>
      <c r="K418" s="3">
        <v>1</v>
      </c>
      <c r="L418" s="3">
        <f>VLOOKUP(A418,[1]단품수량!$B$5:$P$27,13,FALSE)*K418</f>
        <v>41</v>
      </c>
      <c r="M418" s="3" t="s">
        <v>19</v>
      </c>
      <c r="N418" s="3" t="s">
        <v>58</v>
      </c>
    </row>
    <row r="419" spans="1:14" ht="18" hidden="1" customHeight="1">
      <c r="A419" s="5">
        <v>10005986</v>
      </c>
      <c r="B419" s="3" t="str">
        <f>VLOOKUP(A419,[1]단품수량!$B$5:$E$27,4,FALSE)</f>
        <v>CRA</v>
      </c>
      <c r="C419" s="3">
        <v>355</v>
      </c>
      <c r="D419" s="3" t="s">
        <v>24</v>
      </c>
      <c r="E419" s="3">
        <v>30120670</v>
      </c>
      <c r="F419" s="3" t="s">
        <v>382</v>
      </c>
      <c r="G419" s="3"/>
      <c r="H419" s="12" t="s">
        <v>383</v>
      </c>
      <c r="I419" s="12" t="s">
        <v>384</v>
      </c>
      <c r="J419" s="3">
        <v>1</v>
      </c>
      <c r="K419" s="3">
        <v>1</v>
      </c>
      <c r="L419" s="3">
        <f>VLOOKUP(A419,[1]단품수량!$B$5:$P$27,13,FALSE)*K419</f>
        <v>41</v>
      </c>
      <c r="M419" s="3" t="s">
        <v>113</v>
      </c>
      <c r="N419" s="3" t="s">
        <v>58</v>
      </c>
    </row>
    <row r="420" spans="1:14" ht="18" hidden="1" customHeight="1">
      <c r="A420" s="5">
        <v>10005986</v>
      </c>
      <c r="B420" s="3" t="str">
        <f>VLOOKUP(A420,[1]단품수량!$B$5:$E$27,4,FALSE)</f>
        <v>CRA</v>
      </c>
      <c r="C420" s="3">
        <v>360</v>
      </c>
      <c r="D420" s="3" t="s">
        <v>116</v>
      </c>
      <c r="E420" s="3">
        <v>20061619</v>
      </c>
      <c r="F420" s="3" t="s">
        <v>395</v>
      </c>
      <c r="G420" s="3"/>
      <c r="H420" s="3" t="s">
        <v>396</v>
      </c>
      <c r="I420" s="3" t="s">
        <v>18</v>
      </c>
      <c r="J420" s="3">
        <v>1</v>
      </c>
      <c r="K420" s="3">
        <v>1</v>
      </c>
      <c r="L420" s="3">
        <f>VLOOKUP(A420,[1]단품수량!$B$5:$P$27,13,FALSE)*K420</f>
        <v>41</v>
      </c>
      <c r="M420" s="3" t="s">
        <v>113</v>
      </c>
      <c r="N420" s="3" t="s">
        <v>231</v>
      </c>
    </row>
    <row r="421" spans="1:14" ht="18" hidden="1" customHeight="1">
      <c r="A421" s="5">
        <v>10005986</v>
      </c>
      <c r="B421" s="3" t="str">
        <f>VLOOKUP(A421,[1]단품수량!$B$5:$E$27,4,FALSE)</f>
        <v>CRA</v>
      </c>
      <c r="C421" s="3">
        <v>356</v>
      </c>
      <c r="D421" s="3" t="s">
        <v>64</v>
      </c>
      <c r="E421" s="3">
        <v>20061603</v>
      </c>
      <c r="F421" s="3" t="s">
        <v>385</v>
      </c>
      <c r="G421" s="3"/>
      <c r="H421" s="3" t="s">
        <v>386</v>
      </c>
      <c r="I421" s="3" t="s">
        <v>387</v>
      </c>
      <c r="J421" s="3">
        <v>1</v>
      </c>
      <c r="K421" s="3">
        <v>1</v>
      </c>
      <c r="L421" s="3">
        <f>VLOOKUP(A421,[1]단품수량!$B$5:$P$27,13,FALSE)*K421</f>
        <v>41</v>
      </c>
      <c r="M421" s="3" t="s">
        <v>19</v>
      </c>
      <c r="N421" s="3" t="s">
        <v>58</v>
      </c>
    </row>
    <row r="422" spans="1:14" ht="18" hidden="1" customHeight="1">
      <c r="A422" s="5">
        <v>10005986</v>
      </c>
      <c r="B422" s="3" t="str">
        <f>VLOOKUP(A422,[1]단품수량!$B$5:$E$27,4,FALSE)</f>
        <v>CRA</v>
      </c>
      <c r="C422" s="3">
        <v>359</v>
      </c>
      <c r="D422" s="3" t="s">
        <v>66</v>
      </c>
      <c r="E422" s="3">
        <v>30120971</v>
      </c>
      <c r="F422" s="3"/>
      <c r="G422" s="3"/>
      <c r="H422" s="3" t="s">
        <v>394</v>
      </c>
      <c r="I422" s="3" t="s">
        <v>18</v>
      </c>
      <c r="J422" s="3">
        <v>1</v>
      </c>
      <c r="K422" s="3">
        <v>1</v>
      </c>
      <c r="L422" s="3">
        <f>VLOOKUP(A422,[1]단품수량!$B$5:$P$27,13,FALSE)*K422</f>
        <v>41</v>
      </c>
      <c r="M422" s="3" t="s">
        <v>113</v>
      </c>
      <c r="N422" s="3" t="s">
        <v>107</v>
      </c>
    </row>
    <row r="423" spans="1:14" ht="18" hidden="1" customHeight="1">
      <c r="A423" s="5">
        <v>10005986</v>
      </c>
      <c r="B423" s="3" t="str">
        <f>VLOOKUP(A423,[1]단품수량!$B$5:$E$27,4,FALSE)</f>
        <v>CRA</v>
      </c>
      <c r="C423" s="3">
        <v>518</v>
      </c>
      <c r="D423" s="3" t="s">
        <v>104</v>
      </c>
      <c r="E423" s="3">
        <v>30120753</v>
      </c>
      <c r="F423" s="3"/>
      <c r="G423" s="3"/>
      <c r="H423" s="3" t="s">
        <v>545</v>
      </c>
      <c r="I423" s="3" t="s">
        <v>546</v>
      </c>
      <c r="J423" s="3">
        <v>1</v>
      </c>
      <c r="K423" s="3">
        <v>1</v>
      </c>
      <c r="L423" s="3">
        <f>VLOOKUP(A423,[1]단품수량!$B$5:$P$27,13,FALSE)*K423</f>
        <v>41</v>
      </c>
      <c r="M423" s="3" t="s">
        <v>113</v>
      </c>
      <c r="N423" s="3" t="s">
        <v>231</v>
      </c>
    </row>
    <row r="424" spans="1:14" ht="18" hidden="1" customHeight="1">
      <c r="A424" s="5">
        <v>10005986</v>
      </c>
      <c r="B424" s="3" t="str">
        <f>VLOOKUP(A424,[1]단품수량!$B$5:$E$27,4,FALSE)</f>
        <v>CRA</v>
      </c>
      <c r="C424" s="3">
        <v>519</v>
      </c>
      <c r="D424" s="3" t="s">
        <v>64</v>
      </c>
      <c r="E424" s="3">
        <v>30120994</v>
      </c>
      <c r="F424" s="3"/>
      <c r="G424" s="3"/>
      <c r="H424" s="8" t="s">
        <v>547</v>
      </c>
      <c r="I424" s="3" t="s">
        <v>548</v>
      </c>
      <c r="J424" s="3">
        <v>1</v>
      </c>
      <c r="K424" s="3">
        <v>1</v>
      </c>
      <c r="L424" s="3">
        <f>VLOOKUP(A424,[1]단품수량!$B$5:$P$27,13,FALSE)*K424</f>
        <v>41</v>
      </c>
      <c r="M424" s="3" t="s">
        <v>113</v>
      </c>
      <c r="N424" s="3"/>
    </row>
    <row r="425" spans="1:14" ht="18" hidden="1" customHeight="1">
      <c r="A425" s="5">
        <v>10005986</v>
      </c>
      <c r="B425" s="3" t="str">
        <f>VLOOKUP(A425,[1]단품수량!$B$5:$E$27,4,FALSE)</f>
        <v>CRA</v>
      </c>
      <c r="C425" s="3">
        <v>520</v>
      </c>
      <c r="D425" s="3" t="s">
        <v>66</v>
      </c>
      <c r="E425" s="3">
        <v>30120996</v>
      </c>
      <c r="F425" s="3"/>
      <c r="G425" s="3"/>
      <c r="H425" s="3" t="s">
        <v>549</v>
      </c>
      <c r="I425" s="3" t="s">
        <v>548</v>
      </c>
      <c r="J425" s="3">
        <v>1</v>
      </c>
      <c r="K425" s="3">
        <v>1</v>
      </c>
      <c r="L425" s="3">
        <f>VLOOKUP(A425,[1]단품수량!$B$5:$P$27,13,FALSE)*K425</f>
        <v>41</v>
      </c>
      <c r="M425" s="3" t="s">
        <v>113</v>
      </c>
      <c r="N425" s="3" t="s">
        <v>58</v>
      </c>
    </row>
    <row r="426" spans="1:14" ht="18" hidden="1" customHeight="1">
      <c r="A426" s="5">
        <v>10005986</v>
      </c>
      <c r="B426" s="3" t="str">
        <f>VLOOKUP(A426,[1]단품수량!$B$5:$E$27,4,FALSE)</f>
        <v>CRA</v>
      </c>
      <c r="C426" s="3">
        <v>494</v>
      </c>
      <c r="D426" s="3" t="s">
        <v>409</v>
      </c>
      <c r="E426" s="3">
        <v>20061626</v>
      </c>
      <c r="F426" s="3" t="s">
        <v>516</v>
      </c>
      <c r="G426" s="3"/>
      <c r="H426" s="3" t="s">
        <v>517</v>
      </c>
      <c r="I426" s="3" t="s">
        <v>18</v>
      </c>
      <c r="J426" s="3">
        <v>1</v>
      </c>
      <c r="K426" s="3">
        <v>1</v>
      </c>
      <c r="L426" s="3">
        <f>VLOOKUP(A426,[1]단품수량!$B$5:$P$27,13,FALSE)*K426</f>
        <v>41</v>
      </c>
      <c r="M426" s="3" t="s">
        <v>113</v>
      </c>
      <c r="N426" s="3" t="s">
        <v>231</v>
      </c>
    </row>
    <row r="427" spans="1:14" ht="18" hidden="1" customHeight="1">
      <c r="A427" s="5">
        <v>10005986</v>
      </c>
      <c r="B427" s="3" t="str">
        <f>VLOOKUP(A427,[1]단품수량!$B$5:$E$27,4,FALSE)</f>
        <v>CRA</v>
      </c>
      <c r="C427" s="3">
        <v>491</v>
      </c>
      <c r="D427" s="3" t="s">
        <v>116</v>
      </c>
      <c r="E427" s="3">
        <v>30120982</v>
      </c>
      <c r="F427" s="3"/>
      <c r="G427" s="3"/>
      <c r="H427" s="3" t="s">
        <v>515</v>
      </c>
      <c r="I427" s="3" t="s">
        <v>18</v>
      </c>
      <c r="J427" s="3">
        <v>1</v>
      </c>
      <c r="K427" s="3">
        <v>1</v>
      </c>
      <c r="L427" s="3">
        <f>VLOOKUP(A427,[1]단품수량!$B$5:$P$27,13,FALSE)*K427</f>
        <v>41</v>
      </c>
      <c r="M427" s="3" t="s">
        <v>19</v>
      </c>
      <c r="N427" s="3" t="s">
        <v>402</v>
      </c>
    </row>
    <row r="428" spans="1:14" ht="18" hidden="1" customHeight="1">
      <c r="A428" s="5">
        <v>10005986</v>
      </c>
      <c r="B428" s="3" t="str">
        <f>VLOOKUP(A428,[1]단품수량!$B$5:$E$27,4,FALSE)</f>
        <v>CRA</v>
      </c>
      <c r="C428" s="3">
        <v>521</v>
      </c>
      <c r="D428" s="3" t="s">
        <v>118</v>
      </c>
      <c r="E428" s="3">
        <v>30128651</v>
      </c>
      <c r="F428" s="3" t="s">
        <v>561</v>
      </c>
      <c r="G428" s="3"/>
      <c r="H428" s="3" t="s">
        <v>562</v>
      </c>
      <c r="I428" s="3" t="s">
        <v>563</v>
      </c>
      <c r="J428" s="3">
        <v>2</v>
      </c>
      <c r="K428" s="3">
        <v>2</v>
      </c>
      <c r="L428" s="3"/>
      <c r="M428" s="3" t="s">
        <v>27</v>
      </c>
      <c r="N428" s="4" t="s">
        <v>57</v>
      </c>
    </row>
    <row r="429" spans="1:14" ht="18" hidden="1" customHeight="1">
      <c r="A429" s="5">
        <v>10005986</v>
      </c>
      <c r="B429" s="3" t="str">
        <f>VLOOKUP(A429,[1]단품수량!$B$5:$E$27,4,FALSE)</f>
        <v>CRA</v>
      </c>
      <c r="C429" s="3">
        <v>361</v>
      </c>
      <c r="D429" s="3" t="s">
        <v>29</v>
      </c>
      <c r="E429" s="3">
        <v>30120671</v>
      </c>
      <c r="F429" s="3" t="s">
        <v>397</v>
      </c>
      <c r="G429" s="3"/>
      <c r="H429" s="3" t="s">
        <v>398</v>
      </c>
      <c r="I429" s="3" t="s">
        <v>18</v>
      </c>
      <c r="J429" s="3">
        <v>1</v>
      </c>
      <c r="K429" s="3">
        <v>1</v>
      </c>
      <c r="L429" s="3">
        <f>VLOOKUP(A429,[1]단품수량!$B$5:$P$27,13,FALSE)*K429</f>
        <v>41</v>
      </c>
      <c r="M429" s="3" t="s">
        <v>113</v>
      </c>
      <c r="N429" s="3" t="s">
        <v>231</v>
      </c>
    </row>
    <row r="430" spans="1:14" ht="18" hidden="1" customHeight="1">
      <c r="A430" s="5">
        <v>10005986</v>
      </c>
      <c r="B430" s="3" t="str">
        <f>VLOOKUP(A430,[1]단품수량!$B$5:$E$27,4,FALSE)</f>
        <v>CRA</v>
      </c>
      <c r="C430" s="3">
        <v>366</v>
      </c>
      <c r="D430" s="3" t="s">
        <v>116</v>
      </c>
      <c r="E430" s="3">
        <v>20061620</v>
      </c>
      <c r="F430" s="3" t="s">
        <v>403</v>
      </c>
      <c r="G430" s="3"/>
      <c r="H430" s="3" t="s">
        <v>404</v>
      </c>
      <c r="I430" s="3" t="s">
        <v>18</v>
      </c>
      <c r="J430" s="3">
        <v>1</v>
      </c>
      <c r="K430" s="3">
        <v>1</v>
      </c>
      <c r="L430" s="3">
        <f>VLOOKUP(A430,[1]단품수량!$B$5:$P$27,13,FALSE)*K430</f>
        <v>41</v>
      </c>
      <c r="M430" s="3" t="s">
        <v>113</v>
      </c>
      <c r="N430" s="3" t="s">
        <v>231</v>
      </c>
    </row>
    <row r="431" spans="1:14" ht="18" hidden="1" customHeight="1">
      <c r="A431" s="5">
        <v>10005986</v>
      </c>
      <c r="B431" s="3" t="str">
        <f>VLOOKUP(A431,[1]단품수량!$B$5:$E$27,4,FALSE)</f>
        <v>CRA</v>
      </c>
      <c r="C431" s="3">
        <v>362</v>
      </c>
      <c r="D431" s="3" t="s">
        <v>64</v>
      </c>
      <c r="E431" s="3">
        <v>20061604</v>
      </c>
      <c r="F431" s="3" t="s">
        <v>399</v>
      </c>
      <c r="G431" s="3"/>
      <c r="H431" s="3" t="s">
        <v>400</v>
      </c>
      <c r="I431" s="3" t="s">
        <v>387</v>
      </c>
      <c r="J431" s="3">
        <v>1</v>
      </c>
      <c r="K431" s="3">
        <v>1</v>
      </c>
      <c r="L431" s="3">
        <f>VLOOKUP(A431,[1]단품수량!$B$5:$P$27,13,FALSE)*K431</f>
        <v>41</v>
      </c>
      <c r="M431" s="3" t="s">
        <v>19</v>
      </c>
      <c r="N431" s="3" t="s">
        <v>58</v>
      </c>
    </row>
    <row r="432" spans="1:14" ht="18" hidden="1" customHeight="1">
      <c r="A432" s="5">
        <v>10005986</v>
      </c>
      <c r="B432" s="3" t="str">
        <f>VLOOKUP(A432,[1]단품수량!$B$5:$E$27,4,FALSE)</f>
        <v>CRA</v>
      </c>
      <c r="C432" s="3">
        <v>365</v>
      </c>
      <c r="D432" s="3" t="s">
        <v>66</v>
      </c>
      <c r="E432" s="3">
        <v>30120972</v>
      </c>
      <c r="F432" s="3"/>
      <c r="G432" s="3"/>
      <c r="H432" s="3" t="s">
        <v>401</v>
      </c>
      <c r="I432" s="3" t="s">
        <v>384</v>
      </c>
      <c r="J432" s="3">
        <v>1</v>
      </c>
      <c r="K432" s="3">
        <v>1</v>
      </c>
      <c r="L432" s="3">
        <f>VLOOKUP(A432,[1]단품수량!$B$5:$P$27,13,FALSE)*K432</f>
        <v>41</v>
      </c>
      <c r="M432" s="3" t="s">
        <v>113</v>
      </c>
      <c r="N432" s="3" t="s">
        <v>402</v>
      </c>
    </row>
    <row r="433" spans="1:14" ht="18" hidden="1" customHeight="1">
      <c r="A433" s="5">
        <v>10005986</v>
      </c>
      <c r="B433" s="3" t="str">
        <f>VLOOKUP(A433,[1]단품수량!$B$5:$E$27,4,FALSE)</f>
        <v>CRA</v>
      </c>
      <c r="C433" s="3">
        <v>376</v>
      </c>
      <c r="D433" s="3" t="s">
        <v>254</v>
      </c>
      <c r="E433" s="3">
        <v>30118569</v>
      </c>
      <c r="F433" s="3"/>
      <c r="G433" s="3"/>
      <c r="H433" s="3" t="s">
        <v>47</v>
      </c>
      <c r="I433" s="3" t="s">
        <v>48</v>
      </c>
      <c r="J433" s="3">
        <v>4</v>
      </c>
      <c r="K433" s="3">
        <v>4</v>
      </c>
      <c r="L433" s="3">
        <f>VLOOKUP(A433,[1]단품수량!$B$5:$P$27,13,FALSE)*K433</f>
        <v>164</v>
      </c>
      <c r="M433" s="3" t="s">
        <v>35</v>
      </c>
      <c r="N433" s="3" t="s">
        <v>36</v>
      </c>
    </row>
    <row r="434" spans="1:14" ht="18" hidden="1" customHeight="1">
      <c r="A434" s="5">
        <v>10005986</v>
      </c>
      <c r="B434" s="3" t="str">
        <f>VLOOKUP(A434,[1]단품수량!$B$5:$E$27,4,FALSE)</f>
        <v>CRA</v>
      </c>
      <c r="C434" s="3">
        <v>395</v>
      </c>
      <c r="D434" s="3" t="s">
        <v>129</v>
      </c>
      <c r="E434" s="3">
        <v>30118569</v>
      </c>
      <c r="F434" s="3"/>
      <c r="G434" s="3"/>
      <c r="H434" s="3" t="s">
        <v>47</v>
      </c>
      <c r="I434" s="3" t="s">
        <v>48</v>
      </c>
      <c r="J434" s="3">
        <v>2</v>
      </c>
      <c r="K434" s="3">
        <v>2</v>
      </c>
      <c r="L434" s="3">
        <f>VLOOKUP(A434,[1]단품수량!$B$5:$P$27,13,FALSE)*K434</f>
        <v>82</v>
      </c>
      <c r="M434" s="3" t="s">
        <v>35</v>
      </c>
      <c r="N434" s="3" t="s">
        <v>36</v>
      </c>
    </row>
    <row r="435" spans="1:14" ht="18" hidden="1" customHeight="1">
      <c r="A435" s="5">
        <v>10005986</v>
      </c>
      <c r="B435" s="3" t="str">
        <f>VLOOKUP(A435,[1]단품수량!$B$5:$E$27,4,FALSE)</f>
        <v>CRA</v>
      </c>
      <c r="C435" s="3">
        <v>458</v>
      </c>
      <c r="D435" s="3" t="s">
        <v>250</v>
      </c>
      <c r="E435" s="3">
        <v>30118569</v>
      </c>
      <c r="F435" s="3"/>
      <c r="G435" s="3"/>
      <c r="H435" s="3" t="s">
        <v>47</v>
      </c>
      <c r="I435" s="3" t="s">
        <v>48</v>
      </c>
      <c r="J435" s="3">
        <v>14</v>
      </c>
      <c r="K435" s="3">
        <v>14</v>
      </c>
      <c r="L435" s="3">
        <f>VLOOKUP(A435,[1]단품수량!$B$5:$P$27,13,FALSE)*K435</f>
        <v>574</v>
      </c>
      <c r="M435" s="3" t="s">
        <v>35</v>
      </c>
      <c r="N435" s="3" t="s">
        <v>36</v>
      </c>
    </row>
    <row r="436" spans="1:14" ht="18" hidden="1" customHeight="1">
      <c r="A436" s="5">
        <v>10005986</v>
      </c>
      <c r="B436" s="3" t="str">
        <f>VLOOKUP(A436,[1]단품수량!$B$5:$E$27,4,FALSE)</f>
        <v>CRA</v>
      </c>
      <c r="C436" s="3">
        <v>375</v>
      </c>
      <c r="D436" s="3" t="s">
        <v>252</v>
      </c>
      <c r="E436" s="3">
        <v>30118573</v>
      </c>
      <c r="F436" s="3"/>
      <c r="G436" s="3"/>
      <c r="H436" s="12" t="s">
        <v>87</v>
      </c>
      <c r="I436" s="12" t="s">
        <v>88</v>
      </c>
      <c r="J436" s="3">
        <v>17</v>
      </c>
      <c r="K436" s="3">
        <v>17</v>
      </c>
      <c r="L436" s="3">
        <f>VLOOKUP(A436,[1]단품수량!$B$5:$P$27,13,FALSE)*K436</f>
        <v>697</v>
      </c>
      <c r="M436" s="3" t="s">
        <v>35</v>
      </c>
      <c r="N436" s="3" t="s">
        <v>36</v>
      </c>
    </row>
    <row r="437" spans="1:14" ht="18" hidden="1" customHeight="1">
      <c r="A437" s="5">
        <v>10005986</v>
      </c>
      <c r="B437" s="3" t="str">
        <f>VLOOKUP(A437,[1]단품수량!$B$5:$E$27,4,FALSE)</f>
        <v>CRA</v>
      </c>
      <c r="C437" s="3">
        <v>394</v>
      </c>
      <c r="D437" s="3" t="s">
        <v>126</v>
      </c>
      <c r="E437" s="3">
        <v>30118573</v>
      </c>
      <c r="F437" s="3"/>
      <c r="G437" s="3"/>
      <c r="H437" s="12" t="s">
        <v>87</v>
      </c>
      <c r="I437" s="12" t="s">
        <v>88</v>
      </c>
      <c r="J437" s="3">
        <v>7</v>
      </c>
      <c r="K437" s="3">
        <v>7</v>
      </c>
      <c r="L437" s="3">
        <f>VLOOKUP(A437,[1]단품수량!$B$5:$P$27,13,FALSE)*K437</f>
        <v>287</v>
      </c>
      <c r="M437" s="3" t="s">
        <v>35</v>
      </c>
      <c r="N437" s="3" t="s">
        <v>36</v>
      </c>
    </row>
    <row r="438" spans="1:14" ht="18" hidden="1" customHeight="1">
      <c r="A438" s="5">
        <v>10005986</v>
      </c>
      <c r="B438" s="3" t="str">
        <f>VLOOKUP(A438,[1]단품수량!$B$5:$E$27,4,FALSE)</f>
        <v>CRA</v>
      </c>
      <c r="C438" s="3">
        <v>457</v>
      </c>
      <c r="D438" s="3" t="s">
        <v>248</v>
      </c>
      <c r="E438" s="3">
        <v>30118573</v>
      </c>
      <c r="F438" s="3"/>
      <c r="G438" s="3"/>
      <c r="H438" s="12" t="s">
        <v>87</v>
      </c>
      <c r="I438" s="12" t="s">
        <v>88</v>
      </c>
      <c r="J438" s="3">
        <v>10</v>
      </c>
      <c r="K438" s="3">
        <v>10</v>
      </c>
      <c r="L438" s="3">
        <f>VLOOKUP(A438,[1]단품수량!$B$5:$P$27,13,FALSE)*K438</f>
        <v>410</v>
      </c>
      <c r="M438" s="3" t="s">
        <v>35</v>
      </c>
      <c r="N438" s="3" t="s">
        <v>36</v>
      </c>
    </row>
    <row r="439" spans="1:14" ht="18" hidden="1" customHeight="1">
      <c r="A439" s="5">
        <v>10005986</v>
      </c>
      <c r="B439" s="3" t="str">
        <f>VLOOKUP(A439,[1]단품수량!$B$5:$E$27,4,FALSE)</f>
        <v>CRA</v>
      </c>
      <c r="C439" s="3">
        <v>371</v>
      </c>
      <c r="D439" s="3" t="s">
        <v>129</v>
      </c>
      <c r="E439" s="3">
        <v>30118570</v>
      </c>
      <c r="F439" s="3"/>
      <c r="G439" s="3"/>
      <c r="H439" s="12" t="s">
        <v>38</v>
      </c>
      <c r="I439" s="12" t="s">
        <v>39</v>
      </c>
      <c r="J439" s="3">
        <v>7</v>
      </c>
      <c r="K439" s="3">
        <v>7</v>
      </c>
      <c r="L439" s="3">
        <f>VLOOKUP(A439,[1]단품수량!$B$5:$P$27,13,FALSE)*K439</f>
        <v>287</v>
      </c>
      <c r="M439" s="3" t="s">
        <v>35</v>
      </c>
      <c r="N439" s="3" t="s">
        <v>36</v>
      </c>
    </row>
    <row r="440" spans="1:14" ht="18" hidden="1" customHeight="1">
      <c r="A440" s="5">
        <v>10005986</v>
      </c>
      <c r="B440" s="3" t="str">
        <f>VLOOKUP(A440,[1]단품수량!$B$5:$E$27,4,FALSE)</f>
        <v>CRA</v>
      </c>
      <c r="C440" s="3">
        <v>453</v>
      </c>
      <c r="D440" s="3" t="s">
        <v>123</v>
      </c>
      <c r="E440" s="3">
        <v>30118570</v>
      </c>
      <c r="F440" s="3"/>
      <c r="G440" s="3"/>
      <c r="H440" s="12" t="s">
        <v>38</v>
      </c>
      <c r="I440" s="12" t="s">
        <v>39</v>
      </c>
      <c r="J440" s="3">
        <v>7</v>
      </c>
      <c r="K440" s="3">
        <v>7</v>
      </c>
      <c r="L440" s="3">
        <f>VLOOKUP(A440,[1]단품수량!$B$5:$P$27,13,FALSE)*K440</f>
        <v>287</v>
      </c>
      <c r="M440" s="3" t="s">
        <v>35</v>
      </c>
      <c r="N440" s="3" t="s">
        <v>36</v>
      </c>
    </row>
    <row r="441" spans="1:14" ht="18" hidden="1" customHeight="1">
      <c r="A441" s="5">
        <v>10005986</v>
      </c>
      <c r="B441" s="3" t="str">
        <f>VLOOKUP(A441,[1]단품수량!$B$5:$E$27,4,FALSE)</f>
        <v>CRA</v>
      </c>
      <c r="C441" s="3">
        <v>521</v>
      </c>
      <c r="D441" s="3" t="s">
        <v>123</v>
      </c>
      <c r="E441" s="3">
        <v>30049339</v>
      </c>
      <c r="F441" s="3"/>
      <c r="G441" s="3"/>
      <c r="H441" s="3" t="s">
        <v>566</v>
      </c>
      <c r="I441" s="3" t="s">
        <v>567</v>
      </c>
      <c r="J441" s="3">
        <v>8</v>
      </c>
      <c r="K441" s="3">
        <v>8</v>
      </c>
      <c r="L441" s="3"/>
      <c r="M441" s="3" t="s">
        <v>27</v>
      </c>
      <c r="N441" s="4"/>
    </row>
    <row r="442" spans="1:14" ht="18" hidden="1" customHeight="1">
      <c r="A442" s="5">
        <v>10005986</v>
      </c>
      <c r="B442" s="3" t="str">
        <f>VLOOKUP(A442,[1]단품수량!$B$5:$E$27,4,FALSE)</f>
        <v>CRA</v>
      </c>
      <c r="C442" s="3">
        <v>410</v>
      </c>
      <c r="D442" s="3" t="s">
        <v>391</v>
      </c>
      <c r="E442" s="3">
        <v>30095141</v>
      </c>
      <c r="F442" s="3"/>
      <c r="G442" s="3"/>
      <c r="H442" s="3" t="s">
        <v>435</v>
      </c>
      <c r="I442" s="3" t="s">
        <v>436</v>
      </c>
      <c r="J442" s="3">
        <v>1</v>
      </c>
      <c r="K442" s="3">
        <v>1</v>
      </c>
      <c r="L442" s="3">
        <f>VLOOKUP(A442,[1]단품수량!$B$5:$P$27,13,FALSE)*K442</f>
        <v>41</v>
      </c>
      <c r="M442" s="3" t="s">
        <v>27</v>
      </c>
      <c r="N442" s="3" t="s">
        <v>28</v>
      </c>
    </row>
    <row r="443" spans="1:14" ht="18" hidden="1" customHeight="1">
      <c r="A443" s="5">
        <v>10005986</v>
      </c>
      <c r="B443" s="3" t="str">
        <f>VLOOKUP(A443,[1]단품수량!$B$5:$E$27,4,FALSE)</f>
        <v>CRA</v>
      </c>
      <c r="C443" s="3">
        <v>465</v>
      </c>
      <c r="D443" s="3" t="s">
        <v>256</v>
      </c>
      <c r="E443" s="3">
        <v>30124019</v>
      </c>
      <c r="F443" s="3" t="s">
        <v>478</v>
      </c>
      <c r="G443" s="3"/>
      <c r="H443" s="3" t="s">
        <v>371</v>
      </c>
      <c r="I443" s="3" t="s">
        <v>479</v>
      </c>
      <c r="J443" s="3">
        <v>4</v>
      </c>
      <c r="K443" s="3">
        <v>4</v>
      </c>
      <c r="L443" s="3">
        <f>VLOOKUP(A443,[1]단품수량!$B$5:$P$27,13,FALSE)*K443</f>
        <v>164</v>
      </c>
      <c r="M443" s="3" t="s">
        <v>19</v>
      </c>
      <c r="N443" s="3" t="s">
        <v>480</v>
      </c>
    </row>
    <row r="444" spans="1:14" ht="18" hidden="1" customHeight="1">
      <c r="A444" s="5">
        <v>10005986</v>
      </c>
      <c r="B444" s="3" t="str">
        <f>VLOOKUP(A444,[1]단품수량!$B$5:$E$27,4,FALSE)</f>
        <v>CRA</v>
      </c>
      <c r="C444" s="3">
        <v>514</v>
      </c>
      <c r="D444" s="3" t="s">
        <v>252</v>
      </c>
      <c r="E444" s="3">
        <v>30121243</v>
      </c>
      <c r="F444" s="3"/>
      <c r="G444" s="3"/>
      <c r="H444" s="3" t="s">
        <v>371</v>
      </c>
      <c r="I444" s="3" t="s">
        <v>540</v>
      </c>
      <c r="J444" s="3">
        <v>4</v>
      </c>
      <c r="K444" s="3">
        <v>4</v>
      </c>
      <c r="L444" s="3">
        <f>VLOOKUP(A444,[1]단품수량!$B$5:$P$27,13,FALSE)*K444</f>
        <v>164</v>
      </c>
      <c r="M444" s="3" t="s">
        <v>27</v>
      </c>
      <c r="N444" s="3" t="s">
        <v>28</v>
      </c>
    </row>
    <row r="445" spans="1:14" ht="18" hidden="1" customHeight="1">
      <c r="A445" s="5">
        <v>10005986</v>
      </c>
      <c r="B445" s="3" t="str">
        <f>VLOOKUP(A445,[1]단품수량!$B$5:$E$27,4,FALSE)</f>
        <v>CRA</v>
      </c>
      <c r="C445" s="3">
        <v>516</v>
      </c>
      <c r="D445" s="3" t="s">
        <v>256</v>
      </c>
      <c r="E445" s="3">
        <v>30123927</v>
      </c>
      <c r="F445" s="3"/>
      <c r="G445" s="3"/>
      <c r="H445" s="3" t="s">
        <v>371</v>
      </c>
      <c r="I445" s="3" t="s">
        <v>543</v>
      </c>
      <c r="J445" s="3">
        <v>8</v>
      </c>
      <c r="K445" s="3">
        <v>8</v>
      </c>
      <c r="L445" s="3">
        <f>VLOOKUP(A445,[1]단품수량!$B$5:$P$27,13,FALSE)*K445</f>
        <v>328</v>
      </c>
      <c r="M445" s="3" t="s">
        <v>27</v>
      </c>
      <c r="N445" s="3"/>
    </row>
    <row r="446" spans="1:14" ht="18" hidden="1" customHeight="1">
      <c r="A446" s="5">
        <v>10005986</v>
      </c>
      <c r="B446" s="3" t="str">
        <f>VLOOKUP(A446,[1]단품수량!$B$5:$E$27,4,FALSE)</f>
        <v>CRA</v>
      </c>
      <c r="C446" s="3">
        <v>517</v>
      </c>
      <c r="D446" s="3" t="s">
        <v>258</v>
      </c>
      <c r="E446" s="3">
        <v>30123928</v>
      </c>
      <c r="F446" s="3"/>
      <c r="G446" s="3"/>
      <c r="H446" s="3" t="s">
        <v>371</v>
      </c>
      <c r="I446" s="3" t="s">
        <v>544</v>
      </c>
      <c r="J446" s="3">
        <v>4</v>
      </c>
      <c r="K446" s="3">
        <v>4</v>
      </c>
      <c r="L446" s="3">
        <f>VLOOKUP(A446,[1]단품수량!$B$5:$P$27,13,FALSE)*K446</f>
        <v>164</v>
      </c>
      <c r="M446" s="3" t="s">
        <v>27</v>
      </c>
      <c r="N446" s="3"/>
    </row>
    <row r="447" spans="1:14" ht="18" hidden="1" customHeight="1">
      <c r="A447" s="5">
        <v>10005986</v>
      </c>
      <c r="B447" s="3" t="str">
        <f>VLOOKUP(A447,[1]단품수량!$B$5:$E$27,4,FALSE)</f>
        <v>CRA</v>
      </c>
      <c r="C447" s="3">
        <v>384</v>
      </c>
      <c r="D447" s="3" t="s">
        <v>415</v>
      </c>
      <c r="E447" s="3">
        <v>30081231</v>
      </c>
      <c r="F447" s="3"/>
      <c r="G447" s="3"/>
      <c r="H447" s="3" t="s">
        <v>124</v>
      </c>
      <c r="I447" s="3" t="s">
        <v>125</v>
      </c>
      <c r="J447" s="3">
        <v>4</v>
      </c>
      <c r="K447" s="3">
        <v>4</v>
      </c>
      <c r="L447" s="3">
        <f>VLOOKUP(A447,[1]단품수량!$B$5:$P$27,13,FALSE)*K447</f>
        <v>164</v>
      </c>
      <c r="M447" s="3" t="s">
        <v>35</v>
      </c>
      <c r="N447" s="3" t="s">
        <v>28</v>
      </c>
    </row>
    <row r="448" spans="1:14" ht="18" hidden="1" customHeight="1">
      <c r="A448" s="5">
        <v>10005986</v>
      </c>
      <c r="B448" s="3" t="str">
        <f>VLOOKUP(A448,[1]단품수량!$B$5:$E$27,4,FALSE)</f>
        <v>CRA</v>
      </c>
      <c r="C448" s="3">
        <v>400</v>
      </c>
      <c r="D448" s="3" t="s">
        <v>409</v>
      </c>
      <c r="E448" s="3">
        <v>30081231</v>
      </c>
      <c r="F448" s="3"/>
      <c r="G448" s="3"/>
      <c r="H448" s="3" t="s">
        <v>124</v>
      </c>
      <c r="I448" s="3" t="s">
        <v>125</v>
      </c>
      <c r="J448" s="3">
        <v>6</v>
      </c>
      <c r="K448" s="3">
        <v>6</v>
      </c>
      <c r="L448" s="3">
        <f>VLOOKUP(A448,[1]단품수량!$B$5:$P$27,13,FALSE)*K448</f>
        <v>246</v>
      </c>
      <c r="M448" s="3" t="s">
        <v>35</v>
      </c>
      <c r="N448" s="3" t="s">
        <v>28</v>
      </c>
    </row>
    <row r="449" spans="1:14" ht="18" hidden="1" customHeight="1">
      <c r="A449" s="5">
        <v>10005986</v>
      </c>
      <c r="B449" s="3" t="str">
        <f>VLOOKUP(A449,[1]단품수량!$B$5:$E$27,4,FALSE)</f>
        <v>CRA</v>
      </c>
      <c r="C449" s="3">
        <v>488</v>
      </c>
      <c r="D449" s="3" t="s">
        <v>391</v>
      </c>
      <c r="E449" s="3">
        <v>20061624</v>
      </c>
      <c r="F449" s="3" t="s">
        <v>509</v>
      </c>
      <c r="G449" s="3"/>
      <c r="H449" s="3" t="s">
        <v>510</v>
      </c>
      <c r="I449" s="3" t="s">
        <v>18</v>
      </c>
      <c r="J449" s="3">
        <v>1</v>
      </c>
      <c r="K449" s="3">
        <v>1</v>
      </c>
      <c r="L449" s="3">
        <f>VLOOKUP(A449,[1]단품수량!$B$5:$P$27,13,FALSE)*K449</f>
        <v>41</v>
      </c>
      <c r="M449" s="3" t="s">
        <v>113</v>
      </c>
      <c r="N449" s="3" t="s">
        <v>231</v>
      </c>
    </row>
    <row r="450" spans="1:14" ht="18" hidden="1" customHeight="1">
      <c r="A450" s="5">
        <v>10005986</v>
      </c>
      <c r="B450" s="3" t="str">
        <f>VLOOKUP(A450,[1]단품수량!$B$5:$E$27,4,FALSE)</f>
        <v>CRA</v>
      </c>
      <c r="C450" s="3">
        <v>489</v>
      </c>
      <c r="D450" s="3" t="s">
        <v>409</v>
      </c>
      <c r="E450" s="3">
        <v>20061625</v>
      </c>
      <c r="F450" s="3" t="s">
        <v>511</v>
      </c>
      <c r="G450" s="3"/>
      <c r="H450" s="3" t="s">
        <v>512</v>
      </c>
      <c r="I450" s="3" t="s">
        <v>18</v>
      </c>
      <c r="J450" s="3">
        <v>1</v>
      </c>
      <c r="K450" s="3">
        <v>1</v>
      </c>
      <c r="L450" s="3">
        <f>VLOOKUP(A450,[1]단품수량!$B$5:$P$27,13,FALSE)*K450</f>
        <v>41</v>
      </c>
      <c r="M450" s="3" t="s">
        <v>113</v>
      </c>
      <c r="N450" s="3" t="s">
        <v>231</v>
      </c>
    </row>
    <row r="451" spans="1:14" ht="18" hidden="1" customHeight="1">
      <c r="A451" s="5">
        <v>10005986</v>
      </c>
      <c r="B451" s="3" t="str">
        <f>VLOOKUP(A451,[1]단품수량!$B$5:$E$27,4,FALSE)</f>
        <v>CRA</v>
      </c>
      <c r="C451" s="3">
        <v>486</v>
      </c>
      <c r="D451" s="3" t="s">
        <v>66</v>
      </c>
      <c r="E451" s="3">
        <v>30120981</v>
      </c>
      <c r="F451" s="3" t="s">
        <v>505</v>
      </c>
      <c r="G451" s="3"/>
      <c r="H451" s="3" t="s">
        <v>506</v>
      </c>
      <c r="I451" s="3" t="s">
        <v>18</v>
      </c>
      <c r="J451" s="3">
        <v>1</v>
      </c>
      <c r="K451" s="3">
        <v>1</v>
      </c>
      <c r="L451" s="3">
        <f>VLOOKUP(A451,[1]단품수량!$B$5:$P$27,13,FALSE)*K451</f>
        <v>41</v>
      </c>
      <c r="M451" s="3" t="s">
        <v>19</v>
      </c>
      <c r="N451" s="3" t="s">
        <v>402</v>
      </c>
    </row>
    <row r="452" spans="1:14" ht="18" hidden="1" customHeight="1">
      <c r="A452" s="5">
        <v>10005986</v>
      </c>
      <c r="B452" s="3" t="str">
        <f>VLOOKUP(A452,[1]단품수량!$B$5:$E$27,4,FALSE)</f>
        <v>CRA</v>
      </c>
      <c r="C452" s="3">
        <v>427</v>
      </c>
      <c r="D452" s="3" t="s">
        <v>43</v>
      </c>
      <c r="E452" s="3">
        <v>30120675</v>
      </c>
      <c r="F452" s="3" t="s">
        <v>453</v>
      </c>
      <c r="G452" s="3"/>
      <c r="H452" s="3" t="s">
        <v>454</v>
      </c>
      <c r="I452" s="3" t="s">
        <v>18</v>
      </c>
      <c r="J452" s="3">
        <v>1</v>
      </c>
      <c r="K452" s="3">
        <v>1</v>
      </c>
      <c r="L452" s="3">
        <f>VLOOKUP(A452,[1]단품수량!$B$5:$P$27,13,FALSE)*K452</f>
        <v>41</v>
      </c>
      <c r="M452" s="3" t="s">
        <v>113</v>
      </c>
      <c r="N452" s="3" t="s">
        <v>231</v>
      </c>
    </row>
    <row r="453" spans="1:14" ht="18" hidden="1" customHeight="1">
      <c r="A453" s="5">
        <v>10005986</v>
      </c>
      <c r="B453" s="3" t="str">
        <f>VLOOKUP(A453,[1]단품수량!$B$5:$E$27,4,FALSE)</f>
        <v>CRA</v>
      </c>
      <c r="C453" s="3">
        <v>428</v>
      </c>
      <c r="D453" s="3" t="s">
        <v>64</v>
      </c>
      <c r="E453" s="3">
        <v>20061608</v>
      </c>
      <c r="F453" s="3" t="s">
        <v>455</v>
      </c>
      <c r="G453" s="3"/>
      <c r="H453" s="3" t="s">
        <v>456</v>
      </c>
      <c r="I453" s="3" t="s">
        <v>387</v>
      </c>
      <c r="J453" s="3">
        <v>1</v>
      </c>
      <c r="K453" s="3">
        <v>1</v>
      </c>
      <c r="L453" s="3">
        <f>VLOOKUP(A453,[1]단품수량!$B$5:$P$27,13,FALSE)*K453</f>
        <v>41</v>
      </c>
      <c r="M453" s="3" t="s">
        <v>19</v>
      </c>
      <c r="N453" s="3" t="s">
        <v>58</v>
      </c>
    </row>
    <row r="454" spans="1:14" ht="18" hidden="1" customHeight="1">
      <c r="A454" s="5">
        <v>10005986</v>
      </c>
      <c r="B454" s="3" t="str">
        <f>VLOOKUP(A454,[1]단품수량!$B$5:$E$27,4,FALSE)</f>
        <v>CRA</v>
      </c>
      <c r="C454" s="3">
        <v>431</v>
      </c>
      <c r="D454" s="3" t="s">
        <v>66</v>
      </c>
      <c r="E454" s="3">
        <v>30120977</v>
      </c>
      <c r="F454" s="3"/>
      <c r="G454" s="3"/>
      <c r="H454" s="3" t="s">
        <v>457</v>
      </c>
      <c r="I454" s="3" t="s">
        <v>18</v>
      </c>
      <c r="J454" s="3">
        <v>1</v>
      </c>
      <c r="K454" s="3">
        <v>1</v>
      </c>
      <c r="L454" s="3">
        <f>VLOOKUP(A454,[1]단품수량!$B$5:$P$27,13,FALSE)*K454</f>
        <v>41</v>
      </c>
      <c r="M454" s="3" t="s">
        <v>19</v>
      </c>
      <c r="N454" s="3" t="s">
        <v>186</v>
      </c>
    </row>
    <row r="455" spans="1:14" ht="18" hidden="1" customHeight="1">
      <c r="A455" s="5">
        <v>10005986</v>
      </c>
      <c r="B455" s="3" t="str">
        <f>VLOOKUP(A455,[1]단품수량!$B$5:$E$27,4,FALSE)</f>
        <v>CRA</v>
      </c>
      <c r="C455" s="3">
        <v>378</v>
      </c>
      <c r="D455" s="3" t="s">
        <v>388</v>
      </c>
      <c r="E455" s="3">
        <v>30075140</v>
      </c>
      <c r="F455" s="3"/>
      <c r="G455" s="3"/>
      <c r="H455" s="3" t="s">
        <v>61</v>
      </c>
      <c r="I455" s="3" t="s">
        <v>114</v>
      </c>
      <c r="J455" s="3">
        <v>1</v>
      </c>
      <c r="K455" s="3">
        <v>1</v>
      </c>
      <c r="L455" s="3">
        <f>VLOOKUP(A455,[1]단품수량!$B$5:$P$27,13,FALSE)*K455</f>
        <v>41</v>
      </c>
      <c r="M455" s="3" t="s">
        <v>35</v>
      </c>
      <c r="N455" s="3" t="s">
        <v>36</v>
      </c>
    </row>
    <row r="456" spans="1:14" ht="18" hidden="1" customHeight="1">
      <c r="A456" s="5">
        <v>10005986</v>
      </c>
      <c r="B456" s="3" t="str">
        <f>VLOOKUP(A456,[1]단품수량!$B$5:$E$27,4,FALSE)</f>
        <v>CRA</v>
      </c>
      <c r="C456" s="3">
        <v>379</v>
      </c>
      <c r="D456" s="3" t="s">
        <v>391</v>
      </c>
      <c r="E456" s="3">
        <v>30054014</v>
      </c>
      <c r="F456" s="3"/>
      <c r="G456" s="3"/>
      <c r="H456" s="3" t="s">
        <v>61</v>
      </c>
      <c r="I456" s="3" t="s">
        <v>115</v>
      </c>
      <c r="J456" s="3">
        <v>2</v>
      </c>
      <c r="K456" s="3">
        <v>2</v>
      </c>
      <c r="L456" s="14">
        <f>VLOOKUP(A456,[1]단품수량!$B$5:$P$27,13,FALSE)*K456</f>
        <v>82</v>
      </c>
      <c r="M456" s="3" t="s">
        <v>27</v>
      </c>
      <c r="N456" s="3" t="s">
        <v>36</v>
      </c>
    </row>
    <row r="457" spans="1:14" ht="18" hidden="1" customHeight="1">
      <c r="A457" s="5">
        <v>10005986</v>
      </c>
      <c r="B457" s="3" t="str">
        <f>VLOOKUP(A457,[1]단품수량!$B$5:$E$27,4,FALSE)</f>
        <v>CRA</v>
      </c>
      <c r="C457" s="3">
        <v>398</v>
      </c>
      <c r="D457" s="3" t="s">
        <v>388</v>
      </c>
      <c r="E457" s="3">
        <v>30075140</v>
      </c>
      <c r="F457" s="3"/>
      <c r="G457" s="3"/>
      <c r="H457" s="3" t="s">
        <v>61</v>
      </c>
      <c r="I457" s="3" t="s">
        <v>114</v>
      </c>
      <c r="J457" s="3">
        <v>1</v>
      </c>
      <c r="K457" s="3">
        <v>1</v>
      </c>
      <c r="L457" s="14">
        <f>VLOOKUP(A457,[1]단품수량!$B$5:$P$27,13,FALSE)*K457</f>
        <v>41</v>
      </c>
      <c r="M457" s="3" t="s">
        <v>35</v>
      </c>
      <c r="N457" s="3" t="s">
        <v>36</v>
      </c>
    </row>
    <row r="458" spans="1:14" ht="18" hidden="1" customHeight="1">
      <c r="A458" s="5">
        <v>10005986</v>
      </c>
      <c r="B458" s="3" t="str">
        <f>VLOOKUP(A458,[1]단품수량!$B$5:$E$27,4,FALSE)</f>
        <v>CRA</v>
      </c>
      <c r="C458" s="3">
        <v>417</v>
      </c>
      <c r="D458" s="3" t="s">
        <v>129</v>
      </c>
      <c r="E458" s="3">
        <v>30125248</v>
      </c>
      <c r="F458" s="3"/>
      <c r="G458" s="3"/>
      <c r="H458" s="3" t="s">
        <v>61</v>
      </c>
      <c r="I458" s="3" t="s">
        <v>444</v>
      </c>
      <c r="J458" s="3">
        <v>1</v>
      </c>
      <c r="K458" s="3">
        <v>1</v>
      </c>
      <c r="L458" s="14">
        <f>VLOOKUP(A458,[1]단품수량!$B$5:$P$27,13,FALSE)*K458</f>
        <v>41</v>
      </c>
      <c r="M458" s="3" t="s">
        <v>27</v>
      </c>
      <c r="N458" s="3" t="s">
        <v>36</v>
      </c>
    </row>
    <row r="459" spans="1:14" ht="18" hidden="1" customHeight="1">
      <c r="A459" s="5">
        <v>10005986</v>
      </c>
      <c r="B459" s="3" t="str">
        <f>VLOOKUP(A459,[1]단품수량!$B$5:$E$27,4,FALSE)</f>
        <v>CRA</v>
      </c>
      <c r="C459" s="3">
        <v>460</v>
      </c>
      <c r="D459" s="3" t="s">
        <v>388</v>
      </c>
      <c r="E459" s="3">
        <v>30054014</v>
      </c>
      <c r="F459" s="3"/>
      <c r="G459" s="3"/>
      <c r="H459" s="3" t="s">
        <v>61</v>
      </c>
      <c r="I459" s="3" t="s">
        <v>115</v>
      </c>
      <c r="J459" s="3">
        <v>2</v>
      </c>
      <c r="K459" s="3">
        <v>2</v>
      </c>
      <c r="L459" s="14">
        <f>VLOOKUP(A459,[1]단품수량!$B$5:$P$27,13,FALSE)*K459</f>
        <v>82</v>
      </c>
      <c r="M459" s="3" t="s">
        <v>27</v>
      </c>
      <c r="N459" s="3" t="s">
        <v>36</v>
      </c>
    </row>
    <row r="460" spans="1:14" ht="18" hidden="1" customHeight="1">
      <c r="A460" s="5">
        <v>10005986</v>
      </c>
      <c r="B460" s="3" t="str">
        <f>VLOOKUP(A460,[1]단품수량!$B$5:$E$27,4,FALSE)</f>
        <v>CRA</v>
      </c>
      <c r="C460" s="3">
        <v>521</v>
      </c>
      <c r="D460" s="3" t="s">
        <v>64</v>
      </c>
      <c r="E460" s="3">
        <v>20062569</v>
      </c>
      <c r="F460" s="3"/>
      <c r="G460" s="3"/>
      <c r="H460" s="3" t="s">
        <v>554</v>
      </c>
      <c r="I460" s="3" t="s">
        <v>555</v>
      </c>
      <c r="J460" s="3">
        <v>1</v>
      </c>
      <c r="K460" s="3">
        <v>1</v>
      </c>
      <c r="M460" s="3" t="s">
        <v>27</v>
      </c>
      <c r="N460" s="4" t="s">
        <v>108</v>
      </c>
    </row>
    <row r="461" spans="1:14" ht="18" hidden="1" customHeight="1">
      <c r="A461" s="5">
        <v>10005986</v>
      </c>
      <c r="B461" s="3" t="str">
        <f>VLOOKUP(A461,[1]단품수량!$B$5:$E$27,4,FALSE)</f>
        <v>CRA</v>
      </c>
      <c r="C461" s="3">
        <v>521</v>
      </c>
      <c r="D461" s="3" t="s">
        <v>201</v>
      </c>
      <c r="E461" s="3">
        <v>30129107</v>
      </c>
      <c r="F461" s="3" t="s">
        <v>576</v>
      </c>
      <c r="G461" s="3"/>
      <c r="H461" s="3" t="s">
        <v>577</v>
      </c>
      <c r="I461" s="3" t="s">
        <v>578</v>
      </c>
      <c r="J461" s="3">
        <v>1</v>
      </c>
      <c r="K461" s="3">
        <v>1</v>
      </c>
      <c r="M461" s="3" t="s">
        <v>19</v>
      </c>
      <c r="N461" s="4" t="s">
        <v>36</v>
      </c>
    </row>
    <row r="462" spans="1:14" ht="18" hidden="1" customHeight="1">
      <c r="A462" s="5">
        <v>10005986</v>
      </c>
      <c r="B462" s="3" t="str">
        <f>VLOOKUP(A462,[1]단품수량!$B$5:$E$27,4,FALSE)</f>
        <v>CRA</v>
      </c>
      <c r="C462" s="3">
        <v>377</v>
      </c>
      <c r="D462" s="3" t="s">
        <v>256</v>
      </c>
      <c r="E462" s="3">
        <v>20061691</v>
      </c>
      <c r="F462" s="3" t="s">
        <v>407</v>
      </c>
      <c r="G462" s="3"/>
      <c r="H462" s="3" t="s">
        <v>111</v>
      </c>
      <c r="I462" s="3" t="s">
        <v>408</v>
      </c>
      <c r="J462" s="3">
        <v>1</v>
      </c>
      <c r="K462" s="3">
        <v>1</v>
      </c>
      <c r="L462" s="14">
        <f>VLOOKUP(A462,[1]단품수량!$B$5:$P$27,13,FALSE)*K462</f>
        <v>41</v>
      </c>
      <c r="M462" s="3" t="s">
        <v>113</v>
      </c>
      <c r="N462" s="3"/>
    </row>
    <row r="463" spans="1:14" ht="18" hidden="1" customHeight="1">
      <c r="A463" s="5">
        <v>10005986</v>
      </c>
      <c r="B463" s="3" t="str">
        <f>VLOOKUP(A463,[1]단품수량!$B$5:$E$27,4,FALSE)</f>
        <v>CRA</v>
      </c>
      <c r="C463" s="3">
        <v>397</v>
      </c>
      <c r="D463" s="3" t="s">
        <v>248</v>
      </c>
      <c r="E463" s="3">
        <v>20061692</v>
      </c>
      <c r="F463" s="3" t="s">
        <v>423</v>
      </c>
      <c r="G463" s="3"/>
      <c r="H463" s="3" t="s">
        <v>111</v>
      </c>
      <c r="I463" s="3" t="s">
        <v>424</v>
      </c>
      <c r="J463" s="3">
        <v>1</v>
      </c>
      <c r="K463" s="3">
        <v>1</v>
      </c>
      <c r="L463" s="14">
        <f>VLOOKUP(A463,[1]단품수량!$B$5:$P$27,13,FALSE)*K463</f>
        <v>41</v>
      </c>
      <c r="M463" s="3" t="s">
        <v>113</v>
      </c>
      <c r="N463" s="3"/>
    </row>
    <row r="464" spans="1:14" ht="18" hidden="1" customHeight="1">
      <c r="A464" s="5">
        <v>10005986</v>
      </c>
      <c r="B464" s="3" t="str">
        <f>VLOOKUP(A464,[1]단품수량!$B$5:$E$27,4,FALSE)</f>
        <v>CRA</v>
      </c>
      <c r="C464" s="3">
        <v>521</v>
      </c>
      <c r="D464" s="3" t="s">
        <v>195</v>
      </c>
      <c r="E464" s="3">
        <v>20062565</v>
      </c>
      <c r="F464" s="3" t="s">
        <v>552</v>
      </c>
      <c r="G464" s="3"/>
      <c r="H464" s="9" t="s">
        <v>553</v>
      </c>
      <c r="I464" s="9" t="s">
        <v>18</v>
      </c>
      <c r="J464" s="3">
        <v>1</v>
      </c>
      <c r="K464" s="3">
        <v>1</v>
      </c>
      <c r="M464" s="3" t="s">
        <v>113</v>
      </c>
      <c r="N464" s="4"/>
    </row>
    <row r="465" spans="1:14" ht="18" hidden="1" customHeight="1">
      <c r="A465" s="5">
        <v>10005986</v>
      </c>
      <c r="B465" s="3" t="str">
        <f>VLOOKUP(A465,[1]단품수량!$B$5:$E$27,4,FALSE)</f>
        <v>CRA</v>
      </c>
      <c r="C465" s="3">
        <v>521</v>
      </c>
      <c r="D465" s="3" t="s">
        <v>207</v>
      </c>
      <c r="E465" s="3">
        <v>20062606</v>
      </c>
      <c r="F465" s="3" t="s">
        <v>581</v>
      </c>
      <c r="G465" s="3"/>
      <c r="H465" s="3" t="s">
        <v>582</v>
      </c>
      <c r="I465" s="3" t="s">
        <v>18</v>
      </c>
      <c r="J465" s="3">
        <v>1</v>
      </c>
      <c r="K465" s="3">
        <v>1</v>
      </c>
      <c r="M465" s="3" t="s">
        <v>19</v>
      </c>
      <c r="N465" s="4"/>
    </row>
    <row r="466" spans="1:14" ht="18" hidden="1" customHeight="1">
      <c r="A466" s="5">
        <v>10005986</v>
      </c>
      <c r="B466" s="3" t="str">
        <f>VLOOKUP(A466,[1]단품수량!$B$5:$E$27,4,FALSE)</f>
        <v>CRA</v>
      </c>
      <c r="C466" s="3">
        <v>401</v>
      </c>
      <c r="D466" s="3" t="s">
        <v>37</v>
      </c>
      <c r="E466" s="3">
        <v>30120673</v>
      </c>
      <c r="F466" s="3" t="s">
        <v>425</v>
      </c>
      <c r="G466" s="3"/>
      <c r="H466" s="3" t="s">
        <v>426</v>
      </c>
      <c r="I466" s="3" t="s">
        <v>18</v>
      </c>
      <c r="J466" s="3">
        <v>1</v>
      </c>
      <c r="K466" s="3">
        <v>1</v>
      </c>
      <c r="L466" s="14">
        <f>VLOOKUP(A466,[1]단품수량!$B$5:$P$27,13,FALSE)*K466</f>
        <v>41</v>
      </c>
      <c r="M466" s="3" t="s">
        <v>113</v>
      </c>
      <c r="N466" s="3" t="s">
        <v>231</v>
      </c>
    </row>
    <row r="467" spans="1:14" ht="18" hidden="1" customHeight="1">
      <c r="A467" s="5">
        <v>10005986</v>
      </c>
      <c r="B467" s="3" t="str">
        <f>VLOOKUP(A467,[1]단품수량!$B$5:$E$27,4,FALSE)</f>
        <v>CRA</v>
      </c>
      <c r="C467" s="3">
        <v>402</v>
      </c>
      <c r="D467" s="3" t="s">
        <v>64</v>
      </c>
      <c r="E467" s="3">
        <v>20061606</v>
      </c>
      <c r="F467" s="3" t="s">
        <v>427</v>
      </c>
      <c r="G467" s="3"/>
      <c r="H467" s="3" t="s">
        <v>428</v>
      </c>
      <c r="I467" s="3" t="s">
        <v>387</v>
      </c>
      <c r="J467" s="3">
        <v>1</v>
      </c>
      <c r="K467" s="3">
        <v>1</v>
      </c>
      <c r="L467" s="14">
        <f>VLOOKUP(A467,[1]단품수량!$B$5:$P$27,13,FALSE)*K467</f>
        <v>41</v>
      </c>
      <c r="M467" s="3" t="s">
        <v>19</v>
      </c>
      <c r="N467" s="3" t="s">
        <v>58</v>
      </c>
    </row>
    <row r="468" spans="1:14" ht="18" hidden="1" customHeight="1">
      <c r="A468" s="5">
        <v>10005986</v>
      </c>
      <c r="B468" s="3" t="str">
        <f>VLOOKUP(A468,[1]단품수량!$B$5:$E$27,4,FALSE)</f>
        <v>CRA</v>
      </c>
      <c r="C468" s="3">
        <v>405</v>
      </c>
      <c r="D468" s="3" t="s">
        <v>66</v>
      </c>
      <c r="E468" s="3">
        <v>30120975</v>
      </c>
      <c r="F468" s="3"/>
      <c r="G468" s="3"/>
      <c r="H468" s="3" t="s">
        <v>429</v>
      </c>
      <c r="I468" s="3" t="s">
        <v>18</v>
      </c>
      <c r="J468" s="3">
        <v>1</v>
      </c>
      <c r="K468" s="3">
        <v>1</v>
      </c>
      <c r="L468" s="14">
        <f>VLOOKUP(A468,[1]단품수량!$B$5:$P$27,13,FALSE)*K468</f>
        <v>41</v>
      </c>
      <c r="M468" s="3" t="s">
        <v>19</v>
      </c>
      <c r="N468" s="3" t="s">
        <v>186</v>
      </c>
    </row>
    <row r="469" spans="1:14" ht="18" hidden="1" customHeight="1">
      <c r="A469" s="5">
        <v>10005986</v>
      </c>
      <c r="B469" s="3" t="str">
        <f>VLOOKUP(A469,[1]단품수량!$B$5:$E$27,4,FALSE)</f>
        <v>CRA</v>
      </c>
      <c r="C469" s="3">
        <v>413</v>
      </c>
      <c r="D469" s="3" t="s">
        <v>123</v>
      </c>
      <c r="E469" s="3">
        <v>10006272</v>
      </c>
      <c r="F469" s="3"/>
      <c r="G469" s="3"/>
      <c r="H469" s="3" t="s">
        <v>441</v>
      </c>
      <c r="I469" s="3" t="s">
        <v>146</v>
      </c>
      <c r="J469" s="3">
        <v>1</v>
      </c>
      <c r="K469" s="3">
        <v>1</v>
      </c>
      <c r="L469" s="14">
        <f>VLOOKUP(A469,[1]단품수량!$B$5:$P$27,13,FALSE)*K469</f>
        <v>41</v>
      </c>
      <c r="M469" s="3" t="s">
        <v>27</v>
      </c>
      <c r="N469" s="3"/>
    </row>
    <row r="474" spans="1:14" ht="18" customHeight="1">
      <c r="H474" s="3" t="s">
        <v>154</v>
      </c>
      <c r="I474" s="3" t="s">
        <v>155</v>
      </c>
      <c r="J474" s="3">
        <v>1</v>
      </c>
      <c r="K474" s="3">
        <v>1</v>
      </c>
    </row>
    <row r="475" spans="1:14" ht="18" customHeight="1">
      <c r="H475" s="3" t="s">
        <v>156</v>
      </c>
      <c r="I475" s="3" t="s">
        <v>157</v>
      </c>
      <c r="J475" s="3">
        <v>1</v>
      </c>
    </row>
    <row r="476" spans="1:14" ht="18" customHeight="1">
      <c r="H476" s="3" t="s">
        <v>158</v>
      </c>
      <c r="I476" s="3" t="s">
        <v>159</v>
      </c>
      <c r="J476" s="3">
        <v>2</v>
      </c>
    </row>
  </sheetData>
  <autoFilter ref="A2:N469">
    <filterColumn colId="13">
      <filters>
        <filter val="한국사우스코(유)"/>
      </filters>
    </filterColumn>
    <sortState ref="A356:Q539">
      <sortCondition ref="H2:H634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Your Company 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kangjj</dc:creator>
  <cp:lastModifiedBy>JDS_SSD</cp:lastModifiedBy>
  <dcterms:created xsi:type="dcterms:W3CDTF">2011-02-17T07:48:50Z</dcterms:created>
  <dcterms:modified xsi:type="dcterms:W3CDTF">2011-10-12T02:27:39Z</dcterms:modified>
</cp:coreProperties>
</file>