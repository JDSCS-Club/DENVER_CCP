
<file path=[Content_Types].xml><?xml version="1.0" encoding="utf-8"?>
<Types xmlns="http://schemas.openxmlformats.org/package/2006/content-types">
  <Override PartName="/xl/externalLinks/externalLink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5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53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50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46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3595" windowHeight="9795"/>
  </bookViews>
  <sheets>
    <sheet name="예비품 3량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?" localSheetId="0">[2]재질단가!#REF!</definedName>
    <definedName name="_?">[2]재질단가!#REF!</definedName>
    <definedName name="__?" localSheetId="0">[2]재질단가!#REF!</definedName>
    <definedName name="__?">[2]재질단가!#REF!</definedName>
    <definedName name="___?" localSheetId="0">[2]재질단가!#REF!</definedName>
    <definedName name="___?">[2]재질단가!#REF!</definedName>
    <definedName name="_____?" localSheetId="0">[2]재질단가!#REF!</definedName>
    <definedName name="_____?">[2]재질단가!#REF!</definedName>
    <definedName name="_______?" localSheetId="0">[2]재질단가!#REF!</definedName>
    <definedName name="_______?">[2]재질단가!#REF!</definedName>
    <definedName name="_________LB3" localSheetId="0">BlankMacro1</definedName>
    <definedName name="_________LB3">BlankMacro1</definedName>
    <definedName name="_______LB3" localSheetId="0">BlankMacro1</definedName>
    <definedName name="_______LB3">BlankMacro1</definedName>
    <definedName name="_______LX25" localSheetId="0">[3]PILOT품!#REF!</definedName>
    <definedName name="_______LX25">[3]PILOT품!#REF!</definedName>
    <definedName name="______A1" localSheetId="0">#REF!</definedName>
    <definedName name="______A1">#REF!</definedName>
    <definedName name="______a10" localSheetId="0">#REF!</definedName>
    <definedName name="______a10">#REF!</definedName>
    <definedName name="______A2" localSheetId="0">#REF!</definedName>
    <definedName name="______A2">#REF!</definedName>
    <definedName name="______A3" localSheetId="0">#REF!</definedName>
    <definedName name="______A3">#REF!</definedName>
    <definedName name="______A4" localSheetId="0">#REF!</definedName>
    <definedName name="______A4">#REF!</definedName>
    <definedName name="______A5" localSheetId="0">#REF!</definedName>
    <definedName name="______A5">#REF!</definedName>
    <definedName name="______DB777" localSheetId="0" hidden="1">{#N/A,#N/A,TRUE,"Y생산";#N/A,#N/A,TRUE,"Y판매";#N/A,#N/A,TRUE,"Y총물량";#N/A,#N/A,TRUE,"Y능력";#N/A,#N/A,TRUE,"YKD"}</definedName>
    <definedName name="______DB777" hidden="1">{#N/A,#N/A,TRUE,"Y생산";#N/A,#N/A,TRUE,"Y판매";#N/A,#N/A,TRUE,"Y총물량";#N/A,#N/A,TRUE,"Y능력";#N/A,#N/A,TRUE,"YKD"}</definedName>
    <definedName name="______J2" localSheetId="0">#REF!</definedName>
    <definedName name="______J2">#REF!</definedName>
    <definedName name="______KDX3" localSheetId="0">'예비품 3량'!______KDX3</definedName>
    <definedName name="______KDX3">[0]!______KDX3</definedName>
    <definedName name="______LB3" localSheetId="0">BlankMacro1</definedName>
    <definedName name="______LB3">BlankMacro1</definedName>
    <definedName name="______TTL1" localSheetId="0">#REF!</definedName>
    <definedName name="______TTL1">#REF!</definedName>
    <definedName name="______TTL2" localSheetId="0">#REF!</definedName>
    <definedName name="______TTL2">#REF!</definedName>
    <definedName name="_____A1" localSheetId="0">#REF!</definedName>
    <definedName name="_____A1">#REF!</definedName>
    <definedName name="_____a10" localSheetId="0">#REF!</definedName>
    <definedName name="_____a10">#REF!</definedName>
    <definedName name="_____A2" localSheetId="0">#REF!</definedName>
    <definedName name="_____A2">#REF!</definedName>
    <definedName name="_____A3" localSheetId="0">#REF!</definedName>
    <definedName name="_____A3">#REF!</definedName>
    <definedName name="_____A4" localSheetId="0">#REF!</definedName>
    <definedName name="_____A4">#REF!</definedName>
    <definedName name="_____A5" localSheetId="0">#REF!</definedName>
    <definedName name="_____A5">#REF!</definedName>
    <definedName name="_____DB777" localSheetId="0" hidden="1">{#N/A,#N/A,TRUE,"Y생산";#N/A,#N/A,TRUE,"Y판매";#N/A,#N/A,TRUE,"Y총물량";#N/A,#N/A,TRUE,"Y능력";#N/A,#N/A,TRUE,"YKD"}</definedName>
    <definedName name="_____DB777" hidden="1">{#N/A,#N/A,TRUE,"Y생산";#N/A,#N/A,TRUE,"Y판매";#N/A,#N/A,TRUE,"Y총물량";#N/A,#N/A,TRUE,"Y능력";#N/A,#N/A,TRUE,"YKD"}</definedName>
    <definedName name="_____J2" localSheetId="0">#REF!</definedName>
    <definedName name="_____J2">#REF!</definedName>
    <definedName name="_____KDX3" localSheetId="0">'예비품 3량'!_____KDX3</definedName>
    <definedName name="_____KDX3">[0]!_____KDX3</definedName>
    <definedName name="_____LB3" localSheetId="0">BlankMacro1</definedName>
    <definedName name="_____LB3">BlankMacro1</definedName>
    <definedName name="_____LX25" localSheetId="0">[3]PILOT품!#REF!</definedName>
    <definedName name="_____LX25">[3]PILOT품!#REF!</definedName>
    <definedName name="_____TTL1" localSheetId="0">#REF!</definedName>
    <definedName name="_____TTL1">#REF!</definedName>
    <definedName name="_____TTL2" localSheetId="0">#REF!</definedName>
    <definedName name="_____TTL2">#REF!</definedName>
    <definedName name="____A1" localSheetId="0">#REF!</definedName>
    <definedName name="____A1">#REF!</definedName>
    <definedName name="____a10" localSheetId="0">#REF!</definedName>
    <definedName name="____a10">#REF!</definedName>
    <definedName name="____A2" localSheetId="0">#REF!</definedName>
    <definedName name="____A2">#REF!</definedName>
    <definedName name="____A3" localSheetId="0">#REF!</definedName>
    <definedName name="____A3">#REF!</definedName>
    <definedName name="____A4" localSheetId="0">#REF!</definedName>
    <definedName name="____A4">#REF!</definedName>
    <definedName name="____A5" localSheetId="0">#REF!</definedName>
    <definedName name="____A5">#REF!</definedName>
    <definedName name="____DB777" localSheetId="0" hidden="1">{#N/A,#N/A,TRUE,"Y생산";#N/A,#N/A,TRUE,"Y판매";#N/A,#N/A,TRUE,"Y총물량";#N/A,#N/A,TRUE,"Y능력";#N/A,#N/A,TRUE,"YKD"}</definedName>
    <definedName name="____DB777" hidden="1">{#N/A,#N/A,TRUE,"Y생산";#N/A,#N/A,TRUE,"Y판매";#N/A,#N/A,TRUE,"Y총물량";#N/A,#N/A,TRUE,"Y능력";#N/A,#N/A,TRUE,"YKD"}</definedName>
    <definedName name="____J2" localSheetId="0">#REF!</definedName>
    <definedName name="____J2">#REF!</definedName>
    <definedName name="____KDX3" localSheetId="0">'예비품 3량'!___KDX3</definedName>
    <definedName name="____KDX3">#N/A</definedName>
    <definedName name="____LOT1">[4]계산DATA입력!$B$9</definedName>
    <definedName name="____TTL1" localSheetId="0">#REF!</definedName>
    <definedName name="____TTL1">#REF!</definedName>
    <definedName name="____TTL2" localSheetId="0">#REF!</definedName>
    <definedName name="____TTL2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DB777" localSheetId="0" hidden="1">{#N/A,#N/A,TRUE,"Y생산";#N/A,#N/A,TRUE,"Y판매";#N/A,#N/A,TRUE,"Y총물량";#N/A,#N/A,TRUE,"Y능력";#N/A,#N/A,TRUE,"YKD"}</definedName>
    <definedName name="___DB777" hidden="1">{#N/A,#N/A,TRUE,"Y생산";#N/A,#N/A,TRUE,"Y판매";#N/A,#N/A,TRUE,"Y총물량";#N/A,#N/A,TRUE,"Y능력";#N/A,#N/A,TRUE,"YKD"}</definedName>
    <definedName name="___gap1">[5]간이연락!$H$1:$H$65536,[5]간이연락!$F$1:$F$65536</definedName>
    <definedName name="___J2" localSheetId="0">#REF!</definedName>
    <definedName name="___J2">#REF!</definedName>
    <definedName name="___KDX3" localSheetId="0">#N/A</definedName>
    <definedName name="___KDX3">#N/A</definedName>
    <definedName name="___LB3" localSheetId="0">BlankMacro1</definedName>
    <definedName name="___LB3">BlankMacro1</definedName>
    <definedName name="___LOT1">[4]계산DATA입력!$B$9</definedName>
    <definedName name="___LX25" localSheetId="0">[3]PILOT품!#REF!</definedName>
    <definedName name="___LX25">[3]PILOT품!#REF!</definedName>
    <definedName name="___TTL1" localSheetId="0">#REF!</definedName>
    <definedName name="___TTL1">#REF!</definedName>
    <definedName name="___TTL2" localSheetId="0">#REF!</definedName>
    <definedName name="___TTL2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DB777" localSheetId="0" hidden="1">{#N/A,#N/A,TRUE,"Y생산";#N/A,#N/A,TRUE,"Y판매";#N/A,#N/A,TRUE,"Y총물량";#N/A,#N/A,TRUE,"Y능력";#N/A,#N/A,TRUE,"YKD"}</definedName>
    <definedName name="__DB777" hidden="1">{#N/A,#N/A,TRUE,"Y생산";#N/A,#N/A,TRUE,"Y판매";#N/A,#N/A,TRUE,"Y총물량";#N/A,#N/A,TRUE,"Y능력";#N/A,#N/A,TRUE,"YKD"}</definedName>
    <definedName name="__gap1">[5]간이연락!$H$1:$H$65536,[5]간이연락!$F$1:$F$65536</definedName>
    <definedName name="__J2" localSheetId="0">#REF!</definedName>
    <definedName name="__J2">#REF!</definedName>
    <definedName name="__KDX3" localSheetId="0">'예비품 3량'!_KDX3</definedName>
    <definedName name="__KDX3">#N/A</definedName>
    <definedName name="__LB3" localSheetId="0">BlankMacro1</definedName>
    <definedName name="__LB3">BlankMacro1</definedName>
    <definedName name="__LOT1">[4]계산DATA입력!$B$9</definedName>
    <definedName name="__LX25" localSheetId="0">[3]PILOT품!#REF!</definedName>
    <definedName name="__LX25">[3]PILOT품!#REF!</definedName>
    <definedName name="__TTL1" localSheetId="0">#REF!</definedName>
    <definedName name="__TTL1">#REF!</definedName>
    <definedName name="__TTL2" localSheetId="0">#REF!</definedName>
    <definedName name="__TTL2">#REF!</definedName>
    <definedName name="_99_07_07" localSheetId="0">#REF!</definedName>
    <definedName name="_99_07_07">#REF!</definedName>
    <definedName name="_A1" localSheetId="0">#REF!</definedName>
    <definedName name="_A1">#REF!</definedName>
    <definedName name="_a10" localSheetId="0">#REF!</definedName>
    <definedName name="_a10">#REF!</definedName>
    <definedName name="_A2" localSheetId="0">#REF!</definedName>
    <definedName name="_A2">#REF!</definedName>
    <definedName name="_A3" localSheetId="0">#REF!</definedName>
    <definedName name="_A3">#REF!</definedName>
    <definedName name="_A4" localSheetId="0">#REF!</definedName>
    <definedName name="_A4">#REF!</definedName>
    <definedName name="_A5" localSheetId="0">#REF!</definedName>
    <definedName name="_A5">#REF!</definedName>
    <definedName name="_C" localSheetId="0">#REF!</definedName>
    <definedName name="_C">#REF!</definedName>
    <definedName name="_DB777" localSheetId="0" hidden="1">{#N/A,#N/A,TRUE,"Y생산";#N/A,#N/A,TRUE,"Y판매";#N/A,#N/A,TRUE,"Y총물량";#N/A,#N/A,TRUE,"Y능력";#N/A,#N/A,TRUE,"YKD"}</definedName>
    <definedName name="_DB777" hidden="1">{#N/A,#N/A,TRUE,"Y생산";#N/A,#N/A,TRUE,"Y판매";#N/A,#N/A,TRUE,"Y총물량";#N/A,#N/A,TRUE,"Y능력";#N/A,#N/A,TRUE,"YKD"}</definedName>
    <definedName name="_DBB1" localSheetId="0">#REF!</definedName>
    <definedName name="_DBB1">#REF!</definedName>
    <definedName name="_ENG1" localSheetId="0">VLOOKUP(#REF!,'예비품 3량'!DBHAN,3)</definedName>
    <definedName name="_ENG1">#N/A</definedName>
    <definedName name="_ENG2" localSheetId="0">VLOOKUP(#REF!,'예비품 3량'!DBHAN,3)</definedName>
    <definedName name="_ENG2">#N/A</definedName>
    <definedName name="_ENG3" localSheetId="0">VLOOKUP(#REF!,'예비품 3량'!DBHAN,3)</definedName>
    <definedName name="_ENG3">#N/A</definedName>
    <definedName name="_Fill" hidden="1">[6]외주현황.wq1!$A$403:$A$435</definedName>
    <definedName name="_xlnm._FilterDatabase" localSheetId="0" hidden="1">#REF!</definedName>
    <definedName name="_xlnm._FilterDatabase" hidden="1">#REF!</definedName>
    <definedName name="_gap1">[5]간이연락!$H$1:$H$65536,[5]간이연락!$F$1:$F$65536</definedName>
    <definedName name="_HAN1" localSheetId="0">VLOOKUP(#REF!,'예비품 3량'!DBHAN,2)</definedName>
    <definedName name="_HAN1">#N/A</definedName>
    <definedName name="_HAN2" localSheetId="0">VLOOKUP(#REF!,'예비품 3량'!DBHAN,2)</definedName>
    <definedName name="_HAN2">#N/A</definedName>
    <definedName name="_HAN3" localSheetId="0">VLOOKUP(#REF!,'예비품 3량'!DBHAN,2)</definedName>
    <definedName name="_HAN3">#N/A</definedName>
    <definedName name="_J2" localSheetId="0">#REF!</definedName>
    <definedName name="_J2">#REF!</definedName>
    <definedName name="_KDX3" localSheetId="0">'예비품 3량'!_KDX3</definedName>
    <definedName name="_KDX3">#N/A</definedName>
    <definedName name="_Key1" hidden="1">[6]외주현황.wq1!$E$403:$E$455</definedName>
    <definedName name="_KK5000" localSheetId="0">#REF!</definedName>
    <definedName name="_KK5000">#REF!</definedName>
    <definedName name="_L1" localSheetId="0">#REF!</definedName>
    <definedName name="_L1">#REF!</definedName>
    <definedName name="_L2" localSheetId="0">#REF!</definedName>
    <definedName name="_L2">#REF!</definedName>
    <definedName name="_L3" localSheetId="0">#REF!</definedName>
    <definedName name="_L3">#REF!</definedName>
    <definedName name="_LB3" localSheetId="0">BlankMacro1</definedName>
    <definedName name="_LB3">BlankMacro1</definedName>
    <definedName name="_LOT1">[4]계산DATA입력!$B$9</definedName>
    <definedName name="_LX25" localSheetId="0">[3]PILOT품!#REF!</definedName>
    <definedName name="_LX25">[3]PILOT품!#REF!</definedName>
    <definedName name="_Order1" hidden="1">[6]외주현황.wq1!$A$31</definedName>
    <definedName name="_Parse_Out" localSheetId="0" hidden="1">#REF!</definedName>
    <definedName name="_Parse_Out" hidden="1">#REF!</definedName>
    <definedName name="_Q1" localSheetId="0">#REF!</definedName>
    <definedName name="_Q1">#REF!</definedName>
    <definedName name="_Q3" localSheetId="0">#REF!</definedName>
    <definedName name="_Q3">#REF!</definedName>
    <definedName name="_Q4" localSheetId="0">#REF!</definedName>
    <definedName name="_Q4">#REF!</definedName>
    <definedName name="_Sort" localSheetId="0" hidden="1">#REF!</definedName>
    <definedName name="_Sort" hidden="1">#REF!</definedName>
    <definedName name="_TTL1" localSheetId="0">#REF!</definedName>
    <definedName name="_TTL1">#REF!</definedName>
    <definedName name="_TTL2" localSheetId="0">#REF!</definedName>
    <definedName name="_TTL2">#REF!</definedName>
    <definedName name="【95年" localSheetId="0">#REF!</definedName>
    <definedName name="【95年">#REF!</definedName>
    <definedName name="￥" localSheetId="0">[7]작성양식!#REF!</definedName>
    <definedName name="￥">[7]작성양식!#REF!</definedName>
    <definedName name="가류">[8]공수!$B$15:$I$19</definedName>
    <definedName name="가합" localSheetId="0">'[9]94'!#REF!</definedName>
    <definedName name="가합">'[9]94'!#REF!</definedName>
    <definedName name="결과" localSheetId="0">'예비품 3량'!결과</definedName>
    <definedName name="결과">#N/A</definedName>
    <definedName name="경비" localSheetId="0">[10]CVT산정!#REF!</definedName>
    <definedName name="경비">[10]CVT산정!#REF!</definedName>
    <definedName name="경비5" localSheetId="0">[10]CVT산정!#REF!</definedName>
    <definedName name="경비5">[10]CVT산정!#REF!</definedName>
    <definedName name="경비6" localSheetId="0">[10]CVT산정!#REF!</definedName>
    <definedName name="경비6">[10]CVT산정!#REF!</definedName>
    <definedName name="경비율" localSheetId="0">#REF!</definedName>
    <definedName name="경비율">#REF!</definedName>
    <definedName name="경원원" localSheetId="0">[11]동아합의!#REF!</definedName>
    <definedName name="경원원">[11]동아합의!#REF!</definedName>
    <definedName name="계획" localSheetId="0">'예비품 3량'!계획</definedName>
    <definedName name="계획">#N/A</definedName>
    <definedName name="공수" localSheetId="0">#REF!</definedName>
    <definedName name="공수">#REF!</definedName>
    <definedName name="공수계" localSheetId="0">#REF!</definedName>
    <definedName name="공수계">#REF!</definedName>
    <definedName name="공장도" localSheetId="0">#REF!</definedName>
    <definedName name="공장도">#REF!</definedName>
    <definedName name="金額" localSheetId="0">#REF!</definedName>
    <definedName name="金額">#REF!</definedName>
    <definedName name="기안" localSheetId="0">'[12]2.대외공문'!#REF!</definedName>
    <definedName name="기안">'[12]2.대외공문'!#REF!</definedName>
    <definedName name="기안1" localSheetId="0">'[13]2.대외공문'!#REF!</definedName>
    <definedName name="기안1">'[13]2.대외공문'!#REF!</definedName>
    <definedName name="기안갑" localSheetId="0">'[14]2.대외공문'!#REF!</definedName>
    <definedName name="기안갑">'[14]2.대외공문'!#REF!</definedName>
    <definedName name="기안을" localSheetId="0">'[14]2.대외공문'!#REF!</definedName>
    <definedName name="기안을">'[14]2.대외공문'!#REF!</definedName>
    <definedName name="길이">[4]계산DATA입력!$C$14</definedName>
    <definedName name="끝" localSheetId="0">#REF!</definedName>
    <definedName name="끝">#REF!</definedName>
    <definedName name="끝머리" localSheetId="0">#REF!</definedName>
    <definedName name="끝머리">#REF!</definedName>
    <definedName name="ㄴㄴ" localSheetId="0" hidden="1">{#N/A,#N/A,TRUE,"Y생산";#N/A,#N/A,TRUE,"Y판매";#N/A,#N/A,TRUE,"Y총물량";#N/A,#N/A,TRUE,"Y능력";#N/A,#N/A,TRUE,"YKD"}</definedName>
    <definedName name="ㄴㄴ" hidden="1">{#N/A,#N/A,TRUE,"Y생산";#N/A,#N/A,TRUE,"Y판매";#N/A,#N/A,TRUE,"Y총물량";#N/A,#N/A,TRUE,"Y능력";#N/A,#N/A,TRUE,"YKD"}</definedName>
    <definedName name="ㄴㄴㄴ">[15]직재!$B$12</definedName>
    <definedName name="ㄴㅇ" localSheetId="0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나" localSheetId="0">'예비품 3량'!나</definedName>
    <definedName name="나">#N/A</definedName>
    <definedName name="내까" localSheetId="0">'예비품 3량'!내까</definedName>
    <definedName name="내까">#N/A</definedName>
    <definedName name="네로" localSheetId="0">ROUND(SUM('예비품 3량'!DCC,'예비품 3량'!DCO,'예비품 3량'!DCN)*100/#REF!,1)</definedName>
    <definedName name="네로">#N/A</definedName>
    <definedName name="네트공수1">#N/A</definedName>
    <definedName name="네트공수2">#N/A</definedName>
    <definedName name="ㄷ" localSheetId="0">#REF!</definedName>
    <definedName name="ㄷ">#REF!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다" localSheetId="0">#REF!</definedName>
    <definedName name="다">#REF!</definedName>
    <definedName name="다닫" localSheetId="0">BlankMacro1</definedName>
    <definedName name="다닫">BlankMacro1</definedName>
    <definedName name="단가" localSheetId="0">#REF!</definedName>
    <definedName name="단가">#REF!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위">1000</definedName>
    <definedName name="대로_인정해_주기로_약속된바_있" localSheetId="0">[16]DWPM!#REF!</definedName>
    <definedName name="대로_인정해_주기로_약속된바_있">[16]DWPM!#REF!</definedName>
    <definedName name="대회" localSheetId="0">#REF!</definedName>
    <definedName name="대회">#REF!</definedName>
    <definedName name="두께">[4]계산DATA입력!$C$18</definedName>
    <definedName name="ㄹㄴㅇㄴ" localSheetId="0">#REF!</definedName>
    <definedName name="ㄹㄴㅇㄴ">#REF!</definedName>
    <definedName name="ㄹㄹ" localSheetId="0">BlankMacro1</definedName>
    <definedName name="ㄹㄹ">BlankMacro1</definedName>
    <definedName name="라" localSheetId="0">#REF!</definedName>
    <definedName name="라">#REF!</definedName>
    <definedName name="ㅁ">[17]직재!$C$12</definedName>
    <definedName name="ㅁ169" localSheetId="0">#REF!</definedName>
    <definedName name="ㅁ169">#REF!</definedName>
    <definedName name="ㅁㄴㅇㄹ" localSheetId="0">BlankMacro1</definedName>
    <definedName name="ㅁㄴㅇㄹ">BlankMacro1</definedName>
    <definedName name="ㅁㅁ" localSheetId="0">#REF!</definedName>
    <definedName name="ㅁㅁ">#REF!</definedName>
    <definedName name="ㅁㅁㅁ" localSheetId="0">BlankMacro1</definedName>
    <definedName name="ㅁㅁㅁ">BlankMacro1</definedName>
    <definedName name="ㅁㅁㅁㅁㅁ" localSheetId="0">#REF!</definedName>
    <definedName name="ㅁㅁㅁㅁㅁ">#REF!</definedName>
    <definedName name="ㅁㅁㅁㅁㅁㅁㅁㅁ" localSheetId="0">#REF!</definedName>
    <definedName name="ㅁㅁㅁㅁㅁㅁㅁㅁ">#REF!</definedName>
    <definedName name="ㅁㅂ" localSheetId="0">#REF!</definedName>
    <definedName name="ㅁㅂ">#REF!</definedName>
    <definedName name="ㅁddd" localSheetId="0">#REF!</definedName>
    <definedName name="ㅁddd">#REF!</definedName>
    <definedName name="마" localSheetId="0">#REF!</definedName>
    <definedName name="마">#REF!</definedName>
    <definedName name="모른다니까" localSheetId="0">#REF!</definedName>
    <definedName name="모른다니까">#REF!</definedName>
    <definedName name="목표" localSheetId="0">'예비품 3량'!목표</definedName>
    <definedName name="목표">#N/A</definedName>
    <definedName name="몰라" localSheetId="0">#REF!</definedName>
    <definedName name="몰라">#REF!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ㅂ" localSheetId="0">BlankMacro1</definedName>
    <definedName name="ㅂㅂ">BlankMacro1</definedName>
    <definedName name="바" localSheetId="0">#REF!</definedName>
    <definedName name="바">#REF!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발" localSheetId="0">#REF!</definedName>
    <definedName name="발">#REF!</definedName>
    <definedName name="백만">1000000</definedName>
    <definedName name="변경" localSheetId="0">#REF!</definedName>
    <definedName name="변경">#REF!</definedName>
    <definedName name="부문">[18]부서CODE!$B$1:$D$161</definedName>
    <definedName name="부품구성CONTROL" localSheetId="0">BlankMacro1</definedName>
    <definedName name="부품구성CONTROL">BlankMacro1</definedName>
    <definedName name="부품사양비교표5" localSheetId="0">BlankMacro1</definedName>
    <definedName name="부품사양비교표5">BlankMacro1</definedName>
    <definedName name="분기별" localSheetId="0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비상문" localSheetId="0">BlankMacro1</definedName>
    <definedName name="비상문">BlankMacro1</definedName>
    <definedName name="비중">[8]SOURCE!$AD$3:$AF$16</definedName>
    <definedName name="사" localSheetId="0">#REF!</definedName>
    <definedName name="사">#REF!</definedName>
    <definedName name="사업투자" localSheetId="0">#REF!</definedName>
    <definedName name="사업투자">#REF!</definedName>
    <definedName name="사용" localSheetId="0">ROUND(SUM('예비품 3량'!DCC,'예비품 3량'!DCO,'예비품 3량'!DCN)*100/#REF!,1)</definedName>
    <definedName name="사용">#N/A</definedName>
    <definedName name="사용자" localSheetId="0">ROUND('예비품 3량'!DCC*100/#REF!,1)</definedName>
    <definedName name="사용자">#N/A</definedName>
    <definedName name="상세내역" localSheetId="0">'예비품 3량'!상세내역</definedName>
    <definedName name="상세내역">#N/A</definedName>
    <definedName name="상세내용" localSheetId="0">'예비품 3량'!상세내용</definedName>
    <definedName name="상세내용">#N/A</definedName>
    <definedName name="생산95">'[18]CR CODE'!$D$10:$E$21</definedName>
    <definedName name="생산96">'[18]CR CODE'!$D$22:$E$33</definedName>
    <definedName name="생산97">'[18]CR CODE'!$D$34:$E$47</definedName>
    <definedName name="생산98">'[18]CR CODE'!$D$48:$E$64</definedName>
    <definedName name="생산계획" localSheetId="0">#REF!</definedName>
    <definedName name="생산계획">#REF!</definedName>
    <definedName name="생산대수" localSheetId="0">#REF!</definedName>
    <definedName name="생산대수">#REF!</definedName>
    <definedName name="생산및납품계획" localSheetId="0">#REF!</definedName>
    <definedName name="생산및납품계획">#REF!</definedName>
    <definedName name="설계표영역">[8]SOURCE!$B$2:$M$195</definedName>
    <definedName name="설정" localSheetId="0">BlankMacro1</definedName>
    <definedName name="설정">BlankMacro1</definedName>
    <definedName name="세척">[8]공수!$B$22:$I$26</definedName>
    <definedName name="소" localSheetId="0">#REF!</definedName>
    <definedName name="소">#REF!</definedName>
    <definedName name="小" localSheetId="0">#REF!</definedName>
    <definedName name="小">#REF!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출">'[19]99 조정금액'!$AB$13</definedName>
    <definedName name="순번" localSheetId="0">#REF!</definedName>
    <definedName name="순번">#REF!</definedName>
    <definedName name="순번선택" localSheetId="0">#REF!</definedName>
    <definedName name="순번선택">#REF!</definedName>
    <definedName name="시작" localSheetId="0">#REF!</definedName>
    <definedName name="시작">#REF!</definedName>
    <definedName name="실시" localSheetId="0">'예비품 3량'!실시</definedName>
    <definedName name="실시">#N/A</definedName>
    <definedName name="ㅇㄻㄴㅇㄻㄴ" localSheetId="0">#REF!</definedName>
    <definedName name="ㅇㄻㄴㅇㄻㄴ">#REF!</definedName>
    <definedName name="ㅣㅏㅣㅏㅣㅏㅣ" localSheetId="0">BlankMacro1</definedName>
    <definedName name="ㅣㅏㅣㅏㅣㅏㅣ">BlankMacro1</definedName>
    <definedName name="ㅣㅣ" localSheetId="0">'예비품 3량'!ㅣㅣ</definedName>
    <definedName name="ㅣㅣ">#N/A</definedName>
    <definedName name="아" localSheetId="0">#REF!</definedName>
    <definedName name="아">#REF!</definedName>
    <definedName name="오일건" localSheetId="0">#REF!</definedName>
    <definedName name="오일건">#REF!</definedName>
    <definedName name="외경">[4]계산DATA입력!$C$16</definedName>
    <definedName name="원">1</definedName>
    <definedName name="원가" localSheetId="0">'예비품 3량'!원가</definedName>
    <definedName name="원가">#N/A</definedName>
    <definedName name="원가기획목표" localSheetId="0">'예비품 3량'!원가기획목표</definedName>
    <definedName name="원가기획목표">#N/A</definedName>
    <definedName name="원가비교" localSheetId="0">'예비품 3량'!원가비교</definedName>
    <definedName name="원가비교">#N/A</definedName>
    <definedName name="원단위CC" localSheetId="0">#REF!</definedName>
    <definedName name="원단위CC">#REF!</definedName>
    <definedName name="원자재종합" localSheetId="0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형" localSheetId="0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이상" localSheetId="0" hidden="1">{#N/A,#N/A,TRUE,"Y생산";#N/A,#N/A,TRUE,"Y판매";#N/A,#N/A,TRUE,"Y총물량";#N/A,#N/A,TRUE,"Y능력";#N/A,#N/A,TRUE,"YKD"}</definedName>
    <definedName name="이상" hidden="1">{#N/A,#N/A,TRUE,"Y생산";#N/A,#N/A,TRUE,"Y판매";#N/A,#N/A,TRUE,"Y총물량";#N/A,#N/A,TRUE,"Y능력";#N/A,#N/A,TRUE,"YKD"}</definedName>
    <definedName name="인원" localSheetId="0">#REF!</definedName>
    <definedName name="인원">#REF!</definedName>
    <definedName name="일관비율" localSheetId="0">#REF!</definedName>
    <definedName name="일관비율">#REF!</definedName>
    <definedName name="임시고무">[8]SOURCE!$AD$2:$AD$16</definedName>
    <definedName name="임시캐리어">[8]SOURCE!$AC$2:$AC$5</definedName>
    <definedName name="임시편조사">[8]SOURCE!$AB$2:$AB$5</definedName>
    <definedName name="임율" localSheetId="0">#REF!</definedName>
    <definedName name="임율">#REF!</definedName>
    <definedName name="입고계획_조정" localSheetId="0">#REF!</definedName>
    <definedName name="입고계획_조정">#REF!</definedName>
    <definedName name="입찰" localSheetId="0">'예비품 3량'!입찰</definedName>
    <definedName name="입찰">#N/A</definedName>
    <definedName name="입찰결과" localSheetId="0">'예비품 3량'!입찰결과</definedName>
    <definedName name="입찰결과">#N/A</definedName>
    <definedName name="입형">[8]공수!$B$8:$I$12</definedName>
    <definedName name="자" localSheetId="0">#REF!</definedName>
    <definedName name="자">#REF!</definedName>
    <definedName name="자재비" localSheetId="0" hidden="1">{"'용역비'!$A$4:$C$8"}</definedName>
    <definedName name="자재비" hidden="1">{"'용역비'!$A$4:$C$8"}</definedName>
    <definedName name="작업구분" localSheetId="0">#REF!</definedName>
    <definedName name="작업구분">#REF!</definedName>
    <definedName name="작업선택" localSheetId="0">#REF!</definedName>
    <definedName name="작업선택">#REF!</definedName>
    <definedName name="장기투자.94.BB" localSheetId="0">#REF!</definedName>
    <definedName name="장기투자.94.BB">#REF!</definedName>
    <definedName name="재단">[8]공수!$B$29:$I$33</definedName>
    <definedName name="재질" localSheetId="0">#REF!</definedName>
    <definedName name="재질">#REF!</definedName>
    <definedName name="재질선택" localSheetId="0">#REF!</definedName>
    <definedName name="재질선택">#REF!</definedName>
    <definedName name="점검COVER" localSheetId="0">BlankMacro1</definedName>
    <definedName name="점검COVER">BlankMacro1</definedName>
    <definedName name="제목" localSheetId="0">#REF!</definedName>
    <definedName name="제목">#REF!</definedName>
    <definedName name="주요업무실적" localSheetId="0">#REF!</definedName>
    <definedName name="주요업무실적">#REF!</definedName>
    <definedName name="주요차이" localSheetId="0">'예비품 3량'!주요차이</definedName>
    <definedName name="주요차이">#N/A</definedName>
    <definedName name="주요차이내역" localSheetId="0">'예비품 3량'!주요차이내역</definedName>
    <definedName name="주요차이내역">#N/A</definedName>
    <definedName name="주요차이내역2" localSheetId="0">'예비품 3량'!주요차이내역2</definedName>
    <definedName name="주요차이내역2">#N/A</definedName>
    <definedName name="준비시간">[8]공수!$B$1:$K$2</definedName>
    <definedName name="준비시간은__가동율_80__적용반영" localSheetId="0">#REF!</definedName>
    <definedName name="준비시간은__가동율_80__적용반영">#REF!</definedName>
    <definedName name="중">[20]가격표!$C$7,[20]가격표!$C$10,[20]가격표!$C$13,[20]가격표!$C$16,[20]가격표!$C$19,[20]가격표!$C$22,[20]가격표!$C$25,[20]가격표!$C$28,[20]가격표!$C$31,[20]가격표!$C$34</definedName>
    <definedName name="직재" localSheetId="0" hidden="1">{"'용역비'!$A$4:$C$8"}</definedName>
    <definedName name="직재" hidden="1">{"'용역비'!$A$4:$C$8"}</definedName>
    <definedName name="집진장치용" localSheetId="0">BlankMacro1</definedName>
    <definedName name="집진장치용">BlankMacro1</definedName>
    <definedName name="차" localSheetId="0">#REF!</definedName>
    <definedName name="차">#REF!</definedName>
    <definedName name="차이" localSheetId="0">'예비품 3량'!차이</definedName>
    <definedName name="차이">#N/A</definedName>
    <definedName name="차종" localSheetId="0">#REF!</definedName>
    <definedName name="차종">#REF!</definedName>
    <definedName name="차종수" localSheetId="0">#REF!</definedName>
    <definedName name="차종수">#REF!</definedName>
    <definedName name="차체" localSheetId="0">#REF!</definedName>
    <definedName name="차체">#REF!</definedName>
    <definedName name="처음" localSheetId="0">#REF!</definedName>
    <definedName name="처음">#REF!</definedName>
    <definedName name="첨부1" localSheetId="0">'[21]96'!#REF!</definedName>
    <definedName name="첨부1">'[21]96'!#REF!</definedName>
    <definedName name="총길이공수1">#N/A</definedName>
    <definedName name="총길이공수2">#N/A</definedName>
    <definedName name="추진일정" localSheetId="0">'예비품 3량'!추진일정</definedName>
    <definedName name="추진일정">#N/A</definedName>
    <definedName name="퀛Y" localSheetId="0">[22]경비공통!#REF!</definedName>
    <definedName name="퀛Y">[22]경비공통!#REF!</definedName>
    <definedName name="클럽수목견_견적내역_List" localSheetId="0">#REF!</definedName>
    <definedName name="클럽수목견_견적내역_List">#REF!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투자" localSheetId="0">#REF!</definedName>
    <definedName name="투자">#REF!</definedName>
    <definedName name="특장" localSheetId="0">#REF!</definedName>
    <definedName name="특장">#REF!</definedName>
    <definedName name="평강건설" localSheetId="0">#REF!</definedName>
    <definedName name="평강건설">#REF!</definedName>
    <definedName name="품명" localSheetId="0">#REF!</definedName>
    <definedName name="품명">#REF!</definedName>
    <definedName name="품의서" localSheetId="0">'[13]2.대외공문'!#REF!</definedName>
    <definedName name="품의서">'[13]2.대외공문'!#REF!</definedName>
    <definedName name="품의서2" localSheetId="0">'[13]2.대외공문'!#REF!</definedName>
    <definedName name="품의서2">'[13]2.대외공문'!#REF!</definedName>
    <definedName name="품의을" localSheetId="0">'[13]2.대외공문'!#REF!</definedName>
    <definedName name="품의을">'[13]2.대외공문'!#REF!</definedName>
    <definedName name="ㅎㅎ" localSheetId="0">#REF!</definedName>
    <definedName name="ㅎㅎ">#REF!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할것을_제시하오니_선처__바랍니" localSheetId="0">[16]DWPM!#REF!</definedName>
    <definedName name="할것을_제시하오니_선처__바랍니">[16]DWPM!#REF!</definedName>
    <definedName name="합계" localSheetId="0">#REF!</definedName>
    <definedName name="합계">#REF!</definedName>
    <definedName name="협전" localSheetId="0">#REF!</definedName>
    <definedName name="협전">#REF!</definedName>
    <definedName name="확정하여_보고할것." localSheetId="0">#REF!</definedName>
    <definedName name="확정하여_보고할것.">#REF!</definedName>
    <definedName name="환율" localSheetId="0">#REF!</definedName>
    <definedName name="환율">#REF!</definedName>
    <definedName name="환율비" localSheetId="0">#REF!</definedName>
    <definedName name="환율비">#REF!</definedName>
    <definedName name="활동이력" localSheetId="0">#REF!</definedName>
    <definedName name="활동이력">#REF!</definedName>
    <definedName name="흵____R3_t" localSheetId="0">#REF!</definedName>
    <definedName name="흵____R3_t">#REF!</definedName>
    <definedName name="A">0.9</definedName>
    <definedName name="a합" localSheetId="0">'[9]94'!#REF!</definedName>
    <definedName name="a합">'[9]94'!#REF!</definedName>
    <definedName name="AA" localSheetId="0">#REF!</definedName>
    <definedName name="AA">#REF!</definedName>
    <definedName name="aaa" localSheetId="0">BlankMacro1</definedName>
    <definedName name="aaa">BlankMacro1</definedName>
    <definedName name="AAAA" localSheetId="0">BlankMacro1</definedName>
    <definedName name="AAAA">BlankMacro1</definedName>
    <definedName name="aaaaa" localSheetId="0">BlankMacro1</definedName>
    <definedName name="aaaaa">BlankMacro1</definedName>
    <definedName name="ab" localSheetId="0">#REF!</definedName>
    <definedName name="ab">#REF!</definedName>
    <definedName name="AB_B" localSheetId="0">#REF!</definedName>
    <definedName name="AB_B">#REF!</definedName>
    <definedName name="abde" localSheetId="0">BlankMacro1</definedName>
    <definedName name="abde">BlankMacro1</definedName>
    <definedName name="Access_Button" hidden="1">"재료비_가공비_상세명세_List"</definedName>
    <definedName name="AccessDatabase" hidden="1">"C:\생산판매\long98\9802장판원본.mdb"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FWE" localSheetId="0">BlankMacro1</definedName>
    <definedName name="AFWE">BlankMacro1</definedName>
    <definedName name="AFWE1" localSheetId="0">BlankMacro1</definedName>
    <definedName name="AFWE1">BlankMacro1</definedName>
    <definedName name="ALTSS" localSheetId="0">#REF!</definedName>
    <definedName name="ALTSS">#REF!</definedName>
    <definedName name="AMT" localSheetId="0">#REF!</definedName>
    <definedName name="AMT">#REF!</definedName>
    <definedName name="AS" localSheetId="0">#REF!</definedName>
    <definedName name="AS">#REF!</definedName>
    <definedName name="ASDF" localSheetId="0">BlankMacro1</definedName>
    <definedName name="ASDF">BlankMacro1</definedName>
    <definedName name="AWFE" localSheetId="0">BlankMacro1</definedName>
    <definedName name="AWFE">BlankMacro1</definedName>
    <definedName name="AZ" localSheetId="0">#REF!</definedName>
    <definedName name="AZ">#REF!</definedName>
    <definedName name="B" localSheetId="0">[23]CVT산정!#REF!</definedName>
    <definedName name="B">[24]CVT산정!#REF!</definedName>
    <definedName name="b_Z___?MP1765" localSheetId="0">[24]부서현황!#REF!</definedName>
    <definedName name="b_Z___?MP1765">[24]부서현황!#REF!</definedName>
    <definedName name="b23RTDKDK" localSheetId="0">#REF!</definedName>
    <definedName name="b23RTDKDK">#REF!</definedName>
    <definedName name="Baseline" localSheetId="0">#REF!</definedName>
    <definedName name="Baseline">#REF!</definedName>
    <definedName name="BB" localSheetId="0">#REF!</definedName>
    <definedName name="BB">#REF!</definedName>
    <definedName name="bbb" localSheetId="0">#REF!</definedName>
    <definedName name="bbb">#REF!</definedName>
    <definedName name="BBBBBB" localSheetId="0">BlankMacro1</definedName>
    <definedName name="BBBBBB">BlankMacro1</definedName>
    <definedName name="BL" localSheetId="0">#REF!</definedName>
    <definedName name="BL">#REF!</definedName>
    <definedName name="Book1_Sheet2_List" localSheetId="0">#REF!</definedName>
    <definedName name="Book1_Sheet2_List">#REF!</definedName>
    <definedName name="bRTDKDK" localSheetId="0">#REF!</definedName>
    <definedName name="bRTDKDK">#REF!</definedName>
    <definedName name="C_S" localSheetId="0">#REF!</definedName>
    <definedName name="C_S">#REF!</definedName>
    <definedName name="CC" localSheetId="0">#REF!</definedName>
    <definedName name="CC">#REF!</definedName>
    <definedName name="ccc" localSheetId="0">IF([0]!rowclm=0,'[25]회로내역(승인)'!$B1048575+1,"")</definedName>
    <definedName name="ccc">IF([0]!rowclm=0,'[25]회로내역(승인)'!$B1048575+1,"")</definedName>
    <definedName name="cd" localSheetId="0">#REF!</definedName>
    <definedName name="cd">#REF!</definedName>
    <definedName name="CN" localSheetId="0">COUNTIF('[26]전장품(관리용)'!$L$12:$T$226,#REF!)</definedName>
    <definedName name="CN">COUNTIF('[26]전장품(관리용)'!$L$12:$T$226,#REF!)</definedName>
    <definedName name="CO" localSheetId="0">COUNTIF(#REF!,#REF!)</definedName>
    <definedName name="CO">COUNTIF(#REF!,#REF!)</definedName>
    <definedName name="CONFIRM" localSheetId="0">IF(#REF!=[0]!NUM,"","FALSE")</definedName>
    <definedName name="CONFIRM">IF(#REF!=[0]!NUM,"","FALSE")</definedName>
    <definedName name="CONTROLDESK" localSheetId="0">BlankMacro1</definedName>
    <definedName name="CONTROLDESK">BlankMacro1</definedName>
    <definedName name="CP_F" localSheetId="0">#REF!</definedName>
    <definedName name="CP_F">#REF!</definedName>
    <definedName name="_xlnm.Criteria" localSheetId="0">[27]FO원단위!#REF!</definedName>
    <definedName name="_xlnm.Criteria">[27]FO원단위!#REF!</definedName>
    <definedName name="CW" localSheetId="0">COUNTIF(#REF!,#REF!)</definedName>
    <definedName name="CW">COUNTIF(#REF!,#REF!)</definedName>
    <definedName name="D" localSheetId="0">#REF!</definedName>
    <definedName name="D">#REF!</definedName>
    <definedName name="D_R" localSheetId="0">#REF!</definedName>
    <definedName name="D_R">#REF!</definedName>
    <definedName name="D공통비">[28]ppcarpet!$F$11</definedName>
    <definedName name="D바늘단가">[28]ppcarpet!$C$15</definedName>
    <definedName name="D복후비">[28]ppcarpet!$F$9</definedName>
    <definedName name="D부가율">[28]ppcarpet!$F$8</definedName>
    <definedName name="D시급">[28]ppcarpet!$F$7</definedName>
    <definedName name="D원사LOSS">[28]ppcarpet!$D$7</definedName>
    <definedName name="D이윤">[28]ppcarpet!$F$13</definedName>
    <definedName name="D일관비">[28]ppcarpet!$F$12</definedName>
    <definedName name="D재관비">[28]ppcarpet!$F$10</definedName>
    <definedName name="DABB" localSheetId="0">'[29]OPT손익 내수'!$G$15</definedName>
    <definedName name="DABB">'[29]OPT손익 내수'!$G$15</definedName>
    <definedName name="DABP" localSheetId="0">'[29]OPT손익 내수'!$G$17</definedName>
    <definedName name="DABP">'[29]OPT손익 내수'!$G$17</definedName>
    <definedName name="DABSB" localSheetId="0">'[29]OPT손익 내수'!$F$15</definedName>
    <definedName name="DABSB">'[29]OPT손익 내수'!$F$15</definedName>
    <definedName name="DABSP" localSheetId="0">'[29]OPT손익 내수'!$F$17</definedName>
    <definedName name="DABSP">'[29]OPT손익 내수'!$F$17</definedName>
    <definedName name="DACB" localSheetId="0">'[29]OPT손익 내수'!$D$15</definedName>
    <definedName name="DACB">'[29]OPT손익 내수'!$D$15</definedName>
    <definedName name="DACP" localSheetId="0">'[29]OPT손익 내수'!$D$17</definedName>
    <definedName name="DACP">'[29]OPT손익 내수'!$D$17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B" localSheetId="0">'[29]OPT손익 내수'!$E$15</definedName>
    <definedName name="DATB">'[29]OPT손익 내수'!$E$15</definedName>
    <definedName name="DATE_COM" localSheetId="0">IF(MAX(#REF!)=0,"",MAX(#REF!))</definedName>
    <definedName name="DATE_COM">IF(MAX(#REF!)=0,"",MAX(#REF!))</definedName>
    <definedName name="DATE_COMC" localSheetId="0">IF(MAX(#REF!)=0,"",MAX(#REF!))</definedName>
    <definedName name="DATE_COMC">IF(MAX(#REF!)=0,"",MAX(#REF!))</definedName>
    <definedName name="DATE_COMN">IF(MAX('[26]전장품(관리용)'!$Z1:$AB1)=0,"",MAX('[26]전장품(관리용)'!$Z1:$AB1))</definedName>
    <definedName name="DATP" localSheetId="0">'[29]OPT손익 내수'!$E$17</definedName>
    <definedName name="DATP">'[29]OPT손익 내수'!$E$17</definedName>
    <definedName name="DAWB" localSheetId="0">'[29]OPT손익 내수'!$I$15</definedName>
    <definedName name="DAWB">'[29]OPT손익 내수'!$I$15</definedName>
    <definedName name="DAWP" localSheetId="0">'[29]OPT손익 내수'!$I$17</definedName>
    <definedName name="DAWP">'[29]OPT손익 내수'!$I$17</definedName>
    <definedName name="DBHAN" localSheetId="0">#REF!</definedName>
    <definedName name="DBHAN">#REF!</definedName>
    <definedName name="DC" localSheetId="0">[29]업무!#REF!</definedName>
    <definedName name="DC">[29]업무!#REF!</definedName>
    <definedName name="DCA_P" localSheetId="0">ROUND(SUM('예비품 3량'!DCC,'예비품 3량'!DCO,'예비품 3량'!DCN)*100/#REF!,1)</definedName>
    <definedName name="DCA_P">#N/A</definedName>
    <definedName name="DCC" localSheetId="0">#REF!</definedName>
    <definedName name="DCC">#REF!</definedName>
    <definedName name="DCC_P" localSheetId="0">ROUND('예비품 3량'!DCC*100/#REF!,1)</definedName>
    <definedName name="DCC_P">ROUND([0]!DCC*100/#REF!,1)</definedName>
    <definedName name="DCN" localSheetId="0">#REF!</definedName>
    <definedName name="DCN">#REF!</definedName>
    <definedName name="DCN_P" localSheetId="0">ROUND('예비품 3량'!DCN*100/#REF!,1)</definedName>
    <definedName name="DCN_P">ROUND([0]!DCN*100/#REF!,1)</definedName>
    <definedName name="DCO" localSheetId="0">#REF!</definedName>
    <definedName name="DCO">#REF!</definedName>
    <definedName name="DCO_P" localSheetId="0">ROUND('예비품 3량'!DCO*100/#REF!,1)</definedName>
    <definedName name="DCO_P">ROUND([0]!DCO*100/#REF!,1)</definedName>
    <definedName name="dd" localSheetId="0">#REF!</definedName>
    <definedName name="dd">#REF!</definedName>
    <definedName name="DESK" localSheetId="0">BlankMacro1</definedName>
    <definedName name="DESK">BlankMacro1</definedName>
    <definedName name="DFIBER인원">[28]ppcarpet!$H$7</definedName>
    <definedName name="DLATEX고형분">[28]ppcarpet!$C$11</definedName>
    <definedName name="DLATEX단가">[28]ppcarpet!$C$11</definedName>
    <definedName name="DLATEXLOSS">[28]ppcarpet!$C$11</definedName>
    <definedName name="Document_Revision" localSheetId="0">#REF!</definedName>
    <definedName name="Document_Revision">#REF!</definedName>
    <definedName name="DPE단가">[28]ppcarpet!$C$13</definedName>
    <definedName name="DPELOSS">[28]ppcarpet!$C$11</definedName>
    <definedName name="DPSB" localSheetId="0">'[29]OPT손익 내수'!$H$15</definedName>
    <definedName name="DPSB">'[29]OPT손익 내수'!$H$15</definedName>
    <definedName name="DPSP" localSheetId="0">'[29]OPT손익 내수'!$H$17</definedName>
    <definedName name="DPSP">'[29]OPT손익 내수'!$H$17</definedName>
    <definedName name="E" localSheetId="0">BlankMacro1</definedName>
    <definedName name="E">BlankMacro1</definedName>
    <definedName name="E0RTRKE24.57RTRKE290.175.69RTRK" localSheetId="0">[30]원97!#REF!</definedName>
    <definedName name="E0RTRKE24.57RTRKE290.175.69RTRK">[30]원97!#REF!</definedName>
    <definedName name="ED3__회훈_71.4_신창_4.9" localSheetId="0">#REF!</definedName>
    <definedName name="ED3__회훈_71.4_신창_4.9">#REF!</definedName>
    <definedName name="EDABB" localSheetId="0">'[29]OPT손익 수출'!$N$15</definedName>
    <definedName name="EDABB">'[29]OPT손익 수출'!$N$15</definedName>
    <definedName name="EDABP" localSheetId="0">'[29]OPT손익 수출'!$N$17</definedName>
    <definedName name="EDABP">'[29]OPT손익 수출'!$N$17</definedName>
    <definedName name="EDABSB" localSheetId="0">'[29]OPT손익 수출'!$M$15</definedName>
    <definedName name="EDABSB">'[29]OPT손익 수출'!$M$15</definedName>
    <definedName name="EDABSP" localSheetId="0">'[29]OPT손익 수출'!$M$17</definedName>
    <definedName name="EDABSP">'[29]OPT손익 수출'!$M$17</definedName>
    <definedName name="EDACB" localSheetId="0">'[29]OPT손익 수출'!$K$15</definedName>
    <definedName name="EDACB">'[29]OPT손익 수출'!$K$15</definedName>
    <definedName name="EDACP" localSheetId="0">'[29]OPT손익 수출'!$K$17</definedName>
    <definedName name="EDACP">'[29]OPT손익 수출'!$K$17</definedName>
    <definedName name="EDATB" localSheetId="0">'[29]OPT손익 수출'!$L$15</definedName>
    <definedName name="EDATB">'[29]OPT손익 수출'!$L$15</definedName>
    <definedName name="EDATP" localSheetId="0">'[29]OPT손익 수출'!$L$17</definedName>
    <definedName name="EDATP">'[29]OPT손익 수출'!$L$17</definedName>
    <definedName name="EDAWB" localSheetId="0">'[29]OPT손익 수출'!$P$15</definedName>
    <definedName name="EDAWB">'[29]OPT손익 수출'!$P$15</definedName>
    <definedName name="EDAWP" localSheetId="0">'[29]OPT손익 수출'!$P$17</definedName>
    <definedName name="EDAWP">'[29]OPT손익 수출'!$P$17</definedName>
    <definedName name="EDPSB" localSheetId="0">'[29]OPT손익 수출'!$O$15</definedName>
    <definedName name="EDPSB">'[29]OPT손익 수출'!$O$15</definedName>
    <definedName name="EDPSP" localSheetId="0">'[29]OPT손익 수출'!$O$17</definedName>
    <definedName name="EDPSP">'[29]OPT손익 수출'!$O$17</definedName>
    <definedName name="EE" localSheetId="0">#REF!</definedName>
    <definedName name="EE">#REF!</definedName>
    <definedName name="ef" localSheetId="0">#REF!</definedName>
    <definedName name="ef">#REF!</definedName>
    <definedName name="EGABB" localSheetId="0">'[29]OPT손익 수출'!$U$15</definedName>
    <definedName name="EGABB">'[29]OPT손익 수출'!$U$15</definedName>
    <definedName name="EGABP" localSheetId="0">'[29]OPT손익 수출'!$U$17</definedName>
    <definedName name="EGABP">'[29]OPT손익 수출'!$U$17</definedName>
    <definedName name="EGABSB" localSheetId="0">'[29]OPT손익 수출'!$T$15</definedName>
    <definedName name="EGABSB">'[29]OPT손익 수출'!$T$15</definedName>
    <definedName name="EGABSP" localSheetId="0">'[29]OPT손익 수출'!$T$17</definedName>
    <definedName name="EGABSP">'[29]OPT손익 수출'!$T$17</definedName>
    <definedName name="EGACB" localSheetId="0">'[29]OPT손익 수출'!$R$15</definedName>
    <definedName name="EGACB">'[29]OPT손익 수출'!$R$15</definedName>
    <definedName name="EGACP" localSheetId="0">'[29]OPT손익 수출'!$R$17</definedName>
    <definedName name="EGACP">'[29]OPT손익 수출'!$R$17</definedName>
    <definedName name="EGATB" localSheetId="0">'[29]OPT손익 수출'!$S$15</definedName>
    <definedName name="EGATB">'[29]OPT손익 수출'!$S$15</definedName>
    <definedName name="EGATP" localSheetId="0">'[29]OPT손익 수출'!$S$17</definedName>
    <definedName name="EGATP">'[29]OPT손익 수출'!$S$17</definedName>
    <definedName name="EGAWP" localSheetId="0">'[29]OPT손익 수출'!$W$17</definedName>
    <definedName name="EGAWP">'[29]OPT손익 수출'!$W$17</definedName>
    <definedName name="EGO_C" localSheetId="0">[31]RDLEVLST!#REF!</definedName>
    <definedName name="EGO_C">[31]RDLEVLST!#REF!</definedName>
    <definedName name="EGPSB" localSheetId="0">'[29]OPT손익 수출'!$V$15</definedName>
    <definedName name="EGPSB">'[29]OPT손익 수출'!$V$15</definedName>
    <definedName name="EGPSP" localSheetId="0">'[29]OPT손익 수출'!$V$17</definedName>
    <definedName name="EGPSP">'[29]OPT손익 수출'!$V$17</definedName>
    <definedName name="ENG" localSheetId="0">VLOOKUP(#REF!,'예비품 3량'!DBHAN,3)</definedName>
    <definedName name="ENG">VLOOKUP(#REF!,[0]!DBHAN,3)</definedName>
    <definedName name="EO관리신" localSheetId="0">#REF!</definedName>
    <definedName name="EO관리신">#REF!</definedName>
    <definedName name="ERTY" localSheetId="0">BlankMacro1</definedName>
    <definedName name="ERTY">BlankMacro1</definedName>
    <definedName name="ES" localSheetId="0">[32]매크로!#REF!</definedName>
    <definedName name="ES">[32]매크로!#REF!</definedName>
    <definedName name="ESS" localSheetId="0">[32]매크로!#REF!</definedName>
    <definedName name="ESS">[32]매크로!#REF!</definedName>
    <definedName name="EUABSB" localSheetId="0">'[29]OPT손익 수출'!$F$15</definedName>
    <definedName name="EUABSB">'[29]OPT손익 수출'!$F$15</definedName>
    <definedName name="EUABSP" localSheetId="0">'[29]OPT손익 수출'!$F$17</definedName>
    <definedName name="EUABSP">'[29]OPT손익 수출'!$F$17</definedName>
    <definedName name="EUACB" localSheetId="0">'[29]OPT손익 수출'!$D$15</definedName>
    <definedName name="EUACB">'[29]OPT손익 수출'!$D$15</definedName>
    <definedName name="EUACP" localSheetId="0">'[29]OPT손익 수출'!$D$17</definedName>
    <definedName name="EUACP">'[29]OPT손익 수출'!$D$17</definedName>
    <definedName name="EUATB" localSheetId="0">'[29]OPT손익 수출'!$E$15</definedName>
    <definedName name="EUATB">'[29]OPT손익 수출'!$E$15</definedName>
    <definedName name="EUATP" localSheetId="0">'[29]OPT손익 수출'!$E$17</definedName>
    <definedName name="EUATP">'[29]OPT손익 수출'!$E$17</definedName>
    <definedName name="EUAWB" localSheetId="0">'[29]OPT손익 수출'!$I$15</definedName>
    <definedName name="EUAWB">'[29]OPT손익 수출'!$I$15</definedName>
    <definedName name="EUAWP" localSheetId="0">'[29]OPT손익 수출'!$I$17</definedName>
    <definedName name="EUAWP">'[29]OPT손익 수출'!$I$17</definedName>
    <definedName name="EUPSB" localSheetId="0">'[29]OPT손익 수출'!$H$15</definedName>
    <definedName name="EUPSB">'[29]OPT손익 수출'!$H$15</definedName>
    <definedName name="EUPSP" localSheetId="0">'[29]OPT손익 수출'!$H$17</definedName>
    <definedName name="EUPSP">'[29]OPT손익 수출'!$H$17</definedName>
    <definedName name="EWF" localSheetId="0">BlankMacro1</definedName>
    <definedName name="EWF">BlankMacro1</definedName>
    <definedName name="EXTRA" localSheetId="0">#REF!</definedName>
    <definedName name="EXTRA">#REF!</definedName>
    <definedName name="_xlnm.Extract" localSheetId="0">#REF!</definedName>
    <definedName name="_xlnm.Extract">#REF!</definedName>
    <definedName name="F" localSheetId="0">#REF!</definedName>
    <definedName name="F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F" localSheetId="0">BlankMacro1</definedName>
    <definedName name="FF">BlankMacro1</definedName>
    <definedName name="fg" localSheetId="0">#REF!</definedName>
    <definedName name="fg">#REF!</definedName>
    <definedName name="FG24RTDKDK" localSheetId="0">#REF!</definedName>
    <definedName name="FG24RTDKDK">#REF!</definedName>
    <definedName name="fgPRRKRKRKTBTB1RT" localSheetId="0">[33]인원계획!#REF!</definedName>
    <definedName name="fgPRRKRKRKTBTB1RT">[33]인원계획!#REF!</definedName>
    <definedName name="FGPRRKRKTBTB2RTDKDK" localSheetId="0">#REF!</definedName>
    <definedName name="FGPRRKRKTBTB2RTDKDK">#REF!</definedName>
    <definedName name="FGPRTBTB2RTDKDKGMR3C9RT" localSheetId="0">'[34]품-(주)코①'!#REF!</definedName>
    <definedName name="FGPRTBTB2RTDKDKGMR3C9RT">'[34]품-(주)코①'!#REF!</definedName>
    <definedName name="FGR12C15TBTB1RTDKDK" localSheetId="0">#REF!</definedName>
    <definedName name="FGR12C15TBTB1RTDKDK">#REF!</definedName>
    <definedName name="FGrkbs7tbtbsprt" localSheetId="0">[35]전체현황!#REF!</definedName>
    <definedName name="FGrkbs7tbtbsprt">[35]전체현황!#REF!</definedName>
    <definedName name="FGRKRKRKRKRKRKRKRKRKRKRKRKRKRKR" localSheetId="0">#REF!</definedName>
    <definedName name="FGRKRKRKRKRKRKRKRKRKRKRKRKRKRKR">#REF!</definedName>
    <definedName name="FGRKRKRKRKRKRKRKRKRKRKRKRKRKTBT" localSheetId="0">'[3]M96현황-동아'!#REF!</definedName>
    <definedName name="FGRKRKRKRKRKRKRKRKRKRKRKRKRKTBT">'[3]M96현황-동아'!#REF!</definedName>
    <definedName name="FGRKRKTBTB3RTDKDKDKDKDK" localSheetId="0">#REF!</definedName>
    <definedName name="FGRKRKTBTB3RTDKDKDKDKDK">#REF!</definedName>
    <definedName name="fgTBTB3RTDKDK" localSheetId="0">#REF!</definedName>
    <definedName name="fgTBTB3RTDKDK">#REF!</definedName>
    <definedName name="FGTBTB3RTDKDKDKDKDK" localSheetId="0">#REF!</definedName>
    <definedName name="FGTBTB3RTDKDKDKDKDK">#REF!</definedName>
    <definedName name="fgTBTB4RTDKDK" localSheetId="0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RMAT" localSheetId="0">[36]CVT산정!#REF!</definedName>
    <definedName name="FORMAT">[37]CVT산정!#REF!</definedName>
    <definedName name="FR">[38]재1!$F$54</definedName>
    <definedName name="FRF">[38]재1!$B$54</definedName>
    <definedName name="G" localSheetId="0">#REF!</definedName>
    <definedName name="G">#REF!</definedName>
    <definedName name="g_탩Y" localSheetId="0">'[39]주소(한문)'!#REF!</definedName>
    <definedName name="g_탩Y">'[39]주소(한문)'!#REF!</definedName>
    <definedName name="G_C" localSheetId="0">#REF!</definedName>
    <definedName name="G_C">#REF!</definedName>
    <definedName name="gff" localSheetId="0">BlankMacro1</definedName>
    <definedName name="gff">BlankMacro1</definedName>
    <definedName name="GG" localSheetId="0">#REF!</definedName>
    <definedName name="GG">#REF!</definedName>
    <definedName name="GH" localSheetId="0">#REF!</definedName>
    <definedName name="GH">#REF!</definedName>
    <definedName name="GHJGH" localSheetId="0">'[40]소유주(원)'!#REF!</definedName>
    <definedName name="GHJGH">'[40]소유주(원)'!#REF!</definedName>
    <definedName name="h" localSheetId="0">#REF!</definedName>
    <definedName name="h">#REF!</definedName>
    <definedName name="HAN" localSheetId="0">VLOOKUP(#REF!,'예비품 3량'!DBHAN,2)</definedName>
    <definedName name="HAN">VLOOKUP(#REF!,[0]!DBHAN,2)</definedName>
    <definedName name="HH" localSheetId="0">#REF!</definedName>
    <definedName name="HH">#REF!</definedName>
    <definedName name="HTML_CodePage" hidden="1">949</definedName>
    <definedName name="HTML_Control" localSheetId="0" hidden="1">{"'용역비'!$A$4:$C$8"}</definedName>
    <definedName name="HTML_Control" hidden="1">{"'용역비'!$A$4:$C$8"}</definedName>
    <definedName name="HTML_Description" hidden="1">""</definedName>
    <definedName name="HTML_Email" hidden="1">""</definedName>
    <definedName name="HTML_Header" hidden="1">"용역비"</definedName>
    <definedName name="HTML_LastUpdate" hidden="1">"99-07-01"</definedName>
    <definedName name="HTML_LineAfter" hidden="1">FALSE</definedName>
    <definedName name="HTML_LineBefore" hidden="1">FALSE</definedName>
    <definedName name="HTML_Name" hidden="1">"전산실"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"전체금액"</definedName>
    <definedName name="I" localSheetId="0">#REF!</definedName>
    <definedName name="I">#REF!</definedName>
    <definedName name="II" localSheetId="0">#REF!</definedName>
    <definedName name="II">#REF!</definedName>
    <definedName name="ITEMNO" localSheetId="0">#REF!</definedName>
    <definedName name="ITEMNO">#REF!</definedName>
    <definedName name="J" localSheetId="0">#REF!</definedName>
    <definedName name="J">#REF!</definedName>
    <definedName name="JJ" localSheetId="0">#REF!</definedName>
    <definedName name="JJ">#REF!</definedName>
    <definedName name="K" localSheetId="0">#REF!</definedName>
    <definedName name="K">#REF!</definedName>
    <definedName name="KJB" localSheetId="0">BlankMacro1</definedName>
    <definedName name="KJB">BlankMacro1</definedName>
    <definedName name="KK" localSheetId="0">#REF!</definedName>
    <definedName name="KK">#REF!</definedName>
    <definedName name="ko" localSheetId="0">#REF!</definedName>
    <definedName name="ko">#REF!</definedName>
    <definedName name="L" localSheetId="0">#REF!</definedName>
    <definedName name="L">#REF!</definedName>
    <definedName name="L_C" localSheetId="0">#REF!</definedName>
    <definedName name="L_C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INE" localSheetId="0">BlankMacro1</definedName>
    <definedName name="LINE">BlankMacro1</definedName>
    <definedName name="Line132_Click" localSheetId="0">[41]!Line132_Click</definedName>
    <definedName name="Line132_Click">[41]!Line132_Click</definedName>
    <definedName name="LN" localSheetId="0">#REF!</definedName>
    <definedName name="LN">#REF!</definedName>
    <definedName name="lot">[8]SOURCE!$P$2:$Q$34</definedName>
    <definedName name="LOT수" localSheetId="0">#REF!</definedName>
    <definedName name="LOT수">#REF!</definedName>
    <definedName name="LX_DATA">[42]LXLIST1!$A$9:$R$288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행" localSheetId="0">#REF!</definedName>
    <definedName name="M행">#REF!</definedName>
    <definedName name="MA" localSheetId="0">#REF!</definedName>
    <definedName name="MA">#REF!</definedName>
    <definedName name="MAN임율">[4]계산DATA입력!$B$8</definedName>
    <definedName name="MIPX3" localSheetId="0">'예비품 3량'!MIPX3</definedName>
    <definedName name="MIPX3">#N/A</definedName>
    <definedName name="MIRROR" localSheetId="0">'예비품 3량'!MIRROR</definedName>
    <definedName name="MIRROR">#N/A</definedName>
    <definedName name="MODULE" localSheetId="0">BlankMacro1</definedName>
    <definedName name="MODULE">BlankMacro1</definedName>
    <definedName name="MP" localSheetId="0">#REF!</definedName>
    <definedName name="MP">#REF!</definedName>
    <definedName name="Mq" localSheetId="0">[43]GRACE!#REF!</definedName>
    <definedName name="Mq">[43]GRACE!#REF!</definedName>
    <definedName name="MZ" localSheetId="0">#REF!</definedName>
    <definedName name="MZ">#REF!</definedName>
    <definedName name="N">"?N*"</definedName>
    <definedName name="N_P" localSheetId="0">#REF!</definedName>
    <definedName name="N_P">#REF!</definedName>
    <definedName name="N행" localSheetId="0">#REF!</definedName>
    <definedName name="N행">#REF!</definedName>
    <definedName name="nameeng" localSheetId="0">IF([0]!rowclm=0,VLOOKUP('[25]회로내역(승인)'!$B1,'예비품 3량'!_DBB1,3),VLOOKUP('[25]회로내역(승인)'!$B1048576,'예비품 3량'!_DBB1,4))</definedName>
    <definedName name="nameeng">IF([0]!rowclm=0,VLOOKUP('[25]회로내역(승인)'!$B1,[0]!_DBB1,3),VLOOKUP('[25]회로내역(승인)'!$B1048576,[0]!_DBB1,4))</definedName>
    <definedName name="NET" localSheetId="0">#REF!</definedName>
    <definedName name="NET">#REF!</definedName>
    <definedName name="NN" localSheetId="0">[11]동아합의!#REF!</definedName>
    <definedName name="NN">[11]동아합의!#REF!</definedName>
    <definedName name="NUM" localSheetId="0">'[44]A-A'!$AH$2:$AO$250</definedName>
    <definedName name="NUM">'[44]A-A'!$AH$2:$AO$250</definedName>
    <definedName name="numb" localSheetId="0">IF([0]!rowclm=0,VLOOKUP('[25]회로내역(승인)'!$B1,'예비품 3량'!_DBB1,2),"")</definedName>
    <definedName name="numb">IF([0]!rowclm=0,VLOOKUP('[25]회로내역(승인)'!$B1,[0]!_DBB1,2),"")</definedName>
    <definedName name="O행" localSheetId="0">#REF!</definedName>
    <definedName name="O행">#REF!</definedName>
    <definedName name="P_F" localSheetId="0">#REF!</definedName>
    <definedName name="P_F">#REF!</definedName>
    <definedName name="P행" localSheetId="0">#REF!</definedName>
    <definedName name="P행">#REF!</definedName>
    <definedName name="PB_B" localSheetId="0">#REF!</definedName>
    <definedName name="PB_B">#REF!</definedName>
    <definedName name="PB_B_R" localSheetId="0">#REF!</definedName>
    <definedName name="PB_B_R">#REF!</definedName>
    <definedName name="POR1C1R59C22RTSQKS15C6LRTPPPPPT" localSheetId="0">#REF!</definedName>
    <definedName name="POR1C1R59C22RTSQKS15C6LRTPPPPPT">#REF!</definedName>
    <definedName name="POR439C124RTSQKS15C4LRTM0TB0TB0" localSheetId="0">#REF!</definedName>
    <definedName name="POR439C124RTSQKS15C4LRTM0TB0TB0">#REF!</definedName>
    <definedName name="POR510C138RTSKS15C5LRTMTBTBTBTB" localSheetId="0">#REF!</definedName>
    <definedName name="POR510C138RTSKS15C5LRTMTBTBTBTB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'예비품 3량'!$A$1:$U$34</definedName>
    <definedName name="_xlnm.Print_Area">'[45]RD제품개발투자비(매가)'!#REF!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SKS13C5LRTOR04C1R23C7RTMTBTBTB" localSheetId="0">'[34]품-(주)코①'!#REF!</definedName>
    <definedName name="PSKS13C5LRTOR04C1R23C7RTMTBTBTB">'[34]품-(주)코①'!#REF!</definedName>
    <definedName name="PSKS13C6LRTOR4C1R23C7RTMTBTBTBT" localSheetId="0">'[34]품-(주)코①'!#REF!</definedName>
    <definedName name="PSKS13C6LRTOR4C1R23C7RTMTBTBTBT">'[34]품-(주)코①'!#REF!</definedName>
    <definedName name="PSLQ13C6LRTOR4C1R23C7RTMTBTBTBT" localSheetId="0">'[34]품-(주)코①'!#REF!</definedName>
    <definedName name="PSLQ13C6LRTOR4C1R23C7RTMTBTBTBT">'[34]품-(주)코①'!#REF!</definedName>
    <definedName name="PSMPLQ12C4LRTOR339C224RTMTBTBTB" localSheetId="0">#REF!</definedName>
    <definedName name="PSMPLQ12C4LRTOR339C224RTMTBTBTB">#REF!</definedName>
    <definedName name="PSQKS13C6LRTOR4C1R23C7RTMTBTBTB" localSheetId="0">'[34]품-(주)코①'!#REF!</definedName>
    <definedName name="PSQKS13C6LRTOR4C1R23C7RTMTBTBTB">'[34]품-(주)코①'!#REF!</definedName>
    <definedName name="Q" localSheetId="0">[46]내수1.8GL!#REF!</definedName>
    <definedName name="Q">[46]내수1.8GL!#REF!</definedName>
    <definedName name="Q행" localSheetId="0">#REF!</definedName>
    <definedName name="Q행">#REF!</definedName>
    <definedName name="QQ" localSheetId="0">#REF!</definedName>
    <definedName name="QQ">#REF!</definedName>
    <definedName name="qqq" localSheetId="0">'[47]2.대외공문'!#REF!</definedName>
    <definedName name="qqq">'[47]2.대외공문'!#REF!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Q" localSheetId="0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TEQRQWE4" localSheetId="0" hidden="1">#REF!</definedName>
    <definedName name="QTEQRQWE4" hidden="1">#REF!</definedName>
    <definedName name="QWEQWEWEWEW" localSheetId="0">'[48]2.대외공문'!#REF!</definedName>
    <definedName name="QWEQWEWEWEW">'[48]2.대외공문'!#REF!</definedName>
    <definedName name="R행" localSheetId="0">#REF!</definedName>
    <definedName name="R행">#REF!</definedName>
    <definedName name="RATE" localSheetId="0">#REF!</definedName>
    <definedName name="RATE">#REF!</definedName>
    <definedName name="record" localSheetId="0">[49]직원신상!#REF!</definedName>
    <definedName name="record">[50]직원신상!#REF!</definedName>
    <definedName name="RL" localSheetId="0">#REF!</definedName>
    <definedName name="RL">#REF!</definedName>
    <definedName name="rowclm">MOD(ROW(),2)</definedName>
    <definedName name="RR" localSheetId="0">'예비품 3량'!RR</definedName>
    <definedName name="RR">#N/A</definedName>
    <definedName name="RT울산시RTDKDK" localSheetId="0">#REF!</definedName>
    <definedName name="RT울산시RTDKDK">#REF!</definedName>
    <definedName name="RTCLCRCRCRCRCRCRDLRTDKDK" localSheetId="0">[49]직원신상!#REF!</definedName>
    <definedName name="RTCLCRCRCRCRCRCRDLRTDKDK">[50]직원신상!#REF!</definedName>
    <definedName name="RTCLDLRTDK" localSheetId="0">[49]직원신상!#REF!</definedName>
    <definedName name="RTCLDLRTDK">[50]직원신상!#REF!</definedName>
    <definedName name="run" localSheetId="0">#REF!</definedName>
    <definedName name="run">#REF!</definedName>
    <definedName name="S" localSheetId="0">#REF!</definedName>
    <definedName name="S">#REF!</definedName>
    <definedName name="S_F" localSheetId="0">#REF!</definedName>
    <definedName name="S_F">#REF!</definedName>
    <definedName name="S행" localSheetId="0">#REF!</definedName>
    <definedName name="S행">#REF!</definedName>
    <definedName name="SA">[50]환율!$C$6</definedName>
    <definedName name="SA_P" localSheetId="0">ROUND(SUM('예비품 3량'!SC,'예비품 3량'!SN,'예비품 3량'!SO)*100/694,1)</definedName>
    <definedName name="SA_P">#N/A</definedName>
    <definedName name="SC" localSheetId="0">COUNTIF(#REF!,#REF!)</definedName>
    <definedName name="SC">COUNTIF(#REF!,#REF!)</definedName>
    <definedName name="SC_P" localSheetId="0">ROUND('예비품 3량'!SC*100/186,1)</definedName>
    <definedName name="SC_P">ROUND([0]!SC*100/186,1)</definedName>
    <definedName name="SDDDDD" localSheetId="0">'[48]2.대외공문'!#REF!</definedName>
    <definedName name="SDDDDD">'[48]2.대외공문'!#REF!</definedName>
    <definedName name="SDFG" localSheetId="0">BlankMacro1</definedName>
    <definedName name="SDFG">BlankMacro1</definedName>
    <definedName name="SH" localSheetId="0">#REF!</definedName>
    <definedName name="SH">#REF!</definedName>
    <definedName name="sk" localSheetId="0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N" localSheetId="0">COUNTIF('[26]전장품(관리용)'!$Z$12:$AB$226,#REF!)</definedName>
    <definedName name="SN">COUNTIF('[26]전장품(관리용)'!$Z$12:$AB$226,#REF!)</definedName>
    <definedName name="SN_P" localSheetId="0">ROUND('예비품 3량'!SN*100/325,1)</definedName>
    <definedName name="SN_P">ROUND([0]!SN*100/325,1)</definedName>
    <definedName name="SO" localSheetId="0">COUNTIF(#REF!,#REF!)</definedName>
    <definedName name="SO">COUNTIF(#REF!,#REF!)</definedName>
    <definedName name="SO_P" localSheetId="0">ROUND('예비품 3량'!SO*100/183,1)</definedName>
    <definedName name="SO_P">ROUND([0]!SO*100/183,1)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 hidden="1">{#N/A,#N/A,TRUE,"Y생산";#N/A,#N/A,TRUE,"Y판매";#N/A,#N/A,TRUE,"Y총물량";#N/A,#N/A,TRUE,"Y능력";#N/A,#N/A,TRUE,"YKD"}</definedName>
    <definedName name="sss" hidden="1">{#N/A,#N/A,TRUE,"Y생산";#N/A,#N/A,TRUE,"Y판매";#N/A,#N/A,TRUE,"Y총물량";#N/A,#N/A,TRUE,"Y능력";#N/A,#N/A,TRUE,"YKD"}</definedName>
    <definedName name="stamp">[5]간이연락!$B$1:$E$65536,[5]간이연락!$I$1:$M$65536</definedName>
    <definedName name="SUM" localSheetId="0">#REF!</definedName>
    <definedName name="SUM">#REF!</definedName>
    <definedName name="T" localSheetId="0">#REF!</definedName>
    <definedName name="T">#REF!</definedName>
    <definedName name="T행" localSheetId="0">'[51]2.대외공문'!#REF!</definedName>
    <definedName name="T행">'[51]2.대외공문'!#REF!</definedName>
    <definedName name="TCMS" localSheetId="0" hidden="1">{#N/A,#N/A,TRUE,"Y생산";#N/A,#N/A,TRUE,"Y판매";#N/A,#N/A,TRUE,"Y총물량";#N/A,#N/A,TRUE,"Y능력";#N/A,#N/A,TRUE,"YKD"}</definedName>
    <definedName name="TCMS" hidden="1">{#N/A,#N/A,TRUE,"Y생산";#N/A,#N/A,TRUE,"Y판매";#N/A,#N/A,TRUE,"Y총물량";#N/A,#N/A,TRUE,"Y능력";#N/A,#N/A,TRUE,"YKD"}</definedName>
    <definedName name="THEME_CODE">'[18]THEME CODE'!$B$1:$F$1000</definedName>
    <definedName name="TM" localSheetId="0">'예비품 3량'!TM</definedName>
    <definedName name="TM">#N/A</definedName>
    <definedName name="TOTALNAME" localSheetId="0">IF('예비품 3량'!ENG='예비품 3량'!HAN,'예비품 3량'!ENG,'예비품 3량'!ENG&amp;" ("&amp;'예비품 3량'!HAN&amp;")")</definedName>
    <definedName name="TOTALNAME">IF([0]!ENG=[0]!HAN,[0]!ENG,[0]!ENG&amp;" ("&amp;[0]!HAN&amp;")")</definedName>
    <definedName name="TOTALNAME1" localSheetId="0">IF('예비품 3량'!_ENG1='예비품 3량'!_HAN1,'예비품 3량'!_ENG1,'예비품 3량'!_ENG1&amp;" ("&amp;'예비품 3량'!_HAN1&amp;")")</definedName>
    <definedName name="TOTALNAME1">IF([0]!_ENG1=[0]!_HAN1,[0]!_ENG1,[0]!_ENG1&amp;" ("&amp;[0]!_HAN1&amp;")")</definedName>
    <definedName name="TOTALNAME2" localSheetId="0">IF('예비품 3량'!_ENG2='예비품 3량'!_HAN2,'예비품 3량'!_ENG2,'예비품 3량'!_ENG2&amp;" ("&amp;'예비품 3량'!_HAN2&amp;")")</definedName>
    <definedName name="TOTALNAME2">IF([0]!_ENG2=[0]!_HAN2,[0]!_ENG2,[0]!_ENG2&amp;" ("&amp;[0]!_HAN2&amp;")")</definedName>
    <definedName name="TOTALNAME3" localSheetId="0">IF('예비품 3량'!_ENG3='예비품 3량'!_HAN3,'예비품 3량'!_ENG3,'예비품 3량'!_ENG3&amp;" ("&amp;'예비품 3량'!_HAN3&amp;")")</definedName>
    <definedName name="TOTALNAME3">IF([0]!_ENG3=[0]!_HAN3,[0]!_ENG3,[0]!_ENG3&amp;" ("&amp;[0]!_HAN3&amp;")")</definedName>
    <definedName name="TT" localSheetId="0">#REF!</definedName>
    <definedName name="TT">#REF!</definedName>
    <definedName name="TTL" localSheetId="0">[52]CLMN자료!#REF!</definedName>
    <definedName name="TTL">[52]CLMN자료!#REF!</definedName>
    <definedName name="TTT" localSheetId="0">[52]CLMN자료!#REF!</definedName>
    <definedName name="TTT">[52]CLMN자료!#REF!</definedName>
    <definedName name="TY" localSheetId="0">#REF!</definedName>
    <definedName name="TY">#REF!</definedName>
    <definedName name="U" localSheetId="0">#REF!</definedName>
    <definedName name="U">#REF!</definedName>
    <definedName name="U행" localSheetId="0">#REF!</definedName>
    <definedName name="U행">#REF!</definedName>
    <definedName name="UM" localSheetId="0">#REF!</definedName>
    <definedName name="UM">#REF!</definedName>
    <definedName name="Unix_Sum94" localSheetId="0">'[9]94'!#REF!</definedName>
    <definedName name="Unix_Sum94">'[9]94'!#REF!</definedName>
    <definedName name="USD">[38]재1!$B$50</definedName>
    <definedName name="UT" localSheetId="0">#REF!</definedName>
    <definedName name="UT">#REF!</definedName>
    <definedName name="UU" localSheetId="0">#REF!</definedName>
    <definedName name="UU">#REF!</definedName>
    <definedName name="V원사LOSS">[28]ppcarpet!$D$7</definedName>
    <definedName name="V행" localSheetId="0">#REF!</definedName>
    <definedName name="V행">#REF!</definedName>
    <definedName name="VLATEX단가">[28]ppcarpet!$C$11</definedName>
    <definedName name="VLATEXLOSS">[28]ppcarpet!$C$11</definedName>
    <definedName name="vsumUK1RT" localSheetId="0">#REF!</definedName>
    <definedName name="vsumUK1RT">#REF!</definedName>
    <definedName name="VV" localSheetId="0">#REF!</definedName>
    <definedName name="VV">#REF!</definedName>
    <definedName name="VVV" localSheetId="0" hidden="1">{#N/A,#N/A,TRUE,"Y생산";#N/A,#N/A,TRUE,"Y판매";#N/A,#N/A,TRUE,"Y총물량";#N/A,#N/A,TRUE,"Y능력";#N/A,#N/A,TRUE,"YKD"}</definedName>
    <definedName name="VVV" hidden="1">{#N/A,#N/A,TRUE,"Y생산";#N/A,#N/A,TRUE,"Y판매";#N/A,#N/A,TRUE,"Y총물량";#N/A,#N/A,TRUE,"Y능력";#N/A,#N/A,TRUE,"YKD"}</definedName>
    <definedName name="W행" localSheetId="0">'[14]2.대외공문'!#REF!</definedName>
    <definedName name="W행">'[14]2.대외공문'!#REF!</definedName>
    <definedName name="WCa" localSheetId="0">'[53]2.대외공문'!#REF!</definedName>
    <definedName name="WCa">'[53]2.대외공문'!#REF!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D" localSheetId="0" hidden="1">{#N/A,#N/A,TRUE,"Y생산";#N/A,#N/A,TRUE,"Y판매";#N/A,#N/A,TRUE,"Y총물량";#N/A,#N/A,TRUE,"Y능력";#N/A,#N/A,TRUE,"YKD"}</definedName>
    <definedName name="WED" hidden="1">{#N/A,#N/A,TRUE,"Y생산";#N/A,#N/A,TRUE,"Y판매";#N/A,#N/A,TRUE,"Y총물량";#N/A,#N/A,TRUE,"Y능력";#N/A,#N/A,TRUE,"YKD"}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T" localSheetId="0">#REF!</definedName>
    <definedName name="WT">#REF!</definedName>
    <definedName name="WW" localSheetId="0">#REF!</definedName>
    <definedName name="WW">#REF!</definedName>
    <definedName name="X9802장판원본_원본_List" localSheetId="0">#REF!</definedName>
    <definedName name="X9802장판원본_원본_List">#REF!</definedName>
    <definedName name="X행" localSheetId="0">#REF!</definedName>
    <definedName name="X행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x" localSheetId="0">#REF!</definedName>
    <definedName name="xx">#REF!</definedName>
    <definedName name="Y" localSheetId="0">#REF!</definedName>
    <definedName name="Y">#REF!</definedName>
    <definedName name="YY" localSheetId="0">#REF!</definedName>
    <definedName name="YY">#REF!</definedName>
    <definedName name="Z" localSheetId="0">#REF!</definedName>
    <definedName name="Z">#REF!</definedName>
    <definedName name="ZZ" localSheetId="0">#REF!</definedName>
    <definedName name="ZZ">#REF!</definedName>
  </definedNames>
  <calcPr calcId="125725"/>
</workbook>
</file>

<file path=xl/calcChain.xml><?xml version="1.0" encoding="utf-8"?>
<calcChain xmlns="http://schemas.openxmlformats.org/spreadsheetml/2006/main">
  <c r="T26" i="1"/>
  <c r="T25"/>
  <c r="T24"/>
  <c r="T23"/>
  <c r="T22"/>
  <c r="T21"/>
  <c r="T20"/>
  <c r="T19"/>
  <c r="T18"/>
  <c r="T17"/>
  <c r="T16"/>
  <c r="T15"/>
  <c r="T14"/>
  <c r="T6"/>
  <c r="T7"/>
  <c r="T13" s="1"/>
  <c r="T8"/>
  <c r="T9"/>
  <c r="T10"/>
  <c r="T11"/>
  <c r="T12"/>
  <c r="T5"/>
  <c r="H24"/>
  <c r="H23"/>
  <c r="H22"/>
  <c r="H21"/>
  <c r="H20"/>
  <c r="H19"/>
  <c r="H18"/>
  <c r="H17"/>
  <c r="H16"/>
  <c r="H15"/>
  <c r="H14"/>
  <c r="H6"/>
  <c r="H7"/>
  <c r="H8"/>
  <c r="H9"/>
  <c r="O9" s="1"/>
  <c r="H10"/>
  <c r="H11"/>
  <c r="O11" s="1"/>
  <c r="H12"/>
  <c r="H5"/>
  <c r="G26"/>
  <c r="G25"/>
  <c r="G24"/>
  <c r="G23"/>
  <c r="G22"/>
  <c r="G21"/>
  <c r="G20"/>
  <c r="G19"/>
  <c r="G18"/>
  <c r="G17"/>
  <c r="G16"/>
  <c r="G15"/>
  <c r="G14"/>
  <c r="G12"/>
  <c r="G11"/>
  <c r="G10"/>
  <c r="G9"/>
  <c r="G8"/>
  <c r="G7"/>
  <c r="G6"/>
  <c r="G5"/>
  <c r="N26"/>
  <c r="M26" s="1"/>
  <c r="K26"/>
  <c r="L26" s="1"/>
  <c r="O26" s="1"/>
  <c r="I26"/>
  <c r="H26"/>
  <c r="K25"/>
  <c r="K24"/>
  <c r="N24" s="1"/>
  <c r="M24" s="1"/>
  <c r="F24"/>
  <c r="K23"/>
  <c r="N23" s="1"/>
  <c r="M23" s="1"/>
  <c r="F23"/>
  <c r="K22"/>
  <c r="N22" s="1"/>
  <c r="M22" s="1"/>
  <c r="F22"/>
  <c r="N21"/>
  <c r="L21"/>
  <c r="F21"/>
  <c r="N20"/>
  <c r="K20"/>
  <c r="L20" s="1"/>
  <c r="F20"/>
  <c r="N19"/>
  <c r="M19" s="1"/>
  <c r="K19"/>
  <c r="L19" s="1"/>
  <c r="F19"/>
  <c r="N18"/>
  <c r="M18" s="1"/>
  <c r="K18"/>
  <c r="L18" s="1"/>
  <c r="F18"/>
  <c r="N17"/>
  <c r="K17"/>
  <c r="L17" s="1"/>
  <c r="F17"/>
  <c r="N16"/>
  <c r="K16"/>
  <c r="L16" s="1"/>
  <c r="F16"/>
  <c r="N15"/>
  <c r="M15" s="1"/>
  <c r="K15"/>
  <c r="L15" s="1"/>
  <c r="F15"/>
  <c r="T27"/>
  <c r="N14"/>
  <c r="M14" s="1"/>
  <c r="K14"/>
  <c r="K27" s="1"/>
  <c r="F14"/>
  <c r="N12"/>
  <c r="M12"/>
  <c r="L12"/>
  <c r="F12"/>
  <c r="N11"/>
  <c r="M11" s="1"/>
  <c r="L11"/>
  <c r="F11"/>
  <c r="N10"/>
  <c r="M10"/>
  <c r="L10"/>
  <c r="F10"/>
  <c r="N9"/>
  <c r="M9" s="1"/>
  <c r="L9"/>
  <c r="F9"/>
  <c r="N8"/>
  <c r="M8"/>
  <c r="L8"/>
  <c r="F8"/>
  <c r="P7"/>
  <c r="Q7" s="1"/>
  <c r="N7"/>
  <c r="F7"/>
  <c r="N6"/>
  <c r="M6" s="1"/>
  <c r="L6"/>
  <c r="F6"/>
  <c r="N5"/>
  <c r="M5"/>
  <c r="F5"/>
  <c r="P4"/>
  <c r="M17" l="1"/>
  <c r="M21"/>
  <c r="M16"/>
  <c r="M20"/>
  <c r="M7"/>
  <c r="R7"/>
  <c r="T28"/>
  <c r="I7"/>
  <c r="O6"/>
  <c r="P6" s="1"/>
  <c r="Q6" s="1"/>
  <c r="R6" s="1"/>
  <c r="I6"/>
  <c r="I24"/>
  <c r="I14"/>
  <c r="H27"/>
  <c r="H13"/>
  <c r="I13" s="1"/>
  <c r="O5"/>
  <c r="I5"/>
  <c r="O8"/>
  <c r="I8"/>
  <c r="O10"/>
  <c r="I10"/>
  <c r="O12"/>
  <c r="I12"/>
  <c r="I23"/>
  <c r="P26"/>
  <c r="Q26" s="1"/>
  <c r="P9"/>
  <c r="Q9" s="1"/>
  <c r="R9" s="1"/>
  <c r="P11"/>
  <c r="Q11" s="1"/>
  <c r="R11" s="1"/>
  <c r="I15"/>
  <c r="O15"/>
  <c r="I16"/>
  <c r="O16"/>
  <c r="I17"/>
  <c r="O17"/>
  <c r="I18"/>
  <c r="O18"/>
  <c r="I19"/>
  <c r="O19"/>
  <c r="I20"/>
  <c r="O20"/>
  <c r="O21"/>
  <c r="I21"/>
  <c r="I22"/>
  <c r="L14"/>
  <c r="I9"/>
  <c r="I11"/>
  <c r="L22"/>
  <c r="O22" s="1"/>
  <c r="L23"/>
  <c r="O23" s="1"/>
  <c r="L24"/>
  <c r="O24" s="1"/>
  <c r="N27"/>
  <c r="N28" s="1"/>
  <c r="K28"/>
  <c r="M28" l="1"/>
  <c r="P22"/>
  <c r="Q22" s="1"/>
  <c r="R22" s="1"/>
  <c r="P23"/>
  <c r="Q23"/>
  <c r="R23" s="1"/>
  <c r="P24"/>
  <c r="Q24" s="1"/>
  <c r="R24" s="1"/>
  <c r="P17"/>
  <c r="Q17" s="1"/>
  <c r="R17" s="1"/>
  <c r="P20"/>
  <c r="Q20" s="1"/>
  <c r="R20" s="1"/>
  <c r="P18"/>
  <c r="Q18" s="1"/>
  <c r="R18" s="1"/>
  <c r="P16"/>
  <c r="Q16" s="1"/>
  <c r="R16" s="1"/>
  <c r="P12"/>
  <c r="Q12" s="1"/>
  <c r="R12" s="1"/>
  <c r="P8"/>
  <c r="Q8" s="1"/>
  <c r="R8" s="1"/>
  <c r="L27"/>
  <c r="L28" s="1"/>
  <c r="O14"/>
  <c r="P19"/>
  <c r="Q19" s="1"/>
  <c r="R19" s="1"/>
  <c r="P15"/>
  <c r="Q15" s="1"/>
  <c r="R15" s="1"/>
  <c r="P10"/>
  <c r="Q10" s="1"/>
  <c r="R10" s="1"/>
  <c r="P5"/>
  <c r="Q5" s="1"/>
  <c r="O13"/>
  <c r="H28"/>
  <c r="I28" s="1"/>
  <c r="I27"/>
  <c r="P21"/>
  <c r="Q21" s="1"/>
  <c r="R21" s="1"/>
  <c r="O27" l="1"/>
  <c r="O28" s="1"/>
  <c r="P14"/>
  <c r="P27" s="1"/>
  <c r="Q13"/>
  <c r="R5"/>
  <c r="R13" s="1"/>
  <c r="P13"/>
  <c r="Q14" l="1"/>
  <c r="P28"/>
  <c r="Q27" l="1"/>
  <c r="Q28" s="1"/>
  <c r="R14"/>
  <c r="R27" s="1"/>
  <c r="R28" s="1"/>
  <c r="U28" s="1"/>
</calcChain>
</file>

<file path=xl/sharedStrings.xml><?xml version="1.0" encoding="utf-8"?>
<sst xmlns="http://schemas.openxmlformats.org/spreadsheetml/2006/main" count="91" uniqueCount="77">
  <si>
    <t>관리번호</t>
    <phoneticPr fontId="7" type="noConversion"/>
  </si>
  <si>
    <t>수량</t>
    <phoneticPr fontId="7" type="noConversion"/>
  </si>
  <si>
    <t>PROJECT</t>
    <phoneticPr fontId="7" type="noConversion"/>
  </si>
  <si>
    <t>수주처</t>
    <phoneticPr fontId="7" type="noConversion"/>
  </si>
  <si>
    <t>현대로템</t>
    <phoneticPr fontId="4" type="noConversion"/>
  </si>
  <si>
    <t>작성일자</t>
    <phoneticPr fontId="7" type="noConversion"/>
  </si>
  <si>
    <t>2014.06.30</t>
    <phoneticPr fontId="4" type="noConversion"/>
  </si>
  <si>
    <t>NO</t>
    <phoneticPr fontId="7" type="noConversion"/>
  </si>
  <si>
    <t>제 품 명</t>
    <phoneticPr fontId="7" type="noConversion"/>
  </si>
  <si>
    <t>수량</t>
    <phoneticPr fontId="4" type="noConversion"/>
  </si>
  <si>
    <t>재료비①</t>
    <phoneticPr fontId="7" type="noConversion"/>
  </si>
  <si>
    <t>노무비②</t>
    <phoneticPr fontId="7" type="noConversion"/>
  </si>
  <si>
    <t>제조경비③</t>
    <phoneticPr fontId="7" type="noConversion"/>
  </si>
  <si>
    <t>제조원가④
(①+②+③)</t>
    <phoneticPr fontId="7" type="noConversion"/>
  </si>
  <si>
    <t>판매관리비⑤</t>
    <phoneticPr fontId="7" type="noConversion"/>
  </si>
  <si>
    <t>총원가⑥</t>
    <phoneticPr fontId="7" type="noConversion"/>
  </si>
  <si>
    <t>이익⑦</t>
    <phoneticPr fontId="7" type="noConversion"/>
  </si>
  <si>
    <t>수주가⑧</t>
    <phoneticPr fontId="7" type="noConversion"/>
  </si>
  <si>
    <t>비    고</t>
    <phoneticPr fontId="7" type="noConversion"/>
  </si>
  <si>
    <t>제품코드</t>
    <phoneticPr fontId="7" type="noConversion"/>
  </si>
  <si>
    <t>재료비</t>
    <phoneticPr fontId="7" type="noConversion"/>
  </si>
  <si>
    <t>비율</t>
    <phoneticPr fontId="7" type="noConversion"/>
  </si>
  <si>
    <t>공수Hr</t>
    <phoneticPr fontId="7" type="noConversion"/>
  </si>
  <si>
    <t>노무비</t>
    <phoneticPr fontId="7" type="noConversion"/>
  </si>
  <si>
    <t>제조경비</t>
    <phoneticPr fontId="7" type="noConversion"/>
  </si>
  <si>
    <t>(④+⑤)</t>
    <phoneticPr fontId="7" type="noConversion"/>
  </si>
  <si>
    <t>(⑧-⑥)</t>
    <phoneticPr fontId="7" type="noConversion"/>
  </si>
  <si>
    <t>(FDI)LED Front Destination SIGN</t>
  </si>
  <si>
    <t>(SDI)LED SIDE DESTINATION SIGN</t>
  </si>
  <si>
    <t>(PID1)LCD DISPLAY-1</t>
  </si>
  <si>
    <t xml:space="preserve"> </t>
    <phoneticPr fontId="4" type="noConversion"/>
  </si>
  <si>
    <t>(PID2)LCD PASSENGER INFORMATION DISPLAY2</t>
  </si>
  <si>
    <t>(PII)LED PASSENGER INFORMATION INDICATOR</t>
  </si>
  <si>
    <t>(ISP)INTERIOR SPEAKER</t>
  </si>
  <si>
    <t>(ESP)EXTERIOR SPEAKER</t>
  </si>
  <si>
    <t>(TRF)TRANSFORMER</t>
  </si>
  <si>
    <t>소계</t>
    <phoneticPr fontId="4" type="noConversion"/>
  </si>
  <si>
    <t>(CRA)COMMUNICATIONS RACK-A</t>
  </si>
  <si>
    <t>(CCP)COMMUNICATION CONTROL PANEL</t>
  </si>
  <si>
    <t>(CSP)Cab Speaker Ass'y</t>
  </si>
  <si>
    <t>DRIVER MICROPHONE ASSEMBLY</t>
  </si>
  <si>
    <t>(ANSM)ANS MICROPHONE ASS'Y</t>
  </si>
  <si>
    <t>(DPO)DRIVER PA OPERATION BOX</t>
  </si>
  <si>
    <t>(PEI)PASSENGER EMERGENCY INTERCOM</t>
  </si>
  <si>
    <t>(DPH)DRIVER PA HANDSET</t>
    <phoneticPr fontId="4" type="noConversion"/>
  </si>
  <si>
    <t>(JCR)JUMPER COUPLER PLUG &amp; RECEPTACLE</t>
  </si>
  <si>
    <t>넥서스 ASS'Y</t>
    <phoneticPr fontId="4" type="noConversion"/>
  </si>
  <si>
    <t>RG-11/U COAXIL CABLE</t>
    <phoneticPr fontId="4" type="noConversion"/>
  </si>
  <si>
    <t>BNC CONECTOR</t>
    <phoneticPr fontId="4" type="noConversion"/>
  </si>
  <si>
    <t>제품에 포함</t>
    <phoneticPr fontId="4" type="noConversion"/>
  </si>
  <si>
    <t>BAYONET CONNECTOR</t>
    <phoneticPr fontId="4" type="noConversion"/>
  </si>
  <si>
    <t xml:space="preserve"> TOTAL</t>
    <phoneticPr fontId="7" type="noConversion"/>
  </si>
  <si>
    <t>◆특이사항◆</t>
    <phoneticPr fontId="7" type="noConversion"/>
  </si>
  <si>
    <t>적용 기준가</t>
    <phoneticPr fontId="7" type="noConversion"/>
  </si>
  <si>
    <t>첨  부</t>
    <phoneticPr fontId="7" type="noConversion"/>
  </si>
  <si>
    <t>1. 설변 적용 및 실소요량 산출하여 적용</t>
    <phoneticPr fontId="4" type="noConversion"/>
  </si>
  <si>
    <t>1.임률(\/Hr)</t>
    <phoneticPr fontId="7" type="noConversion"/>
  </si>
  <si>
    <t>2. BNC CONNECTOR, BAYONET CONNECTOR는 GLENAIR CONNECTOR로서 제품단가에 포함하여 적용</t>
    <phoneticPr fontId="4" type="noConversion"/>
  </si>
  <si>
    <t>2.적용판관비</t>
    <phoneticPr fontId="7" type="noConversion"/>
  </si>
  <si>
    <t>배포처</t>
    <phoneticPr fontId="7" type="noConversion"/>
  </si>
  <si>
    <t>P.R.B팀 확인</t>
    <phoneticPr fontId="7" type="noConversion"/>
  </si>
  <si>
    <t>3.적용 이익</t>
    <phoneticPr fontId="7" type="noConversion"/>
  </si>
  <si>
    <t>4.제조임률</t>
    <phoneticPr fontId="7" type="noConversion"/>
  </si>
  <si>
    <t>P.R.F팀</t>
    <phoneticPr fontId="7" type="noConversion"/>
  </si>
  <si>
    <t>㈜우진산전</t>
    <phoneticPr fontId="7" type="noConversion"/>
  </si>
  <si>
    <t>REV.00,A4</t>
    <phoneticPr fontId="7" type="noConversion"/>
  </si>
  <si>
    <t>프로젝트명</t>
    <phoneticPr fontId="13" type="noConversion"/>
  </si>
  <si>
    <t>기타 기타 기타</t>
    <phoneticPr fontId="13" type="noConversion"/>
  </si>
  <si>
    <t>수주번호</t>
    <phoneticPr fontId="13" type="noConversion"/>
  </si>
  <si>
    <t>R2009-032</t>
    <phoneticPr fontId="13" type="noConversion"/>
  </si>
  <si>
    <t>BOM 번호</t>
    <phoneticPr fontId="13" type="noConversion"/>
  </si>
  <si>
    <t>10004177-01</t>
    <phoneticPr fontId="13" type="noConversion"/>
  </si>
  <si>
    <t>품명</t>
    <phoneticPr fontId="7" type="noConversion"/>
  </si>
  <si>
    <t>INV-BOX 조립도(1/2)</t>
    <phoneticPr fontId="7" type="noConversion"/>
  </si>
  <si>
    <t>1량 수량</t>
    <phoneticPr fontId="4" type="noConversion"/>
  </si>
  <si>
    <t>B/A 품목(미국제작 재료비적용)</t>
    <phoneticPr fontId="4" type="noConversion"/>
  </si>
  <si>
    <t>DENVER 방송표시장치 1량 원가</t>
    <phoneticPr fontId="4" type="noConversion"/>
  </si>
</sst>
</file>

<file path=xl/styles.xml><?xml version="1.0" encoding="utf-8"?>
<styleSheet xmlns="http://schemas.openxmlformats.org/spreadsheetml/2006/main">
  <numFmts count="20">
    <numFmt numFmtId="42" formatCode="_-&quot;₩&quot;* #,##0_-;\-&quot;₩&quot;* #,##0_-;_-&quot;₩&quot;* &quot;-&quot;_-;_-@_-"/>
    <numFmt numFmtId="41" formatCode="_-* #,##0_-;\-* #,##0_-;_-* &quot;-&quot;_-;_-@_-"/>
    <numFmt numFmtId="176" formatCode="&quot;(④*&quot;#,###%&quot;)&quot;"/>
    <numFmt numFmtId="177" formatCode="&quot;(⑥*&quot;#,###%&quot;)&quot;"/>
    <numFmt numFmtId="178" formatCode="0.0%"/>
    <numFmt numFmtId="179" formatCode="#,##0.0"/>
    <numFmt numFmtId="180" formatCode="#,##0_ "/>
    <numFmt numFmtId="181" formatCode="_-* #,##0.00_-;\-* #,##0.00_-;_-* &quot;-&quot;_-;_-@_-"/>
    <numFmt numFmtId="182" formatCode="General&quot; SET&quot;"/>
    <numFmt numFmtId="183" formatCode="&quot;₩&quot;#,##0;&quot;₩&quot;&quot;₩&quot;&quot;₩&quot;&quot;₩&quot;\-#,##0"/>
    <numFmt numFmtId="184" formatCode="#,##0;[Red]&quot;-&quot;#,##0"/>
    <numFmt numFmtId="185" formatCode="&quot;₩&quot;#,##0;[Red]&quot;₩&quot;&quot;₩&quot;&quot;₩&quot;&quot;₩&quot;\-#,##0"/>
    <numFmt numFmtId="186" formatCode="&quot;₩&quot;#,##0;[Red]&quot;₩&quot;\-#,##0"/>
    <numFmt numFmtId="187" formatCode="_-* #,##0.00_-;&quot;₩&quot;&quot;₩&quot;\-* #,##0.00_-;_-* &quot;-&quot;??_-;_-@_-"/>
    <numFmt numFmtId="188" formatCode="_-&quot;₩&quot;* #,##0.00_-;&quot;₩&quot;&quot;₩&quot;\-&quot;₩&quot;* #,##0.00_-;_-&quot;₩&quot;* &quot;-&quot;??_-;_-@_-"/>
    <numFmt numFmtId="189" formatCode="&quot;₩&quot;#,##0.00;&quot;₩&quot;&quot;₩&quot;&quot;₩&quot;&quot;₩&quot;\-#,##0.00"/>
    <numFmt numFmtId="190" formatCode="_ * #,##0.00_ ;_ * \-#,##0.00_ ;_ * &quot;-&quot;??_ ;_ @_ "/>
    <numFmt numFmtId="191" formatCode="0.0_ "/>
    <numFmt numFmtId="192" formatCode="_-[$€-2]* #,##0.00_-;\-[$€-2]* #,##0.00_-;_-[$€-2]* &quot;-&quot;??_-"/>
    <numFmt numFmtId="193" formatCode="0%\ \ "/>
  </numFmts>
  <fonts count="4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8"/>
      <name val="MS Sans Serif"/>
      <family val="2"/>
    </font>
    <font>
      <b/>
      <u val="double"/>
      <sz val="18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b/>
      <sz val="15.95"/>
      <color indexed="8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돋움"/>
      <family val="3"/>
      <charset val="129"/>
    </font>
    <font>
      <sz val="10"/>
      <name val="바탕체"/>
      <family val="1"/>
      <charset val="129"/>
    </font>
    <font>
      <sz val="8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Arial"/>
      <family val="2"/>
    </font>
    <font>
      <sz val="11"/>
      <name val="μ¸¿o"/>
      <family val="3"/>
      <charset val="129"/>
    </font>
    <font>
      <u/>
      <sz val="7.5"/>
      <color indexed="36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1"/>
      <charset val="129"/>
    </font>
    <font>
      <sz val="10"/>
      <name val="돋움"/>
      <family val="3"/>
      <charset val="129"/>
    </font>
    <font>
      <sz val="9"/>
      <color theme="1"/>
      <name val="굴림체"/>
      <family val="3"/>
      <charset val="129"/>
    </font>
    <font>
      <sz val="10"/>
      <color theme="1"/>
      <name val="돋움"/>
      <family val="3"/>
      <charset val="129"/>
    </font>
    <font>
      <sz val="12"/>
      <name val="뼻뮝"/>
      <family val="3"/>
      <charset val="128"/>
    </font>
    <font>
      <b/>
      <sz val="12"/>
      <color indexed="16"/>
      <name val="굴림체"/>
      <family val="3"/>
      <charset val="129"/>
    </font>
    <font>
      <sz val="10"/>
      <color indexed="8"/>
      <name val="Arial"/>
      <family val="2"/>
    </font>
    <font>
      <sz val="10"/>
      <color theme="1"/>
      <name val="굴림체"/>
      <family val="2"/>
      <charset val="129"/>
    </font>
    <font>
      <sz val="12"/>
      <name val="굴림체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2"/>
      <charset val="129"/>
    </font>
    <font>
      <sz val="11"/>
      <name val="굴림"/>
      <family val="3"/>
      <charset val="129"/>
    </font>
    <font>
      <u/>
      <sz val="11"/>
      <color indexed="12"/>
      <name val="돋움"/>
      <family val="3"/>
      <charset val="129"/>
    </font>
    <font>
      <sz val="12"/>
      <name val="±¼¸²A¼"/>
      <family val="3"/>
      <charset val="129"/>
    </font>
    <font>
      <sz val="8"/>
      <name val="¹UAAA¼"/>
      <family val="1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Courier"/>
      <family val="3"/>
    </font>
    <font>
      <sz val="11"/>
      <name val="Arial"/>
      <family val="2"/>
    </font>
    <font>
      <sz val="12"/>
      <name val="¹UAAA¼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16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8" fillId="0" borderId="0">
      <alignment vertical="center"/>
    </xf>
    <xf numFmtId="0" fontId="9" fillId="0" borderId="0" applyNumberFormat="0" applyFill="0" applyBorder="0" applyProtection="0">
      <alignment horizontal="center" vertical="center"/>
    </xf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12" fillId="0" borderId="0"/>
    <xf numFmtId="42" fontId="5" fillId="0" borderId="0" applyFont="0" applyFill="0" applyBorder="0" applyAlignment="0" applyProtection="0"/>
    <xf numFmtId="0" fontId="14" fillId="0" borderId="0"/>
    <xf numFmtId="38" fontId="15" fillId="0" borderId="0" applyFont="0" applyFill="0" applyBorder="0" applyAlignment="0" applyProtection="0"/>
    <xf numFmtId="0" fontId="16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7" fillId="0" borderId="0" applyFont="0" applyFill="0" applyBorder="0" applyAlignment="0" applyProtection="0"/>
    <xf numFmtId="183" fontId="14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4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5" fillId="0" borderId="0"/>
    <xf numFmtId="0" fontId="11" fillId="0" borderId="0" applyFont="0" applyFill="0" applyBorder="0" applyAlignment="0" applyProtection="0"/>
    <xf numFmtId="184" fontId="26" fillId="0" borderId="0">
      <alignment vertical="center"/>
    </xf>
    <xf numFmtId="41" fontId="5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7" fillId="0" borderId="0" applyFont="0" applyFill="0" applyBorder="0" applyAlignment="0" applyProtection="0"/>
    <xf numFmtId="0" fontId="14" fillId="0" borderId="0"/>
    <xf numFmtId="0" fontId="14" fillId="0" borderId="0"/>
    <xf numFmtId="4" fontId="20" fillId="0" borderId="0">
      <protection locked="0"/>
    </xf>
    <xf numFmtId="185" fontId="14" fillId="0" borderId="0">
      <protection locked="0"/>
    </xf>
    <xf numFmtId="0" fontId="14" fillId="0" borderId="0"/>
    <xf numFmtId="0" fontId="14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4" fillId="0" borderId="0" applyFont="0" applyFill="0" applyBorder="0" applyAlignment="0" applyProtection="0"/>
    <xf numFmtId="42" fontId="5" fillId="0" borderId="0" applyFont="0" applyFill="0" applyBorder="0" applyAlignment="0" applyProtection="0"/>
    <xf numFmtId="186" fontId="14" fillId="0" borderId="0" applyFont="0" applyFill="0" applyBorder="0" applyAlignment="0" applyProtection="0"/>
    <xf numFmtId="187" fontId="14" fillId="0" borderId="0">
      <protection locked="0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4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3" fillId="0" borderId="0">
      <alignment vertical="center"/>
    </xf>
    <xf numFmtId="0" fontId="11" fillId="0" borderId="0"/>
    <xf numFmtId="0" fontId="30" fillId="0" borderId="0">
      <alignment vertical="center"/>
    </xf>
    <xf numFmtId="0" fontId="5" fillId="0" borderId="0"/>
    <xf numFmtId="0" fontId="27" fillId="0" borderId="0"/>
    <xf numFmtId="0" fontId="24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23" fillId="0" borderId="0">
      <alignment vertical="center"/>
    </xf>
    <xf numFmtId="0" fontId="30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20" fillId="0" borderId="53">
      <protection locked="0"/>
    </xf>
    <xf numFmtId="188" fontId="14" fillId="0" borderId="0">
      <protection locked="0"/>
    </xf>
    <xf numFmtId="189" fontId="14" fillId="0" borderId="0">
      <protection locked="0"/>
    </xf>
    <xf numFmtId="0" fontId="20" fillId="0" borderId="0"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/>
    <xf numFmtId="0" fontId="37" fillId="0" borderId="0"/>
    <xf numFmtId="0" fontId="38" fillId="0" borderId="0" applyNumberFormat="0" applyFill="0" applyBorder="0" applyAlignment="0" applyProtection="0">
      <alignment vertical="top"/>
      <protection locked="0"/>
    </xf>
    <xf numFmtId="4" fontId="20" fillId="0" borderId="0">
      <protection locked="0"/>
    </xf>
    <xf numFmtId="3" fontId="15" fillId="0" borderId="0" applyFont="0" applyFill="0" applyBorder="0" applyAlignment="0" applyProtection="0"/>
    <xf numFmtId="190" fontId="16" fillId="0" borderId="0" applyFont="0" applyFill="0" applyBorder="0" applyAlignment="0" applyProtection="0"/>
    <xf numFmtId="0" fontId="20" fillId="0" borderId="0">
      <protection locked="0"/>
    </xf>
    <xf numFmtId="0" fontId="15" fillId="0" borderId="0" applyFont="0" applyFill="0" applyBorder="0" applyAlignment="0" applyProtection="0"/>
    <xf numFmtId="191" fontId="11" fillId="0" borderId="0" applyFont="0" applyFill="0" applyBorder="0" applyAlignment="0" applyProtection="0"/>
    <xf numFmtId="0" fontId="11" fillId="0" borderId="0"/>
    <xf numFmtId="192" fontId="11" fillId="0" borderId="0" applyFont="0" applyFill="0" applyBorder="0" applyAlignment="0" applyProtection="0"/>
    <xf numFmtId="38" fontId="39" fillId="2" borderId="0" applyNumberFormat="0" applyBorder="0" applyAlignment="0" applyProtection="0"/>
    <xf numFmtId="0" fontId="40" fillId="0" borderId="0">
      <alignment horizontal="left"/>
    </xf>
    <xf numFmtId="0" fontId="41" fillId="0" borderId="28" applyNumberFormat="0" applyAlignment="0" applyProtection="0">
      <alignment horizontal="left" vertical="center"/>
    </xf>
    <xf numFmtId="0" fontId="41" fillId="0" borderId="14">
      <alignment horizontal="left" vertical="center"/>
    </xf>
    <xf numFmtId="0" fontId="41" fillId="0" borderId="14">
      <alignment horizontal="left" vertical="center"/>
    </xf>
    <xf numFmtId="0" fontId="41" fillId="0" borderId="14">
      <alignment horizontal="left" vertical="center"/>
    </xf>
    <xf numFmtId="0" fontId="41" fillId="0" borderId="14">
      <alignment horizontal="left" vertical="center"/>
    </xf>
    <xf numFmtId="0" fontId="14" fillId="0" borderId="0" applyFont="0" applyFill="0" applyBorder="0" applyAlignment="0" applyProtection="0"/>
    <xf numFmtId="10" fontId="39" fillId="2" borderId="15" applyNumberFormat="0" applyBorder="0" applyAlignment="0" applyProtection="0"/>
    <xf numFmtId="10" fontId="39" fillId="2" borderId="15" applyNumberFormat="0" applyBorder="0" applyAlignment="0" applyProtection="0"/>
    <xf numFmtId="10" fontId="39" fillId="2" borderId="15" applyNumberFormat="0" applyBorder="0" applyAlignment="0" applyProtection="0"/>
    <xf numFmtId="10" fontId="39" fillId="2" borderId="15" applyNumberFormat="0" applyBorder="0" applyAlignment="0" applyProtection="0"/>
    <xf numFmtId="0" fontId="14" fillId="0" borderId="0" applyFont="0" applyFill="0" applyBorder="0" applyAlignment="0" applyProtection="0"/>
    <xf numFmtId="0" fontId="42" fillId="0" borderId="1"/>
    <xf numFmtId="0" fontId="43" fillId="0" borderId="0"/>
    <xf numFmtId="193" fontId="44" fillId="0" borderId="0"/>
    <xf numFmtId="0" fontId="16" fillId="0" borderId="0"/>
    <xf numFmtId="10" fontId="1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6" fillId="0" borderId="0">
      <alignment vertical="top" wrapText="1"/>
    </xf>
    <xf numFmtId="0" fontId="42" fillId="0" borderId="0"/>
    <xf numFmtId="0" fontId="45" fillId="0" borderId="0" applyFont="0" applyFill="0" applyBorder="0" applyAlignment="0" applyProtection="0"/>
  </cellStyleXfs>
  <cellXfs count="178">
    <xf numFmtId="0" fontId="0" fillId="0" borderId="0" xfId="0">
      <alignment vertical="center"/>
    </xf>
    <xf numFmtId="0" fontId="3" fillId="2" borderId="1" xfId="2" applyFont="1" applyFill="1" applyBorder="1" applyAlignment="1">
      <alignment vertical="center"/>
    </xf>
    <xf numFmtId="0" fontId="3" fillId="3" borderId="1" xfId="2" applyFont="1" applyFill="1" applyBorder="1" applyAlignment="1">
      <alignment vertical="center"/>
    </xf>
    <xf numFmtId="0" fontId="5" fillId="0" borderId="0" xfId="2" applyFont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6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horizontal="center" vertical="center"/>
    </xf>
    <xf numFmtId="31" fontId="6" fillId="0" borderId="7" xfId="2" applyNumberFormat="1" applyFont="1" applyFill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6" fillId="0" borderId="9" xfId="2" applyFont="1" applyFill="1" applyBorder="1" applyAlignment="1">
      <alignment horizontal="center" vertical="center"/>
    </xf>
    <xf numFmtId="0" fontId="6" fillId="0" borderId="10" xfId="2" applyFont="1" applyFill="1" applyBorder="1" applyAlignment="1">
      <alignment horizontal="center" vertical="center"/>
    </xf>
    <xf numFmtId="0" fontId="6" fillId="0" borderId="11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horizontal="center" vertical="center"/>
    </xf>
    <xf numFmtId="0" fontId="6" fillId="0" borderId="13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/>
    </xf>
    <xf numFmtId="0" fontId="6" fillId="0" borderId="10" xfId="2" applyFont="1" applyFill="1" applyBorder="1" applyAlignment="1">
      <alignment horizontal="center" vertical="center" wrapText="1"/>
    </xf>
    <xf numFmtId="0" fontId="6" fillId="0" borderId="11" xfId="2" applyFont="1" applyFill="1" applyBorder="1" applyAlignment="1">
      <alignment horizontal="center" vertical="center" wrapText="1"/>
    </xf>
    <xf numFmtId="0" fontId="6" fillId="3" borderId="14" xfId="2" applyFont="1" applyFill="1" applyBorder="1" applyAlignment="1">
      <alignment horizontal="center" vertical="center" wrapText="1"/>
    </xf>
    <xf numFmtId="0" fontId="6" fillId="0" borderId="15" xfId="2" applyFont="1" applyFill="1" applyBorder="1" applyAlignment="1">
      <alignment horizontal="center" vertical="center" wrapText="1"/>
    </xf>
    <xf numFmtId="0" fontId="6" fillId="0" borderId="16" xfId="2" applyNumberFormat="1" applyFont="1" applyFill="1" applyBorder="1" applyAlignment="1">
      <alignment horizontal="center" vertical="center" wrapText="1"/>
    </xf>
    <xf numFmtId="0" fontId="6" fillId="0" borderId="16" xfId="2" applyFont="1" applyFill="1" applyBorder="1" applyAlignment="1">
      <alignment horizontal="center" vertical="center" wrapText="1"/>
    </xf>
    <xf numFmtId="0" fontId="6" fillId="0" borderId="16" xfId="2" applyFont="1" applyFill="1" applyBorder="1" applyAlignment="1">
      <alignment horizontal="center" vertical="center" wrapText="1"/>
    </xf>
    <xf numFmtId="0" fontId="6" fillId="0" borderId="17" xfId="2" applyFont="1" applyFill="1" applyBorder="1" applyAlignment="1">
      <alignment horizontal="center" vertical="center" wrapText="1"/>
    </xf>
    <xf numFmtId="0" fontId="6" fillId="0" borderId="18" xfId="2" applyFont="1" applyFill="1" applyBorder="1" applyAlignment="1">
      <alignment horizontal="center" vertical="center"/>
    </xf>
    <xf numFmtId="0" fontId="6" fillId="0" borderId="19" xfId="2" applyFont="1" applyFill="1" applyBorder="1" applyAlignment="1">
      <alignment horizontal="center" vertical="center"/>
    </xf>
    <xf numFmtId="0" fontId="6" fillId="3" borderId="20" xfId="2" applyFont="1" applyFill="1" applyBorder="1" applyAlignment="1">
      <alignment horizontal="center" vertical="center"/>
    </xf>
    <xf numFmtId="0" fontId="6" fillId="0" borderId="20" xfId="2" applyFont="1" applyFill="1" applyBorder="1" applyAlignment="1">
      <alignment horizontal="center" vertical="center"/>
    </xf>
    <xf numFmtId="0" fontId="6" fillId="3" borderId="20" xfId="2" applyFont="1" applyFill="1" applyBorder="1" applyAlignment="1">
      <alignment horizontal="center" vertical="center"/>
    </xf>
    <xf numFmtId="0" fontId="6" fillId="0" borderId="19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6" fillId="0" borderId="19" xfId="2" applyFont="1" applyFill="1" applyBorder="1" applyAlignment="1">
      <alignment horizontal="center" vertical="center"/>
    </xf>
    <xf numFmtId="176" fontId="6" fillId="0" borderId="20" xfId="2" applyNumberFormat="1" applyFont="1" applyFill="1" applyBorder="1" applyAlignment="1">
      <alignment horizontal="center" vertical="center" wrapText="1"/>
    </xf>
    <xf numFmtId="177" fontId="6" fillId="0" borderId="20" xfId="2" applyNumberFormat="1" applyFont="1" applyFill="1" applyBorder="1" applyAlignment="1">
      <alignment horizontal="center" vertical="center" wrapText="1"/>
    </xf>
    <xf numFmtId="0" fontId="6" fillId="0" borderId="20" xfId="2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horizontal="center" vertical="center"/>
    </xf>
    <xf numFmtId="0" fontId="6" fillId="0" borderId="22" xfId="2" applyFont="1" applyFill="1" applyBorder="1" applyAlignment="1">
      <alignment horizontal="center" vertical="center"/>
    </xf>
    <xf numFmtId="0" fontId="6" fillId="0" borderId="11" xfId="2" applyFont="1" applyFill="1" applyBorder="1" applyAlignment="1">
      <alignment horizontal="center" vertical="center"/>
    </xf>
    <xf numFmtId="0" fontId="6" fillId="0" borderId="0" xfId="3" applyFont="1" applyFill="1" applyAlignment="1">
      <alignment vertical="center"/>
    </xf>
    <xf numFmtId="0" fontId="6" fillId="0" borderId="23" xfId="2" applyFont="1" applyFill="1" applyBorder="1" applyAlignment="1">
      <alignment horizontal="center" vertical="center"/>
    </xf>
    <xf numFmtId="3" fontId="6" fillId="0" borderId="23" xfId="4" applyNumberFormat="1" applyFont="1" applyFill="1" applyBorder="1" applyAlignment="1">
      <alignment horizontal="right" vertical="center"/>
    </xf>
    <xf numFmtId="178" fontId="6" fillId="0" borderId="15" xfId="5" applyNumberFormat="1" applyFont="1" applyFill="1" applyBorder="1" applyAlignment="1">
      <alignment horizontal="right" vertical="center"/>
    </xf>
    <xf numFmtId="179" fontId="6" fillId="0" borderId="23" xfId="4" applyNumberFormat="1" applyFont="1" applyFill="1" applyBorder="1" applyAlignment="1">
      <alignment horizontal="right" vertical="center" shrinkToFit="1"/>
    </xf>
    <xf numFmtId="3" fontId="6" fillId="0" borderId="15" xfId="4" applyNumberFormat="1" applyFont="1" applyFill="1" applyBorder="1" applyAlignment="1">
      <alignment horizontal="right" vertical="center"/>
    </xf>
    <xf numFmtId="178" fontId="6" fillId="0" borderId="23" xfId="5" applyNumberFormat="1" applyFont="1" applyFill="1" applyBorder="1" applyAlignment="1">
      <alignment horizontal="right" vertical="center"/>
    </xf>
    <xf numFmtId="3" fontId="6" fillId="0" borderId="15" xfId="6" applyNumberFormat="1" applyFont="1" applyFill="1" applyBorder="1" applyAlignment="1">
      <alignment horizontal="right" vertical="center"/>
    </xf>
    <xf numFmtId="3" fontId="6" fillId="0" borderId="23" xfId="2" applyNumberFormat="1" applyFont="1" applyFill="1" applyBorder="1" applyAlignment="1">
      <alignment horizontal="right" vertical="center"/>
    </xf>
    <xf numFmtId="180" fontId="6" fillId="0" borderId="24" xfId="2" applyNumberFormat="1" applyFont="1" applyFill="1" applyBorder="1" applyAlignment="1">
      <alignment horizontal="left" vertical="center" wrapText="1"/>
    </xf>
    <xf numFmtId="0" fontId="6" fillId="0" borderId="9" xfId="2" applyFont="1" applyFill="1" applyBorder="1" applyAlignment="1">
      <alignment horizontal="center" vertical="center"/>
    </xf>
    <xf numFmtId="0" fontId="6" fillId="0" borderId="15" xfId="2" applyFont="1" applyFill="1" applyBorder="1" applyAlignment="1">
      <alignment horizontal="left" vertical="center"/>
    </xf>
    <xf numFmtId="0" fontId="6" fillId="0" borderId="15" xfId="2" applyFont="1" applyFill="1" applyBorder="1" applyAlignment="1">
      <alignment horizontal="center" vertical="center"/>
    </xf>
    <xf numFmtId="179" fontId="6" fillId="0" borderId="15" xfId="4" applyNumberFormat="1" applyFont="1" applyFill="1" applyBorder="1" applyAlignment="1">
      <alignment horizontal="right" vertical="center" shrinkToFit="1"/>
    </xf>
    <xf numFmtId="3" fontId="6" fillId="0" borderId="15" xfId="2" applyNumberFormat="1" applyFont="1" applyFill="1" applyBorder="1" applyAlignment="1">
      <alignment horizontal="right" vertical="center"/>
    </xf>
    <xf numFmtId="0" fontId="6" fillId="0" borderId="11" xfId="2" applyFont="1" applyFill="1" applyBorder="1" applyAlignment="1">
      <alignment vertical="center"/>
    </xf>
    <xf numFmtId="0" fontId="8" fillId="0" borderId="0" xfId="3" applyFont="1" applyFill="1" applyAlignment="1">
      <alignment vertical="center"/>
    </xf>
    <xf numFmtId="0" fontId="6" fillId="0" borderId="25" xfId="2" applyFont="1" applyFill="1" applyBorder="1" applyAlignment="1">
      <alignment horizontal="center" vertical="center"/>
    </xf>
    <xf numFmtId="0" fontId="6" fillId="0" borderId="26" xfId="2" applyFont="1" applyFill="1" applyBorder="1" applyAlignment="1">
      <alignment vertical="center"/>
    </xf>
    <xf numFmtId="0" fontId="6" fillId="0" borderId="16" xfId="2" applyFont="1" applyFill="1" applyBorder="1" applyAlignment="1">
      <alignment horizontal="left" vertical="center"/>
    </xf>
    <xf numFmtId="0" fontId="6" fillId="0" borderId="16" xfId="2" applyFont="1" applyFill="1" applyBorder="1" applyAlignment="1">
      <alignment horizontal="center" vertical="center"/>
    </xf>
    <xf numFmtId="3" fontId="6" fillId="0" borderId="16" xfId="4" applyNumberFormat="1" applyFont="1" applyFill="1" applyBorder="1" applyAlignment="1">
      <alignment horizontal="right" vertical="center"/>
    </xf>
    <xf numFmtId="3" fontId="6" fillId="0" borderId="12" xfId="4" applyNumberFormat="1" applyFont="1" applyFill="1" applyBorder="1" applyAlignment="1">
      <alignment horizontal="right" vertical="center"/>
    </xf>
    <xf numFmtId="178" fontId="6" fillId="0" borderId="16" xfId="5" applyNumberFormat="1" applyFont="1" applyFill="1" applyBorder="1" applyAlignment="1">
      <alignment horizontal="right" vertical="center"/>
    </xf>
    <xf numFmtId="179" fontId="6" fillId="0" borderId="16" xfId="4" applyNumberFormat="1" applyFont="1" applyFill="1" applyBorder="1" applyAlignment="1">
      <alignment horizontal="right" vertical="center" shrinkToFit="1"/>
    </xf>
    <xf numFmtId="179" fontId="6" fillId="0" borderId="12" xfId="4" applyNumberFormat="1" applyFont="1" applyFill="1" applyBorder="1" applyAlignment="1">
      <alignment horizontal="right" vertical="center" shrinkToFit="1"/>
    </xf>
    <xf numFmtId="178" fontId="6" fillId="0" borderId="12" xfId="5" applyNumberFormat="1" applyFont="1" applyFill="1" applyBorder="1" applyAlignment="1">
      <alignment horizontal="right" vertical="center"/>
    </xf>
    <xf numFmtId="3" fontId="6" fillId="0" borderId="16" xfId="6" applyNumberFormat="1" applyFont="1" applyFill="1" applyBorder="1" applyAlignment="1">
      <alignment horizontal="right" vertical="center"/>
    </xf>
    <xf numFmtId="3" fontId="6" fillId="0" borderId="16" xfId="2" applyNumberFormat="1" applyFont="1" applyFill="1" applyBorder="1" applyAlignment="1">
      <alignment horizontal="right" vertical="center"/>
    </xf>
    <xf numFmtId="0" fontId="10" fillId="4" borderId="27" xfId="2" applyFont="1" applyFill="1" applyBorder="1" applyAlignment="1">
      <alignment horizontal="center" vertical="center"/>
    </xf>
    <xf numFmtId="0" fontId="10" fillId="4" borderId="28" xfId="2" applyFont="1" applyFill="1" applyBorder="1" applyAlignment="1">
      <alignment horizontal="center" vertical="center"/>
    </xf>
    <xf numFmtId="0" fontId="10" fillId="4" borderId="29" xfId="2" applyFont="1" applyFill="1" applyBorder="1" applyAlignment="1">
      <alignment horizontal="center" vertical="center"/>
    </xf>
    <xf numFmtId="0" fontId="10" fillId="4" borderId="30" xfId="2" applyFont="1" applyFill="1" applyBorder="1" applyAlignment="1">
      <alignment horizontal="center" vertical="center"/>
    </xf>
    <xf numFmtId="3" fontId="10" fillId="4" borderId="30" xfId="4" applyNumberFormat="1" applyFont="1" applyFill="1" applyBorder="1" applyAlignment="1">
      <alignment horizontal="right" vertical="center"/>
    </xf>
    <xf numFmtId="178" fontId="10" fillId="4" borderId="30" xfId="5" applyNumberFormat="1" applyFont="1" applyFill="1" applyBorder="1" applyAlignment="1">
      <alignment horizontal="right" vertical="center"/>
    </xf>
    <xf numFmtId="179" fontId="10" fillId="4" borderId="30" xfId="4" applyNumberFormat="1" applyFont="1" applyFill="1" applyBorder="1" applyAlignment="1">
      <alignment horizontal="right" vertical="center" shrinkToFit="1"/>
    </xf>
    <xf numFmtId="3" fontId="10" fillId="4" borderId="30" xfId="6" applyNumberFormat="1" applyFont="1" applyFill="1" applyBorder="1" applyAlignment="1">
      <alignment horizontal="right" vertical="center"/>
    </xf>
    <xf numFmtId="3" fontId="10" fillId="4" borderId="30" xfId="2" applyNumberFormat="1" applyFont="1" applyFill="1" applyBorder="1" applyAlignment="1">
      <alignment horizontal="right" vertical="center"/>
    </xf>
    <xf numFmtId="180" fontId="10" fillId="4" borderId="31" xfId="2" applyNumberFormat="1" applyFont="1" applyFill="1" applyBorder="1" applyAlignment="1">
      <alignment horizontal="left" vertical="center" wrapText="1"/>
    </xf>
    <xf numFmtId="0" fontId="6" fillId="0" borderId="32" xfId="2" applyFont="1" applyFill="1" applyBorder="1" applyAlignment="1">
      <alignment horizontal="left" vertical="center"/>
    </xf>
    <xf numFmtId="0" fontId="6" fillId="0" borderId="23" xfId="2" applyFont="1" applyFill="1" applyBorder="1" applyAlignment="1">
      <alignment horizontal="left" vertical="center"/>
    </xf>
    <xf numFmtId="0" fontId="6" fillId="3" borderId="23" xfId="2" applyFont="1" applyFill="1" applyBorder="1" applyAlignment="1">
      <alignment horizontal="center" vertical="center"/>
    </xf>
    <xf numFmtId="3" fontId="6" fillId="3" borderId="23" xfId="4" applyNumberFormat="1" applyFont="1" applyFill="1" applyBorder="1" applyAlignment="1">
      <alignment horizontal="right" vertical="center"/>
    </xf>
    <xf numFmtId="179" fontId="6" fillId="3" borderId="23" xfId="4" applyNumberFormat="1" applyFont="1" applyFill="1" applyBorder="1" applyAlignment="1">
      <alignment horizontal="right" vertical="center" shrinkToFit="1"/>
    </xf>
    <xf numFmtId="3" fontId="6" fillId="0" borderId="23" xfId="6" applyNumberFormat="1" applyFont="1" applyFill="1" applyBorder="1" applyAlignment="1">
      <alignment horizontal="right" vertical="center"/>
    </xf>
    <xf numFmtId="0" fontId="6" fillId="3" borderId="15" xfId="2" applyFont="1" applyFill="1" applyBorder="1" applyAlignment="1">
      <alignment horizontal="center" vertical="center"/>
    </xf>
    <xf numFmtId="3" fontId="6" fillId="3" borderId="15" xfId="4" applyNumberFormat="1" applyFont="1" applyFill="1" applyBorder="1" applyAlignment="1">
      <alignment horizontal="right" vertical="center"/>
    </xf>
    <xf numFmtId="179" fontId="6" fillId="3" borderId="15" xfId="4" applyNumberFormat="1" applyFont="1" applyFill="1" applyBorder="1" applyAlignment="1">
      <alignment horizontal="right" vertical="center" shrinkToFit="1"/>
    </xf>
    <xf numFmtId="180" fontId="6" fillId="0" borderId="33" xfId="2" applyNumberFormat="1" applyFont="1" applyFill="1" applyBorder="1" applyAlignment="1">
      <alignment horizontal="left" vertical="center" wrapText="1"/>
    </xf>
    <xf numFmtId="0" fontId="6" fillId="3" borderId="16" xfId="2" applyFont="1" applyFill="1" applyBorder="1" applyAlignment="1">
      <alignment horizontal="center" vertical="center"/>
    </xf>
    <xf numFmtId="3" fontId="6" fillId="3" borderId="16" xfId="4" applyNumberFormat="1" applyFont="1" applyFill="1" applyBorder="1" applyAlignment="1">
      <alignment horizontal="right" vertical="center"/>
    </xf>
    <xf numFmtId="179" fontId="6" fillId="3" borderId="16" xfId="4" applyNumberFormat="1" applyFont="1" applyFill="1" applyBorder="1" applyAlignment="1">
      <alignment horizontal="right" vertical="center" shrinkToFit="1"/>
    </xf>
    <xf numFmtId="180" fontId="6" fillId="0" borderId="34" xfId="2" applyNumberFormat="1" applyFont="1" applyFill="1" applyBorder="1" applyAlignment="1">
      <alignment horizontal="left" vertical="center" wrapText="1"/>
    </xf>
    <xf numFmtId="0" fontId="10" fillId="4" borderId="35" xfId="2" applyFont="1" applyFill="1" applyBorder="1" applyAlignment="1">
      <alignment horizontal="center" vertical="center"/>
    </xf>
    <xf numFmtId="0" fontId="10" fillId="4" borderId="36" xfId="2" applyFont="1" applyFill="1" applyBorder="1" applyAlignment="1">
      <alignment horizontal="center" vertical="center"/>
    </xf>
    <xf numFmtId="0" fontId="10" fillId="4" borderId="37" xfId="2" applyFont="1" applyFill="1" applyBorder="1" applyAlignment="1">
      <alignment horizontal="center" vertical="center"/>
    </xf>
    <xf numFmtId="0" fontId="10" fillId="4" borderId="4" xfId="2" applyFont="1" applyFill="1" applyBorder="1" applyAlignment="1">
      <alignment horizontal="center" vertical="center"/>
    </xf>
    <xf numFmtId="3" fontId="10" fillId="4" borderId="4" xfId="4" applyNumberFormat="1" applyFont="1" applyFill="1" applyBorder="1" applyAlignment="1">
      <alignment horizontal="right" vertical="center"/>
    </xf>
    <xf numFmtId="178" fontId="10" fillId="4" borderId="4" xfId="5" applyNumberFormat="1" applyFont="1" applyFill="1" applyBorder="1" applyAlignment="1">
      <alignment horizontal="right" vertical="center"/>
    </xf>
    <xf numFmtId="179" fontId="10" fillId="4" borderId="4" xfId="4" applyNumberFormat="1" applyFont="1" applyFill="1" applyBorder="1" applyAlignment="1">
      <alignment horizontal="right" vertical="center" shrinkToFit="1"/>
    </xf>
    <xf numFmtId="3" fontId="10" fillId="4" borderId="4" xfId="4" applyNumberFormat="1" applyFont="1" applyFill="1" applyBorder="1" applyAlignment="1">
      <alignment horizontal="right" vertical="center" shrinkToFit="1"/>
    </xf>
    <xf numFmtId="3" fontId="10" fillId="4" borderId="4" xfId="6" applyNumberFormat="1" applyFont="1" applyFill="1" applyBorder="1" applyAlignment="1">
      <alignment horizontal="right" vertical="center"/>
    </xf>
    <xf numFmtId="178" fontId="10" fillId="4" borderId="4" xfId="1" applyNumberFormat="1" applyFont="1" applyFill="1" applyBorder="1" applyAlignment="1">
      <alignment horizontal="right" vertical="center"/>
    </xf>
    <xf numFmtId="3" fontId="10" fillId="4" borderId="4" xfId="2" applyNumberFormat="1" applyFont="1" applyFill="1" applyBorder="1" applyAlignment="1">
      <alignment horizontal="right" vertical="center"/>
    </xf>
    <xf numFmtId="180" fontId="10" fillId="4" borderId="38" xfId="2" applyNumberFormat="1" applyFont="1" applyFill="1" applyBorder="1" applyAlignment="1">
      <alignment horizontal="left" vertical="center" wrapText="1"/>
    </xf>
    <xf numFmtId="0" fontId="10" fillId="4" borderId="39" xfId="2" applyFont="1" applyFill="1" applyBorder="1" applyAlignment="1">
      <alignment horizontal="center" vertical="center"/>
    </xf>
    <xf numFmtId="0" fontId="10" fillId="4" borderId="40" xfId="2" applyFont="1" applyFill="1" applyBorder="1" applyAlignment="1">
      <alignment horizontal="center" vertical="center"/>
    </xf>
    <xf numFmtId="0" fontId="10" fillId="4" borderId="41" xfId="2" applyFont="1" applyFill="1" applyBorder="1" applyAlignment="1">
      <alignment horizontal="center" vertical="center"/>
    </xf>
    <xf numFmtId="0" fontId="6" fillId="4" borderId="42" xfId="2" applyFont="1" applyFill="1" applyBorder="1" applyAlignment="1">
      <alignment horizontal="center" vertical="center"/>
    </xf>
    <xf numFmtId="3" fontId="10" fillId="4" borderId="42" xfId="4" applyNumberFormat="1" applyFont="1" applyFill="1" applyBorder="1" applyAlignment="1">
      <alignment horizontal="right" vertical="center"/>
    </xf>
    <xf numFmtId="178" fontId="10" fillId="4" borderId="42" xfId="5" applyNumberFormat="1" applyFont="1" applyFill="1" applyBorder="1" applyAlignment="1">
      <alignment horizontal="right" vertical="center"/>
    </xf>
    <xf numFmtId="9" fontId="10" fillId="4" borderId="43" xfId="1" applyFont="1" applyFill="1" applyBorder="1" applyAlignment="1">
      <alignment horizontal="center" vertical="center"/>
    </xf>
    <xf numFmtId="0" fontId="6" fillId="0" borderId="35" xfId="2" applyFont="1" applyFill="1" applyBorder="1" applyAlignment="1">
      <alignment vertical="center"/>
    </xf>
    <xf numFmtId="0" fontId="6" fillId="0" borderId="36" xfId="2" applyFont="1" applyFill="1" applyBorder="1" applyAlignment="1">
      <alignment vertical="center"/>
    </xf>
    <xf numFmtId="0" fontId="6" fillId="3" borderId="36" xfId="2" applyFont="1" applyFill="1" applyBorder="1" applyAlignment="1">
      <alignment vertical="center"/>
    </xf>
    <xf numFmtId="0" fontId="8" fillId="0" borderId="36" xfId="2" applyFont="1" applyFill="1" applyBorder="1" applyAlignment="1">
      <alignment horizontal="center" vertical="center"/>
    </xf>
    <xf numFmtId="0" fontId="8" fillId="0" borderId="37" xfId="2" applyFont="1" applyFill="1" applyBorder="1" applyAlignment="1">
      <alignment horizontal="center" vertical="center"/>
    </xf>
    <xf numFmtId="0" fontId="6" fillId="0" borderId="6" xfId="2" applyFont="1" applyFill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4" xfId="4" applyFont="1" applyFill="1" applyBorder="1" applyAlignment="1">
      <alignment horizontal="center" vertical="center"/>
    </xf>
    <xf numFmtId="0" fontId="6" fillId="0" borderId="7" xfId="4" applyFont="1" applyFill="1" applyBorder="1" applyAlignment="1">
      <alignment horizontal="left" vertical="center"/>
    </xf>
    <xf numFmtId="0" fontId="6" fillId="0" borderId="8" xfId="4" applyFont="1" applyFill="1" applyBorder="1" applyAlignment="1">
      <alignment horizontal="left" vertical="center"/>
    </xf>
    <xf numFmtId="0" fontId="11" fillId="0" borderId="44" xfId="7" applyFont="1" applyFill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0" fontId="6" fillId="3" borderId="0" xfId="2" applyFont="1" applyFill="1" applyBorder="1" applyAlignment="1">
      <alignment vertical="center"/>
    </xf>
    <xf numFmtId="181" fontId="6" fillId="0" borderId="45" xfId="6" applyNumberFormat="1" applyFont="1" applyFill="1" applyBorder="1" applyAlignment="1">
      <alignment vertical="center"/>
    </xf>
    <xf numFmtId="0" fontId="6" fillId="0" borderId="15" xfId="2" applyFont="1" applyFill="1" applyBorder="1" applyAlignment="1">
      <alignment vertical="center"/>
    </xf>
    <xf numFmtId="41" fontId="6" fillId="0" borderId="15" xfId="6" applyNumberFormat="1" applyFont="1" applyFill="1" applyBorder="1" applyAlignment="1">
      <alignment vertical="center"/>
    </xf>
    <xf numFmtId="0" fontId="6" fillId="0" borderId="23" xfId="4" applyFont="1" applyFill="1" applyBorder="1" applyAlignment="1">
      <alignment horizontal="center" vertical="center"/>
    </xf>
    <xf numFmtId="0" fontId="6" fillId="0" borderId="10" xfId="4" applyFont="1" applyFill="1" applyBorder="1" applyAlignment="1">
      <alignment horizontal="left" vertical="center"/>
    </xf>
    <xf numFmtId="0" fontId="6" fillId="0" borderId="17" xfId="4" applyFont="1" applyFill="1" applyBorder="1" applyAlignment="1">
      <alignment horizontal="left" vertical="center"/>
    </xf>
    <xf numFmtId="0" fontId="6" fillId="0" borderId="44" xfId="8" applyFont="1" applyFill="1" applyBorder="1" applyAlignment="1">
      <alignment horizontal="left" vertical="center"/>
    </xf>
    <xf numFmtId="9" fontId="6" fillId="0" borderId="15" xfId="5" applyFont="1" applyFill="1" applyBorder="1" applyAlignment="1">
      <alignment horizontal="center" vertical="center"/>
    </xf>
    <xf numFmtId="0" fontId="6" fillId="0" borderId="16" xfId="4" applyFont="1" applyFill="1" applyBorder="1" applyAlignment="1">
      <alignment horizontal="center" vertical="center"/>
    </xf>
    <xf numFmtId="0" fontId="6" fillId="0" borderId="47" xfId="4" applyFont="1" applyFill="1" applyBorder="1" applyAlignment="1">
      <alignment horizontal="left" vertical="center"/>
    </xf>
    <xf numFmtId="0" fontId="6" fillId="0" borderId="34" xfId="4" applyFont="1" applyFill="1" applyBorder="1" applyAlignment="1">
      <alignment horizontal="center" vertical="center"/>
    </xf>
    <xf numFmtId="42" fontId="6" fillId="0" borderId="0" xfId="9" applyFont="1" applyFill="1" applyBorder="1" applyAlignment="1">
      <alignment horizontal="left" vertical="center"/>
    </xf>
    <xf numFmtId="0" fontId="6" fillId="0" borderId="12" xfId="4" applyFont="1" applyFill="1" applyBorder="1" applyAlignment="1">
      <alignment horizontal="center" vertical="center"/>
    </xf>
    <xf numFmtId="0" fontId="6" fillId="0" borderId="34" xfId="4" applyFont="1" applyFill="1" applyBorder="1" applyAlignment="1">
      <alignment horizontal="left" vertical="center"/>
    </xf>
    <xf numFmtId="0" fontId="6" fillId="0" borderId="48" xfId="2" applyFont="1" applyFill="1" applyBorder="1" applyAlignment="1">
      <alignment vertical="center"/>
    </xf>
    <xf numFmtId="0" fontId="6" fillId="0" borderId="1" xfId="2" applyFont="1" applyFill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181" fontId="6" fillId="0" borderId="49" xfId="6" applyNumberFormat="1" applyFont="1" applyFill="1" applyBorder="1" applyAlignment="1">
      <alignment vertical="center"/>
    </xf>
    <xf numFmtId="0" fontId="6" fillId="0" borderId="19" xfId="2" applyFont="1" applyFill="1" applyBorder="1" applyAlignment="1">
      <alignment vertical="center"/>
    </xf>
    <xf numFmtId="41" fontId="6" fillId="0" borderId="19" xfId="6" applyNumberFormat="1" applyFont="1" applyFill="1" applyBorder="1" applyAlignment="1">
      <alignment vertical="center"/>
    </xf>
    <xf numFmtId="0" fontId="6" fillId="0" borderId="20" xfId="4" applyFont="1" applyFill="1" applyBorder="1" applyAlignment="1">
      <alignment horizontal="center" vertical="center"/>
    </xf>
    <xf numFmtId="0" fontId="6" fillId="0" borderId="51" xfId="4" applyFont="1" applyFill="1" applyBorder="1" applyAlignment="1">
      <alignment vertical="center"/>
    </xf>
    <xf numFmtId="0" fontId="6" fillId="0" borderId="52" xfId="4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right" vertical="center"/>
    </xf>
    <xf numFmtId="0" fontId="6" fillId="0" borderId="0" xfId="2" applyFont="1" applyFill="1" applyAlignment="1">
      <alignment vertical="center"/>
    </xf>
    <xf numFmtId="0" fontId="5" fillId="3" borderId="0" xfId="2" applyFont="1" applyFill="1" applyAlignment="1">
      <alignment vertical="center"/>
    </xf>
    <xf numFmtId="0" fontId="8" fillId="0" borderId="0" xfId="3" applyFont="1">
      <alignment vertical="center"/>
    </xf>
    <xf numFmtId="0" fontId="8" fillId="0" borderId="0" xfId="2" applyFont="1" applyAlignment="1">
      <alignment vertical="center"/>
    </xf>
    <xf numFmtId="182" fontId="8" fillId="0" borderId="0" xfId="3" applyNumberFormat="1" applyFont="1" applyAlignment="1">
      <alignment vertical="center" wrapText="1"/>
    </xf>
    <xf numFmtId="0" fontId="8" fillId="0" borderId="0" xfId="3" applyFont="1" applyAlignment="1">
      <alignment vertical="center"/>
    </xf>
    <xf numFmtId="0" fontId="8" fillId="0" borderId="0" xfId="3" applyAlignment="1">
      <alignment vertical="center"/>
    </xf>
    <xf numFmtId="182" fontId="8" fillId="0" borderId="0" xfId="3" applyNumberFormat="1" applyAlignment="1">
      <alignment vertical="center" wrapText="1"/>
    </xf>
    <xf numFmtId="41" fontId="5" fillId="0" borderId="0" xfId="2" applyNumberFormat="1" applyFont="1" applyAlignment="1">
      <alignment vertical="center"/>
    </xf>
    <xf numFmtId="0" fontId="3" fillId="0" borderId="1" xfId="2" applyFont="1" applyFill="1" applyBorder="1" applyAlignment="1">
      <alignment vertical="center"/>
    </xf>
    <xf numFmtId="3" fontId="10" fillId="0" borderId="30" xfId="4" applyNumberFormat="1" applyFont="1" applyFill="1" applyBorder="1" applyAlignment="1">
      <alignment horizontal="right" vertical="center"/>
    </xf>
    <xf numFmtId="3" fontId="10" fillId="0" borderId="4" xfId="4" applyNumberFormat="1" applyFont="1" applyFill="1" applyBorder="1" applyAlignment="1">
      <alignment horizontal="right" vertical="center"/>
    </xf>
    <xf numFmtId="0" fontId="6" fillId="0" borderId="42" xfId="2" applyFont="1" applyFill="1" applyBorder="1" applyAlignment="1">
      <alignment horizontal="center" vertical="center"/>
    </xf>
    <xf numFmtId="0" fontId="6" fillId="0" borderId="7" xfId="2" applyFont="1" applyFill="1" applyBorder="1" applyAlignment="1">
      <alignment horizontal="center" vertical="center"/>
    </xf>
    <xf numFmtId="3" fontId="10" fillId="0" borderId="30" xfId="2" applyNumberFormat="1" applyFont="1" applyFill="1" applyBorder="1" applyAlignment="1">
      <alignment horizontal="right" vertical="center"/>
    </xf>
    <xf numFmtId="3" fontId="10" fillId="0" borderId="4" xfId="2" applyNumberFormat="1" applyFont="1" applyFill="1" applyBorder="1" applyAlignment="1">
      <alignment horizontal="right" vertical="center"/>
    </xf>
    <xf numFmtId="3" fontId="10" fillId="0" borderId="42" xfId="4" applyNumberFormat="1" applyFont="1" applyFill="1" applyBorder="1" applyAlignment="1">
      <alignment horizontal="right" vertical="center"/>
    </xf>
    <xf numFmtId="0" fontId="6" fillId="0" borderId="36" xfId="4" applyFont="1" applyFill="1" applyBorder="1" applyAlignment="1">
      <alignment horizontal="center" vertical="center"/>
    </xf>
    <xf numFmtId="0" fontId="6" fillId="0" borderId="46" xfId="4" applyFont="1" applyFill="1" applyBorder="1" applyAlignment="1">
      <alignment horizontal="center" vertical="center"/>
    </xf>
    <xf numFmtId="0" fontId="6" fillId="0" borderId="47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horizontal="center" vertical="center"/>
    </xf>
    <xf numFmtId="0" fontId="6" fillId="0" borderId="50" xfId="4" applyFont="1" applyFill="1" applyBorder="1" applyAlignment="1">
      <alignment horizontal="center" vertical="center"/>
    </xf>
  </cellXfs>
  <cellStyles count="163">
    <cellStyle name="??&amp;O?&amp;H?_x0008__x000f__x0007_?_x0007__x0001__x0001_" xfId="10"/>
    <cellStyle name="??&amp;O?&amp;H?_x0008_??_x0007__x0001__x0001_" xfId="11"/>
    <cellStyle name="_원가산출-EMU" xfId="12"/>
    <cellStyle name="_KTMB81&amp;82Class(기전품목)수정" xfId="13"/>
    <cellStyle name="_KTMB81&amp;82Class(기초견적)" xfId="14"/>
    <cellStyle name="￠RERERERIiU￠RERERERE?￠RERERERER ￠RERERERE?A￠RERERERE￠RERERERIA CIAI￠RERERER¡ERERER￠RERER￠RERE?¡ERERERERU￠RERERERE￠RERERER¡ERER￠RER¡ER¡E?I￠RERER￠RER¡ER￠R￠?I￠RERERERIiA￠RERERER¡ERERER￠RERER￠RERE?I" xfId="15"/>
    <cellStyle name="0뾍R_x0005_?뾍b_x0005_" xfId="16"/>
    <cellStyle name="¼AU≫?XLS!check_filesche|_x0005_" xfId="17"/>
    <cellStyle name="고정소숫점" xfId="18"/>
    <cellStyle name="고정출력1" xfId="19"/>
    <cellStyle name="고정출력2" xfId="20"/>
    <cellStyle name="날짜" xfId="21"/>
    <cellStyle name="달러" xfId="22"/>
    <cellStyle name="똿뗦먛귟 [0.00]_PRODUCT DETAIL Q1" xfId="23"/>
    <cellStyle name="똿뗦먛귟_PRODUCT DETAIL Q1" xfId="24"/>
    <cellStyle name="믅됞 [0.00]_PRODUCT DETAIL Q1" xfId="25"/>
    <cellStyle name="믅됞_PRODUCT DETAIL Q1" xfId="26"/>
    <cellStyle name="백분율" xfId="1" builtinId="5"/>
    <cellStyle name="백분율 2" xfId="5"/>
    <cellStyle name="백분율 2 2" xfId="27"/>
    <cellStyle name="백분율 3" xfId="28"/>
    <cellStyle name="백분율 4" xfId="29"/>
    <cellStyle name="백분율 5" xfId="30"/>
    <cellStyle name="뷭?_BOOKSHIP" xfId="31"/>
    <cellStyle name="셈迷?XLS!check_filesche|_x0005_" xfId="32"/>
    <cellStyle name="숫자(R)" xfId="33"/>
    <cellStyle name="쉼표 [0] 2" xfId="6"/>
    <cellStyle name="쉼표 [0] 2 2" xfId="34"/>
    <cellStyle name="쉼표 [0] 2 3" xfId="35"/>
    <cellStyle name="쉼표 [0] 2 3 2" xfId="36"/>
    <cellStyle name="쉼표 [0] 2 4" xfId="37"/>
    <cellStyle name="쉼표 [0] 3" xfId="38"/>
    <cellStyle name="쉼표 [0] 3 2" xfId="39"/>
    <cellStyle name="쉼표 [0] 4" xfId="40"/>
    <cellStyle name="쉼표 [0] 4 2" xfId="41"/>
    <cellStyle name="쉼표 [0] 5" xfId="42"/>
    <cellStyle name="쉼표 [0]_동력접촉기" xfId="4"/>
    <cellStyle name="스타일 1" xfId="43"/>
    <cellStyle name="스타일 2" xfId="44"/>
    <cellStyle name="스타일 3" xfId="45"/>
    <cellStyle name="자리수" xfId="46"/>
    <cellStyle name="자리수0" xfId="47"/>
    <cellStyle name="지정되지 않음" xfId="48"/>
    <cellStyle name="콤마 [0]_  종  합  " xfId="49"/>
    <cellStyle name="콤마,_x0005__x0014_" xfId="50"/>
    <cellStyle name="콤마_  종  합  " xfId="51"/>
    <cellStyle name="통화 [0] 2" xfId="52"/>
    <cellStyle name="통화 [0] 2 2" xfId="9"/>
    <cellStyle name="통화 2" xfId="53"/>
    <cellStyle name="퍼센트" xfId="54"/>
    <cellStyle name="표준" xfId="0" builtinId="0"/>
    <cellStyle name="표준 10" xfId="55"/>
    <cellStyle name="표준 11" xfId="56"/>
    <cellStyle name="표준 12" xfId="57"/>
    <cellStyle name="표준 13" xfId="58"/>
    <cellStyle name="표준 14" xfId="59"/>
    <cellStyle name="표준 15" xfId="60"/>
    <cellStyle name="표준 16" xfId="61"/>
    <cellStyle name="표준 17" xfId="62"/>
    <cellStyle name="표준 18" xfId="63"/>
    <cellStyle name="표준 19" xfId="64"/>
    <cellStyle name="표준 2" xfId="65"/>
    <cellStyle name="표준 2 2" xfId="66"/>
    <cellStyle name="표준 2 2 2" xfId="67"/>
    <cellStyle name="표준 2 2 2 2" xfId="7"/>
    <cellStyle name="표준 2 4" xfId="68"/>
    <cellStyle name="표준 2 8" xfId="69"/>
    <cellStyle name="표준 20" xfId="70"/>
    <cellStyle name="표준 21" xfId="71"/>
    <cellStyle name="표준 3" xfId="72"/>
    <cellStyle name="표준 3 2" xfId="73"/>
    <cellStyle name="표준 3 3" xfId="74"/>
    <cellStyle name="표준 30 2" xfId="75"/>
    <cellStyle name="표준 38 2" xfId="76"/>
    <cellStyle name="표준 4" xfId="77"/>
    <cellStyle name="표준 4 2" xfId="78"/>
    <cellStyle name="표준 44 2" xfId="79"/>
    <cellStyle name="표준 45 2" xfId="80"/>
    <cellStyle name="표준 46 2" xfId="81"/>
    <cellStyle name="표준 47 2" xfId="82"/>
    <cellStyle name="표준 48 2" xfId="83"/>
    <cellStyle name="표준 49 2" xfId="84"/>
    <cellStyle name="표준 5" xfId="85"/>
    <cellStyle name="표준 5 2" xfId="86"/>
    <cellStyle name="표준 50 2" xfId="87"/>
    <cellStyle name="표준 51 2" xfId="88"/>
    <cellStyle name="표준 52 2" xfId="89"/>
    <cellStyle name="표준 53 2" xfId="90"/>
    <cellStyle name="표준 54 2" xfId="91"/>
    <cellStyle name="표준 55 2" xfId="92"/>
    <cellStyle name="표준 56 2" xfId="93"/>
    <cellStyle name="표준 57 2" xfId="94"/>
    <cellStyle name="표준 58 2" xfId="95"/>
    <cellStyle name="표준 59 2" xfId="96"/>
    <cellStyle name="표준 6" xfId="97"/>
    <cellStyle name="표준 6 2" xfId="98"/>
    <cellStyle name="표준 60 2" xfId="99"/>
    <cellStyle name="표준 61 2" xfId="100"/>
    <cellStyle name="표준 62 2" xfId="101"/>
    <cellStyle name="표준 63 2" xfId="102"/>
    <cellStyle name="표준 64 2" xfId="103"/>
    <cellStyle name="표준 65 2" xfId="104"/>
    <cellStyle name="표준 66 2" xfId="105"/>
    <cellStyle name="표준 67 2" xfId="106"/>
    <cellStyle name="표준 68 2" xfId="107"/>
    <cellStyle name="표준 69 2" xfId="108"/>
    <cellStyle name="표준 7" xfId="109"/>
    <cellStyle name="표준 7 2" xfId="110"/>
    <cellStyle name="표준 70 2" xfId="111"/>
    <cellStyle name="표준 71 2" xfId="112"/>
    <cellStyle name="표준 72 2" xfId="113"/>
    <cellStyle name="표준 73 2" xfId="114"/>
    <cellStyle name="표준 76 2" xfId="115"/>
    <cellStyle name="표준 8" xfId="116"/>
    <cellStyle name="표준 8 2" xfId="117"/>
    <cellStyle name="표준 9" xfId="118"/>
    <cellStyle name="표준_동력접촉기" xfId="2"/>
    <cellStyle name="표준_KTX 350KVA INV BOM" xfId="3"/>
    <cellStyle name="표준_Sheet1_말레이시아 표시기 개량 견적 rev0" xfId="8"/>
    <cellStyle name="하이퍼링크 2" xfId="119"/>
    <cellStyle name="합산" xfId="120"/>
    <cellStyle name="화폐기호" xfId="121"/>
    <cellStyle name="화폐기호0" xfId="122"/>
    <cellStyle name="Aee­ " xfId="123"/>
    <cellStyle name="AeE­ [0]_¡U¾EU￢ A¾COºn±³ " xfId="124"/>
    <cellStyle name="AeE­_¡U¾EU￢ A¾COºn±³ " xfId="125"/>
    <cellStyle name="AÞ¸¶ [0]_¡U¾EU￢ A¾COºn±³ " xfId="126"/>
    <cellStyle name="AÞ¸¶,_x0005__x0014_" xfId="127"/>
    <cellStyle name="AÞ¸¶_¡U¾EU￢ A¾COºn±³ " xfId="128"/>
    <cellStyle name="C￥AØ_  FAB AIA¤  " xfId="129"/>
    <cellStyle name="category" xfId="130"/>
    <cellStyle name="CIAI￠RERERER¡ERERER￠RERER￠RERE?¡ERERERERU￠RERERERE￠RERERER¡ERER￠RER¡ER¡E?I￠RERER￠RER¡ER￠R￠?I￠RERERERIiA￠RERERER¡ERERER￠RERER￠RERE?I" xfId="131"/>
    <cellStyle name="Comma" xfId="132"/>
    <cellStyle name="Comma [0]" xfId="133"/>
    <cellStyle name="Comma_ SG&amp;A Bridge " xfId="134"/>
    <cellStyle name="Currency" xfId="135"/>
    <cellStyle name="Currency [0]" xfId="136"/>
    <cellStyle name="Currency_ SG&amp;A Bridge " xfId="137"/>
    <cellStyle name="Currency1" xfId="138"/>
    <cellStyle name="Euro" xfId="139"/>
    <cellStyle name="Grey" xfId="140"/>
    <cellStyle name="HEADER" xfId="141"/>
    <cellStyle name="Header1" xfId="142"/>
    <cellStyle name="Header2" xfId="143"/>
    <cellStyle name="Header2 2" xfId="144"/>
    <cellStyle name="Header2 2 2" xfId="145"/>
    <cellStyle name="Header2 3" xfId="146"/>
    <cellStyle name="iles|_x0005_h" xfId="147"/>
    <cellStyle name="Input [yellow]" xfId="148"/>
    <cellStyle name="Input [yellow] 2" xfId="149"/>
    <cellStyle name="Input [yellow] 2 2" xfId="150"/>
    <cellStyle name="Input [yellow] 3" xfId="151"/>
    <cellStyle name="les" xfId="152"/>
    <cellStyle name="Model" xfId="153"/>
    <cellStyle name="Non d?ini" xfId="154"/>
    <cellStyle name="Normal - Style1" xfId="155"/>
    <cellStyle name="Normal_ SG&amp;A Bridge" xfId="156"/>
    <cellStyle name="Percent [2]" xfId="157"/>
    <cellStyle name="R?" xfId="158"/>
    <cellStyle name="sche|_x0005_" xfId="159"/>
    <cellStyle name="Standard_Mappe1" xfId="160"/>
    <cellStyle name="subhead" xfId="161"/>
    <cellStyle name="XLS'|_x0005_t" xfId="16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781050</xdr:colOff>
      <xdr:row>0</xdr:row>
      <xdr:rowOff>0</xdr:rowOff>
    </xdr:from>
    <xdr:to>
      <xdr:col>14</xdr:col>
      <xdr:colOff>19050</xdr:colOff>
      <xdr:row>0</xdr:row>
      <xdr:rowOff>428625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810250" y="0"/>
          <a:ext cx="4219575" cy="4286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FFFF"/>
            </a:gs>
            <a:gs pos="100000">
              <a:srgbClr val="00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자재 실 행 원가 산 출 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LIST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169;&#49569;&#51109;&#52824;\&#45940;&#48260;%2050&#47049;\&#50896;&#44032;\13DENVER%20&#48169;&#49569;&#54364;&#49884;&#51109;&#52824;%2050&#47049;%20&#49892;&#54665;&#50896;&#44032;%20LIST(&#52628;&#44032;10&#47049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4225\%23seat\&#47448;&#53468;&#50885;\&#44228;&#49328;&#44592;&#51456;\&#50896;&#44032;&#44228;&#49328;\WSTRIP.CAL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16758\&#45236;%20&#49436;&#47448;%20&#44032;&#48169;\WINDOWS\TEMP\kyh\SM\ALSHC\&#51452;&#513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6253\&#51088;&#46041;&#50896;&#44032;&#44228;&#49328;\wirebend%20pipe&#52572;&#51333;&#5086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WORKSHOP\&#48516;&#4943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0689;\12&#50900;&#51648;&#48520;&#51089;&#50629;\&#51648;&#44553;\My%20Documents\&#52572;&#52632;&#49457;\&#48149;&#46041;&#54616;\&#49892;&#53468;\My%20Documents\&#50808;&#51452;&#54788;&#54889;.WQ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lee\&#47196;&#52972;%20&#46356;&#49828;&#53356;%20(G)\MY%20JOB%2020031224-\Word\smsc2&#54840;&#49440;%2054&#47049;%20&#54364;&#49884;&#44592;\2004&#45380;6&#50900;9-11%20VE\LEE\&#50896;&#44032;&#51208;&#44048;\KANG\CDOWN\98&#44228;&#54925;\CDOWN\98&#44228;&#54925;\&#44228;&#54925;&#54801;&#512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4032;&#44288;&#47532;&#44284;05\&#44204;&#51201;&#49436;\User\&#50773;&#50676;\Ex_VBA\&#49444;&#44228;&#50896;&#44032;&#54364;&#5145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lycos.co.kr/&#54728;&#52268;&#49453;/s.w/&#49328;&#50629;&#51064;&#47141;/&#49324;&#48277;&#50976;&#51648;&#48372;&#49688;/2000_&#50976;&#51648;&#48372;&#49688;&#49345;&#49464;_&#45380;&#46020;&#4832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12133\&#51312;&#46973;&#51452;\&#48512;&#54408;&#54364;&#51456;\&#51452;&#5131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KJS1\&#50896;&#44032;\&#50896;&#44032;&#54364;&#51456;\AL%20WHL\PSS99\&#45800;&#44032;\MSOFFICE\EXCEL\KHT\&#30382;&#50868;&#50689;&#2669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6952\&#52509;&#47200;\WIN95\&#48148;&#53461;%20&#54868;&#47732;\&#47928;&#49436;&#54632;\&#47932;&#47448;&#51088;&#47308;\&#48516;&#49437;\HMC%20&#47928;&#49436;&#50577;&#4988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6952\&#52509;&#47200;\cjw2\&#47928;&#49436;&#5057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43058\1&#52264;&#52404;&#51452;&#44256;&#48155;\&#52572;&#44592;&#50728;\&#47448;&#53468;&#50885;~1\&#54364;&#51456;&#479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lycos.co.kr/&#48264;&#44060;&#49552;/&#54728;&#52268;&#49453;/&#49688;&#51077;/&#51452;&#44036;&#51228;&#50612;&#44592;(&#51452;&#44036;&#51228;&#50612;&#44592;&#51312;&#47549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564;&#49688;\C\COMMON\&#45824;&#50808;&#44277;&#4792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8;&#46041;&#51228;&#50612;&#44592;(&#51228;&#46041;&#51228;&#50612;&#44592;&#51312;&#47549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59274\lee2\DATAFILE\YOOHAN\&#46020;&#52636;&#50629;&#47924;\DATA-&#52572;&#51333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H116\&#49373;&#49328;&#53685;&#54633;\SHONYANGHO\&#49324;&#50629;&#44228;&#54925;\&#49324;&#50629;&#44228;&#54925;\99&#45380;&#44228;&#54925;(&#52572;&#51333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4;\&#50629;&#47924;&#52628;&#51652;\MSOFFICE\EXCEL\&#44036;&#51060;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LTD96\&#51060;&#5106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dd605\c\HDPIC\VIEWTMP\DATA\NEW\1956&#45824;\EXCEL\&#47532;&#54252;&#53944;\&#44036;&#51217;&#51665;&#442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cel-data\&#50896;&#44032;&#51088;&#47308;%20(WJM)\MSOFFICE\EXCEL\&#50629;&#47924;\&#48512;&#51109;&#48372;&#4425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6952\c\WINDOWS\TEMP\windows\TEMP\&#44553;&#506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es110\c\JONG\&#51204;&#49328;&#54868;\HBG\DATA\KTMB\SENDDWG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&#52264;&#5262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6952\c\WINDOWS\TEMP\&#54801;&#47141;&#49324;%20&#44368;&#50977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47928;&#47564;\MY%20DOCUMENTS\&#44305;LC\&#49688;&#51061;&#49457;3\&#48372;&#44256;\&#49552;&#51061;&#44160;&#53664;\&#54924;&#49688;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896;&#48708;&#44368;-mai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564;&#49688;\C\YMPARK\PARK\98&#45380;&#49373;&#49328;Plist\RDLEVL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&#50629;&#47924;&#49892;&#51201;(&#49892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LINE\96&#45380;&#49324;&#5062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KJS1\&#50896;&#44032;\&#50896;&#44032;&#54364;&#51456;\AL%20WHL\PSS99\&#45800;&#44032;\MSOFFICE\EXCEL\KHT\&#31561;&#9312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OD\TEA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KJS1\&#50896;&#44032;\&#50896;&#44032;&#54364;&#51456;\AL%20WHL\PSS99\&#45800;&#44032;\MSOFFICE\EXCEL\KHT\&#44552;&#5480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dd605\c\HDPIC\DOCUMENT\&#51116;&#47308;&#48708;.97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&#51312;&#51649;&#46020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dd605\c\&#50896;&#44032;&#51208;&#44048;\BOOK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4;\&#50629;&#47924;&#52628;&#51652;\&#44277;&#47928;2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7821\&#53685;&#54633;&#51064;&#50896;&#54788;&#54889;\WINDOWS.000\TEMP\&#50980;&#51060;&#44732;\94&#45380;&#44048;\&#49328;&#54801;&#52392;&#4851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XCR3%25(9801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6952\c\WINDOWS\TEMP\NOTES\DATA\WINDOWS\TEMP\&#50896;&#44032;&#48516;&#49437;\&#49688;&#48520;&#48324;\95\&#50896;&#44032;&#53685;&#4837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UY\2P-AP\&#45733;983-17&#51068;\87&#47564;(lLINE&#50868;&#50689;2-27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KJS1\&#50896;&#44032;\&#50896;&#44032;&#54364;&#51456;\AL%20WHL\PSS99\&#45800;&#44032;\MSOFFICE\EXCEL\KHT\&#44592;&#53440;&#46321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47928;&#47564;\MY%20DOCUMENTS\WINDOWS\TEMP\SIS\EF\A&#49552;&#51061;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ALSHA\&#44277;&#53685;&#47928;&#49436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jw2\&#47928;&#49436;&#5057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&#54924;&#51109;\&#54924;&#51109;2\&#52404;&#54788;&#54889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j205\c\HDOFFICE\viewtmp\&#51204;&#49457;&#54616;\HST\My%20Documents\&#44256;&#49549;&#51204;&#52384;\7&#50900;15&#51068;\My%20Documents\&#44061;&#52264;\&#45824;&#47564;&#44061;&#52264;\TRABM6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WINDOWS\TEMP\&#49345;&#54732;1\&#44277;&#53685;&#47928;&#4943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5824;&#51204;&#51648;&#54616;&#52384;1&#54840;&#49440;-&#47928;&#49436;&#54632;\VE\&#44053;&#50976;&#45909;\STR'G\XD\2&#52264;&#44228;&#49328;\56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4225\%23seat\D\HEAVEN\FC\SM\SM&#51116;&#47308;(PWR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X3CR12%25(9712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예비품 3량"/>
      <sheetName val="자재 실행원가(최종BA적용) (2)"/>
      <sheetName val="사후실행원가비교"/>
      <sheetName val="실행원가(REV2)"/>
      <sheetName val="실행원가(REV1)"/>
      <sheetName val="FDI"/>
      <sheetName val="SDI"/>
      <sheetName val="PID1"/>
      <sheetName val="PID2"/>
      <sheetName val="PII"/>
      <sheetName val="CRA"/>
      <sheetName val="CCP"/>
      <sheetName val="ISP"/>
      <sheetName val="ESP"/>
      <sheetName val="CSP"/>
      <sheetName val="DMA"/>
      <sheetName val="ANSM1"/>
      <sheetName val="TRF"/>
      <sheetName val="DPO"/>
      <sheetName val="JCR(PLUG)"/>
      <sheetName val="RG-11"/>
      <sheetName val="JCR(RECP)"/>
      <sheetName val="PEI"/>
      <sheetName val="DPH"/>
      <sheetName val="DPH BOM"/>
      <sheetName val="수주정보"/>
      <sheetName val="피벗"/>
      <sheetName val="bom"/>
      <sheetName val="board 단가조정list"/>
      <sheetName val="3편성 발주금액"/>
    </sheetNames>
    <sheetDataSet>
      <sheetData sheetId="0"/>
      <sheetData sheetId="1"/>
      <sheetData sheetId="2"/>
      <sheetData sheetId="3"/>
      <sheetData sheetId="4"/>
      <sheetData sheetId="5">
        <row r="22">
          <cell r="H22">
            <v>2100331</v>
          </cell>
        </row>
      </sheetData>
      <sheetData sheetId="6">
        <row r="20">
          <cell r="H20">
            <v>1894423</v>
          </cell>
        </row>
      </sheetData>
      <sheetData sheetId="7">
        <row r="21">
          <cell r="H21">
            <v>1322180</v>
          </cell>
        </row>
      </sheetData>
      <sheetData sheetId="8">
        <row r="20">
          <cell r="H20">
            <v>1418292</v>
          </cell>
        </row>
      </sheetData>
      <sheetData sheetId="9">
        <row r="22">
          <cell r="H22">
            <v>1675106</v>
          </cell>
        </row>
      </sheetData>
      <sheetData sheetId="10">
        <row r="22">
          <cell r="H22">
            <v>12947485</v>
          </cell>
        </row>
      </sheetData>
      <sheetData sheetId="11">
        <row r="19">
          <cell r="H19">
            <v>2245723</v>
          </cell>
        </row>
      </sheetData>
      <sheetData sheetId="12">
        <row r="19">
          <cell r="H19">
            <v>244255</v>
          </cell>
        </row>
      </sheetData>
      <sheetData sheetId="13">
        <row r="17">
          <cell r="H17">
            <v>153530</v>
          </cell>
        </row>
      </sheetData>
      <sheetData sheetId="14">
        <row r="18">
          <cell r="H18">
            <v>99250</v>
          </cell>
        </row>
      </sheetData>
      <sheetData sheetId="15">
        <row r="15">
          <cell r="H15">
            <v>197280</v>
          </cell>
        </row>
      </sheetData>
      <sheetData sheetId="16">
        <row r="15">
          <cell r="H15">
            <v>103220</v>
          </cell>
        </row>
      </sheetData>
      <sheetData sheetId="17">
        <row r="18">
          <cell r="H18">
            <v>97905</v>
          </cell>
        </row>
      </sheetData>
      <sheetData sheetId="18">
        <row r="20">
          <cell r="H20">
            <v>2598667</v>
          </cell>
        </row>
      </sheetData>
      <sheetData sheetId="19">
        <row r="13">
          <cell r="H13">
            <v>1357400</v>
          </cell>
        </row>
      </sheetData>
      <sheetData sheetId="20">
        <row r="12">
          <cell r="H12">
            <v>834400</v>
          </cell>
        </row>
      </sheetData>
      <sheetData sheetId="21">
        <row r="12">
          <cell r="H12">
            <v>298000</v>
          </cell>
        </row>
      </sheetData>
      <sheetData sheetId="22">
        <row r="19">
          <cell r="H19">
            <v>1673941</v>
          </cell>
        </row>
      </sheetData>
      <sheetData sheetId="23">
        <row r="19">
          <cell r="H19">
            <v>1485249</v>
          </cell>
        </row>
      </sheetData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재질단가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VT산정"/>
      <sheetName val="표지"/>
      <sheetName val="LZ RR BUSH"/>
      <sheetName val="1.개선이력"/>
      <sheetName val="2-1.현상"/>
      <sheetName val="RO분석"/>
      <sheetName val="PILOT품"/>
      <sheetName val="M96현황-동아"/>
      <sheetName val="OPT손익 내수"/>
      <sheetName val="OPT손익 수출"/>
      <sheetName val="품의양"/>
      <sheetName val="BUS제원1"/>
      <sheetName val="CALENDAR"/>
      <sheetName val="외주현황.wq1"/>
      <sheetName val="문서처리전"/>
      <sheetName val="전체현황"/>
      <sheetName val="LZ RV BUSH"/>
      <sheetName val="#REF"/>
      <sheetName val="Assumptions"/>
      <sheetName val="주행"/>
      <sheetName val="95하U$가격"/>
      <sheetName val="B4가로"/>
      <sheetName val="협조전"/>
      <sheetName val="Tiburon"/>
      <sheetName val="품-(주)코①"/>
      <sheetName val="ING101 PP"/>
      <sheetName val="계산DATA입력"/>
      <sheetName val="원단위"/>
      <sheetName val="금형품의서"/>
      <sheetName val="TOT"/>
      <sheetName val="신고서.전"/>
      <sheetName val="소유주(원)"/>
      <sheetName val="현금경비중역"/>
      <sheetName val="가격품의"/>
      <sheetName val="내수1.8GL"/>
      <sheetName val="CR CODE"/>
      <sheetName val="부서CODE"/>
      <sheetName val="THEME CODE"/>
      <sheetName val="첨부2"/>
      <sheetName val="생계99ST"/>
      <sheetName val="96"/>
      <sheetName val="주소(한문)"/>
      <sheetName val="차수"/>
      <sheetName val="냉각실용添1"/>
      <sheetName val="유지류添1"/>
      <sheetName val="PFMEA.XLS"/>
      <sheetName val="절삭10"/>
      <sheetName val="작성양식"/>
      <sheetName val="op10"/>
      <sheetName val="분석mast"/>
      <sheetName val="반제품(형재)"/>
      <sheetName val="HP1AMLIS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계산DATA입력"/>
      <sheetName val="재질단가"/>
      <sheetName val="동아합의"/>
      <sheetName val="MC&amp;다변화"/>
      <sheetName val="SOURCE"/>
      <sheetName val="공수"/>
      <sheetName val="PILOT품"/>
    </sheetNames>
    <sheetDataSet>
      <sheetData sheetId="0">
        <row r="8">
          <cell r="B8">
            <v>8770</v>
          </cell>
        </row>
        <row r="9">
          <cell r="B9">
            <v>100</v>
          </cell>
        </row>
        <row r="14">
          <cell r="C14">
            <v>320</v>
          </cell>
        </row>
        <row r="16">
          <cell r="C16">
            <v>12</v>
          </cell>
        </row>
        <row r="18">
          <cell r="C18">
            <v>1.4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소유주(원)"/>
      <sheetName val="주소(한문)"/>
      <sheetName val="TCA"/>
      <sheetName val="626TD(COLOR)"/>
      <sheetName val="간이연락"/>
      <sheetName val="인원계획"/>
      <sheetName val="재1"/>
      <sheetName val="점유면적"/>
      <sheetName val="CVT산정"/>
      <sheetName val="협조전"/>
      <sheetName val="주행"/>
      <sheetName val="1.변경범위"/>
      <sheetName val="Sheet18"/>
      <sheetName val="채권(하반기)"/>
      <sheetName val="96"/>
      <sheetName val="BUS제원1"/>
      <sheetName val="HP1AMLIST"/>
      <sheetName val="분석"/>
      <sheetName val="Macro1"/>
      <sheetName val="계정명세"/>
      <sheetName val="CFLO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외주현황.wq1"/>
      <sheetName val="PILOT품"/>
      <sheetName val="M96현황-동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비용지수"/>
      <sheetName val="월별부서"/>
      <sheetName val="외주현황.wq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OURCE"/>
      <sheetName val="단일압출"/>
      <sheetName val="이중압출"/>
      <sheetName val="외면압출"/>
      <sheetName val="이중+외면"/>
      <sheetName val="DATA"/>
      <sheetName val="공수"/>
      <sheetName val="SUB"/>
      <sheetName val="ppcarpet"/>
      <sheetName val="계산DATA입력"/>
      <sheetName val="RD제품개발투자비(매가)"/>
      <sheetName val="전체현황"/>
      <sheetName val="작성양식"/>
    </sheetNames>
    <sheetDataSet>
      <sheetData sheetId="0">
        <row r="2">
          <cell r="B2" t="str">
            <v>HS6310-01-001</v>
          </cell>
          <cell r="C2" t="str">
            <v>EPDM</v>
          </cell>
          <cell r="D2">
            <v>16</v>
          </cell>
          <cell r="E2">
            <v>20.399999999999999</v>
          </cell>
          <cell r="I2" t="str">
            <v>EPDM</v>
          </cell>
          <cell r="J2">
            <v>20.399999999999999</v>
          </cell>
          <cell r="K2">
            <v>24</v>
          </cell>
          <cell r="L2" t="str">
            <v>테트론</v>
          </cell>
          <cell r="M2" t="str">
            <v>저속32추</v>
          </cell>
          <cell r="P2" t="str">
            <v>대형</v>
          </cell>
          <cell r="Q2">
            <v>300</v>
          </cell>
        </row>
        <row r="3">
          <cell r="B3" t="str">
            <v>HS6310-01-002</v>
          </cell>
          <cell r="C3" t="str">
            <v>NBR내한</v>
          </cell>
          <cell r="D3">
            <v>9.6</v>
          </cell>
          <cell r="E3">
            <v>14</v>
          </cell>
          <cell r="I3" t="str">
            <v>CR</v>
          </cell>
          <cell r="J3">
            <v>14</v>
          </cell>
          <cell r="K3">
            <v>17.5</v>
          </cell>
          <cell r="L3" t="str">
            <v>테트론</v>
          </cell>
          <cell r="M3" t="str">
            <v>저속24추</v>
          </cell>
          <cell r="P3" t="str">
            <v>A1</v>
          </cell>
          <cell r="Q3">
            <v>2000</v>
          </cell>
          <cell r="AB3" t="str">
            <v>테트론</v>
          </cell>
          <cell r="AC3" t="str">
            <v>저속24추</v>
          </cell>
          <cell r="AD3" t="str">
            <v>ACM</v>
          </cell>
          <cell r="AE3">
            <v>5.4720000000000004</v>
          </cell>
          <cell r="AF3">
            <v>6.024</v>
          </cell>
        </row>
        <row r="4">
          <cell r="B4" t="str">
            <v>HS6310-01-003</v>
          </cell>
          <cell r="C4" t="str">
            <v>NBR내한</v>
          </cell>
          <cell r="D4">
            <v>9</v>
          </cell>
          <cell r="E4">
            <v>13.6</v>
          </cell>
          <cell r="I4" t="str">
            <v>CR</v>
          </cell>
          <cell r="J4">
            <v>13.6</v>
          </cell>
          <cell r="K4">
            <v>17.5</v>
          </cell>
          <cell r="L4" t="str">
            <v>테트론</v>
          </cell>
          <cell r="M4" t="str">
            <v>저속24추</v>
          </cell>
          <cell r="P4" t="str">
            <v>AU</v>
          </cell>
          <cell r="Q4">
            <v>2000</v>
          </cell>
          <cell r="AB4" t="str">
            <v>나일론</v>
          </cell>
          <cell r="AC4" t="str">
            <v>저속32추</v>
          </cell>
          <cell r="AD4" t="str">
            <v>CR</v>
          </cell>
          <cell r="AE4">
            <v>1.984</v>
          </cell>
          <cell r="AF4">
            <v>2.1840000000000002</v>
          </cell>
        </row>
        <row r="5">
          <cell r="B5" t="str">
            <v>HS6310-01-004</v>
          </cell>
          <cell r="C5" t="str">
            <v>NBR내한</v>
          </cell>
          <cell r="D5">
            <v>9</v>
          </cell>
          <cell r="E5">
            <v>13.6</v>
          </cell>
          <cell r="I5" t="str">
            <v>CR</v>
          </cell>
          <cell r="J5">
            <v>13.6</v>
          </cell>
          <cell r="K5">
            <v>17.5</v>
          </cell>
          <cell r="L5" t="str">
            <v>테트론</v>
          </cell>
          <cell r="M5" t="str">
            <v>저속24추</v>
          </cell>
          <cell r="P5" t="str">
            <v>CY</v>
          </cell>
          <cell r="Q5">
            <v>300</v>
          </cell>
          <cell r="AB5" t="str">
            <v>케브라</v>
          </cell>
          <cell r="AC5" t="str">
            <v>저속40추</v>
          </cell>
          <cell r="AD5" t="str">
            <v>CSM</v>
          </cell>
          <cell r="AE5">
            <v>4.66</v>
          </cell>
          <cell r="AF5">
            <v>5.1310000000000002</v>
          </cell>
        </row>
        <row r="6">
          <cell r="B6" t="str">
            <v>HS6310-01-005</v>
          </cell>
          <cell r="C6" t="str">
            <v>NBR내한</v>
          </cell>
          <cell r="D6">
            <v>5.4</v>
          </cell>
          <cell r="E6">
            <v>9.6999999999999993</v>
          </cell>
          <cell r="I6" t="str">
            <v>CSM</v>
          </cell>
          <cell r="J6">
            <v>9.6999999999999993</v>
          </cell>
          <cell r="K6">
            <v>10.5</v>
          </cell>
          <cell r="P6" t="str">
            <v>DS-2</v>
          </cell>
          <cell r="Q6">
            <v>800</v>
          </cell>
          <cell r="AD6" t="str">
            <v>EAR</v>
          </cell>
          <cell r="AE6">
            <v>6.8970000000000002</v>
          </cell>
          <cell r="AF6">
            <v>7.593</v>
          </cell>
        </row>
        <row r="7">
          <cell r="B7" t="str">
            <v>HS6310-01-006</v>
          </cell>
          <cell r="C7" t="str">
            <v>EPDM</v>
          </cell>
          <cell r="D7">
            <v>34</v>
          </cell>
          <cell r="E7">
            <v>39</v>
          </cell>
          <cell r="I7" t="str">
            <v>EPDM</v>
          </cell>
          <cell r="J7">
            <v>39</v>
          </cell>
          <cell r="K7">
            <v>42</v>
          </cell>
          <cell r="L7" t="str">
            <v>테트론</v>
          </cell>
          <cell r="M7" t="str">
            <v>저속40추</v>
          </cell>
          <cell r="P7" t="str">
            <v>EF</v>
          </cell>
          <cell r="Q7">
            <v>1500</v>
          </cell>
          <cell r="AD7" t="str">
            <v>ECO</v>
          </cell>
          <cell r="AE7">
            <v>6.1790000000000003</v>
          </cell>
          <cell r="AF7">
            <v>6.8029999999999999</v>
          </cell>
        </row>
        <row r="8">
          <cell r="B8" t="str">
            <v>HS6310-01-007</v>
          </cell>
          <cell r="C8" t="str">
            <v>EAR</v>
          </cell>
          <cell r="D8">
            <v>7.9</v>
          </cell>
          <cell r="E8">
            <v>12.3</v>
          </cell>
          <cell r="I8" t="str">
            <v>EAR</v>
          </cell>
          <cell r="J8">
            <v>12.3</v>
          </cell>
          <cell r="K8">
            <v>15</v>
          </cell>
          <cell r="L8" t="str">
            <v>나일론</v>
          </cell>
          <cell r="M8" t="str">
            <v>저속24추</v>
          </cell>
          <cell r="P8" t="str">
            <v>EG</v>
          </cell>
          <cell r="Q8">
            <v>300</v>
          </cell>
          <cell r="AD8" t="str">
            <v>EPDM</v>
          </cell>
          <cell r="AE8">
            <v>1.6339999999999999</v>
          </cell>
          <cell r="AF8">
            <v>1.7989999999999999</v>
          </cell>
        </row>
        <row r="9">
          <cell r="B9" t="str">
            <v>HS6310-01-008</v>
          </cell>
          <cell r="C9" t="str">
            <v>EPDM</v>
          </cell>
          <cell r="D9">
            <v>9</v>
          </cell>
          <cell r="E9">
            <v>14.5</v>
          </cell>
          <cell r="P9" t="str">
            <v>F-1</v>
          </cell>
          <cell r="Q9">
            <v>1500</v>
          </cell>
          <cell r="AD9" t="str">
            <v>EPDM SPONGE</v>
          </cell>
          <cell r="AE9">
            <v>2.0110000000000001</v>
          </cell>
          <cell r="AF9">
            <v>2.214</v>
          </cell>
        </row>
        <row r="10">
          <cell r="B10" t="str">
            <v>HS6310-01-009</v>
          </cell>
          <cell r="C10" t="str">
            <v>FKM</v>
          </cell>
          <cell r="D10">
            <v>7.4</v>
          </cell>
          <cell r="E10">
            <v>8.4</v>
          </cell>
          <cell r="F10" t="str">
            <v>ECO</v>
          </cell>
          <cell r="G10">
            <v>8.4</v>
          </cell>
          <cell r="H10">
            <v>12.4</v>
          </cell>
          <cell r="I10" t="str">
            <v>ECO</v>
          </cell>
          <cell r="J10">
            <v>12.4</v>
          </cell>
          <cell r="K10">
            <v>13.5</v>
          </cell>
          <cell r="L10" t="str">
            <v>테트론</v>
          </cell>
          <cell r="M10" t="str">
            <v>저속24추</v>
          </cell>
          <cell r="P10" t="str">
            <v>FC</v>
          </cell>
          <cell r="Q10">
            <v>1500</v>
          </cell>
          <cell r="AD10" t="str">
            <v>EPDM SOLID</v>
          </cell>
          <cell r="AE10">
            <v>1.6890000000000001</v>
          </cell>
          <cell r="AF10">
            <v>1.859</v>
          </cell>
        </row>
        <row r="11">
          <cell r="B11" t="str">
            <v>HS6310-01-010</v>
          </cell>
          <cell r="C11" t="str">
            <v>NBR내한</v>
          </cell>
          <cell r="D11">
            <v>11.2</v>
          </cell>
          <cell r="E11">
            <v>15.8</v>
          </cell>
          <cell r="I11" t="str">
            <v>CSM</v>
          </cell>
          <cell r="J11">
            <v>15.8</v>
          </cell>
          <cell r="K11">
            <v>22</v>
          </cell>
          <cell r="L11" t="str">
            <v>테트론</v>
          </cell>
          <cell r="M11" t="str">
            <v>저속24추</v>
          </cell>
          <cell r="P11" t="str">
            <v>FO</v>
          </cell>
          <cell r="Q11">
            <v>800</v>
          </cell>
          <cell r="AD11" t="str">
            <v>FKM</v>
          </cell>
          <cell r="AE11">
            <v>33.774000000000001</v>
          </cell>
          <cell r="AF11">
            <v>37.183999999999997</v>
          </cell>
        </row>
        <row r="12">
          <cell r="B12" t="str">
            <v>HS6310-01-011</v>
          </cell>
          <cell r="C12" t="str">
            <v>내열NBR</v>
          </cell>
          <cell r="D12">
            <v>14</v>
          </cell>
          <cell r="E12">
            <v>18.399999999999999</v>
          </cell>
          <cell r="I12" t="str">
            <v>CSM</v>
          </cell>
          <cell r="J12">
            <v>18.399999999999999</v>
          </cell>
          <cell r="K12">
            <v>22</v>
          </cell>
          <cell r="L12" t="str">
            <v>테트론</v>
          </cell>
          <cell r="M12" t="str">
            <v>저속24추</v>
          </cell>
          <cell r="P12" t="str">
            <v>G-1</v>
          </cell>
          <cell r="Q12">
            <v>800</v>
          </cell>
          <cell r="AD12" t="str">
            <v>H-NBR</v>
          </cell>
          <cell r="AE12">
            <v>21.327999999999999</v>
          </cell>
          <cell r="AF12">
            <v>23.481000000000002</v>
          </cell>
        </row>
        <row r="13">
          <cell r="B13" t="str">
            <v>HS6310-01-012</v>
          </cell>
          <cell r="C13" t="str">
            <v>NBR내한</v>
          </cell>
          <cell r="D13">
            <v>9.6</v>
          </cell>
          <cell r="E13">
            <v>14</v>
          </cell>
          <cell r="I13" t="str">
            <v>CR</v>
          </cell>
          <cell r="J13">
            <v>14</v>
          </cell>
          <cell r="K13">
            <v>17.5</v>
          </cell>
          <cell r="L13" t="str">
            <v>테트론</v>
          </cell>
          <cell r="M13" t="str">
            <v>저속24추</v>
          </cell>
          <cell r="P13" t="str">
            <v>GK</v>
          </cell>
          <cell r="Q13">
            <v>800</v>
          </cell>
          <cell r="AD13" t="str">
            <v>내열NBR</v>
          </cell>
          <cell r="AE13">
            <v>3.4540000000000002</v>
          </cell>
          <cell r="AF13">
            <v>3.8029999999999999</v>
          </cell>
        </row>
        <row r="14">
          <cell r="B14" t="str">
            <v>HS6310-01-013</v>
          </cell>
          <cell r="C14" t="str">
            <v>ECO</v>
          </cell>
          <cell r="D14">
            <v>18</v>
          </cell>
          <cell r="E14">
            <v>26</v>
          </cell>
          <cell r="P14" t="str">
            <v>HP-1</v>
          </cell>
          <cell r="Q14">
            <v>1000</v>
          </cell>
          <cell r="AD14" t="str">
            <v>HOT-CR</v>
          </cell>
          <cell r="AE14">
            <v>3.3410000000000002</v>
          </cell>
          <cell r="AF14">
            <v>3.6779999999999999</v>
          </cell>
        </row>
        <row r="15">
          <cell r="B15" t="str">
            <v>HS6310-01-014</v>
          </cell>
          <cell r="C15" t="str">
            <v>NBR내한</v>
          </cell>
          <cell r="D15">
            <v>9.6</v>
          </cell>
          <cell r="E15">
            <v>14</v>
          </cell>
          <cell r="I15" t="str">
            <v>CR</v>
          </cell>
          <cell r="J15">
            <v>14</v>
          </cell>
          <cell r="K15">
            <v>17.5</v>
          </cell>
          <cell r="L15" t="str">
            <v>테트론</v>
          </cell>
          <cell r="M15" t="str">
            <v>저속32추</v>
          </cell>
          <cell r="P15" t="str">
            <v>J-1</v>
          </cell>
          <cell r="Q15">
            <v>800</v>
          </cell>
          <cell r="AD15" t="str">
            <v>NBR내한</v>
          </cell>
          <cell r="AE15">
            <v>2.423</v>
          </cell>
          <cell r="AF15">
            <v>2.6680000000000001</v>
          </cell>
        </row>
        <row r="16">
          <cell r="B16" t="str">
            <v>HS6310-01-015</v>
          </cell>
          <cell r="C16" t="str">
            <v>내열NBR</v>
          </cell>
          <cell r="D16">
            <v>14</v>
          </cell>
          <cell r="E16">
            <v>18.399999999999999</v>
          </cell>
          <cell r="I16" t="str">
            <v>CSM</v>
          </cell>
          <cell r="J16">
            <v>18.399999999999999</v>
          </cell>
          <cell r="K16">
            <v>22</v>
          </cell>
          <cell r="L16" t="str">
            <v>테트론</v>
          </cell>
          <cell r="M16" t="str">
            <v>저속24추</v>
          </cell>
          <cell r="P16" t="str">
            <v>LC</v>
          </cell>
          <cell r="Q16">
            <v>2000</v>
          </cell>
          <cell r="AD16" t="str">
            <v>SBR</v>
          </cell>
          <cell r="AE16">
            <v>0.996</v>
          </cell>
          <cell r="AF16">
            <v>1.097</v>
          </cell>
        </row>
        <row r="17">
          <cell r="B17" t="str">
            <v>HS6310-01-016</v>
          </cell>
          <cell r="C17" t="str">
            <v>NBR내한</v>
          </cell>
          <cell r="D17">
            <v>8</v>
          </cell>
          <cell r="E17">
            <v>11.5</v>
          </cell>
          <cell r="I17" t="str">
            <v>CSM</v>
          </cell>
          <cell r="J17">
            <v>11.5</v>
          </cell>
          <cell r="K17">
            <v>12.5</v>
          </cell>
          <cell r="P17" t="str">
            <v>LCI</v>
          </cell>
          <cell r="Q17">
            <v>800</v>
          </cell>
        </row>
        <row r="18">
          <cell r="B18" t="str">
            <v>HS6310-01-017</v>
          </cell>
          <cell r="C18" t="str">
            <v>FKM</v>
          </cell>
          <cell r="D18">
            <v>5.8</v>
          </cell>
          <cell r="E18">
            <v>6.8</v>
          </cell>
          <cell r="F18" t="str">
            <v>ECO</v>
          </cell>
          <cell r="G18">
            <v>6.8</v>
          </cell>
          <cell r="H18">
            <v>9.1999999999999993</v>
          </cell>
          <cell r="I18" t="str">
            <v>ECO</v>
          </cell>
          <cell r="J18">
            <v>9.1999999999999993</v>
          </cell>
          <cell r="K18">
            <v>12.2</v>
          </cell>
          <cell r="L18" t="str">
            <v>테트론</v>
          </cell>
          <cell r="M18" t="str">
            <v>저속24추</v>
          </cell>
          <cell r="P18" t="str">
            <v>LX</v>
          </cell>
          <cell r="Q18">
            <v>2000</v>
          </cell>
        </row>
        <row r="19">
          <cell r="B19" t="str">
            <v>HS6310-01-018</v>
          </cell>
          <cell r="C19" t="str">
            <v>ECO</v>
          </cell>
          <cell r="D19">
            <v>3</v>
          </cell>
          <cell r="E19">
            <v>6.2</v>
          </cell>
          <cell r="I19" t="str">
            <v>CSM</v>
          </cell>
          <cell r="J19">
            <v>6.2</v>
          </cell>
          <cell r="K19">
            <v>7.2</v>
          </cell>
          <cell r="P19" t="str">
            <v>LZ</v>
          </cell>
          <cell r="Q19">
            <v>300</v>
          </cell>
        </row>
        <row r="20">
          <cell r="B20" t="str">
            <v>HS6310-01-019</v>
          </cell>
          <cell r="C20" t="str">
            <v>H-NBR</v>
          </cell>
          <cell r="D20">
            <v>5.6</v>
          </cell>
          <cell r="E20">
            <v>8</v>
          </cell>
          <cell r="F20" t="str">
            <v>CSM</v>
          </cell>
          <cell r="G20">
            <v>8</v>
          </cell>
          <cell r="H20">
            <v>9</v>
          </cell>
          <cell r="I20" t="str">
            <v>ECO</v>
          </cell>
          <cell r="J20">
            <v>9</v>
          </cell>
          <cell r="K20">
            <v>12.2</v>
          </cell>
          <cell r="L20" t="str">
            <v>테트론</v>
          </cell>
          <cell r="M20" t="str">
            <v>저속24추</v>
          </cell>
          <cell r="P20" t="str">
            <v>M-1</v>
          </cell>
          <cell r="Q20">
            <v>800</v>
          </cell>
        </row>
        <row r="21">
          <cell r="B21" t="str">
            <v>HS6310-01-020</v>
          </cell>
          <cell r="C21" t="str">
            <v>ECO</v>
          </cell>
          <cell r="D21">
            <v>7.5</v>
          </cell>
          <cell r="E21">
            <v>12.5</v>
          </cell>
          <cell r="I21" t="str">
            <v>ECO</v>
          </cell>
          <cell r="J21">
            <v>12.5</v>
          </cell>
          <cell r="K21">
            <v>14.6</v>
          </cell>
          <cell r="L21" t="str">
            <v>테트론</v>
          </cell>
          <cell r="M21" t="str">
            <v>저속24추</v>
          </cell>
          <cell r="P21" t="str">
            <v>M-2</v>
          </cell>
          <cell r="Q21">
            <v>800</v>
          </cell>
        </row>
        <row r="22">
          <cell r="B22" t="str">
            <v>HS6310-01-021</v>
          </cell>
          <cell r="C22" t="str">
            <v>EPDM</v>
          </cell>
          <cell r="D22">
            <v>27</v>
          </cell>
          <cell r="E22">
            <v>32.6</v>
          </cell>
          <cell r="I22" t="str">
            <v>EPDM</v>
          </cell>
          <cell r="J22">
            <v>32.6</v>
          </cell>
          <cell r="K22">
            <v>36</v>
          </cell>
          <cell r="L22" t="str">
            <v>테트론</v>
          </cell>
          <cell r="M22" t="str">
            <v>저속40추</v>
          </cell>
          <cell r="P22" t="str">
            <v>MX</v>
          </cell>
          <cell r="Q22">
            <v>2000</v>
          </cell>
        </row>
        <row r="23">
          <cell r="B23" t="str">
            <v>HS6310-01-022</v>
          </cell>
          <cell r="C23" t="str">
            <v>H-NBR</v>
          </cell>
          <cell r="D23">
            <v>7.4</v>
          </cell>
          <cell r="E23">
            <v>10.199999999999999</v>
          </cell>
          <cell r="F23" t="str">
            <v>CSM</v>
          </cell>
          <cell r="G23">
            <v>10.199999999999999</v>
          </cell>
          <cell r="H23">
            <v>11.2</v>
          </cell>
          <cell r="I23" t="str">
            <v>ECO</v>
          </cell>
          <cell r="J23">
            <v>11.2</v>
          </cell>
          <cell r="K23">
            <v>14</v>
          </cell>
          <cell r="L23" t="str">
            <v>테트론</v>
          </cell>
          <cell r="M23" t="str">
            <v>저속24추</v>
          </cell>
          <cell r="P23" t="str">
            <v>MXI</v>
          </cell>
          <cell r="Q23">
            <v>1500</v>
          </cell>
        </row>
        <row r="24">
          <cell r="B24" t="str">
            <v>HS6310-01-023</v>
          </cell>
          <cell r="C24" t="str">
            <v>EPDM</v>
          </cell>
          <cell r="D24">
            <v>32</v>
          </cell>
          <cell r="E24">
            <v>36.6</v>
          </cell>
          <cell r="I24" t="str">
            <v>EPDM</v>
          </cell>
          <cell r="J24">
            <v>37.6</v>
          </cell>
          <cell r="K24">
            <v>40</v>
          </cell>
          <cell r="L24" t="str">
            <v>테트론</v>
          </cell>
          <cell r="M24" t="str">
            <v>저속40추</v>
          </cell>
          <cell r="P24" t="str">
            <v>MXL</v>
          </cell>
          <cell r="Q24">
            <v>1500</v>
          </cell>
        </row>
        <row r="25">
          <cell r="B25" t="str">
            <v>HS6310-01-024</v>
          </cell>
          <cell r="C25" t="str">
            <v>FKM</v>
          </cell>
          <cell r="D25">
            <v>7.4</v>
          </cell>
          <cell r="E25">
            <v>8.4</v>
          </cell>
          <cell r="F25" t="str">
            <v>ECO</v>
          </cell>
          <cell r="G25">
            <v>8.4</v>
          </cell>
          <cell r="H25">
            <v>12.4</v>
          </cell>
          <cell r="I25" t="str">
            <v>ECO</v>
          </cell>
          <cell r="J25">
            <v>12.4</v>
          </cell>
          <cell r="K25">
            <v>13.5</v>
          </cell>
          <cell r="L25" t="str">
            <v>테트론</v>
          </cell>
          <cell r="M25" t="str">
            <v>저속24추</v>
          </cell>
          <cell r="P25" t="str">
            <v>NF</v>
          </cell>
          <cell r="Q25">
            <v>1500</v>
          </cell>
        </row>
        <row r="26">
          <cell r="B26" t="str">
            <v>HS6310-01-025</v>
          </cell>
          <cell r="C26" t="str">
            <v>FKM</v>
          </cell>
          <cell r="D26">
            <v>7.4</v>
          </cell>
          <cell r="E26">
            <v>8.4</v>
          </cell>
          <cell r="F26" t="str">
            <v>ECO</v>
          </cell>
          <cell r="G26">
            <v>8.4</v>
          </cell>
          <cell r="H26">
            <v>12.4</v>
          </cell>
          <cell r="I26" t="str">
            <v>ECO</v>
          </cell>
          <cell r="J26">
            <v>12.4</v>
          </cell>
          <cell r="K26">
            <v>14</v>
          </cell>
          <cell r="L26" t="str">
            <v>테트론</v>
          </cell>
          <cell r="M26" t="str">
            <v>저속24추</v>
          </cell>
          <cell r="P26" t="str">
            <v>RD</v>
          </cell>
          <cell r="Q26">
            <v>2000</v>
          </cell>
        </row>
        <row r="27">
          <cell r="B27" t="str">
            <v>HS6310-01-026</v>
          </cell>
          <cell r="C27" t="str">
            <v>NBR내한</v>
          </cell>
          <cell r="D27">
            <v>8</v>
          </cell>
          <cell r="E27">
            <v>13.1</v>
          </cell>
          <cell r="I27" t="str">
            <v>CSM</v>
          </cell>
          <cell r="J27">
            <v>13.1</v>
          </cell>
          <cell r="K27">
            <v>14</v>
          </cell>
          <cell r="P27" t="str">
            <v>RD-ED2</v>
          </cell>
          <cell r="Q27">
            <v>2000</v>
          </cell>
        </row>
        <row r="28">
          <cell r="B28" t="str">
            <v>HS6310-01-027</v>
          </cell>
          <cell r="C28" t="str">
            <v>NBR내한</v>
          </cell>
          <cell r="D28">
            <v>5.6</v>
          </cell>
          <cell r="E28">
            <v>8</v>
          </cell>
          <cell r="F28" t="str">
            <v>CSM</v>
          </cell>
          <cell r="G28">
            <v>8</v>
          </cell>
          <cell r="H28">
            <v>9</v>
          </cell>
          <cell r="I28" t="str">
            <v>ECO</v>
          </cell>
          <cell r="J28">
            <v>9</v>
          </cell>
          <cell r="K28">
            <v>12.2</v>
          </cell>
          <cell r="L28" t="str">
            <v>테트론</v>
          </cell>
          <cell r="M28" t="str">
            <v>저속24추</v>
          </cell>
          <cell r="P28" t="str">
            <v>SM</v>
          </cell>
          <cell r="Q28">
            <v>1500</v>
          </cell>
        </row>
        <row r="29">
          <cell r="B29" t="str">
            <v>HS6310-01-028</v>
          </cell>
          <cell r="C29" t="str">
            <v>NBR내한</v>
          </cell>
          <cell r="D29">
            <v>7.4</v>
          </cell>
          <cell r="E29">
            <v>10.199999999999999</v>
          </cell>
          <cell r="F29" t="str">
            <v>CSM</v>
          </cell>
          <cell r="G29">
            <v>10.199999999999999</v>
          </cell>
          <cell r="H29">
            <v>11.2</v>
          </cell>
          <cell r="I29" t="str">
            <v>ECO</v>
          </cell>
          <cell r="J29">
            <v>11.2</v>
          </cell>
          <cell r="K29">
            <v>14</v>
          </cell>
          <cell r="L29" t="str">
            <v>테트론</v>
          </cell>
          <cell r="M29" t="str">
            <v>저속24추</v>
          </cell>
          <cell r="P29" t="str">
            <v>SR</v>
          </cell>
          <cell r="Q29">
            <v>800</v>
          </cell>
        </row>
        <row r="30">
          <cell r="B30" t="str">
            <v>HS6310-01-029</v>
          </cell>
          <cell r="C30" t="str">
            <v>NBR내한</v>
          </cell>
          <cell r="D30">
            <v>9</v>
          </cell>
          <cell r="E30">
            <v>13.6</v>
          </cell>
          <cell r="I30" t="str">
            <v>CR</v>
          </cell>
          <cell r="J30">
            <v>13.6</v>
          </cell>
          <cell r="K30">
            <v>17.5</v>
          </cell>
          <cell r="L30" t="str">
            <v>테트론</v>
          </cell>
          <cell r="M30" t="str">
            <v>저속24추</v>
          </cell>
          <cell r="P30" t="str">
            <v>VT</v>
          </cell>
          <cell r="Q30">
            <v>300</v>
          </cell>
        </row>
        <row r="31">
          <cell r="B31" t="str">
            <v>HS6310-01-030</v>
          </cell>
          <cell r="C31" t="str">
            <v>NBR내한</v>
          </cell>
          <cell r="D31">
            <v>4.2</v>
          </cell>
          <cell r="E31">
            <v>6.7</v>
          </cell>
          <cell r="I31" t="str">
            <v>CSM</v>
          </cell>
          <cell r="J31">
            <v>6.7</v>
          </cell>
          <cell r="K31">
            <v>7.5</v>
          </cell>
          <cell r="P31" t="str">
            <v>X-3</v>
          </cell>
          <cell r="Q31">
            <v>2000</v>
          </cell>
        </row>
        <row r="32">
          <cell r="B32" t="str">
            <v>HS6310-01-031</v>
          </cell>
          <cell r="C32" t="str">
            <v>FKM</v>
          </cell>
          <cell r="D32">
            <v>5.4</v>
          </cell>
          <cell r="E32">
            <v>6.6</v>
          </cell>
          <cell r="F32" t="str">
            <v>ECO</v>
          </cell>
          <cell r="G32">
            <v>6.6</v>
          </cell>
          <cell r="H32">
            <v>9.5</v>
          </cell>
          <cell r="I32" t="str">
            <v>ECO</v>
          </cell>
          <cell r="J32">
            <v>9.5</v>
          </cell>
          <cell r="K32">
            <v>10.5</v>
          </cell>
          <cell r="L32" t="str">
            <v>테트론</v>
          </cell>
          <cell r="M32" t="str">
            <v>저속24추</v>
          </cell>
          <cell r="P32" t="str">
            <v>XD</v>
          </cell>
          <cell r="Q32">
            <v>2000</v>
          </cell>
        </row>
        <row r="33">
          <cell r="B33" t="str">
            <v>HS6310-01-032</v>
          </cell>
          <cell r="C33" t="str">
            <v>FKM</v>
          </cell>
          <cell r="D33">
            <v>3</v>
          </cell>
          <cell r="E33">
            <v>4.2</v>
          </cell>
          <cell r="I33" t="str">
            <v>ECO</v>
          </cell>
          <cell r="J33">
            <v>4.2</v>
          </cell>
          <cell r="K33">
            <v>7.2</v>
          </cell>
          <cell r="P33" t="str">
            <v>XG</v>
          </cell>
          <cell r="Q33">
            <v>300</v>
          </cell>
        </row>
        <row r="34">
          <cell r="B34" t="str">
            <v>HS6310-01-033</v>
          </cell>
          <cell r="C34" t="str">
            <v>NBR내한</v>
          </cell>
          <cell r="D34">
            <v>9.6</v>
          </cell>
          <cell r="E34">
            <v>13.6</v>
          </cell>
          <cell r="I34" t="str">
            <v>CSM</v>
          </cell>
          <cell r="J34">
            <v>13.6</v>
          </cell>
          <cell r="K34">
            <v>17.399999999999999</v>
          </cell>
          <cell r="L34" t="str">
            <v>나일론</v>
          </cell>
          <cell r="M34" t="str">
            <v>저속24추</v>
          </cell>
          <cell r="P34" t="str">
            <v>Y-3</v>
          </cell>
          <cell r="Q34">
            <v>2000</v>
          </cell>
        </row>
        <row r="35">
          <cell r="B35" t="str">
            <v>HS6310-01-034</v>
          </cell>
          <cell r="C35" t="str">
            <v>NBR내한</v>
          </cell>
          <cell r="D35">
            <v>8</v>
          </cell>
          <cell r="E35">
            <v>13.1</v>
          </cell>
          <cell r="I35" t="str">
            <v>CSM</v>
          </cell>
          <cell r="J35">
            <v>13.1</v>
          </cell>
          <cell r="K35">
            <v>14</v>
          </cell>
        </row>
        <row r="36">
          <cell r="B36" t="str">
            <v>HS6310-01-035</v>
          </cell>
          <cell r="C36" t="str">
            <v>ECO</v>
          </cell>
          <cell r="D36">
            <v>7</v>
          </cell>
          <cell r="E36">
            <v>12</v>
          </cell>
          <cell r="I36" t="str">
            <v>ECO</v>
          </cell>
          <cell r="J36">
            <v>12</v>
          </cell>
          <cell r="K36">
            <v>14</v>
          </cell>
          <cell r="L36" t="str">
            <v>테트론</v>
          </cell>
          <cell r="M36" t="str">
            <v>저속24추</v>
          </cell>
        </row>
        <row r="37">
          <cell r="B37" t="str">
            <v>HS6310-01-036</v>
          </cell>
          <cell r="C37" t="str">
            <v>NBR내한</v>
          </cell>
          <cell r="D37">
            <v>14</v>
          </cell>
          <cell r="E37">
            <v>18</v>
          </cell>
          <cell r="I37" t="str">
            <v>CSM</v>
          </cell>
          <cell r="J37">
            <v>18</v>
          </cell>
          <cell r="K37">
            <v>19</v>
          </cell>
        </row>
        <row r="38">
          <cell r="B38" t="str">
            <v>HS6310-01-037</v>
          </cell>
          <cell r="C38" t="str">
            <v>NBR내한</v>
          </cell>
          <cell r="D38">
            <v>15.6</v>
          </cell>
          <cell r="E38">
            <v>33.4</v>
          </cell>
          <cell r="I38" t="str">
            <v>CR</v>
          </cell>
          <cell r="J38">
            <v>33.4</v>
          </cell>
          <cell r="K38">
            <v>34.6</v>
          </cell>
          <cell r="L38" t="str">
            <v>테트론</v>
          </cell>
          <cell r="M38" t="str">
            <v>저속24추</v>
          </cell>
        </row>
        <row r="39">
          <cell r="B39" t="str">
            <v>HS6310-01-038</v>
          </cell>
          <cell r="C39" t="str">
            <v>EPDM</v>
          </cell>
          <cell r="D39">
            <v>18.5</v>
          </cell>
          <cell r="E39">
            <v>22.5</v>
          </cell>
        </row>
        <row r="40">
          <cell r="B40" t="str">
            <v>HS6310-01-039</v>
          </cell>
          <cell r="C40" t="str">
            <v>EPDM</v>
          </cell>
          <cell r="D40">
            <v>8</v>
          </cell>
          <cell r="E40">
            <v>12</v>
          </cell>
          <cell r="I40" t="str">
            <v>EPDM</v>
          </cell>
          <cell r="J40">
            <v>12</v>
          </cell>
          <cell r="K40">
            <v>15.2</v>
          </cell>
          <cell r="L40" t="str">
            <v>테트론</v>
          </cell>
          <cell r="M40" t="str">
            <v>저속24추</v>
          </cell>
        </row>
        <row r="41">
          <cell r="B41" t="str">
            <v>HS6310-01-040</v>
          </cell>
          <cell r="C41" t="str">
            <v>EPDM</v>
          </cell>
          <cell r="D41">
            <v>15</v>
          </cell>
          <cell r="E41">
            <v>20.2</v>
          </cell>
          <cell r="I41" t="str">
            <v>EPDM</v>
          </cell>
          <cell r="J41">
            <v>20.2</v>
          </cell>
          <cell r="K41">
            <v>24</v>
          </cell>
          <cell r="L41" t="str">
            <v>테트론</v>
          </cell>
          <cell r="M41" t="str">
            <v>저속24추</v>
          </cell>
        </row>
        <row r="42">
          <cell r="B42" t="str">
            <v>HS6310-01-041</v>
          </cell>
          <cell r="C42" t="str">
            <v>EPDM</v>
          </cell>
          <cell r="D42">
            <v>9</v>
          </cell>
          <cell r="E42">
            <v>12.6</v>
          </cell>
          <cell r="I42" t="str">
            <v>EPDM</v>
          </cell>
          <cell r="J42">
            <v>12.6</v>
          </cell>
          <cell r="K42">
            <v>16</v>
          </cell>
          <cell r="L42" t="str">
            <v>테트론</v>
          </cell>
          <cell r="M42" t="str">
            <v>저속24추</v>
          </cell>
        </row>
        <row r="43">
          <cell r="B43" t="str">
            <v>HS6310-01-042</v>
          </cell>
          <cell r="C43" t="str">
            <v>EAR</v>
          </cell>
          <cell r="D43">
            <v>14.5</v>
          </cell>
          <cell r="E43">
            <v>22.5</v>
          </cell>
        </row>
        <row r="44">
          <cell r="B44" t="str">
            <v>HS6310-01-043</v>
          </cell>
          <cell r="C44" t="str">
            <v>CR</v>
          </cell>
          <cell r="D44">
            <v>6.8</v>
          </cell>
          <cell r="E44">
            <v>12</v>
          </cell>
        </row>
        <row r="45">
          <cell r="B45" t="str">
            <v>HS6310-01-044</v>
          </cell>
          <cell r="C45" t="str">
            <v>NBR내한</v>
          </cell>
          <cell r="D45">
            <v>15</v>
          </cell>
          <cell r="E45">
            <v>19</v>
          </cell>
          <cell r="I45" t="str">
            <v>CSM</v>
          </cell>
          <cell r="J45">
            <v>19</v>
          </cell>
          <cell r="K45">
            <v>20</v>
          </cell>
        </row>
        <row r="46">
          <cell r="B46" t="str">
            <v>HS6310-01-045</v>
          </cell>
          <cell r="C46" t="str">
            <v>NBR내한</v>
          </cell>
          <cell r="D46">
            <v>42</v>
          </cell>
          <cell r="E46">
            <v>44.9</v>
          </cell>
          <cell r="I46" t="str">
            <v>CSM</v>
          </cell>
          <cell r="J46">
            <v>44.9</v>
          </cell>
          <cell r="K46">
            <v>46</v>
          </cell>
        </row>
        <row r="47">
          <cell r="B47" t="str">
            <v>HS6310-01-046</v>
          </cell>
          <cell r="C47" t="str">
            <v>NBR내한</v>
          </cell>
          <cell r="D47">
            <v>10.5</v>
          </cell>
          <cell r="E47">
            <v>14.5</v>
          </cell>
          <cell r="I47" t="str">
            <v>CSM</v>
          </cell>
          <cell r="J47">
            <v>14.5</v>
          </cell>
          <cell r="K47">
            <v>17.3</v>
          </cell>
        </row>
        <row r="48">
          <cell r="B48" t="str">
            <v>HS6310-01-047</v>
          </cell>
          <cell r="C48" t="str">
            <v>NBR내한</v>
          </cell>
          <cell r="D48">
            <v>18</v>
          </cell>
          <cell r="E48">
            <v>22.8</v>
          </cell>
          <cell r="I48" t="str">
            <v>CR</v>
          </cell>
          <cell r="J48">
            <v>22.8</v>
          </cell>
          <cell r="K48">
            <v>23.5</v>
          </cell>
          <cell r="L48" t="str">
            <v>테트론</v>
          </cell>
          <cell r="M48" t="str">
            <v>저속32추</v>
          </cell>
        </row>
        <row r="49">
          <cell r="B49" t="str">
            <v>HS6310-01-048</v>
          </cell>
          <cell r="C49" t="str">
            <v>ACM</v>
          </cell>
          <cell r="D49">
            <v>11</v>
          </cell>
          <cell r="E49">
            <v>19</v>
          </cell>
        </row>
        <row r="50">
          <cell r="B50" t="str">
            <v>HS6310-01-049</v>
          </cell>
          <cell r="C50" t="str">
            <v>EPDM</v>
          </cell>
          <cell r="D50">
            <v>7</v>
          </cell>
          <cell r="E50">
            <v>12</v>
          </cell>
        </row>
        <row r="51">
          <cell r="B51" t="str">
            <v>HS6310-01-050</v>
          </cell>
          <cell r="C51" t="str">
            <v>CR</v>
          </cell>
          <cell r="D51">
            <v>17.5</v>
          </cell>
          <cell r="E51">
            <v>22.5</v>
          </cell>
          <cell r="I51" t="str">
            <v>CR</v>
          </cell>
          <cell r="J51">
            <v>22.5</v>
          </cell>
          <cell r="K51">
            <v>26</v>
          </cell>
          <cell r="L51" t="str">
            <v>테트론</v>
          </cell>
          <cell r="M51" t="str">
            <v>저속32추</v>
          </cell>
        </row>
        <row r="52">
          <cell r="B52" t="str">
            <v>HS6310-01-051</v>
          </cell>
          <cell r="C52" t="str">
            <v>NBR내한</v>
          </cell>
          <cell r="D52">
            <v>31</v>
          </cell>
          <cell r="E52">
            <v>37</v>
          </cell>
        </row>
        <row r="53">
          <cell r="B53" t="str">
            <v>HS6310-01-052</v>
          </cell>
          <cell r="C53" t="str">
            <v>ACM</v>
          </cell>
          <cell r="D53">
            <v>16</v>
          </cell>
          <cell r="E53">
            <v>24</v>
          </cell>
        </row>
        <row r="54">
          <cell r="B54" t="str">
            <v>HS6310-01-053</v>
          </cell>
          <cell r="C54" t="str">
            <v>EPDM</v>
          </cell>
          <cell r="D54">
            <v>8</v>
          </cell>
          <cell r="E54">
            <v>12</v>
          </cell>
          <cell r="I54" t="str">
            <v>EPDM</v>
          </cell>
          <cell r="J54">
            <v>12</v>
          </cell>
          <cell r="K54">
            <v>16</v>
          </cell>
          <cell r="L54" t="str">
            <v>테트론</v>
          </cell>
          <cell r="M54" t="str">
            <v>저속40추</v>
          </cell>
        </row>
        <row r="55">
          <cell r="B55" t="str">
            <v>HS6310-01-054</v>
          </cell>
          <cell r="C55" t="str">
            <v>ACM</v>
          </cell>
          <cell r="D55">
            <v>44</v>
          </cell>
          <cell r="E55">
            <v>54</v>
          </cell>
          <cell r="L55" t="str">
            <v>테트론</v>
          </cell>
          <cell r="M55" t="str">
            <v>저속72추</v>
          </cell>
        </row>
        <row r="56">
          <cell r="B56" t="str">
            <v>HS6310-01-055</v>
          </cell>
          <cell r="C56" t="str">
            <v>ACM</v>
          </cell>
          <cell r="D56">
            <v>15.5</v>
          </cell>
          <cell r="E56">
            <v>24.5</v>
          </cell>
        </row>
        <row r="57">
          <cell r="B57" t="str">
            <v>HS6310-01-056</v>
          </cell>
          <cell r="C57" t="str">
            <v>EPDM</v>
          </cell>
          <cell r="D57">
            <v>7</v>
          </cell>
          <cell r="E57">
            <v>11.8</v>
          </cell>
        </row>
        <row r="58">
          <cell r="B58" t="str">
            <v>HS6310-01-057</v>
          </cell>
          <cell r="C58" t="str">
            <v>NBR내한</v>
          </cell>
          <cell r="D58">
            <v>11.5</v>
          </cell>
          <cell r="E58">
            <v>16.100000000000001</v>
          </cell>
          <cell r="I58" t="str">
            <v>CSM</v>
          </cell>
          <cell r="J58">
            <v>16.100000000000001</v>
          </cell>
          <cell r="K58">
            <v>19.3</v>
          </cell>
          <cell r="L58" t="str">
            <v>테트론</v>
          </cell>
          <cell r="M58" t="str">
            <v>저속24추</v>
          </cell>
        </row>
        <row r="59">
          <cell r="B59" t="str">
            <v>HS6310-01-058</v>
          </cell>
          <cell r="C59" t="str">
            <v>EAR</v>
          </cell>
          <cell r="D59">
            <v>9.6</v>
          </cell>
          <cell r="E59">
            <v>14.2</v>
          </cell>
          <cell r="I59" t="str">
            <v>EAR</v>
          </cell>
          <cell r="J59">
            <v>14.2</v>
          </cell>
          <cell r="K59">
            <v>17.5</v>
          </cell>
          <cell r="L59" t="str">
            <v>나일론</v>
          </cell>
          <cell r="M59" t="str">
            <v>저속8추</v>
          </cell>
        </row>
        <row r="60">
          <cell r="B60" t="str">
            <v>HS6310-01-059</v>
          </cell>
          <cell r="C60" t="str">
            <v>NBR내한</v>
          </cell>
          <cell r="D60">
            <v>4.2</v>
          </cell>
          <cell r="E60">
            <v>6.5</v>
          </cell>
          <cell r="I60" t="str">
            <v>CSM</v>
          </cell>
          <cell r="J60">
            <v>6.5</v>
          </cell>
          <cell r="K60">
            <v>7.5</v>
          </cell>
        </row>
        <row r="61">
          <cell r="B61" t="str">
            <v>HS6310-01-060</v>
          </cell>
          <cell r="C61" t="str">
            <v>NBR내한</v>
          </cell>
          <cell r="D61">
            <v>17</v>
          </cell>
          <cell r="E61">
            <v>21.4</v>
          </cell>
          <cell r="I61" t="str">
            <v>CSM</v>
          </cell>
          <cell r="J61">
            <v>21.4</v>
          </cell>
          <cell r="K61">
            <v>25</v>
          </cell>
          <cell r="L61" t="str">
            <v>테트론</v>
          </cell>
          <cell r="M61" t="str">
            <v>저속24추</v>
          </cell>
        </row>
        <row r="62">
          <cell r="B62" t="str">
            <v>HS6310-01-061</v>
          </cell>
          <cell r="C62" t="str">
            <v>ACM</v>
          </cell>
          <cell r="D62">
            <v>35</v>
          </cell>
          <cell r="E62">
            <v>45</v>
          </cell>
          <cell r="L62" t="str">
            <v>테트론</v>
          </cell>
          <cell r="M62" t="str">
            <v>저속72추</v>
          </cell>
        </row>
        <row r="63">
          <cell r="B63" t="str">
            <v>HS6310-01-062</v>
          </cell>
          <cell r="C63" t="str">
            <v>ACM</v>
          </cell>
          <cell r="D63">
            <v>50</v>
          </cell>
          <cell r="E63">
            <v>60</v>
          </cell>
          <cell r="L63" t="str">
            <v>테트론</v>
          </cell>
          <cell r="M63" t="str">
            <v>저속72추</v>
          </cell>
        </row>
        <row r="64">
          <cell r="B64" t="str">
            <v>HS6310-01-063</v>
          </cell>
          <cell r="C64" t="str">
            <v>EPDM</v>
          </cell>
          <cell r="D64">
            <v>8.5</v>
          </cell>
          <cell r="E64">
            <v>15.5</v>
          </cell>
        </row>
        <row r="65">
          <cell r="B65" t="str">
            <v>HS6310-01-064</v>
          </cell>
          <cell r="C65" t="str">
            <v>NBR내한</v>
          </cell>
          <cell r="D65">
            <v>5.4</v>
          </cell>
          <cell r="E65">
            <v>9.6999999999999993</v>
          </cell>
          <cell r="I65" t="str">
            <v>CSM</v>
          </cell>
          <cell r="J65">
            <v>9.6999999999999993</v>
          </cell>
          <cell r="K65">
            <v>10.5</v>
          </cell>
        </row>
        <row r="66">
          <cell r="B66" t="str">
            <v>HS6310-01-065</v>
          </cell>
          <cell r="C66" t="str">
            <v>NBR내한</v>
          </cell>
          <cell r="D66">
            <v>7</v>
          </cell>
          <cell r="E66">
            <v>12</v>
          </cell>
          <cell r="I66" t="str">
            <v>CSM</v>
          </cell>
          <cell r="J66">
            <v>12</v>
          </cell>
          <cell r="K66">
            <v>13</v>
          </cell>
        </row>
        <row r="67">
          <cell r="B67" t="str">
            <v>HS6310-01-066</v>
          </cell>
          <cell r="C67" t="str">
            <v>NBR내한</v>
          </cell>
          <cell r="D67">
            <v>16</v>
          </cell>
          <cell r="E67">
            <v>22.2</v>
          </cell>
          <cell r="I67" t="str">
            <v>CSM</v>
          </cell>
          <cell r="J67">
            <v>22.2</v>
          </cell>
          <cell r="K67">
            <v>24</v>
          </cell>
        </row>
        <row r="68">
          <cell r="B68" t="str">
            <v>HS6310-01-067</v>
          </cell>
          <cell r="C68" t="str">
            <v>내열NBR</v>
          </cell>
          <cell r="D68">
            <v>9.6</v>
          </cell>
          <cell r="E68">
            <v>14</v>
          </cell>
          <cell r="I68" t="str">
            <v>CR</v>
          </cell>
          <cell r="J68">
            <v>14</v>
          </cell>
          <cell r="K68">
            <v>17</v>
          </cell>
          <cell r="L68" t="str">
            <v>테트론</v>
          </cell>
          <cell r="M68" t="str">
            <v>저속24추</v>
          </cell>
        </row>
        <row r="69">
          <cell r="B69" t="str">
            <v>HS6310-01-068</v>
          </cell>
          <cell r="C69" t="str">
            <v>ECO</v>
          </cell>
          <cell r="D69">
            <v>7</v>
          </cell>
          <cell r="E69">
            <v>12</v>
          </cell>
          <cell r="I69" t="str">
            <v>ECO</v>
          </cell>
          <cell r="J69">
            <v>12</v>
          </cell>
          <cell r="K69">
            <v>14.1</v>
          </cell>
          <cell r="L69" t="str">
            <v>테트론</v>
          </cell>
          <cell r="M69" t="str">
            <v>저속24추</v>
          </cell>
        </row>
        <row r="70">
          <cell r="B70" t="str">
            <v>HS6310-01-069</v>
          </cell>
          <cell r="C70" t="str">
            <v>ACM</v>
          </cell>
          <cell r="D70">
            <v>9.6</v>
          </cell>
          <cell r="E70">
            <v>14</v>
          </cell>
          <cell r="I70" t="str">
            <v>CSM</v>
          </cell>
          <cell r="J70">
            <v>14</v>
          </cell>
          <cell r="K70">
            <v>17.5</v>
          </cell>
          <cell r="L70" t="str">
            <v>테트론</v>
          </cell>
          <cell r="M70" t="str">
            <v>저속24추</v>
          </cell>
        </row>
        <row r="71">
          <cell r="B71" t="str">
            <v>HS6310-01-070</v>
          </cell>
          <cell r="C71" t="str">
            <v>ACM</v>
          </cell>
          <cell r="D71">
            <v>14</v>
          </cell>
          <cell r="E71">
            <v>18.399999999999999</v>
          </cell>
          <cell r="I71" t="str">
            <v>CSM</v>
          </cell>
          <cell r="J71">
            <v>18.399999999999999</v>
          </cell>
          <cell r="K71">
            <v>22</v>
          </cell>
          <cell r="L71" t="str">
            <v>테트론</v>
          </cell>
          <cell r="M71" t="str">
            <v>저속24추</v>
          </cell>
        </row>
        <row r="72">
          <cell r="B72" t="str">
            <v>HS6310-01-071</v>
          </cell>
          <cell r="C72" t="str">
            <v>NBR내한</v>
          </cell>
          <cell r="D72">
            <v>15</v>
          </cell>
          <cell r="E72">
            <v>20.399999999999999</v>
          </cell>
          <cell r="I72" t="str">
            <v>CSM</v>
          </cell>
          <cell r="J72">
            <v>20.399999999999999</v>
          </cell>
          <cell r="K72">
            <v>24</v>
          </cell>
        </row>
        <row r="73">
          <cell r="B73" t="str">
            <v>HS6310-01-072</v>
          </cell>
          <cell r="C73" t="str">
            <v>NBR내한</v>
          </cell>
          <cell r="D73">
            <v>11.5</v>
          </cell>
          <cell r="E73">
            <v>16.100000000000001</v>
          </cell>
          <cell r="I73" t="str">
            <v>CSM</v>
          </cell>
          <cell r="J73">
            <v>16.100000000000001</v>
          </cell>
          <cell r="K73">
            <v>19.5</v>
          </cell>
          <cell r="L73" t="str">
            <v>테트론</v>
          </cell>
          <cell r="M73" t="str">
            <v>저속24추</v>
          </cell>
        </row>
        <row r="74">
          <cell r="B74" t="str">
            <v>HS6310-01-073</v>
          </cell>
          <cell r="C74" t="str">
            <v>EPDM</v>
          </cell>
          <cell r="D74">
            <v>9</v>
          </cell>
          <cell r="E74">
            <v>14.5</v>
          </cell>
        </row>
        <row r="75">
          <cell r="B75" t="str">
            <v>HS6310-01-074</v>
          </cell>
          <cell r="C75" t="str">
            <v>NBR내한</v>
          </cell>
          <cell r="D75">
            <v>17</v>
          </cell>
          <cell r="E75">
            <v>21.8</v>
          </cell>
          <cell r="I75" t="str">
            <v>CSM</v>
          </cell>
          <cell r="J75">
            <v>21.8</v>
          </cell>
          <cell r="K75">
            <v>25</v>
          </cell>
          <cell r="L75" t="str">
            <v>테트론</v>
          </cell>
          <cell r="M75" t="str">
            <v>저속32추</v>
          </cell>
        </row>
        <row r="76">
          <cell r="B76" t="str">
            <v>HS6310-01-075</v>
          </cell>
          <cell r="C76" t="str">
            <v>EPDM</v>
          </cell>
          <cell r="D76">
            <v>9</v>
          </cell>
          <cell r="E76">
            <v>17.600000000000001</v>
          </cell>
        </row>
        <row r="77">
          <cell r="B77" t="str">
            <v>HS6310-01-076</v>
          </cell>
          <cell r="C77" t="str">
            <v>EPDM</v>
          </cell>
          <cell r="D77">
            <v>9</v>
          </cell>
          <cell r="E77">
            <v>13.4</v>
          </cell>
          <cell r="I77" t="str">
            <v>EPDM</v>
          </cell>
          <cell r="J77">
            <v>13.4</v>
          </cell>
          <cell r="K77">
            <v>16.600000000000001</v>
          </cell>
          <cell r="L77" t="str">
            <v>테트론</v>
          </cell>
          <cell r="M77" t="str">
            <v>저속24추</v>
          </cell>
        </row>
        <row r="78">
          <cell r="B78" t="str">
            <v>HS6310-01-077</v>
          </cell>
          <cell r="C78" t="str">
            <v>NBR내한</v>
          </cell>
          <cell r="D78">
            <v>13</v>
          </cell>
          <cell r="E78">
            <v>19.399999999999999</v>
          </cell>
          <cell r="I78" t="str">
            <v>CSM</v>
          </cell>
          <cell r="J78">
            <v>19.399999999999999</v>
          </cell>
          <cell r="K78">
            <v>20.5</v>
          </cell>
        </row>
        <row r="79">
          <cell r="B79" t="str">
            <v>HS6310-01-078</v>
          </cell>
          <cell r="C79" t="str">
            <v>NBR내한</v>
          </cell>
          <cell r="D79">
            <v>7.5</v>
          </cell>
          <cell r="E79">
            <v>13.5</v>
          </cell>
          <cell r="I79" t="str">
            <v>CSM</v>
          </cell>
          <cell r="J79">
            <v>13.5</v>
          </cell>
          <cell r="K79">
            <v>14.5</v>
          </cell>
        </row>
        <row r="80">
          <cell r="B80" t="str">
            <v>HS6310-01-079</v>
          </cell>
          <cell r="C80" t="str">
            <v>FKM</v>
          </cell>
          <cell r="D80">
            <v>5.4</v>
          </cell>
          <cell r="E80">
            <v>6.6</v>
          </cell>
          <cell r="I80" t="str">
            <v>ECO</v>
          </cell>
          <cell r="J80">
            <v>6.6</v>
          </cell>
          <cell r="K80">
            <v>10.5</v>
          </cell>
        </row>
        <row r="81">
          <cell r="B81" t="str">
            <v>HS6310-01-080</v>
          </cell>
          <cell r="C81" t="str">
            <v>FKM</v>
          </cell>
          <cell r="D81">
            <v>5.8</v>
          </cell>
          <cell r="E81">
            <v>7.2</v>
          </cell>
          <cell r="I81" t="str">
            <v>ECO</v>
          </cell>
          <cell r="J81">
            <v>7.2</v>
          </cell>
          <cell r="K81">
            <v>12.2</v>
          </cell>
          <cell r="L81" t="str">
            <v>테트론</v>
          </cell>
          <cell r="M81" t="str">
            <v>저속24추</v>
          </cell>
        </row>
        <row r="82">
          <cell r="B82" t="str">
            <v>HS6310-01-081</v>
          </cell>
          <cell r="C82" t="str">
            <v>FKM</v>
          </cell>
          <cell r="D82">
            <v>9</v>
          </cell>
          <cell r="E82">
            <v>10.199999999999999</v>
          </cell>
          <cell r="I82" t="str">
            <v>ECO</v>
          </cell>
          <cell r="J82">
            <v>10.199999999999999</v>
          </cell>
          <cell r="K82">
            <v>15</v>
          </cell>
          <cell r="L82" t="str">
            <v>테트론</v>
          </cell>
          <cell r="M82" t="str">
            <v>저속24추</v>
          </cell>
        </row>
        <row r="83">
          <cell r="B83" t="str">
            <v>HS6310-01-082</v>
          </cell>
          <cell r="C83" t="str">
            <v>FKM</v>
          </cell>
          <cell r="D83">
            <v>14</v>
          </cell>
          <cell r="E83">
            <v>15.2</v>
          </cell>
          <cell r="I83" t="str">
            <v>ECO</v>
          </cell>
          <cell r="J83">
            <v>15.2</v>
          </cell>
          <cell r="K83">
            <v>19</v>
          </cell>
        </row>
        <row r="84">
          <cell r="B84" t="str">
            <v>HS6310-01-083</v>
          </cell>
          <cell r="C84" t="str">
            <v>EPDM</v>
          </cell>
          <cell r="D84">
            <v>7.6</v>
          </cell>
          <cell r="E84">
            <v>11.8</v>
          </cell>
          <cell r="I84" t="str">
            <v>EPDM</v>
          </cell>
          <cell r="J84">
            <v>11.8</v>
          </cell>
          <cell r="K84">
            <v>15</v>
          </cell>
          <cell r="L84" t="str">
            <v>테트론</v>
          </cell>
          <cell r="M84" t="str">
            <v>저속24추</v>
          </cell>
        </row>
        <row r="85">
          <cell r="B85" t="str">
            <v>HS6310-01-084</v>
          </cell>
          <cell r="C85" t="str">
            <v>EPDM</v>
          </cell>
          <cell r="D85">
            <v>28</v>
          </cell>
          <cell r="E85">
            <v>34</v>
          </cell>
          <cell r="I85" t="str">
            <v>EPDM</v>
          </cell>
          <cell r="J85">
            <v>34</v>
          </cell>
          <cell r="K85">
            <v>38</v>
          </cell>
          <cell r="L85" t="str">
            <v>테트론</v>
          </cell>
          <cell r="M85" t="str">
            <v>저속40추</v>
          </cell>
        </row>
        <row r="86">
          <cell r="B86" t="str">
            <v>HS6310-01-085</v>
          </cell>
          <cell r="C86" t="str">
            <v>EPDM</v>
          </cell>
          <cell r="D86">
            <v>19.3</v>
          </cell>
          <cell r="E86">
            <v>23.5</v>
          </cell>
          <cell r="I86" t="str">
            <v>EPDM</v>
          </cell>
          <cell r="J86">
            <v>23.5</v>
          </cell>
          <cell r="K86">
            <v>26.9</v>
          </cell>
          <cell r="L86" t="str">
            <v>테트론</v>
          </cell>
          <cell r="M86" t="str">
            <v>저속32추</v>
          </cell>
        </row>
        <row r="87">
          <cell r="B87" t="str">
            <v>HS6310-01-086</v>
          </cell>
          <cell r="C87" t="str">
            <v>NBR내한</v>
          </cell>
          <cell r="D87">
            <v>7</v>
          </cell>
          <cell r="E87">
            <v>13</v>
          </cell>
          <cell r="I87" t="str">
            <v>CSM</v>
          </cell>
          <cell r="J87">
            <v>13</v>
          </cell>
          <cell r="K87">
            <v>14</v>
          </cell>
        </row>
        <row r="88">
          <cell r="B88" t="str">
            <v>HS6310-01-087</v>
          </cell>
          <cell r="C88" t="str">
            <v>NBR내한</v>
          </cell>
          <cell r="D88">
            <v>42</v>
          </cell>
          <cell r="E88">
            <v>51</v>
          </cell>
          <cell r="I88" t="str">
            <v>CSM</v>
          </cell>
          <cell r="J88">
            <v>51</v>
          </cell>
          <cell r="K88">
            <v>52</v>
          </cell>
        </row>
        <row r="89">
          <cell r="B89" t="str">
            <v>HS6310-01-088</v>
          </cell>
          <cell r="C89" t="str">
            <v>EPDM</v>
          </cell>
          <cell r="D89">
            <v>35</v>
          </cell>
          <cell r="E89">
            <v>39.200000000000003</v>
          </cell>
          <cell r="I89" t="str">
            <v>EPDM</v>
          </cell>
          <cell r="J89">
            <v>39.200000000000003</v>
          </cell>
          <cell r="K89">
            <v>43</v>
          </cell>
          <cell r="L89" t="str">
            <v>테트론</v>
          </cell>
          <cell r="M89" t="str">
            <v>저속40추</v>
          </cell>
        </row>
        <row r="90">
          <cell r="B90" t="str">
            <v>HS6310-01-089</v>
          </cell>
          <cell r="C90" t="str">
            <v>EPDM</v>
          </cell>
          <cell r="D90">
            <v>14</v>
          </cell>
          <cell r="E90">
            <v>18.399999999999999</v>
          </cell>
          <cell r="I90" t="str">
            <v>EPDM</v>
          </cell>
          <cell r="J90">
            <v>18.399999999999999</v>
          </cell>
          <cell r="K90">
            <v>22</v>
          </cell>
          <cell r="L90" t="str">
            <v>테트론</v>
          </cell>
          <cell r="M90" t="str">
            <v>저속24추</v>
          </cell>
        </row>
        <row r="91">
          <cell r="B91" t="str">
            <v>HS6310-01-090</v>
          </cell>
          <cell r="C91" t="str">
            <v>EAR</v>
          </cell>
          <cell r="D91">
            <v>7.6</v>
          </cell>
          <cell r="E91">
            <v>12</v>
          </cell>
          <cell r="I91" t="str">
            <v>EAR</v>
          </cell>
          <cell r="J91">
            <v>12</v>
          </cell>
          <cell r="K91">
            <v>15</v>
          </cell>
          <cell r="L91" t="str">
            <v>나일론</v>
          </cell>
          <cell r="M91" t="str">
            <v>저속8추</v>
          </cell>
        </row>
        <row r="92">
          <cell r="B92" t="str">
            <v>HS6310-01-091</v>
          </cell>
          <cell r="C92" t="str">
            <v>ACM</v>
          </cell>
          <cell r="D92">
            <v>16</v>
          </cell>
          <cell r="E92">
            <v>22</v>
          </cell>
        </row>
        <row r="93">
          <cell r="B93" t="str">
            <v>31473-27000</v>
          </cell>
          <cell r="C93" t="str">
            <v>NBR내한</v>
          </cell>
          <cell r="D93">
            <v>7.5</v>
          </cell>
          <cell r="E93">
            <v>11.5</v>
          </cell>
          <cell r="I93" t="str">
            <v>CR</v>
          </cell>
          <cell r="J93">
            <v>11.5</v>
          </cell>
          <cell r="K93">
            <v>14.5</v>
          </cell>
          <cell r="L93" t="str">
            <v>테트론</v>
          </cell>
          <cell r="M93" t="str">
            <v>저속24추</v>
          </cell>
        </row>
        <row r="94">
          <cell r="B94" t="str">
            <v>F85A-8B274-CA</v>
          </cell>
          <cell r="C94" t="str">
            <v>EPDM</v>
          </cell>
          <cell r="D94">
            <v>43.7</v>
          </cell>
          <cell r="E94">
            <v>48.9</v>
          </cell>
          <cell r="I94" t="str">
            <v>EPDM</v>
          </cell>
          <cell r="J94">
            <v>48.9</v>
          </cell>
          <cell r="K94">
            <v>53.6</v>
          </cell>
          <cell r="L94" t="str">
            <v>케브라</v>
          </cell>
          <cell r="M94" t="str">
            <v>저속32추</v>
          </cell>
        </row>
        <row r="95">
          <cell r="B95" t="str">
            <v>F8AC-8B274-AB</v>
          </cell>
          <cell r="C95" t="str">
            <v>EPDM</v>
          </cell>
          <cell r="D95">
            <v>37.299999999999997</v>
          </cell>
          <cell r="E95">
            <v>41.7</v>
          </cell>
          <cell r="I95" t="str">
            <v>EPDM</v>
          </cell>
          <cell r="J95">
            <v>41.7</v>
          </cell>
          <cell r="K95">
            <v>45.3</v>
          </cell>
          <cell r="L95" t="str">
            <v>테트론</v>
          </cell>
          <cell r="M95" t="str">
            <v>32CR</v>
          </cell>
        </row>
        <row r="96">
          <cell r="B96" t="str">
            <v>F77H-18D334-BC</v>
          </cell>
          <cell r="C96" t="str">
            <v>EPDM</v>
          </cell>
          <cell r="D96">
            <v>16</v>
          </cell>
          <cell r="E96">
            <v>20.399999999999999</v>
          </cell>
          <cell r="I96" t="str">
            <v>EPDM</v>
          </cell>
          <cell r="J96">
            <v>20.399999999999999</v>
          </cell>
          <cell r="K96">
            <v>24</v>
          </cell>
          <cell r="L96" t="str">
            <v>케브라</v>
          </cell>
          <cell r="M96" t="str">
            <v>24CR</v>
          </cell>
        </row>
        <row r="97">
          <cell r="B97" t="str">
            <v>F8AH-18K579-AC</v>
          </cell>
          <cell r="C97" t="str">
            <v>EPDM</v>
          </cell>
          <cell r="D97">
            <v>19.100000000000001</v>
          </cell>
          <cell r="E97">
            <v>23.7</v>
          </cell>
          <cell r="I97" t="str">
            <v>EPDM</v>
          </cell>
          <cell r="J97">
            <v>23.7</v>
          </cell>
          <cell r="K97">
            <v>27.5</v>
          </cell>
          <cell r="L97" t="str">
            <v>케브라</v>
          </cell>
          <cell r="M97" t="str">
            <v>24CR</v>
          </cell>
        </row>
        <row r="98">
          <cell r="B98" t="str">
            <v>F8VH-18K580-AB</v>
          </cell>
          <cell r="C98" t="str">
            <v>EPDM</v>
          </cell>
          <cell r="D98">
            <v>16</v>
          </cell>
          <cell r="E98">
            <v>20.399999999999999</v>
          </cell>
          <cell r="I98" t="str">
            <v>EPDM</v>
          </cell>
          <cell r="J98">
            <v>20.399999999999999</v>
          </cell>
          <cell r="K98">
            <v>24</v>
          </cell>
          <cell r="L98" t="str">
            <v>케브라</v>
          </cell>
          <cell r="M98" t="str">
            <v>24CR</v>
          </cell>
        </row>
        <row r="99">
          <cell r="B99" t="str">
            <v>F81A-8W005-AB</v>
          </cell>
          <cell r="C99" t="str">
            <v>EPDM</v>
          </cell>
          <cell r="D99">
            <v>8.9</v>
          </cell>
          <cell r="E99">
            <v>13.1</v>
          </cell>
          <cell r="I99" t="str">
            <v>EPDM</v>
          </cell>
          <cell r="J99">
            <v>13.1</v>
          </cell>
          <cell r="K99">
            <v>16.5</v>
          </cell>
          <cell r="L99" t="str">
            <v>테트론</v>
          </cell>
          <cell r="M99" t="str">
            <v>32CR</v>
          </cell>
        </row>
        <row r="100">
          <cell r="B100" t="str">
            <v>F81A-8C351-AD</v>
          </cell>
          <cell r="C100" t="str">
            <v>EPDM</v>
          </cell>
          <cell r="D100">
            <v>24.7</v>
          </cell>
          <cell r="E100">
            <v>29.9</v>
          </cell>
          <cell r="I100" t="str">
            <v>EPDM</v>
          </cell>
          <cell r="J100">
            <v>29.9</v>
          </cell>
          <cell r="K100">
            <v>34.5</v>
          </cell>
          <cell r="L100" t="str">
            <v>케브라</v>
          </cell>
          <cell r="M100" t="str">
            <v>32CR</v>
          </cell>
        </row>
        <row r="101">
          <cell r="B101" t="str">
            <v>0K2N1 43 790A</v>
          </cell>
          <cell r="C101" t="str">
            <v>내열NBR</v>
          </cell>
          <cell r="D101">
            <v>8.73</v>
          </cell>
          <cell r="E101">
            <v>13.53</v>
          </cell>
          <cell r="I101" t="str">
            <v>CR</v>
          </cell>
          <cell r="J101">
            <v>13.53</v>
          </cell>
          <cell r="K101">
            <v>17.46</v>
          </cell>
          <cell r="L101" t="str">
            <v>테트론</v>
          </cell>
          <cell r="M101" t="str">
            <v>저속24추</v>
          </cell>
        </row>
        <row r="102">
          <cell r="B102" t="str">
            <v>K99357 08 150</v>
          </cell>
          <cell r="C102" t="str">
            <v>EPDM</v>
          </cell>
          <cell r="D102">
            <v>37.299999999999997</v>
          </cell>
          <cell r="E102">
            <v>41.7</v>
          </cell>
          <cell r="I102" t="str">
            <v>EPDM</v>
          </cell>
          <cell r="J102">
            <v>41.7</v>
          </cell>
          <cell r="K102">
            <v>45.3</v>
          </cell>
          <cell r="L102" t="str">
            <v>테트론</v>
          </cell>
          <cell r="M102" t="str">
            <v>32CR</v>
          </cell>
        </row>
        <row r="103">
          <cell r="B103" t="str">
            <v>K99357 08 150</v>
          </cell>
          <cell r="C103" t="str">
            <v>NBR내한</v>
          </cell>
          <cell r="D103">
            <v>6.9</v>
          </cell>
          <cell r="E103">
            <v>12.5</v>
          </cell>
          <cell r="I103" t="str">
            <v>CSM</v>
          </cell>
          <cell r="J103">
            <v>12.5</v>
          </cell>
          <cell r="K103">
            <v>13.5</v>
          </cell>
          <cell r="L103" t="str">
            <v>케브라</v>
          </cell>
          <cell r="M103" t="str">
            <v>24CR</v>
          </cell>
        </row>
        <row r="104">
          <cell r="B104" t="str">
            <v>K99357 08 220</v>
          </cell>
          <cell r="C104" t="str">
            <v>NBR내한</v>
          </cell>
          <cell r="D104">
            <v>6.9</v>
          </cell>
          <cell r="E104">
            <v>12.5</v>
          </cell>
          <cell r="I104" t="str">
            <v>CSM</v>
          </cell>
          <cell r="J104">
            <v>12.5</v>
          </cell>
          <cell r="K104">
            <v>13.5</v>
          </cell>
          <cell r="L104" t="str">
            <v>케브라</v>
          </cell>
          <cell r="M104" t="str">
            <v>24CR</v>
          </cell>
        </row>
        <row r="105">
          <cell r="B105" t="str">
            <v>0K2A5 43 490A</v>
          </cell>
          <cell r="C105" t="str">
            <v>내열NBR</v>
          </cell>
          <cell r="D105">
            <v>8.73</v>
          </cell>
          <cell r="E105">
            <v>13.53</v>
          </cell>
          <cell r="I105" t="str">
            <v>CR</v>
          </cell>
          <cell r="J105">
            <v>13.53</v>
          </cell>
          <cell r="K105">
            <v>17.46</v>
          </cell>
          <cell r="L105" t="str">
            <v>테트론</v>
          </cell>
          <cell r="M105" t="str">
            <v>저속24추</v>
          </cell>
        </row>
        <row r="106">
          <cell r="B106" t="str">
            <v>0K9BV 15 184D</v>
          </cell>
          <cell r="C106" t="str">
            <v>EPDM</v>
          </cell>
          <cell r="D106">
            <v>8.9</v>
          </cell>
          <cell r="E106">
            <v>13.1</v>
          </cell>
          <cell r="I106" t="str">
            <v>EPDM</v>
          </cell>
          <cell r="J106">
            <v>13.1</v>
          </cell>
          <cell r="K106">
            <v>16.5</v>
          </cell>
          <cell r="L106" t="str">
            <v>테트론</v>
          </cell>
          <cell r="M106" t="str">
            <v>32CR</v>
          </cell>
        </row>
        <row r="107">
          <cell r="B107" t="str">
            <v>0K9BV 15 184D</v>
          </cell>
          <cell r="C107" t="str">
            <v>EPDM</v>
          </cell>
          <cell r="D107">
            <v>34</v>
          </cell>
          <cell r="E107">
            <v>38</v>
          </cell>
          <cell r="I107" t="str">
            <v>EPDM</v>
          </cell>
          <cell r="J107">
            <v>38</v>
          </cell>
          <cell r="K107">
            <v>42</v>
          </cell>
          <cell r="L107" t="str">
            <v>테트론</v>
          </cell>
          <cell r="M107" t="str">
            <v>저속40추</v>
          </cell>
        </row>
        <row r="108">
          <cell r="B108" t="str">
            <v>HS6310-03-001</v>
          </cell>
          <cell r="C108" t="str">
            <v>내열NBR</v>
          </cell>
          <cell r="D108">
            <v>8.73</v>
          </cell>
          <cell r="E108">
            <v>13.53</v>
          </cell>
          <cell r="I108" t="str">
            <v>CR</v>
          </cell>
          <cell r="J108">
            <v>13.53</v>
          </cell>
          <cell r="K108">
            <v>17.46</v>
          </cell>
          <cell r="L108" t="str">
            <v>테트론</v>
          </cell>
          <cell r="M108" t="str">
            <v>저속24추</v>
          </cell>
        </row>
        <row r="109">
          <cell r="B109" t="str">
            <v>HS6310-03-002</v>
          </cell>
          <cell r="C109" t="str">
            <v>NBR내한</v>
          </cell>
          <cell r="D109">
            <v>5.8</v>
          </cell>
          <cell r="E109">
            <v>12.2</v>
          </cell>
        </row>
        <row r="110">
          <cell r="B110" t="str">
            <v>HS6310-03-003</v>
          </cell>
          <cell r="C110" t="str">
            <v>NBR내한</v>
          </cell>
          <cell r="D110">
            <v>3.7</v>
          </cell>
          <cell r="E110">
            <v>8.3000000000000007</v>
          </cell>
          <cell r="I110" t="str">
            <v>CSM</v>
          </cell>
          <cell r="J110">
            <v>8.3000000000000007</v>
          </cell>
          <cell r="K110">
            <v>9.6999999999999993</v>
          </cell>
        </row>
        <row r="111">
          <cell r="B111" t="str">
            <v>HS6310-03-004</v>
          </cell>
          <cell r="C111" t="str">
            <v>NBR내한</v>
          </cell>
          <cell r="D111">
            <v>9.3000000000000007</v>
          </cell>
          <cell r="E111">
            <v>15.3</v>
          </cell>
          <cell r="I111" t="str">
            <v>CSM</v>
          </cell>
          <cell r="J111">
            <v>15.3</v>
          </cell>
          <cell r="K111">
            <v>16.3</v>
          </cell>
        </row>
        <row r="112">
          <cell r="B112" t="str">
            <v>HS6310-03-005</v>
          </cell>
          <cell r="C112" t="str">
            <v>NBR내한</v>
          </cell>
          <cell r="D112">
            <v>24</v>
          </cell>
          <cell r="E112">
            <v>32</v>
          </cell>
          <cell r="I112" t="str">
            <v>CR</v>
          </cell>
          <cell r="J112">
            <v>13.53</v>
          </cell>
          <cell r="K112">
            <v>17.46</v>
          </cell>
          <cell r="L112" t="str">
            <v>테트론</v>
          </cell>
          <cell r="M112" t="str">
            <v>저속24추</v>
          </cell>
        </row>
        <row r="113">
          <cell r="B113" t="str">
            <v>HS6310-03-006</v>
          </cell>
          <cell r="C113" t="str">
            <v>내열NBR</v>
          </cell>
          <cell r="D113">
            <v>8</v>
          </cell>
          <cell r="E113">
            <v>14</v>
          </cell>
        </row>
        <row r="114">
          <cell r="B114" t="str">
            <v>HS6310-03-007</v>
          </cell>
          <cell r="C114" t="str">
            <v>내열NBR</v>
          </cell>
          <cell r="D114">
            <v>12</v>
          </cell>
          <cell r="E114">
            <v>18.399999999999999</v>
          </cell>
          <cell r="I114" t="str">
            <v>EPDM</v>
          </cell>
          <cell r="J114">
            <v>18.399999999999999</v>
          </cell>
          <cell r="K114">
            <v>22</v>
          </cell>
          <cell r="L114" t="str">
            <v>테트론</v>
          </cell>
          <cell r="M114" t="str">
            <v>저속24추</v>
          </cell>
        </row>
        <row r="115">
          <cell r="B115" t="str">
            <v>HS6310-03-008</v>
          </cell>
          <cell r="C115" t="str">
            <v>내열NBR</v>
          </cell>
          <cell r="D115">
            <v>9</v>
          </cell>
          <cell r="E115">
            <v>14.4</v>
          </cell>
          <cell r="I115" t="str">
            <v>CSM</v>
          </cell>
          <cell r="J115">
            <v>14.4</v>
          </cell>
          <cell r="K115">
            <v>18</v>
          </cell>
          <cell r="L115" t="str">
            <v>테트론</v>
          </cell>
          <cell r="M115" t="str">
            <v>저속24추</v>
          </cell>
        </row>
        <row r="116">
          <cell r="B116" t="str">
            <v>HS6310-03-009</v>
          </cell>
          <cell r="C116" t="str">
            <v>NBR내한</v>
          </cell>
          <cell r="D116">
            <v>3.7</v>
          </cell>
          <cell r="E116">
            <v>8.3000000000000007</v>
          </cell>
        </row>
        <row r="117">
          <cell r="B117" t="str">
            <v>HS6310-03-010</v>
          </cell>
          <cell r="C117" t="str">
            <v>내열NBR</v>
          </cell>
          <cell r="D117">
            <v>11.5</v>
          </cell>
          <cell r="E117">
            <v>16.899999999999999</v>
          </cell>
          <cell r="I117" t="str">
            <v>CSM</v>
          </cell>
          <cell r="J117">
            <v>16.899999999999999</v>
          </cell>
          <cell r="K117">
            <v>20.5</v>
          </cell>
          <cell r="L117" t="str">
            <v>테트론</v>
          </cell>
          <cell r="M117" t="str">
            <v>저속32추</v>
          </cell>
        </row>
        <row r="118">
          <cell r="B118" t="str">
            <v>HS6310-03-011</v>
          </cell>
          <cell r="C118" t="str">
            <v>내열NBR</v>
          </cell>
          <cell r="D118">
            <v>17</v>
          </cell>
          <cell r="E118">
            <v>23.4</v>
          </cell>
          <cell r="I118" t="str">
            <v>CSM</v>
          </cell>
          <cell r="J118">
            <v>23.4</v>
          </cell>
          <cell r="K118">
            <v>27</v>
          </cell>
          <cell r="L118" t="str">
            <v>테트론</v>
          </cell>
          <cell r="M118" t="str">
            <v>저속32추</v>
          </cell>
        </row>
        <row r="119">
          <cell r="B119" t="str">
            <v>HS6310-03-012</v>
          </cell>
          <cell r="C119" t="str">
            <v>내열NBR</v>
          </cell>
          <cell r="D119">
            <v>14.5</v>
          </cell>
          <cell r="E119">
            <v>20.100000000000001</v>
          </cell>
          <cell r="I119" t="str">
            <v>CSM</v>
          </cell>
          <cell r="J119">
            <v>20.100000000000001</v>
          </cell>
          <cell r="K119">
            <v>24.5</v>
          </cell>
          <cell r="L119" t="str">
            <v>테트론</v>
          </cell>
          <cell r="M119" t="str">
            <v>저속24추</v>
          </cell>
        </row>
        <row r="120">
          <cell r="B120" t="str">
            <v>HS6310-03-013</v>
          </cell>
          <cell r="C120" t="str">
            <v>EPDM</v>
          </cell>
          <cell r="D120">
            <v>7</v>
          </cell>
          <cell r="E120">
            <v>9.6</v>
          </cell>
          <cell r="I120" t="str">
            <v>EPDM</v>
          </cell>
          <cell r="J120">
            <v>9.6</v>
          </cell>
          <cell r="K120">
            <v>13</v>
          </cell>
          <cell r="L120" t="str">
            <v>테트론</v>
          </cell>
          <cell r="M120" t="str">
            <v>저속24추</v>
          </cell>
        </row>
        <row r="121">
          <cell r="B121" t="str">
            <v>HS6310-03-014</v>
          </cell>
          <cell r="C121" t="str">
            <v>EPDM</v>
          </cell>
          <cell r="D121">
            <v>16</v>
          </cell>
          <cell r="E121">
            <v>20.399999999999999</v>
          </cell>
          <cell r="I121" t="str">
            <v>EPDM</v>
          </cell>
          <cell r="J121">
            <v>20.399999999999999</v>
          </cell>
          <cell r="K121">
            <v>24</v>
          </cell>
          <cell r="L121" t="str">
            <v>테트론</v>
          </cell>
          <cell r="M121" t="str">
            <v>저속32추</v>
          </cell>
        </row>
        <row r="122">
          <cell r="B122" t="str">
            <v>HS6310-03-015</v>
          </cell>
          <cell r="C122" t="str">
            <v>NBR내한</v>
          </cell>
          <cell r="D122">
            <v>15</v>
          </cell>
          <cell r="E122">
            <v>22</v>
          </cell>
          <cell r="I122" t="str">
            <v>CR</v>
          </cell>
          <cell r="J122">
            <v>22</v>
          </cell>
          <cell r="K122">
            <v>27</v>
          </cell>
          <cell r="L122" t="str">
            <v>테트론</v>
          </cell>
          <cell r="M122" t="str">
            <v>저속32추</v>
          </cell>
        </row>
        <row r="123">
          <cell r="B123" t="str">
            <v>HS6310-03-016</v>
          </cell>
          <cell r="C123" t="str">
            <v>NBR내한</v>
          </cell>
          <cell r="D123">
            <v>13.3</v>
          </cell>
          <cell r="E123">
            <v>19.3</v>
          </cell>
          <cell r="I123" t="str">
            <v>CSM</v>
          </cell>
          <cell r="J123">
            <v>19.3</v>
          </cell>
          <cell r="K123">
            <v>20.3</v>
          </cell>
        </row>
        <row r="124">
          <cell r="B124" t="str">
            <v>HS6310-03-017</v>
          </cell>
          <cell r="C124" t="str">
            <v>내열NBR</v>
          </cell>
          <cell r="D124">
            <v>11.5</v>
          </cell>
          <cell r="E124">
            <v>16.899999999999999</v>
          </cell>
          <cell r="I124" t="str">
            <v>CSM</v>
          </cell>
          <cell r="J124">
            <v>16.899999999999999</v>
          </cell>
          <cell r="K124">
            <v>20.5</v>
          </cell>
          <cell r="L124" t="str">
            <v>테트론</v>
          </cell>
          <cell r="M124" t="str">
            <v>저속32추</v>
          </cell>
        </row>
        <row r="125">
          <cell r="B125" t="str">
            <v>HS6310-03-018</v>
          </cell>
          <cell r="C125" t="str">
            <v>내열NBR</v>
          </cell>
          <cell r="D125">
            <v>17</v>
          </cell>
          <cell r="E125">
            <v>23.4</v>
          </cell>
          <cell r="I125" t="str">
            <v>CSM</v>
          </cell>
          <cell r="J125">
            <v>23.4</v>
          </cell>
          <cell r="K125">
            <v>27</v>
          </cell>
          <cell r="L125" t="str">
            <v>테트론</v>
          </cell>
          <cell r="M125" t="str">
            <v>저속32추</v>
          </cell>
        </row>
        <row r="126">
          <cell r="B126" t="str">
            <v>HS6310-03-019</v>
          </cell>
          <cell r="C126" t="str">
            <v>내열NBR</v>
          </cell>
          <cell r="D126">
            <v>14.5</v>
          </cell>
          <cell r="E126">
            <v>20.100000000000001</v>
          </cell>
          <cell r="I126" t="str">
            <v>CSM</v>
          </cell>
          <cell r="J126">
            <v>20.100000000000001</v>
          </cell>
          <cell r="K126">
            <v>24.5</v>
          </cell>
          <cell r="L126" t="str">
            <v>테트론</v>
          </cell>
          <cell r="M126" t="str">
            <v>저속24추</v>
          </cell>
        </row>
        <row r="127">
          <cell r="B127" t="str">
            <v>HS6310-03-020</v>
          </cell>
          <cell r="C127" t="str">
            <v>EPDM</v>
          </cell>
          <cell r="D127">
            <v>7</v>
          </cell>
          <cell r="E127">
            <v>9.6</v>
          </cell>
          <cell r="I127" t="str">
            <v>EPDM</v>
          </cell>
          <cell r="J127">
            <v>9.6</v>
          </cell>
          <cell r="K127">
            <v>13</v>
          </cell>
          <cell r="L127" t="str">
            <v>테트론</v>
          </cell>
          <cell r="M127" t="str">
            <v>저속24추</v>
          </cell>
        </row>
        <row r="128">
          <cell r="B128" t="str">
            <v>HS6310-03-021</v>
          </cell>
          <cell r="C128" t="str">
            <v>EPDM</v>
          </cell>
          <cell r="D128">
            <v>16</v>
          </cell>
          <cell r="E128">
            <v>20.399999999999999</v>
          </cell>
          <cell r="I128" t="str">
            <v>EPDM</v>
          </cell>
          <cell r="J128">
            <v>20.399999999999999</v>
          </cell>
          <cell r="K128">
            <v>24</v>
          </cell>
          <cell r="L128" t="str">
            <v>테트론</v>
          </cell>
          <cell r="M128" t="str">
            <v>저속32추</v>
          </cell>
        </row>
        <row r="129">
          <cell r="B129" t="str">
            <v>HS6310-03-022</v>
          </cell>
          <cell r="C129" t="str">
            <v>NBR내한</v>
          </cell>
          <cell r="D129">
            <v>15</v>
          </cell>
          <cell r="E129">
            <v>22</v>
          </cell>
          <cell r="I129" t="str">
            <v>CR</v>
          </cell>
          <cell r="J129">
            <v>22</v>
          </cell>
          <cell r="K129">
            <v>27</v>
          </cell>
          <cell r="L129" t="str">
            <v>테트론</v>
          </cell>
          <cell r="M129" t="str">
            <v>저속32추</v>
          </cell>
        </row>
        <row r="130">
          <cell r="B130" t="str">
            <v>HS6310-03-023</v>
          </cell>
          <cell r="C130" t="str">
            <v>NBR내한</v>
          </cell>
          <cell r="D130">
            <v>13.3</v>
          </cell>
          <cell r="E130">
            <v>19.3</v>
          </cell>
          <cell r="I130" t="str">
            <v>CSM</v>
          </cell>
          <cell r="J130">
            <v>19.3</v>
          </cell>
          <cell r="K130">
            <v>20.3</v>
          </cell>
        </row>
        <row r="131">
          <cell r="B131" t="str">
            <v>HS6310-03-024</v>
          </cell>
        </row>
        <row r="132">
          <cell r="B132" t="str">
            <v>HS6310-03-025</v>
          </cell>
        </row>
        <row r="133">
          <cell r="B133" t="str">
            <v>HS6310-03-026</v>
          </cell>
        </row>
        <row r="134">
          <cell r="B134" t="str">
            <v>HS6310-03-027</v>
          </cell>
        </row>
        <row r="135">
          <cell r="B135" t="str">
            <v>HS6310-03-028</v>
          </cell>
        </row>
        <row r="136">
          <cell r="B136" t="str">
            <v>HS6310-03-029</v>
          </cell>
        </row>
        <row r="137">
          <cell r="B137" t="str">
            <v>HS6310-03-030</v>
          </cell>
        </row>
        <row r="138">
          <cell r="B138" t="str">
            <v>HS6310-03-031</v>
          </cell>
        </row>
        <row r="139">
          <cell r="B139" t="str">
            <v>HS6310-03-032</v>
          </cell>
        </row>
        <row r="140">
          <cell r="B140" t="str">
            <v>HS6310-03-033</v>
          </cell>
        </row>
        <row r="141">
          <cell r="B141" t="str">
            <v>HS6310-03-034</v>
          </cell>
        </row>
        <row r="142">
          <cell r="B142" t="str">
            <v>HS6310-03-035</v>
          </cell>
        </row>
        <row r="143">
          <cell r="B143" t="str">
            <v>HS6310-03-036</v>
          </cell>
        </row>
        <row r="144">
          <cell r="B144" t="str">
            <v>HS6310-03-037</v>
          </cell>
        </row>
        <row r="145">
          <cell r="B145" t="str">
            <v>HS6310-03-038</v>
          </cell>
        </row>
        <row r="146">
          <cell r="B146" t="str">
            <v>HS6310-03-039</v>
          </cell>
        </row>
        <row r="147">
          <cell r="B147" t="str">
            <v>HS6310-03-040</v>
          </cell>
        </row>
        <row r="148">
          <cell r="B148" t="str">
            <v>HS6310-03-041</v>
          </cell>
        </row>
        <row r="149">
          <cell r="B149" t="str">
            <v>HS6310-03-042</v>
          </cell>
        </row>
        <row r="150">
          <cell r="B150" t="str">
            <v>HS6310-03-043</v>
          </cell>
        </row>
        <row r="151">
          <cell r="B151" t="str">
            <v>HS6310-03-044</v>
          </cell>
        </row>
        <row r="152">
          <cell r="B152" t="str">
            <v>HS6310-03-045</v>
          </cell>
        </row>
        <row r="153">
          <cell r="B153" t="str">
            <v>HS6310-03-046</v>
          </cell>
        </row>
        <row r="154">
          <cell r="B154" t="str">
            <v>HS6310-03-047</v>
          </cell>
        </row>
        <row r="155">
          <cell r="B155" t="str">
            <v>HS6310-03-048</v>
          </cell>
        </row>
        <row r="156">
          <cell r="B156" t="str">
            <v>HS6310-03-049</v>
          </cell>
        </row>
        <row r="157">
          <cell r="B157" t="str">
            <v>HS6310-03-050</v>
          </cell>
        </row>
        <row r="158">
          <cell r="B158" t="str">
            <v>HS6310-03-051</v>
          </cell>
        </row>
        <row r="159">
          <cell r="B159" t="str">
            <v>HS6310-03-052</v>
          </cell>
        </row>
        <row r="160">
          <cell r="B160" t="str">
            <v>HS6310-03-053</v>
          </cell>
        </row>
        <row r="161">
          <cell r="B161" t="str">
            <v>HS6310-03-054</v>
          </cell>
        </row>
        <row r="162">
          <cell r="B162" t="str">
            <v>HS6310-03-055</v>
          </cell>
        </row>
        <row r="163">
          <cell r="B163" t="str">
            <v>HS6310-03-056</v>
          </cell>
        </row>
        <row r="164">
          <cell r="B164" t="str">
            <v>HS6310-03-057</v>
          </cell>
        </row>
        <row r="165">
          <cell r="B165" t="str">
            <v>HS6310-03-058</v>
          </cell>
        </row>
        <row r="166">
          <cell r="B166" t="str">
            <v>HS6310-03-059</v>
          </cell>
        </row>
        <row r="167">
          <cell r="B167" t="str">
            <v>HS6310-03-060</v>
          </cell>
        </row>
        <row r="168">
          <cell r="B168" t="str">
            <v>HS6310-03-061</v>
          </cell>
        </row>
        <row r="169">
          <cell r="B169" t="str">
            <v>HS6310-03-062</v>
          </cell>
        </row>
        <row r="170">
          <cell r="B170" t="str">
            <v>HS6310-03-063</v>
          </cell>
        </row>
        <row r="171">
          <cell r="B171" t="str">
            <v>HS6310-03-064</v>
          </cell>
        </row>
        <row r="172">
          <cell r="B172" t="str">
            <v>HS6310-03-065</v>
          </cell>
        </row>
        <row r="173">
          <cell r="B173" t="str">
            <v>HS6310-03-066</v>
          </cell>
        </row>
        <row r="174">
          <cell r="B174" t="str">
            <v>HS6310-03-067</v>
          </cell>
        </row>
        <row r="175">
          <cell r="B175" t="str">
            <v>HS6310-03-068</v>
          </cell>
        </row>
        <row r="176">
          <cell r="B176" t="str">
            <v>HS6310-03-069</v>
          </cell>
        </row>
        <row r="177">
          <cell r="B177" t="str">
            <v>HS6310-03-070</v>
          </cell>
        </row>
        <row r="178">
          <cell r="B178" t="str">
            <v>HS6310-03-071</v>
          </cell>
        </row>
        <row r="179">
          <cell r="B179" t="str">
            <v>HS6310-03-072</v>
          </cell>
        </row>
        <row r="180">
          <cell r="B180" t="str">
            <v>HS6310-03-073</v>
          </cell>
        </row>
        <row r="181">
          <cell r="B181" t="str">
            <v>HS6310-03-074</v>
          </cell>
        </row>
        <row r="182">
          <cell r="B182" t="str">
            <v>HS6310-03-075</v>
          </cell>
        </row>
        <row r="183">
          <cell r="B183" t="str">
            <v>HS6310-03-076</v>
          </cell>
        </row>
        <row r="184">
          <cell r="B184" t="str">
            <v>HS6310-03-077</v>
          </cell>
        </row>
        <row r="185">
          <cell r="B185" t="str">
            <v>HS6310-03-078</v>
          </cell>
        </row>
        <row r="186">
          <cell r="B186" t="str">
            <v>HS6310-03-079</v>
          </cell>
        </row>
        <row r="187">
          <cell r="B187" t="str">
            <v>HS6310-03-080</v>
          </cell>
        </row>
        <row r="188">
          <cell r="B188" t="str">
            <v>HS6310-03-081</v>
          </cell>
        </row>
        <row r="189">
          <cell r="B189" t="str">
            <v>HS6310-03-082</v>
          </cell>
        </row>
        <row r="190">
          <cell r="B190" t="str">
            <v>31146-1A000</v>
          </cell>
          <cell r="C190" t="str">
            <v>NBR내한</v>
          </cell>
          <cell r="D190">
            <v>5.4</v>
          </cell>
          <cell r="E190">
            <v>9.6999999999999993</v>
          </cell>
          <cell r="I190" t="str">
            <v>CSM</v>
          </cell>
          <cell r="J190">
            <v>9.6999999999999993</v>
          </cell>
          <cell r="K190">
            <v>10.5</v>
          </cell>
        </row>
        <row r="191">
          <cell r="B191" t="str">
            <v>59130-3B030</v>
          </cell>
          <cell r="C191" t="str">
            <v>EPDM</v>
          </cell>
          <cell r="D191">
            <v>19</v>
          </cell>
          <cell r="E191">
            <v>23</v>
          </cell>
        </row>
        <row r="192">
          <cell r="B192" t="str">
            <v>25411-02000</v>
          </cell>
          <cell r="C192" t="str">
            <v>EPDM</v>
          </cell>
          <cell r="D192">
            <v>28</v>
          </cell>
          <cell r="E192">
            <v>33</v>
          </cell>
          <cell r="I192" t="str">
            <v>EPDM</v>
          </cell>
          <cell r="J192">
            <v>33</v>
          </cell>
          <cell r="K192">
            <v>36</v>
          </cell>
          <cell r="L192" t="str">
            <v>테트론</v>
          </cell>
          <cell r="M192" t="str">
            <v>저속40추</v>
          </cell>
        </row>
        <row r="193">
          <cell r="B193" t="str">
            <v>59130-3B030 PAD</v>
          </cell>
          <cell r="C193" t="str">
            <v>EPDM</v>
          </cell>
          <cell r="D193">
            <v>19</v>
          </cell>
          <cell r="E193">
            <v>23</v>
          </cell>
        </row>
        <row r="194">
          <cell r="B194" t="str">
            <v>57530-1A600</v>
          </cell>
          <cell r="C194" t="str">
            <v>내열NBR</v>
          </cell>
          <cell r="D194">
            <v>14</v>
          </cell>
          <cell r="E194">
            <v>18.399999999999999</v>
          </cell>
          <cell r="I194" t="str">
            <v>CSM</v>
          </cell>
          <cell r="J194">
            <v>18.399999999999999</v>
          </cell>
          <cell r="K194">
            <v>22</v>
          </cell>
          <cell r="L194" t="str">
            <v>테트론</v>
          </cell>
          <cell r="M194" t="str">
            <v>저속24추</v>
          </cell>
        </row>
        <row r="195">
          <cell r="B195" t="str">
            <v>31040-H1030</v>
          </cell>
          <cell r="C195" t="str">
            <v>NBR내한</v>
          </cell>
          <cell r="D195">
            <v>42</v>
          </cell>
          <cell r="E195">
            <v>50.9</v>
          </cell>
          <cell r="I195" t="str">
            <v>CSM</v>
          </cell>
          <cell r="J195">
            <v>50.9</v>
          </cell>
          <cell r="K195">
            <v>52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B1" t="str">
            <v>EPDM</v>
          </cell>
          <cell r="C1" t="str">
            <v>SBR</v>
          </cell>
          <cell r="D1" t="str">
            <v>NBR내한</v>
          </cell>
          <cell r="E1" t="str">
            <v>H-NBR</v>
          </cell>
          <cell r="F1" t="str">
            <v>내열NBR</v>
          </cell>
          <cell r="G1" t="str">
            <v>CR</v>
          </cell>
          <cell r="H1" t="str">
            <v>ACM</v>
          </cell>
          <cell r="I1" t="str">
            <v>ECO</v>
          </cell>
          <cell r="J1" t="str">
            <v>이중압출</v>
          </cell>
          <cell r="K1" t="str">
            <v>외면압출</v>
          </cell>
        </row>
        <row r="2">
          <cell r="B2">
            <v>35</v>
          </cell>
          <cell r="C2">
            <v>35</v>
          </cell>
          <cell r="D2">
            <v>30</v>
          </cell>
          <cell r="E2">
            <v>30</v>
          </cell>
          <cell r="F2">
            <v>30</v>
          </cell>
          <cell r="G2">
            <v>30</v>
          </cell>
          <cell r="H2">
            <v>36</v>
          </cell>
          <cell r="I2">
            <v>36</v>
          </cell>
          <cell r="J2">
            <v>50</v>
          </cell>
          <cell r="K2">
            <v>40</v>
          </cell>
        </row>
        <row r="8">
          <cell r="B8">
            <v>12.9</v>
          </cell>
          <cell r="C8">
            <v>13.3</v>
          </cell>
          <cell r="D8">
            <v>13.9</v>
          </cell>
          <cell r="E8">
            <v>15</v>
          </cell>
          <cell r="F8">
            <v>16.399999999999999</v>
          </cell>
          <cell r="G8">
            <v>18</v>
          </cell>
          <cell r="H8">
            <v>20</v>
          </cell>
          <cell r="I8">
            <v>22.5</v>
          </cell>
        </row>
        <row r="9">
          <cell r="B9">
            <v>14.4</v>
          </cell>
          <cell r="C9">
            <v>15</v>
          </cell>
          <cell r="D9">
            <v>16.399999999999999</v>
          </cell>
          <cell r="E9">
            <v>18</v>
          </cell>
          <cell r="F9">
            <v>19</v>
          </cell>
          <cell r="G9">
            <v>21.2</v>
          </cell>
          <cell r="H9">
            <v>25.7</v>
          </cell>
          <cell r="I9">
            <v>30</v>
          </cell>
        </row>
        <row r="10">
          <cell r="B10">
            <v>15</v>
          </cell>
          <cell r="C10">
            <v>18</v>
          </cell>
          <cell r="D10">
            <v>19</v>
          </cell>
          <cell r="E10">
            <v>20.6</v>
          </cell>
          <cell r="F10">
            <v>22.5</v>
          </cell>
          <cell r="G10">
            <v>25.7</v>
          </cell>
          <cell r="H10">
            <v>30</v>
          </cell>
          <cell r="I10">
            <v>32.700000000000003</v>
          </cell>
        </row>
        <row r="11">
          <cell r="B11">
            <v>18</v>
          </cell>
          <cell r="C11">
            <v>19</v>
          </cell>
          <cell r="D11">
            <v>20.6</v>
          </cell>
          <cell r="E11">
            <v>22.5</v>
          </cell>
          <cell r="F11">
            <v>25.7</v>
          </cell>
          <cell r="G11">
            <v>30</v>
          </cell>
          <cell r="H11">
            <v>32.700000000000003</v>
          </cell>
          <cell r="I11">
            <v>36</v>
          </cell>
        </row>
        <row r="12">
          <cell r="B12">
            <v>19</v>
          </cell>
          <cell r="C12">
            <v>20</v>
          </cell>
          <cell r="D12">
            <v>22.5</v>
          </cell>
          <cell r="E12">
            <v>25.7</v>
          </cell>
          <cell r="F12">
            <v>30</v>
          </cell>
          <cell r="G12">
            <v>36</v>
          </cell>
          <cell r="H12">
            <v>40</v>
          </cell>
          <cell r="I12">
            <v>45</v>
          </cell>
        </row>
        <row r="15">
          <cell r="B15">
            <v>12.9</v>
          </cell>
          <cell r="C15">
            <v>12.9</v>
          </cell>
          <cell r="D15">
            <v>13.3</v>
          </cell>
          <cell r="E15">
            <v>13.9</v>
          </cell>
          <cell r="F15">
            <v>14.4</v>
          </cell>
          <cell r="G15">
            <v>17.100000000000001</v>
          </cell>
          <cell r="H15">
            <v>20</v>
          </cell>
          <cell r="I15">
            <v>22.5</v>
          </cell>
        </row>
        <row r="16">
          <cell r="B16">
            <v>13.3</v>
          </cell>
          <cell r="C16">
            <v>13.9</v>
          </cell>
          <cell r="D16">
            <v>14.4</v>
          </cell>
          <cell r="E16">
            <v>14.7</v>
          </cell>
          <cell r="F16">
            <v>15.7</v>
          </cell>
          <cell r="G16">
            <v>19</v>
          </cell>
          <cell r="H16">
            <v>21.2</v>
          </cell>
          <cell r="I16">
            <v>25.7</v>
          </cell>
        </row>
        <row r="17">
          <cell r="C17">
            <v>14.4</v>
          </cell>
          <cell r="D17">
            <v>15.7</v>
          </cell>
          <cell r="E17">
            <v>17.100000000000001</v>
          </cell>
          <cell r="F17">
            <v>18</v>
          </cell>
          <cell r="G17">
            <v>21.2</v>
          </cell>
          <cell r="H17">
            <v>22.5</v>
          </cell>
          <cell r="I17">
            <v>25.7</v>
          </cell>
        </row>
        <row r="18">
          <cell r="C18">
            <v>25.7</v>
          </cell>
          <cell r="D18">
            <v>27.7</v>
          </cell>
          <cell r="E18">
            <v>30</v>
          </cell>
          <cell r="F18">
            <v>30</v>
          </cell>
          <cell r="G18">
            <v>36</v>
          </cell>
          <cell r="H18">
            <v>40</v>
          </cell>
          <cell r="I18">
            <v>45</v>
          </cell>
        </row>
        <row r="19">
          <cell r="C19">
            <v>30</v>
          </cell>
          <cell r="D19">
            <v>30</v>
          </cell>
          <cell r="E19">
            <v>32.700000000000003</v>
          </cell>
          <cell r="F19">
            <v>32.700000000000003</v>
          </cell>
          <cell r="G19">
            <v>36</v>
          </cell>
          <cell r="H19">
            <v>40</v>
          </cell>
          <cell r="I19">
            <v>45</v>
          </cell>
        </row>
        <row r="22">
          <cell r="B22">
            <v>400</v>
          </cell>
          <cell r="C22">
            <v>360</v>
          </cell>
          <cell r="D22">
            <v>320</v>
          </cell>
          <cell r="E22">
            <v>285</v>
          </cell>
          <cell r="F22">
            <v>250</v>
          </cell>
          <cell r="G22">
            <v>210</v>
          </cell>
          <cell r="H22">
            <v>170</v>
          </cell>
          <cell r="I22">
            <v>130</v>
          </cell>
        </row>
        <row r="23">
          <cell r="B23">
            <v>360</v>
          </cell>
          <cell r="C23">
            <v>330</v>
          </cell>
          <cell r="D23">
            <v>300</v>
          </cell>
          <cell r="E23">
            <v>260</v>
          </cell>
          <cell r="F23">
            <v>220</v>
          </cell>
          <cell r="G23">
            <v>180</v>
          </cell>
          <cell r="H23">
            <v>150</v>
          </cell>
          <cell r="I23">
            <v>120</v>
          </cell>
        </row>
        <row r="24">
          <cell r="B24">
            <v>240</v>
          </cell>
          <cell r="C24">
            <v>300</v>
          </cell>
          <cell r="D24">
            <v>270</v>
          </cell>
          <cell r="E24">
            <v>240</v>
          </cell>
          <cell r="F24">
            <v>200</v>
          </cell>
          <cell r="G24">
            <v>160</v>
          </cell>
          <cell r="H24">
            <v>130</v>
          </cell>
          <cell r="I24">
            <v>100</v>
          </cell>
        </row>
        <row r="25">
          <cell r="B25">
            <v>300</v>
          </cell>
          <cell r="C25">
            <v>280</v>
          </cell>
          <cell r="D25">
            <v>240</v>
          </cell>
          <cell r="E25">
            <v>210</v>
          </cell>
          <cell r="F25">
            <v>180</v>
          </cell>
          <cell r="G25">
            <v>140</v>
          </cell>
          <cell r="H25">
            <v>100</v>
          </cell>
          <cell r="I25">
            <v>60</v>
          </cell>
        </row>
        <row r="26">
          <cell r="B26">
            <v>280</v>
          </cell>
          <cell r="C26">
            <v>250</v>
          </cell>
          <cell r="D26">
            <v>220</v>
          </cell>
          <cell r="E26">
            <v>190</v>
          </cell>
          <cell r="F26">
            <v>150</v>
          </cell>
          <cell r="G26">
            <v>120</v>
          </cell>
          <cell r="H26">
            <v>90</v>
          </cell>
          <cell r="I26">
            <v>50</v>
          </cell>
        </row>
        <row r="29">
          <cell r="B29">
            <v>300</v>
          </cell>
          <cell r="C29">
            <v>290</v>
          </cell>
          <cell r="D29">
            <v>280</v>
          </cell>
          <cell r="E29">
            <v>270</v>
          </cell>
          <cell r="F29">
            <v>260</v>
          </cell>
          <cell r="G29">
            <v>250</v>
          </cell>
          <cell r="H29">
            <v>240</v>
          </cell>
          <cell r="I29">
            <v>230</v>
          </cell>
        </row>
        <row r="30">
          <cell r="B30">
            <v>290</v>
          </cell>
          <cell r="C30">
            <v>280</v>
          </cell>
          <cell r="D30">
            <v>270</v>
          </cell>
          <cell r="E30">
            <v>260</v>
          </cell>
          <cell r="F30">
            <v>250</v>
          </cell>
          <cell r="G30">
            <v>230</v>
          </cell>
          <cell r="H30">
            <v>210</v>
          </cell>
          <cell r="I30">
            <v>200</v>
          </cell>
        </row>
        <row r="31">
          <cell r="B31">
            <v>280</v>
          </cell>
          <cell r="C31">
            <v>270</v>
          </cell>
          <cell r="D31">
            <v>250</v>
          </cell>
          <cell r="E31">
            <v>240</v>
          </cell>
          <cell r="F31">
            <v>230</v>
          </cell>
          <cell r="G31">
            <v>210</v>
          </cell>
          <cell r="H31">
            <v>200</v>
          </cell>
          <cell r="I31">
            <v>190</v>
          </cell>
        </row>
        <row r="32">
          <cell r="B32">
            <v>240</v>
          </cell>
          <cell r="C32">
            <v>230</v>
          </cell>
          <cell r="D32">
            <v>220</v>
          </cell>
          <cell r="E32">
            <v>210</v>
          </cell>
          <cell r="F32">
            <v>200</v>
          </cell>
          <cell r="G32">
            <v>190</v>
          </cell>
          <cell r="H32">
            <v>180</v>
          </cell>
          <cell r="I32">
            <v>170</v>
          </cell>
        </row>
        <row r="33">
          <cell r="B33">
            <v>230</v>
          </cell>
          <cell r="C33">
            <v>220</v>
          </cell>
          <cell r="D33">
            <v>210</v>
          </cell>
          <cell r="E33">
            <v>200</v>
          </cell>
          <cell r="F33">
            <v>190</v>
          </cell>
          <cell r="G33">
            <v>180</v>
          </cell>
          <cell r="H33">
            <v>170</v>
          </cell>
          <cell r="I33">
            <v>160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지"/>
      <sheetName val="목차"/>
      <sheetName val="결과"/>
      <sheetName val="개요"/>
      <sheetName val="종합"/>
      <sheetName val="허찬섭"/>
      <sheetName val="93"/>
      <sheetName val="94"/>
      <sheetName val="95"/>
      <sheetName val="96"/>
      <sheetName val="97"/>
      <sheetName val="98"/>
      <sheetName val="원격영상재판"/>
      <sheetName val="판례,ARS,광화일"/>
      <sheetName val="SGI 추가"/>
      <sheetName val="회선"/>
      <sheetName val="uhd"/>
      <sheetName val="pc,prt"/>
      <sheetName val="사용자지원"/>
      <sheetName val="sw노임"/>
      <sheetName val="종합 (2)"/>
      <sheetName val="종합 (3)"/>
      <sheetName val="재료율"/>
      <sheetName val="공수"/>
      <sheetName val="SOURCE"/>
      <sheetName val="단기차입금"/>
      <sheetName val="Sheet1"/>
      <sheetName val="2000_유지보수상세_년도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VT산정"/>
      <sheetName val="xxxxxx"/>
      <sheetName val="COVER"/>
      <sheetName val="detail"/>
      <sheetName val="기계경비"/>
      <sheetName val="요약"/>
      <sheetName val="업체3"/>
      <sheetName val="용해재료비"/>
      <sheetName val="조형가공비"/>
      <sheetName val="2.대외공문"/>
      <sheetName val="원가견적"/>
      <sheetName val="재료비"/>
      <sheetName val="가공비명세"/>
      <sheetName val="부재료비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가공비"/>
      <sheetName val="전면가공대미가공비교"/>
      <sheetName val="ORDER"/>
      <sheetName val="CR CODE"/>
      <sheetName val="부서CODE"/>
      <sheetName val="THEME CODE"/>
      <sheetName val="9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동아합의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동아합의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1.기안지"/>
      <sheetName val="1.기안을지"/>
      <sheetName val="2.대외공문"/>
      <sheetName val="2_대외공문"/>
      <sheetName val="FO원단위"/>
      <sheetName val="CLMN자료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결과"/>
      <sheetName val="제조원가"/>
      <sheetName val="관세"/>
      <sheetName val="집계"/>
      <sheetName val="직재"/>
      <sheetName val="단가"/>
      <sheetName val="수입"/>
      <sheetName val="환율"/>
      <sheetName val="제시"/>
      <sheetName val="간재율"/>
      <sheetName val="작업설"/>
      <sheetName val="직노"/>
      <sheetName val="임율"/>
      <sheetName val="99임율"/>
      <sheetName val="노무비지급액"/>
      <sheetName val="경비"/>
      <sheetName val="운반비"/>
      <sheetName val="경비율"/>
      <sheetName val="경비조정"/>
      <sheetName val="감가"/>
      <sheetName val="지급수수료"/>
      <sheetName val="일반비율"/>
      <sheetName val="일반조정"/>
      <sheetName val="표지"/>
      <sheetName val="간지"/>
      <sheetName val="목차"/>
      <sheetName val="개요"/>
      <sheetName val="표지 (2)"/>
      <sheetName val="원가기준정보"/>
      <sheetName val="원가배부작업시간"/>
      <sheetName val="2.대외공문"/>
      <sheetName val="기계장치 (2)"/>
      <sheetName val="94"/>
    </sheetNames>
    <sheetDataSet>
      <sheetData sheetId="0"/>
      <sheetData sheetId="1"/>
      <sheetData sheetId="2"/>
      <sheetData sheetId="3"/>
      <sheetData sheetId="4">
        <row r="12">
          <cell r="B12">
            <v>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WPM"/>
      <sheetName val="VXXXXX"/>
      <sheetName val="XXXXXX"/>
      <sheetName val="lg"/>
      <sheetName val="HD1115-78163"/>
      <sheetName val="86635-1C000"/>
      <sheetName val="HD1111-79330"/>
      <sheetName val="HD1111-79140'50"/>
      <sheetName val="86849-23200"/>
      <sheetName val="85834-26150"/>
      <sheetName val="TNR.R"/>
      <sheetName val="TN FRT (2)"/>
      <sheetName val="OK551 10 22"/>
      <sheetName val="BUSH'G"/>
      <sheetName val="SHEET"/>
      <sheetName val="BMPR SUPT BRKT."/>
      <sheetName val="BRKT"/>
      <sheetName val="pipe re up"/>
      <sheetName val="85784-26000"/>
      <sheetName val="31220-4B400"/>
      <sheetName val="31220-4B401"/>
      <sheetName val="31220-4B402"/>
      <sheetName val="31220-4B402 (2)"/>
      <sheetName val="28214-05200"/>
      <sheetName val="28214-05300 (2)"/>
      <sheetName val="61034-4F000"/>
      <sheetName val="61032-4F000"/>
      <sheetName val="61044-4F000"/>
      <sheetName val="61042-4F000"/>
      <sheetName val="61043-4F000"/>
      <sheetName val="33810-4X520"/>
      <sheetName val="DW1110-98120"/>
      <sheetName val="계산정보"/>
      <sheetName val="NON MEMORY"/>
      <sheetName val="경쟁실분"/>
      <sheetName val="분석DATA(년도별)"/>
      <sheetName val="직재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결과"/>
      <sheetName val="제조원가"/>
      <sheetName val="집계"/>
      <sheetName val="관세"/>
      <sheetName val="수입"/>
      <sheetName val="환율"/>
      <sheetName val="직재"/>
      <sheetName val="단가"/>
      <sheetName val="제시"/>
      <sheetName val="직노"/>
      <sheetName val="임율"/>
      <sheetName val="99임율"/>
      <sheetName val="간재율"/>
      <sheetName val="작업설"/>
      <sheetName val="노무비지급액"/>
      <sheetName val="경비"/>
      <sheetName val="경비율"/>
      <sheetName val="경비조정"/>
      <sheetName val="감가"/>
      <sheetName val="지급수수료"/>
      <sheetName val="운반비"/>
      <sheetName val="일반비율"/>
      <sheetName val="일반조정"/>
      <sheetName val="표지"/>
      <sheetName val="간지"/>
      <sheetName val="목차"/>
      <sheetName val="개요"/>
      <sheetName val="표지 (2)"/>
      <sheetName val="HP1AMLIST"/>
      <sheetName val="DWPM"/>
      <sheetName val="소요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HEME CODE"/>
      <sheetName val="CR CODE"/>
      <sheetName val="부서CODE"/>
      <sheetName val="CVT산정"/>
      <sheetName val="#REF"/>
      <sheetName val="MX628EX"/>
      <sheetName val="표지★"/>
      <sheetName val="BASE"/>
      <sheetName val="2.대외공문"/>
      <sheetName val="공수"/>
      <sheetName val="SOURCE"/>
      <sheetName val="기초자료입력"/>
      <sheetName val="품의양"/>
      <sheetName val="THEME CO_x0000__x0000_"/>
      <sheetName val=""/>
      <sheetName val="Macro1"/>
      <sheetName val="계정"/>
      <sheetName val="engline"/>
      <sheetName val="BUS제원1"/>
      <sheetName val="판금내역서"/>
      <sheetName val="작성양식"/>
      <sheetName val="협조전"/>
      <sheetName val="직재"/>
      <sheetName val="간이연락"/>
      <sheetName val="DWPM"/>
      <sheetName val="기안"/>
      <sheetName val="97손익계획"/>
      <sheetName val="9901"/>
      <sheetName val="직원신상"/>
      <sheetName val="환율"/>
      <sheetName val="DATA-최종"/>
      <sheetName val="효율계획(당월)"/>
      <sheetName val="전체실적"/>
      <sheetName val="TRIM-Y3"/>
      <sheetName val="자가2급"/>
      <sheetName val="재료율"/>
      <sheetName val="OPT손익 내수"/>
      <sheetName val="OPT손익 수출"/>
      <sheetName val="THEME CO??"/>
      <sheetName val="64164"/>
      <sheetName val="01"/>
      <sheetName val="MatchCode"/>
      <sheetName val="p2-1"/>
      <sheetName val="품의서"/>
      <sheetName val="주행"/>
      <sheetName val="11"/>
      <sheetName val="Eingaben"/>
      <sheetName val="R&amp;D"/>
      <sheetName val="code"/>
      <sheetName val="초기화면"/>
      <sheetName val="입력데이타"/>
      <sheetName val="불량현상별END"/>
      <sheetName val="SUM"/>
      <sheetName val="PT_ED"/>
      <sheetName val="PCB"/>
      <sheetName val="선반OPT"/>
      <sheetName val="내수1.8GL"/>
      <sheetName val="비교원RD-S"/>
      <sheetName val=" SR3차원단위 (3)"/>
      <sheetName val="절삭10"/>
      <sheetName val="op10"/>
      <sheetName val="대외공문"/>
      <sheetName val="1"/>
      <sheetName val="MAIN"/>
      <sheetName val="THEME CO__"/>
      <sheetName val="THEME CO?"/>
      <sheetName val="THEME CO_x005f_x0000__x005f_x0000_"/>
      <sheetName val="전체현황"/>
    </sheetNames>
    <sheetDataSet>
      <sheetData sheetId="0" refreshError="1">
        <row r="1">
          <cell r="B1" t="str">
            <v>THEME CODE</v>
          </cell>
          <cell r="C1" t="str">
            <v>전산차수</v>
          </cell>
          <cell r="D1" t="str">
            <v>전산년도</v>
          </cell>
          <cell r="E1" t="str">
            <v>SYS.</v>
          </cell>
          <cell r="F1" t="str">
            <v>F/UP     담당자</v>
          </cell>
        </row>
        <row r="2">
          <cell r="B2" t="str">
            <v>QN001</v>
          </cell>
          <cell r="C2">
            <v>1</v>
          </cell>
          <cell r="D2" t="str">
            <v>1995</v>
          </cell>
          <cell r="E2" t="str">
            <v>엔진</v>
          </cell>
          <cell r="F2" t="str">
            <v>임종진</v>
          </cell>
        </row>
        <row r="3">
          <cell r="B3" t="str">
            <v>QA002</v>
          </cell>
          <cell r="C3">
            <v>1</v>
          </cell>
          <cell r="D3" t="str">
            <v>1995</v>
          </cell>
          <cell r="E3" t="str">
            <v>ＴＭ</v>
          </cell>
          <cell r="F3" t="str">
            <v>손이오</v>
          </cell>
        </row>
        <row r="4">
          <cell r="B4" t="str">
            <v>QA003</v>
          </cell>
          <cell r="C4">
            <v>1</v>
          </cell>
          <cell r="D4" t="str">
            <v>1995</v>
          </cell>
          <cell r="E4" t="str">
            <v>엔진</v>
          </cell>
          <cell r="F4" t="str">
            <v>최철림</v>
          </cell>
        </row>
        <row r="5">
          <cell r="B5" t="str">
            <v>QC004</v>
          </cell>
          <cell r="C5">
            <v>1</v>
          </cell>
          <cell r="D5" t="str">
            <v>1995</v>
          </cell>
          <cell r="E5" t="str">
            <v>차체</v>
          </cell>
          <cell r="F5" t="str">
            <v>김형구</v>
          </cell>
        </row>
        <row r="6">
          <cell r="B6" t="str">
            <v>QE005</v>
          </cell>
          <cell r="C6">
            <v>1</v>
          </cell>
          <cell r="D6" t="str">
            <v>1995</v>
          </cell>
          <cell r="E6" t="str">
            <v>차체</v>
          </cell>
          <cell r="F6" t="str">
            <v>김정태</v>
          </cell>
        </row>
        <row r="7">
          <cell r="B7" t="str">
            <v>QB006</v>
          </cell>
          <cell r="C7">
            <v>1</v>
          </cell>
          <cell r="D7" t="str">
            <v>1995</v>
          </cell>
          <cell r="E7" t="str">
            <v>차체</v>
          </cell>
          <cell r="F7" t="str">
            <v>서비용</v>
          </cell>
        </row>
        <row r="8">
          <cell r="B8" t="str">
            <v>QB007</v>
          </cell>
          <cell r="C8">
            <v>1</v>
          </cell>
          <cell r="D8" t="str">
            <v>1995</v>
          </cell>
          <cell r="E8" t="str">
            <v>차체</v>
          </cell>
          <cell r="F8" t="str">
            <v>이영수</v>
          </cell>
        </row>
        <row r="9">
          <cell r="B9" t="str">
            <v>QB008</v>
          </cell>
          <cell r="C9">
            <v>1</v>
          </cell>
          <cell r="D9" t="str">
            <v>1995</v>
          </cell>
          <cell r="E9" t="str">
            <v>차체</v>
          </cell>
          <cell r="F9" t="str">
            <v>이영수</v>
          </cell>
        </row>
        <row r="10">
          <cell r="B10" t="str">
            <v>QC009</v>
          </cell>
          <cell r="C10">
            <v>1</v>
          </cell>
          <cell r="D10" t="str">
            <v>1995</v>
          </cell>
          <cell r="E10" t="str">
            <v>샤시</v>
          </cell>
          <cell r="F10" t="str">
            <v>지태호</v>
          </cell>
        </row>
        <row r="11">
          <cell r="B11" t="str">
            <v>QC010</v>
          </cell>
          <cell r="C11">
            <v>1</v>
          </cell>
          <cell r="D11" t="str">
            <v>1995</v>
          </cell>
          <cell r="E11" t="str">
            <v>샤시</v>
          </cell>
          <cell r="F11" t="str">
            <v>김창섭</v>
          </cell>
        </row>
        <row r="12">
          <cell r="B12" t="str">
            <v>QA011</v>
          </cell>
          <cell r="C12">
            <v>1</v>
          </cell>
          <cell r="D12" t="str">
            <v>1995</v>
          </cell>
          <cell r="E12" t="str">
            <v>샤시</v>
          </cell>
          <cell r="F12" t="str">
            <v>김재수</v>
          </cell>
        </row>
        <row r="13">
          <cell r="B13" t="str">
            <v>QN012</v>
          </cell>
          <cell r="C13">
            <v>1</v>
          </cell>
          <cell r="D13" t="str">
            <v>1995</v>
          </cell>
          <cell r="E13" t="str">
            <v>샤시</v>
          </cell>
          <cell r="F13" t="str">
            <v>최정훈</v>
          </cell>
        </row>
        <row r="14">
          <cell r="B14" t="str">
            <v>QN013</v>
          </cell>
          <cell r="C14">
            <v>1</v>
          </cell>
          <cell r="D14" t="str">
            <v>1995</v>
          </cell>
          <cell r="E14" t="str">
            <v>의장</v>
          </cell>
          <cell r="F14" t="str">
            <v>엄봉용</v>
          </cell>
        </row>
        <row r="15">
          <cell r="B15" t="str">
            <v>QT014</v>
          </cell>
          <cell r="C15">
            <v>1</v>
          </cell>
          <cell r="D15" t="str">
            <v>1995</v>
          </cell>
          <cell r="E15" t="str">
            <v>의장</v>
          </cell>
          <cell r="F15" t="str">
            <v>이충원</v>
          </cell>
        </row>
        <row r="16">
          <cell r="B16" t="str">
            <v>QT015</v>
          </cell>
          <cell r="C16">
            <v>1</v>
          </cell>
          <cell r="D16" t="str">
            <v>1995</v>
          </cell>
          <cell r="E16" t="str">
            <v>의장</v>
          </cell>
          <cell r="F16" t="str">
            <v>정경식</v>
          </cell>
        </row>
        <row r="17">
          <cell r="B17" t="str">
            <v>QE016</v>
          </cell>
          <cell r="C17">
            <v>1</v>
          </cell>
          <cell r="D17" t="str">
            <v>1995</v>
          </cell>
          <cell r="E17" t="str">
            <v>전장</v>
          </cell>
          <cell r="F17" t="str">
            <v>이현섭</v>
          </cell>
        </row>
        <row r="18">
          <cell r="B18" t="str">
            <v>QT017</v>
          </cell>
          <cell r="C18">
            <v>2</v>
          </cell>
          <cell r="D18" t="str">
            <v>1995</v>
          </cell>
          <cell r="E18" t="str">
            <v>의장</v>
          </cell>
          <cell r="F18" t="str">
            <v>문희탁</v>
          </cell>
        </row>
        <row r="19">
          <cell r="B19" t="str">
            <v>QE018</v>
          </cell>
          <cell r="C19">
            <v>2</v>
          </cell>
          <cell r="D19" t="str">
            <v>1995</v>
          </cell>
          <cell r="E19" t="str">
            <v>전장</v>
          </cell>
          <cell r="F19" t="str">
            <v>박종길</v>
          </cell>
        </row>
        <row r="20">
          <cell r="B20" t="str">
            <v>QN019</v>
          </cell>
          <cell r="C20">
            <v>2</v>
          </cell>
          <cell r="D20" t="str">
            <v>1995</v>
          </cell>
          <cell r="E20" t="str">
            <v>엔진</v>
          </cell>
          <cell r="F20" t="str">
            <v>엄봉용</v>
          </cell>
        </row>
        <row r="21">
          <cell r="B21" t="str">
            <v>QN020</v>
          </cell>
          <cell r="C21">
            <v>2</v>
          </cell>
          <cell r="D21" t="str">
            <v>1995</v>
          </cell>
          <cell r="E21" t="str">
            <v>엔진</v>
          </cell>
          <cell r="F21" t="str">
            <v>최정훈</v>
          </cell>
        </row>
        <row r="22">
          <cell r="B22" t="str">
            <v>QN021</v>
          </cell>
          <cell r="C22">
            <v>2</v>
          </cell>
          <cell r="D22" t="str">
            <v>1995</v>
          </cell>
          <cell r="E22" t="str">
            <v>엔진</v>
          </cell>
          <cell r="F22" t="str">
            <v>임종진</v>
          </cell>
        </row>
        <row r="23">
          <cell r="B23" t="str">
            <v>QA022</v>
          </cell>
          <cell r="C23">
            <v>2</v>
          </cell>
          <cell r="D23" t="str">
            <v>1995</v>
          </cell>
          <cell r="E23" t="str">
            <v>샤시</v>
          </cell>
          <cell r="F23" t="str">
            <v>최철림</v>
          </cell>
        </row>
        <row r="24">
          <cell r="B24" t="str">
            <v>QA023</v>
          </cell>
          <cell r="C24">
            <v>2</v>
          </cell>
          <cell r="D24" t="str">
            <v>1995</v>
          </cell>
          <cell r="E24" t="str">
            <v>샤시</v>
          </cell>
          <cell r="F24" t="str">
            <v>최철림</v>
          </cell>
        </row>
        <row r="25">
          <cell r="B25" t="str">
            <v>QA024</v>
          </cell>
          <cell r="C25">
            <v>2</v>
          </cell>
          <cell r="D25" t="str">
            <v>1995</v>
          </cell>
          <cell r="E25" t="str">
            <v>샤시</v>
          </cell>
          <cell r="F25" t="str">
            <v>김재수</v>
          </cell>
        </row>
        <row r="26">
          <cell r="B26" t="str">
            <v>QB025</v>
          </cell>
          <cell r="C26">
            <v>2</v>
          </cell>
          <cell r="D26" t="str">
            <v>1995</v>
          </cell>
          <cell r="E26" t="str">
            <v>차체</v>
          </cell>
          <cell r="F26" t="str">
            <v>이영수</v>
          </cell>
        </row>
        <row r="27">
          <cell r="B27" t="str">
            <v>QB026</v>
          </cell>
          <cell r="C27">
            <v>2</v>
          </cell>
          <cell r="D27" t="str">
            <v>1995</v>
          </cell>
          <cell r="E27" t="str">
            <v>차체</v>
          </cell>
          <cell r="F27" t="str">
            <v>공상복</v>
          </cell>
        </row>
        <row r="28">
          <cell r="B28" t="str">
            <v>QB027</v>
          </cell>
          <cell r="C28">
            <v>3</v>
          </cell>
          <cell r="D28" t="str">
            <v>1995</v>
          </cell>
          <cell r="E28" t="str">
            <v>차체</v>
          </cell>
          <cell r="F28" t="str">
            <v>서비용</v>
          </cell>
        </row>
        <row r="29">
          <cell r="B29" t="str">
            <v>QC028</v>
          </cell>
          <cell r="C29">
            <v>3</v>
          </cell>
          <cell r="D29" t="str">
            <v>1995</v>
          </cell>
          <cell r="E29" t="str">
            <v>샤시</v>
          </cell>
          <cell r="F29" t="str">
            <v>지태호</v>
          </cell>
        </row>
        <row r="30">
          <cell r="B30" t="str">
            <v>QC029</v>
          </cell>
          <cell r="C30">
            <v>2</v>
          </cell>
          <cell r="D30" t="str">
            <v>1995</v>
          </cell>
          <cell r="E30" t="str">
            <v>샤시</v>
          </cell>
          <cell r="F30" t="str">
            <v>김창섭</v>
          </cell>
        </row>
        <row r="31">
          <cell r="B31" t="str">
            <v>QC030</v>
          </cell>
          <cell r="C31">
            <v>2</v>
          </cell>
          <cell r="D31" t="str">
            <v>1995</v>
          </cell>
          <cell r="E31" t="str">
            <v>샤시</v>
          </cell>
          <cell r="F31" t="str">
            <v>백숙인</v>
          </cell>
        </row>
        <row r="32">
          <cell r="B32" t="str">
            <v>QT031</v>
          </cell>
          <cell r="C32">
            <v>2</v>
          </cell>
          <cell r="D32" t="str">
            <v>1995</v>
          </cell>
          <cell r="E32" t="str">
            <v>의장</v>
          </cell>
          <cell r="F32" t="str">
            <v>정경식</v>
          </cell>
        </row>
        <row r="33">
          <cell r="B33" t="str">
            <v>QT032</v>
          </cell>
          <cell r="C33">
            <v>2</v>
          </cell>
          <cell r="D33" t="str">
            <v>1995</v>
          </cell>
          <cell r="E33" t="str">
            <v>의장</v>
          </cell>
          <cell r="F33" t="str">
            <v>손헌호</v>
          </cell>
        </row>
        <row r="34">
          <cell r="B34" t="str">
            <v>QE033</v>
          </cell>
          <cell r="C34">
            <v>2</v>
          </cell>
          <cell r="D34" t="str">
            <v>1995</v>
          </cell>
          <cell r="E34" t="str">
            <v>전장</v>
          </cell>
          <cell r="F34" t="str">
            <v>김대곤</v>
          </cell>
        </row>
        <row r="35">
          <cell r="B35" t="str">
            <v>QE034</v>
          </cell>
          <cell r="C35">
            <v>9</v>
          </cell>
          <cell r="D35" t="str">
            <v>1997</v>
          </cell>
          <cell r="E35" t="str">
            <v>샤시</v>
          </cell>
          <cell r="F35" t="str">
            <v>최기철</v>
          </cell>
        </row>
        <row r="36">
          <cell r="B36" t="str">
            <v>QE035</v>
          </cell>
          <cell r="C36">
            <v>2</v>
          </cell>
          <cell r="D36" t="str">
            <v>1995</v>
          </cell>
          <cell r="E36" t="str">
            <v>전장</v>
          </cell>
          <cell r="F36" t="str">
            <v>이현섭</v>
          </cell>
        </row>
        <row r="37">
          <cell r="B37" t="str">
            <v>QN036</v>
          </cell>
          <cell r="C37">
            <v>3</v>
          </cell>
          <cell r="D37" t="str">
            <v>1995</v>
          </cell>
          <cell r="E37" t="str">
            <v>엔진</v>
          </cell>
          <cell r="F37" t="str">
            <v>엄봉용</v>
          </cell>
        </row>
        <row r="38">
          <cell r="B38" t="str">
            <v>QN037</v>
          </cell>
          <cell r="C38">
            <v>3</v>
          </cell>
          <cell r="D38" t="str">
            <v>1995</v>
          </cell>
          <cell r="E38" t="str">
            <v>엔진</v>
          </cell>
          <cell r="F38" t="str">
            <v>최정훈</v>
          </cell>
        </row>
        <row r="39">
          <cell r="B39" t="str">
            <v>QN038</v>
          </cell>
          <cell r="C39">
            <v>3</v>
          </cell>
          <cell r="D39" t="str">
            <v>1995</v>
          </cell>
          <cell r="E39" t="str">
            <v>엔진</v>
          </cell>
          <cell r="F39" t="str">
            <v>임종진</v>
          </cell>
        </row>
        <row r="40">
          <cell r="B40" t="str">
            <v>QA039</v>
          </cell>
          <cell r="C40">
            <v>3</v>
          </cell>
          <cell r="D40" t="str">
            <v>1995</v>
          </cell>
          <cell r="E40" t="str">
            <v>샤시</v>
          </cell>
          <cell r="F40" t="str">
            <v>김재수</v>
          </cell>
        </row>
        <row r="41">
          <cell r="B41" t="str">
            <v>QA040</v>
          </cell>
          <cell r="C41">
            <v>3</v>
          </cell>
          <cell r="D41" t="str">
            <v>1995</v>
          </cell>
          <cell r="E41" t="str">
            <v>ＴＭ</v>
          </cell>
          <cell r="F41" t="str">
            <v>최철림</v>
          </cell>
        </row>
        <row r="42">
          <cell r="B42" t="str">
            <v>QA041</v>
          </cell>
          <cell r="C42">
            <v>3</v>
          </cell>
          <cell r="D42" t="str">
            <v>1995</v>
          </cell>
          <cell r="E42" t="str">
            <v>샤시</v>
          </cell>
          <cell r="F42" t="str">
            <v>최철림</v>
          </cell>
        </row>
        <row r="43">
          <cell r="B43" t="str">
            <v>QB042</v>
          </cell>
          <cell r="C43">
            <v>3</v>
          </cell>
          <cell r="D43" t="str">
            <v>1995</v>
          </cell>
          <cell r="E43" t="str">
            <v>차체</v>
          </cell>
          <cell r="F43" t="str">
            <v>장희철</v>
          </cell>
        </row>
        <row r="44">
          <cell r="B44" t="str">
            <v>QB043</v>
          </cell>
          <cell r="C44">
            <v>3</v>
          </cell>
          <cell r="D44" t="str">
            <v>1995</v>
          </cell>
          <cell r="E44" t="str">
            <v>차체</v>
          </cell>
          <cell r="F44" t="str">
            <v>김시겸</v>
          </cell>
        </row>
        <row r="45">
          <cell r="B45" t="str">
            <v>QC044</v>
          </cell>
          <cell r="C45">
            <v>3</v>
          </cell>
          <cell r="D45" t="str">
            <v>1995</v>
          </cell>
          <cell r="E45" t="str">
            <v>의장</v>
          </cell>
          <cell r="F45" t="str">
            <v>김형구</v>
          </cell>
        </row>
        <row r="46">
          <cell r="B46" t="str">
            <v>QC045</v>
          </cell>
          <cell r="C46">
            <v>3</v>
          </cell>
          <cell r="D46" t="str">
            <v>1995</v>
          </cell>
          <cell r="E46" t="str">
            <v>의장</v>
          </cell>
          <cell r="F46" t="str">
            <v>김형구</v>
          </cell>
        </row>
        <row r="47">
          <cell r="B47" t="str">
            <v>QC046</v>
          </cell>
          <cell r="C47">
            <v>3</v>
          </cell>
          <cell r="D47" t="str">
            <v>1995</v>
          </cell>
          <cell r="E47" t="str">
            <v>샤시</v>
          </cell>
          <cell r="F47" t="str">
            <v>김형구</v>
          </cell>
        </row>
        <row r="48">
          <cell r="B48" t="str">
            <v>QT047</v>
          </cell>
          <cell r="C48">
            <v>3</v>
          </cell>
          <cell r="D48" t="str">
            <v>1995</v>
          </cell>
          <cell r="E48" t="str">
            <v>의장</v>
          </cell>
          <cell r="F48" t="str">
            <v>정경식</v>
          </cell>
        </row>
        <row r="49">
          <cell r="B49" t="str">
            <v>QT048</v>
          </cell>
          <cell r="C49">
            <v>3</v>
          </cell>
          <cell r="D49" t="str">
            <v>1995</v>
          </cell>
          <cell r="E49" t="str">
            <v>의장</v>
          </cell>
          <cell r="F49" t="str">
            <v>정경식</v>
          </cell>
        </row>
        <row r="50">
          <cell r="B50" t="str">
            <v>QT049</v>
          </cell>
          <cell r="C50">
            <v>3</v>
          </cell>
          <cell r="D50" t="str">
            <v>1995</v>
          </cell>
          <cell r="E50" t="str">
            <v>의장</v>
          </cell>
          <cell r="F50" t="str">
            <v>문희탁</v>
          </cell>
        </row>
        <row r="51">
          <cell r="B51" t="str">
            <v>QE050</v>
          </cell>
          <cell r="C51">
            <v>3</v>
          </cell>
          <cell r="D51" t="str">
            <v>1995</v>
          </cell>
          <cell r="E51" t="str">
            <v>의장</v>
          </cell>
          <cell r="F51" t="str">
            <v>이현섭</v>
          </cell>
        </row>
        <row r="52">
          <cell r="B52" t="str">
            <v>QE051</v>
          </cell>
          <cell r="C52">
            <v>3</v>
          </cell>
          <cell r="D52" t="str">
            <v>1995</v>
          </cell>
          <cell r="E52" t="str">
            <v>전장</v>
          </cell>
          <cell r="F52" t="str">
            <v>조판제</v>
          </cell>
        </row>
        <row r="53">
          <cell r="B53" t="str">
            <v>QE052</v>
          </cell>
          <cell r="C53">
            <v>3</v>
          </cell>
          <cell r="D53" t="str">
            <v>1995</v>
          </cell>
          <cell r="E53" t="str">
            <v>전장</v>
          </cell>
          <cell r="F53" t="str">
            <v>박종길</v>
          </cell>
        </row>
        <row r="54">
          <cell r="B54" t="str">
            <v>QN053</v>
          </cell>
          <cell r="C54">
            <v>4</v>
          </cell>
          <cell r="D54" t="str">
            <v>1995</v>
          </cell>
          <cell r="E54" t="str">
            <v>엔진</v>
          </cell>
          <cell r="F54" t="str">
            <v>임종진</v>
          </cell>
        </row>
        <row r="55">
          <cell r="B55" t="str">
            <v>QN054</v>
          </cell>
          <cell r="C55">
            <v>4</v>
          </cell>
          <cell r="D55" t="str">
            <v>1995</v>
          </cell>
          <cell r="E55" t="str">
            <v>엔진</v>
          </cell>
          <cell r="F55" t="str">
            <v>엄봉용</v>
          </cell>
        </row>
        <row r="56">
          <cell r="B56" t="str">
            <v>QN055</v>
          </cell>
          <cell r="C56">
            <v>4</v>
          </cell>
          <cell r="D56" t="str">
            <v>1995</v>
          </cell>
          <cell r="E56" t="str">
            <v>엔진</v>
          </cell>
          <cell r="F56" t="str">
            <v>최정훈</v>
          </cell>
        </row>
        <row r="57">
          <cell r="B57" t="str">
            <v>QA056</v>
          </cell>
          <cell r="C57">
            <v>4</v>
          </cell>
          <cell r="D57" t="str">
            <v>1995</v>
          </cell>
          <cell r="E57" t="str">
            <v>ＴＭ</v>
          </cell>
          <cell r="F57" t="str">
            <v>손이오</v>
          </cell>
        </row>
        <row r="58">
          <cell r="B58" t="str">
            <v>QA057</v>
          </cell>
          <cell r="C58">
            <v>4</v>
          </cell>
          <cell r="D58" t="str">
            <v>1995</v>
          </cell>
          <cell r="E58" t="str">
            <v>ＴＭ</v>
          </cell>
          <cell r="F58" t="str">
            <v>최철림</v>
          </cell>
        </row>
        <row r="59">
          <cell r="B59" t="str">
            <v>QA058</v>
          </cell>
          <cell r="C59">
            <v>4</v>
          </cell>
          <cell r="D59" t="str">
            <v>1995</v>
          </cell>
          <cell r="E59" t="str">
            <v>ＴＭ</v>
          </cell>
          <cell r="F59" t="str">
            <v>김재수</v>
          </cell>
        </row>
        <row r="60">
          <cell r="B60" t="str">
            <v>QB059</v>
          </cell>
          <cell r="C60">
            <v>4</v>
          </cell>
          <cell r="D60" t="str">
            <v>1995</v>
          </cell>
          <cell r="E60" t="str">
            <v>차체</v>
          </cell>
          <cell r="F60" t="str">
            <v>이영수</v>
          </cell>
        </row>
        <row r="61">
          <cell r="B61" t="str">
            <v>QB060</v>
          </cell>
          <cell r="C61">
            <v>4</v>
          </cell>
          <cell r="D61" t="str">
            <v>1995</v>
          </cell>
          <cell r="E61" t="str">
            <v>차체</v>
          </cell>
          <cell r="F61" t="str">
            <v>공상복</v>
          </cell>
        </row>
        <row r="62">
          <cell r="B62" t="str">
            <v>QB061</v>
          </cell>
          <cell r="C62">
            <v>5</v>
          </cell>
          <cell r="D62" t="str">
            <v>1995</v>
          </cell>
          <cell r="E62" t="str">
            <v>차체</v>
          </cell>
          <cell r="F62" t="str">
            <v>공상복</v>
          </cell>
        </row>
        <row r="63">
          <cell r="B63" t="str">
            <v>QC062</v>
          </cell>
          <cell r="C63">
            <v>5</v>
          </cell>
          <cell r="D63" t="str">
            <v>1996</v>
          </cell>
          <cell r="E63" t="str">
            <v>샤시</v>
          </cell>
          <cell r="F63" t="str">
            <v>백숙인</v>
          </cell>
        </row>
        <row r="64">
          <cell r="B64" t="str">
            <v>QC063</v>
          </cell>
          <cell r="C64">
            <v>4</v>
          </cell>
          <cell r="D64" t="str">
            <v>1995</v>
          </cell>
          <cell r="E64" t="str">
            <v>샤시</v>
          </cell>
          <cell r="F64" t="str">
            <v>지태호</v>
          </cell>
        </row>
        <row r="65">
          <cell r="B65" t="str">
            <v>QC064</v>
          </cell>
          <cell r="C65">
            <v>4</v>
          </cell>
          <cell r="D65" t="str">
            <v>1995</v>
          </cell>
          <cell r="E65" t="str">
            <v>샤시</v>
          </cell>
          <cell r="F65" t="str">
            <v>백숙인</v>
          </cell>
        </row>
        <row r="66">
          <cell r="B66" t="str">
            <v>QT065</v>
          </cell>
          <cell r="C66">
            <v>4</v>
          </cell>
          <cell r="D66" t="str">
            <v>1995</v>
          </cell>
          <cell r="E66" t="str">
            <v>의장</v>
          </cell>
          <cell r="F66" t="str">
            <v>손헌호</v>
          </cell>
        </row>
        <row r="67">
          <cell r="B67" t="str">
            <v>QT066</v>
          </cell>
          <cell r="C67">
            <v>4</v>
          </cell>
          <cell r="D67" t="str">
            <v>1995</v>
          </cell>
          <cell r="E67" t="str">
            <v>의장</v>
          </cell>
          <cell r="F67" t="str">
            <v>한상빈</v>
          </cell>
        </row>
        <row r="68">
          <cell r="B68" t="str">
            <v>QT067</v>
          </cell>
          <cell r="C68">
            <v>4</v>
          </cell>
          <cell r="D68" t="str">
            <v>1995</v>
          </cell>
          <cell r="E68" t="str">
            <v>의장</v>
          </cell>
          <cell r="F68" t="str">
            <v>손헌호</v>
          </cell>
        </row>
        <row r="69">
          <cell r="B69" t="str">
            <v>QT068</v>
          </cell>
          <cell r="C69">
            <v>5</v>
          </cell>
          <cell r="D69" t="str">
            <v>1995</v>
          </cell>
          <cell r="E69" t="str">
            <v>의장</v>
          </cell>
          <cell r="F69" t="str">
            <v>한상빈</v>
          </cell>
        </row>
        <row r="70">
          <cell r="B70" t="str">
            <v>QE069</v>
          </cell>
          <cell r="C70">
            <v>4</v>
          </cell>
          <cell r="D70" t="str">
            <v>1995</v>
          </cell>
          <cell r="E70" t="str">
            <v>전장</v>
          </cell>
          <cell r="F70" t="str">
            <v>이현섭</v>
          </cell>
        </row>
        <row r="71">
          <cell r="B71" t="str">
            <v>QE070</v>
          </cell>
          <cell r="C71">
            <v>5</v>
          </cell>
          <cell r="D71" t="str">
            <v>1995</v>
          </cell>
          <cell r="E71" t="str">
            <v>전장</v>
          </cell>
          <cell r="F71" t="str">
            <v>김대곤</v>
          </cell>
        </row>
        <row r="72">
          <cell r="B72" t="str">
            <v>QE071</v>
          </cell>
          <cell r="C72">
            <v>6</v>
          </cell>
          <cell r="D72" t="str">
            <v>1996</v>
          </cell>
          <cell r="E72" t="str">
            <v>전장</v>
          </cell>
          <cell r="F72" t="str">
            <v>박종길</v>
          </cell>
        </row>
        <row r="73">
          <cell r="B73" t="str">
            <v>QE072</v>
          </cell>
          <cell r="C73">
            <v>6</v>
          </cell>
          <cell r="D73" t="str">
            <v>1996</v>
          </cell>
          <cell r="E73" t="str">
            <v>전장</v>
          </cell>
          <cell r="F73" t="str">
            <v>박종길</v>
          </cell>
        </row>
        <row r="74">
          <cell r="B74" t="str">
            <v>RN073</v>
          </cell>
          <cell r="C74">
            <v>5</v>
          </cell>
          <cell r="D74" t="str">
            <v>1996</v>
          </cell>
          <cell r="E74" t="str">
            <v>엔진</v>
          </cell>
          <cell r="F74" t="str">
            <v>임종진</v>
          </cell>
        </row>
        <row r="75">
          <cell r="B75" t="str">
            <v>RN074</v>
          </cell>
          <cell r="C75">
            <v>5</v>
          </cell>
          <cell r="D75" t="str">
            <v>1996</v>
          </cell>
          <cell r="E75" t="str">
            <v>샤시</v>
          </cell>
          <cell r="F75" t="str">
            <v>엄봉용</v>
          </cell>
        </row>
        <row r="76">
          <cell r="B76" t="str">
            <v>RN075</v>
          </cell>
          <cell r="C76">
            <v>5</v>
          </cell>
          <cell r="D76" t="str">
            <v>1996</v>
          </cell>
          <cell r="E76" t="str">
            <v>엔진</v>
          </cell>
          <cell r="F76" t="str">
            <v>최정훈</v>
          </cell>
        </row>
        <row r="77">
          <cell r="B77" t="str">
            <v>RA076</v>
          </cell>
          <cell r="C77">
            <v>5</v>
          </cell>
          <cell r="D77" t="str">
            <v>1996</v>
          </cell>
          <cell r="E77" t="str">
            <v>샤시</v>
          </cell>
          <cell r="F77" t="str">
            <v>최철림</v>
          </cell>
        </row>
        <row r="78">
          <cell r="B78" t="str">
            <v>RA077</v>
          </cell>
          <cell r="C78">
            <v>5</v>
          </cell>
          <cell r="D78" t="str">
            <v>1996</v>
          </cell>
          <cell r="E78" t="str">
            <v>샤시</v>
          </cell>
          <cell r="F78" t="str">
            <v>김재수</v>
          </cell>
        </row>
        <row r="79">
          <cell r="B79" t="str">
            <v>RA078</v>
          </cell>
          <cell r="C79">
            <v>5</v>
          </cell>
          <cell r="D79" t="str">
            <v>1996</v>
          </cell>
          <cell r="E79" t="str">
            <v>ＴＭ</v>
          </cell>
          <cell r="F79" t="str">
            <v>손이오</v>
          </cell>
        </row>
        <row r="80">
          <cell r="B80" t="str">
            <v>RB079</v>
          </cell>
          <cell r="C80">
            <v>5</v>
          </cell>
          <cell r="D80" t="str">
            <v>1996</v>
          </cell>
          <cell r="E80" t="str">
            <v>의장</v>
          </cell>
          <cell r="F80" t="str">
            <v>서비용</v>
          </cell>
        </row>
        <row r="81">
          <cell r="B81" t="str">
            <v>RB080</v>
          </cell>
          <cell r="C81">
            <v>5</v>
          </cell>
          <cell r="D81" t="str">
            <v>1996</v>
          </cell>
          <cell r="E81" t="str">
            <v>의장</v>
          </cell>
          <cell r="F81" t="str">
            <v>서비용</v>
          </cell>
        </row>
        <row r="82">
          <cell r="B82" t="str">
            <v>RB081</v>
          </cell>
          <cell r="C82">
            <v>6</v>
          </cell>
          <cell r="D82" t="str">
            <v>1996</v>
          </cell>
          <cell r="E82" t="str">
            <v>차체</v>
          </cell>
          <cell r="F82" t="str">
            <v>이영수</v>
          </cell>
        </row>
        <row r="83">
          <cell r="B83" t="str">
            <v>RC082</v>
          </cell>
          <cell r="C83">
            <v>6</v>
          </cell>
          <cell r="D83" t="str">
            <v>1996</v>
          </cell>
          <cell r="E83" t="str">
            <v>샤시</v>
          </cell>
          <cell r="F83" t="str">
            <v>임화식</v>
          </cell>
        </row>
        <row r="84">
          <cell r="B84" t="str">
            <v>RC083</v>
          </cell>
          <cell r="C84">
            <v>5</v>
          </cell>
          <cell r="D84" t="str">
            <v>1996</v>
          </cell>
          <cell r="E84" t="str">
            <v>샤시</v>
          </cell>
          <cell r="F84" t="str">
            <v>지태호</v>
          </cell>
        </row>
        <row r="85">
          <cell r="B85" t="str">
            <v>RC084</v>
          </cell>
          <cell r="C85">
            <v>6</v>
          </cell>
          <cell r="D85" t="str">
            <v>1996</v>
          </cell>
          <cell r="E85" t="str">
            <v>샤시</v>
          </cell>
          <cell r="F85" t="str">
            <v>임화식</v>
          </cell>
        </row>
        <row r="86">
          <cell r="B86" t="str">
            <v>RT085</v>
          </cell>
          <cell r="C86">
            <v>6</v>
          </cell>
          <cell r="D86" t="str">
            <v>1996</v>
          </cell>
          <cell r="E86" t="str">
            <v>의장</v>
          </cell>
          <cell r="F86" t="str">
            <v>박재성</v>
          </cell>
        </row>
        <row r="87">
          <cell r="B87" t="str">
            <v>RTR85</v>
          </cell>
          <cell r="C87">
            <v>6</v>
          </cell>
          <cell r="D87" t="str">
            <v>1996</v>
          </cell>
          <cell r="E87" t="str">
            <v>의장</v>
          </cell>
          <cell r="F87" t="str">
            <v>박재성</v>
          </cell>
        </row>
        <row r="88">
          <cell r="B88" t="str">
            <v>RT086</v>
          </cell>
          <cell r="C88">
            <v>6</v>
          </cell>
          <cell r="D88" t="str">
            <v>1996</v>
          </cell>
          <cell r="E88" t="str">
            <v>의장</v>
          </cell>
          <cell r="F88" t="str">
            <v>손헌호</v>
          </cell>
        </row>
        <row r="89">
          <cell r="B89" t="str">
            <v>RE087</v>
          </cell>
          <cell r="C89">
            <v>6</v>
          </cell>
          <cell r="D89" t="str">
            <v>1996</v>
          </cell>
          <cell r="E89" t="str">
            <v>의장</v>
          </cell>
          <cell r="F89" t="str">
            <v>이현섭</v>
          </cell>
        </row>
        <row r="90">
          <cell r="B90" t="str">
            <v>QE088</v>
          </cell>
          <cell r="C90">
            <v>6</v>
          </cell>
          <cell r="D90" t="str">
            <v>1996</v>
          </cell>
          <cell r="E90" t="str">
            <v>전장</v>
          </cell>
          <cell r="F90" t="str">
            <v>이현섭</v>
          </cell>
        </row>
        <row r="91">
          <cell r="B91" t="str">
            <v>RT089</v>
          </cell>
          <cell r="C91">
            <v>5</v>
          </cell>
          <cell r="D91" t="str">
            <v>1996</v>
          </cell>
          <cell r="E91" t="str">
            <v>의장</v>
          </cell>
          <cell r="F91" t="str">
            <v>손헌호</v>
          </cell>
        </row>
        <row r="92">
          <cell r="B92" t="str">
            <v>RB090</v>
          </cell>
          <cell r="C92">
            <v>6</v>
          </cell>
          <cell r="D92" t="str">
            <v>1996</v>
          </cell>
          <cell r="E92" t="str">
            <v>차체</v>
          </cell>
          <cell r="F92" t="str">
            <v>서비용</v>
          </cell>
        </row>
        <row r="93">
          <cell r="B93" t="str">
            <v>RB091</v>
          </cell>
          <cell r="C93">
            <v>6</v>
          </cell>
          <cell r="D93" t="str">
            <v>1996</v>
          </cell>
          <cell r="E93" t="str">
            <v>차체</v>
          </cell>
          <cell r="F93" t="str">
            <v>서비용</v>
          </cell>
        </row>
        <row r="94">
          <cell r="B94" t="str">
            <v>RN092</v>
          </cell>
          <cell r="C94">
            <v>6</v>
          </cell>
          <cell r="D94" t="str">
            <v>1996</v>
          </cell>
          <cell r="E94" t="str">
            <v>엔진</v>
          </cell>
          <cell r="F94" t="str">
            <v>임종진</v>
          </cell>
        </row>
        <row r="95">
          <cell r="B95" t="str">
            <v>RN093</v>
          </cell>
          <cell r="C95">
            <v>6</v>
          </cell>
          <cell r="D95" t="str">
            <v>1996</v>
          </cell>
          <cell r="E95" t="str">
            <v>엔진</v>
          </cell>
          <cell r="F95" t="str">
            <v>엄봉용</v>
          </cell>
        </row>
        <row r="96">
          <cell r="B96" t="str">
            <v>RN094</v>
          </cell>
          <cell r="C96">
            <v>6</v>
          </cell>
          <cell r="D96" t="str">
            <v>1996</v>
          </cell>
          <cell r="E96" t="str">
            <v>엔진</v>
          </cell>
          <cell r="F96" t="str">
            <v>최정훈</v>
          </cell>
        </row>
        <row r="97">
          <cell r="B97" t="str">
            <v>RA095</v>
          </cell>
          <cell r="C97">
            <v>6</v>
          </cell>
          <cell r="D97" t="str">
            <v>1996</v>
          </cell>
          <cell r="E97" t="str">
            <v>ＴＭ</v>
          </cell>
          <cell r="F97" t="str">
            <v>손이오</v>
          </cell>
        </row>
        <row r="98">
          <cell r="B98" t="str">
            <v>RA096</v>
          </cell>
          <cell r="C98">
            <v>6</v>
          </cell>
          <cell r="D98" t="str">
            <v>1996</v>
          </cell>
          <cell r="E98" t="str">
            <v>ＴＭ</v>
          </cell>
          <cell r="F98" t="str">
            <v>김재수</v>
          </cell>
        </row>
        <row r="99">
          <cell r="B99" t="str">
            <v>RA097</v>
          </cell>
          <cell r="C99">
            <v>6</v>
          </cell>
          <cell r="D99" t="str">
            <v>1996</v>
          </cell>
          <cell r="E99" t="str">
            <v>ＴＭ</v>
          </cell>
          <cell r="F99" t="str">
            <v>손이오</v>
          </cell>
        </row>
        <row r="100">
          <cell r="B100" t="str">
            <v>RB098</v>
          </cell>
          <cell r="C100">
            <v>7</v>
          </cell>
          <cell r="D100" t="str">
            <v>1996</v>
          </cell>
          <cell r="E100" t="str">
            <v>차체</v>
          </cell>
          <cell r="F100" t="str">
            <v>이영수</v>
          </cell>
        </row>
        <row r="101">
          <cell r="B101" t="str">
            <v>RB099</v>
          </cell>
          <cell r="C101">
            <v>7</v>
          </cell>
          <cell r="D101" t="str">
            <v>1996</v>
          </cell>
          <cell r="E101" t="str">
            <v>차체</v>
          </cell>
          <cell r="F101" t="str">
            <v>김시겸</v>
          </cell>
        </row>
        <row r="102">
          <cell r="B102" t="str">
            <v>RB100</v>
          </cell>
          <cell r="C102">
            <v>7</v>
          </cell>
          <cell r="D102" t="str">
            <v>1996</v>
          </cell>
          <cell r="E102" t="str">
            <v>차체</v>
          </cell>
          <cell r="F102" t="str">
            <v>공상복</v>
          </cell>
        </row>
        <row r="103">
          <cell r="B103" t="str">
            <v>RC101</v>
          </cell>
          <cell r="C103">
            <v>8</v>
          </cell>
          <cell r="D103" t="str">
            <v>1996</v>
          </cell>
          <cell r="E103" t="str">
            <v>샤시</v>
          </cell>
          <cell r="F103" t="str">
            <v>백숙인</v>
          </cell>
        </row>
        <row r="104">
          <cell r="B104" t="str">
            <v>RC102</v>
          </cell>
          <cell r="C104">
            <v>7</v>
          </cell>
          <cell r="D104" t="str">
            <v>1996</v>
          </cell>
          <cell r="E104" t="str">
            <v>샤시</v>
          </cell>
          <cell r="F104" t="str">
            <v>지태호</v>
          </cell>
        </row>
        <row r="105">
          <cell r="B105" t="str">
            <v>RC103</v>
          </cell>
          <cell r="C105">
            <v>7</v>
          </cell>
          <cell r="D105" t="str">
            <v>1996</v>
          </cell>
          <cell r="E105" t="str">
            <v>샤시</v>
          </cell>
          <cell r="F105" t="str">
            <v>지태호</v>
          </cell>
        </row>
        <row r="106">
          <cell r="B106" t="str">
            <v>RT104</v>
          </cell>
          <cell r="C106">
            <v>6</v>
          </cell>
          <cell r="D106" t="str">
            <v>1996</v>
          </cell>
          <cell r="E106" t="str">
            <v>의장</v>
          </cell>
          <cell r="F106" t="str">
            <v>이충원</v>
          </cell>
        </row>
        <row r="107">
          <cell r="B107" t="str">
            <v>RE105</v>
          </cell>
        </row>
        <row r="108">
          <cell r="B108" t="str">
            <v>RE106</v>
          </cell>
        </row>
        <row r="109">
          <cell r="B109" t="str">
            <v>RE107</v>
          </cell>
        </row>
        <row r="110">
          <cell r="B110" t="str">
            <v>RB108</v>
          </cell>
          <cell r="C110">
            <v>5</v>
          </cell>
          <cell r="D110" t="str">
            <v>1996</v>
          </cell>
          <cell r="E110" t="str">
            <v>차체</v>
          </cell>
          <cell r="F110" t="str">
            <v>김시겸</v>
          </cell>
        </row>
        <row r="111">
          <cell r="B111" t="str">
            <v>RC109</v>
          </cell>
          <cell r="C111">
            <v>7</v>
          </cell>
          <cell r="D111" t="str">
            <v>1996</v>
          </cell>
          <cell r="E111" t="str">
            <v>샤시</v>
          </cell>
          <cell r="F111" t="str">
            <v>지태호</v>
          </cell>
        </row>
        <row r="112">
          <cell r="B112" t="str">
            <v>RN110</v>
          </cell>
          <cell r="C112">
            <v>7</v>
          </cell>
          <cell r="D112" t="str">
            <v>1996</v>
          </cell>
          <cell r="E112" t="str">
            <v>엔진</v>
          </cell>
          <cell r="F112" t="str">
            <v>임종진</v>
          </cell>
        </row>
        <row r="113">
          <cell r="B113" t="str">
            <v>RN111</v>
          </cell>
          <cell r="C113">
            <v>7</v>
          </cell>
          <cell r="D113" t="str">
            <v>1996</v>
          </cell>
          <cell r="E113" t="str">
            <v>엔진</v>
          </cell>
          <cell r="F113" t="str">
            <v>엄봉용</v>
          </cell>
        </row>
        <row r="114">
          <cell r="B114" t="str">
            <v>RN112</v>
          </cell>
          <cell r="C114">
            <v>7</v>
          </cell>
          <cell r="D114" t="str">
            <v>1996</v>
          </cell>
          <cell r="E114" t="str">
            <v>엔진</v>
          </cell>
          <cell r="F114" t="str">
            <v>최정훈</v>
          </cell>
        </row>
        <row r="115">
          <cell r="B115" t="str">
            <v>RA113</v>
          </cell>
          <cell r="C115">
            <v>7</v>
          </cell>
          <cell r="D115" t="str">
            <v>1996</v>
          </cell>
          <cell r="E115" t="str">
            <v>샤시</v>
          </cell>
          <cell r="F115" t="str">
            <v>김재수</v>
          </cell>
        </row>
        <row r="116">
          <cell r="B116" t="str">
            <v>RA114</v>
          </cell>
          <cell r="C116">
            <v>7</v>
          </cell>
          <cell r="D116" t="str">
            <v>1996</v>
          </cell>
          <cell r="E116" t="str">
            <v>ＴＭ</v>
          </cell>
          <cell r="F116" t="str">
            <v>손이오</v>
          </cell>
        </row>
        <row r="117">
          <cell r="B117" t="str">
            <v>RA115</v>
          </cell>
          <cell r="C117">
            <v>7</v>
          </cell>
          <cell r="D117" t="str">
            <v>1996</v>
          </cell>
          <cell r="E117" t="str">
            <v>ＴＭ</v>
          </cell>
          <cell r="F117" t="str">
            <v>손이오</v>
          </cell>
        </row>
        <row r="118">
          <cell r="B118" t="str">
            <v>RB116</v>
          </cell>
          <cell r="C118">
            <v>8</v>
          </cell>
          <cell r="D118" t="str">
            <v>1996</v>
          </cell>
          <cell r="E118" t="str">
            <v>차체</v>
          </cell>
          <cell r="F118" t="str">
            <v>이영수</v>
          </cell>
        </row>
        <row r="119">
          <cell r="B119" t="str">
            <v>RC117</v>
          </cell>
          <cell r="C119">
            <v>7</v>
          </cell>
          <cell r="D119" t="str">
            <v>1996</v>
          </cell>
          <cell r="E119" t="str">
            <v>샤시</v>
          </cell>
          <cell r="F119" t="str">
            <v>김창섭</v>
          </cell>
        </row>
        <row r="120">
          <cell r="B120" t="str">
            <v>RE118</v>
          </cell>
          <cell r="C120">
            <v>7</v>
          </cell>
          <cell r="D120" t="str">
            <v>1996</v>
          </cell>
          <cell r="E120" t="str">
            <v>전장</v>
          </cell>
          <cell r="F120" t="str">
            <v>박종길</v>
          </cell>
        </row>
        <row r="121">
          <cell r="B121" t="str">
            <v>RT119</v>
          </cell>
          <cell r="C121">
            <v>7</v>
          </cell>
          <cell r="D121" t="str">
            <v>1996</v>
          </cell>
          <cell r="E121" t="str">
            <v>의장</v>
          </cell>
          <cell r="F121" t="str">
            <v>박재성</v>
          </cell>
        </row>
        <row r="122">
          <cell r="B122" t="str">
            <v>RT120</v>
          </cell>
        </row>
        <row r="123">
          <cell r="B123" t="str">
            <v>RTF12</v>
          </cell>
          <cell r="C123">
            <v>9</v>
          </cell>
          <cell r="D123" t="str">
            <v>1997</v>
          </cell>
          <cell r="E123" t="str">
            <v>의장</v>
          </cell>
          <cell r="F123" t="str">
            <v>문희탁</v>
          </cell>
        </row>
        <row r="124">
          <cell r="B124" t="str">
            <v>RTR12</v>
          </cell>
          <cell r="C124">
            <v>9</v>
          </cell>
          <cell r="D124" t="str">
            <v>1997</v>
          </cell>
          <cell r="E124" t="str">
            <v>의장</v>
          </cell>
          <cell r="F124" t="str">
            <v>문희탁</v>
          </cell>
        </row>
        <row r="125">
          <cell r="B125" t="str">
            <v>RT121</v>
          </cell>
          <cell r="C125">
            <v>7</v>
          </cell>
          <cell r="D125" t="str">
            <v>1996</v>
          </cell>
          <cell r="E125" t="str">
            <v>의장</v>
          </cell>
          <cell r="F125" t="str">
            <v>정경식</v>
          </cell>
        </row>
        <row r="126">
          <cell r="B126" t="str">
            <v>RE122</v>
          </cell>
          <cell r="C126">
            <v>7</v>
          </cell>
          <cell r="D126" t="str">
            <v>1996</v>
          </cell>
          <cell r="E126" t="str">
            <v>전장</v>
          </cell>
          <cell r="F126" t="str">
            <v>조판제</v>
          </cell>
        </row>
        <row r="127">
          <cell r="B127" t="str">
            <v>RE123</v>
          </cell>
          <cell r="C127">
            <v>7</v>
          </cell>
          <cell r="D127" t="str">
            <v>1996</v>
          </cell>
          <cell r="E127" t="str">
            <v>의장</v>
          </cell>
          <cell r="F127" t="str">
            <v>김대곤</v>
          </cell>
        </row>
        <row r="128">
          <cell r="B128" t="str">
            <v>RE124</v>
          </cell>
          <cell r="C128">
            <v>7</v>
          </cell>
          <cell r="D128" t="str">
            <v>1996</v>
          </cell>
          <cell r="E128" t="str">
            <v>전장</v>
          </cell>
          <cell r="F128" t="str">
            <v>이현섭</v>
          </cell>
        </row>
        <row r="129">
          <cell r="B129" t="str">
            <v>RT125</v>
          </cell>
          <cell r="C129">
            <v>8</v>
          </cell>
          <cell r="D129" t="str">
            <v>1996</v>
          </cell>
          <cell r="E129" t="str">
            <v>의장</v>
          </cell>
          <cell r="F129" t="str">
            <v>손헌호</v>
          </cell>
        </row>
        <row r="130">
          <cell r="B130" t="str">
            <v>RN126</v>
          </cell>
          <cell r="C130">
            <v>8</v>
          </cell>
          <cell r="D130" t="str">
            <v>1996</v>
          </cell>
          <cell r="E130" t="str">
            <v>엔진</v>
          </cell>
          <cell r="F130" t="str">
            <v>엄봉용</v>
          </cell>
        </row>
        <row r="131">
          <cell r="B131" t="str">
            <v>RN127</v>
          </cell>
          <cell r="C131">
            <v>8</v>
          </cell>
          <cell r="D131" t="str">
            <v>1996</v>
          </cell>
          <cell r="E131" t="str">
            <v>엔진</v>
          </cell>
          <cell r="F131" t="str">
            <v>최정훈</v>
          </cell>
        </row>
        <row r="132">
          <cell r="B132" t="str">
            <v>RN128</v>
          </cell>
          <cell r="C132">
            <v>8</v>
          </cell>
          <cell r="D132" t="str">
            <v>1996</v>
          </cell>
          <cell r="E132" t="str">
            <v>엔진</v>
          </cell>
          <cell r="F132" t="str">
            <v>임종진</v>
          </cell>
        </row>
        <row r="133">
          <cell r="B133" t="str">
            <v>RA129</v>
          </cell>
          <cell r="C133">
            <v>8</v>
          </cell>
          <cell r="D133" t="str">
            <v>1996</v>
          </cell>
          <cell r="E133" t="str">
            <v>ＴＭ</v>
          </cell>
          <cell r="F133" t="str">
            <v>최철림</v>
          </cell>
        </row>
        <row r="134">
          <cell r="B134" t="str">
            <v>RA130</v>
          </cell>
          <cell r="C134">
            <v>8</v>
          </cell>
          <cell r="D134" t="str">
            <v>1996</v>
          </cell>
          <cell r="E134" t="str">
            <v>ＴＭ</v>
          </cell>
          <cell r="F134" t="str">
            <v>김재수</v>
          </cell>
        </row>
        <row r="135">
          <cell r="B135" t="str">
            <v>RA131</v>
          </cell>
          <cell r="C135">
            <v>8</v>
          </cell>
          <cell r="D135" t="str">
            <v>1996</v>
          </cell>
          <cell r="E135" t="str">
            <v>ＴＭ</v>
          </cell>
          <cell r="F135" t="str">
            <v>손이오</v>
          </cell>
        </row>
        <row r="136">
          <cell r="B136" t="str">
            <v>RB132</v>
          </cell>
          <cell r="C136">
            <v>8</v>
          </cell>
          <cell r="D136" t="str">
            <v>1996</v>
          </cell>
          <cell r="E136" t="str">
            <v>차체</v>
          </cell>
          <cell r="F136" t="str">
            <v>김시겸</v>
          </cell>
        </row>
        <row r="137">
          <cell r="B137" t="str">
            <v>RB133</v>
          </cell>
          <cell r="C137">
            <v>8</v>
          </cell>
          <cell r="D137" t="str">
            <v>1996</v>
          </cell>
          <cell r="E137" t="str">
            <v>차체</v>
          </cell>
          <cell r="F137" t="str">
            <v>김시겸</v>
          </cell>
        </row>
        <row r="138">
          <cell r="B138" t="str">
            <v>RC134</v>
          </cell>
          <cell r="C138">
            <v>8</v>
          </cell>
          <cell r="D138" t="str">
            <v>1996</v>
          </cell>
          <cell r="E138" t="str">
            <v>샤시</v>
          </cell>
          <cell r="F138" t="str">
            <v>백숙인</v>
          </cell>
        </row>
        <row r="139">
          <cell r="B139" t="str">
            <v>RC135</v>
          </cell>
        </row>
        <row r="140">
          <cell r="B140" t="str">
            <v>RC136</v>
          </cell>
          <cell r="C140">
            <v>8</v>
          </cell>
          <cell r="D140" t="str">
            <v>1996</v>
          </cell>
          <cell r="E140" t="str">
            <v>샤시</v>
          </cell>
          <cell r="F140" t="str">
            <v>백숙인</v>
          </cell>
        </row>
        <row r="141">
          <cell r="B141" t="str">
            <v>RC137</v>
          </cell>
        </row>
        <row r="142">
          <cell r="B142" t="str">
            <v>RE138</v>
          </cell>
          <cell r="C142">
            <v>8</v>
          </cell>
          <cell r="D142" t="str">
            <v>1996</v>
          </cell>
          <cell r="E142" t="str">
            <v>의장</v>
          </cell>
          <cell r="F142" t="str">
            <v>김정태</v>
          </cell>
        </row>
        <row r="143">
          <cell r="B143" t="str">
            <v>RE139</v>
          </cell>
          <cell r="C143">
            <v>8</v>
          </cell>
          <cell r="D143" t="str">
            <v>1996</v>
          </cell>
          <cell r="E143" t="str">
            <v>전장</v>
          </cell>
          <cell r="F143" t="str">
            <v>박종길</v>
          </cell>
        </row>
        <row r="144">
          <cell r="B144" t="str">
            <v>RE140</v>
          </cell>
          <cell r="C144">
            <v>8</v>
          </cell>
          <cell r="D144" t="str">
            <v>1996</v>
          </cell>
          <cell r="E144" t="str">
            <v>전장</v>
          </cell>
          <cell r="F144" t="str">
            <v>조판제</v>
          </cell>
        </row>
        <row r="145">
          <cell r="B145" t="str">
            <v>RE141</v>
          </cell>
          <cell r="C145">
            <v>8</v>
          </cell>
          <cell r="D145" t="str">
            <v>1997</v>
          </cell>
          <cell r="E145" t="str">
            <v>샤시</v>
          </cell>
          <cell r="F145" t="str">
            <v>김정태</v>
          </cell>
        </row>
        <row r="146">
          <cell r="B146" t="str">
            <v>RT142</v>
          </cell>
          <cell r="C146">
            <v>8</v>
          </cell>
          <cell r="D146" t="str">
            <v>1996</v>
          </cell>
          <cell r="E146" t="str">
            <v>의장</v>
          </cell>
          <cell r="F146" t="str">
            <v>한상빈</v>
          </cell>
        </row>
        <row r="147">
          <cell r="B147" t="str">
            <v>RT143</v>
          </cell>
          <cell r="C147">
            <v>8</v>
          </cell>
          <cell r="D147" t="str">
            <v>1996</v>
          </cell>
          <cell r="E147" t="str">
            <v>의장</v>
          </cell>
          <cell r="F147" t="str">
            <v>한상빈</v>
          </cell>
        </row>
        <row r="148">
          <cell r="B148" t="str">
            <v>RT144</v>
          </cell>
          <cell r="C148">
            <v>9</v>
          </cell>
          <cell r="D148" t="str">
            <v>1997</v>
          </cell>
          <cell r="E148" t="str">
            <v>의장</v>
          </cell>
          <cell r="F148" t="str">
            <v>이충원</v>
          </cell>
        </row>
        <row r="149">
          <cell r="B149" t="str">
            <v>RC145</v>
          </cell>
          <cell r="C149">
            <v>8</v>
          </cell>
          <cell r="D149" t="str">
            <v>1996</v>
          </cell>
          <cell r="E149" t="str">
            <v>샤시</v>
          </cell>
          <cell r="F149" t="str">
            <v>지태호</v>
          </cell>
        </row>
        <row r="150">
          <cell r="B150" t="str">
            <v>SN146</v>
          </cell>
          <cell r="C150">
            <v>9</v>
          </cell>
          <cell r="D150" t="str">
            <v>1997</v>
          </cell>
          <cell r="E150" t="str">
            <v>엔진</v>
          </cell>
          <cell r="F150" t="str">
            <v>엄봉용</v>
          </cell>
        </row>
        <row r="151">
          <cell r="B151" t="str">
            <v>SN147</v>
          </cell>
          <cell r="C151">
            <v>9</v>
          </cell>
          <cell r="D151" t="str">
            <v>1997</v>
          </cell>
          <cell r="E151" t="str">
            <v>엔진</v>
          </cell>
          <cell r="F151" t="str">
            <v>최정훈</v>
          </cell>
        </row>
        <row r="152">
          <cell r="B152" t="str">
            <v>SN148</v>
          </cell>
          <cell r="C152">
            <v>9</v>
          </cell>
          <cell r="D152" t="str">
            <v>1997</v>
          </cell>
          <cell r="E152" t="str">
            <v>엔진</v>
          </cell>
          <cell r="F152" t="str">
            <v>임종진</v>
          </cell>
        </row>
        <row r="153">
          <cell r="B153" t="str">
            <v>SN149</v>
          </cell>
          <cell r="C153">
            <v>9</v>
          </cell>
          <cell r="D153" t="str">
            <v>1997</v>
          </cell>
          <cell r="E153" t="str">
            <v>엔진</v>
          </cell>
          <cell r="F153" t="str">
            <v>최철림</v>
          </cell>
        </row>
        <row r="154">
          <cell r="B154" t="str">
            <v>SA150</v>
          </cell>
          <cell r="C154">
            <v>9</v>
          </cell>
          <cell r="D154" t="str">
            <v>1997</v>
          </cell>
          <cell r="E154" t="str">
            <v>ＴＭ</v>
          </cell>
          <cell r="F154" t="str">
            <v>김재수</v>
          </cell>
        </row>
        <row r="155">
          <cell r="B155" t="str">
            <v>SN151</v>
          </cell>
          <cell r="C155">
            <v>9</v>
          </cell>
          <cell r="D155" t="str">
            <v>1997</v>
          </cell>
          <cell r="E155" t="str">
            <v>엔진</v>
          </cell>
          <cell r="F155" t="str">
            <v>손이오</v>
          </cell>
        </row>
        <row r="156">
          <cell r="B156" t="str">
            <v>SB152</v>
          </cell>
          <cell r="C156">
            <v>9</v>
          </cell>
          <cell r="D156" t="str">
            <v>1997</v>
          </cell>
          <cell r="E156" t="str">
            <v>차체</v>
          </cell>
          <cell r="F156" t="str">
            <v>장희철</v>
          </cell>
        </row>
        <row r="157">
          <cell r="B157" t="str">
            <v>SB153</v>
          </cell>
          <cell r="C157">
            <v>9</v>
          </cell>
          <cell r="D157" t="str">
            <v>1997</v>
          </cell>
          <cell r="E157" t="str">
            <v>차체</v>
          </cell>
          <cell r="F157" t="str">
            <v>장희철</v>
          </cell>
        </row>
        <row r="158">
          <cell r="B158" t="str">
            <v>SB154</v>
          </cell>
          <cell r="C158">
            <v>9</v>
          </cell>
          <cell r="D158" t="str">
            <v>1997</v>
          </cell>
          <cell r="E158" t="str">
            <v>차체</v>
          </cell>
          <cell r="F158" t="str">
            <v>장희철</v>
          </cell>
        </row>
        <row r="159">
          <cell r="B159" t="str">
            <v>SE155</v>
          </cell>
        </row>
        <row r="160">
          <cell r="B160" t="str">
            <v>SE156</v>
          </cell>
          <cell r="C160">
            <v>9</v>
          </cell>
          <cell r="D160" t="str">
            <v>1997</v>
          </cell>
          <cell r="E160" t="str">
            <v>의장</v>
          </cell>
          <cell r="F160" t="str">
            <v>김대곤</v>
          </cell>
        </row>
        <row r="161">
          <cell r="B161" t="str">
            <v>SE157</v>
          </cell>
          <cell r="C161">
            <v>9</v>
          </cell>
          <cell r="D161" t="str">
            <v>1997</v>
          </cell>
          <cell r="E161" t="str">
            <v>전장</v>
          </cell>
          <cell r="F161" t="str">
            <v>조판제</v>
          </cell>
        </row>
        <row r="162">
          <cell r="B162" t="str">
            <v>SE158</v>
          </cell>
          <cell r="C162">
            <v>9</v>
          </cell>
          <cell r="D162" t="str">
            <v>1997</v>
          </cell>
          <cell r="E162" t="str">
            <v>전장</v>
          </cell>
          <cell r="F162" t="str">
            <v>박종길</v>
          </cell>
        </row>
        <row r="163">
          <cell r="B163" t="str">
            <v>SC159</v>
          </cell>
          <cell r="C163">
            <v>9</v>
          </cell>
          <cell r="D163" t="str">
            <v>1997</v>
          </cell>
          <cell r="E163" t="str">
            <v>샤시</v>
          </cell>
          <cell r="F163" t="str">
            <v>지태호</v>
          </cell>
        </row>
        <row r="164">
          <cell r="B164" t="str">
            <v>SC160</v>
          </cell>
          <cell r="C164">
            <v>9</v>
          </cell>
          <cell r="D164" t="str">
            <v>1997</v>
          </cell>
          <cell r="E164" t="str">
            <v>샤시</v>
          </cell>
          <cell r="F164" t="str">
            <v>임화식</v>
          </cell>
        </row>
        <row r="165">
          <cell r="B165" t="str">
            <v>SC161</v>
          </cell>
          <cell r="C165">
            <v>9</v>
          </cell>
          <cell r="D165" t="str">
            <v>1997</v>
          </cell>
          <cell r="E165" t="str">
            <v>샤시</v>
          </cell>
          <cell r="F165" t="str">
            <v>임화식</v>
          </cell>
        </row>
        <row r="166">
          <cell r="B166" t="str">
            <v>SC162</v>
          </cell>
        </row>
        <row r="167">
          <cell r="B167" t="str">
            <v>ST163</v>
          </cell>
          <cell r="C167">
            <v>10</v>
          </cell>
          <cell r="D167" t="str">
            <v>1997</v>
          </cell>
          <cell r="E167" t="str">
            <v>의장</v>
          </cell>
          <cell r="F167" t="str">
            <v>정경식</v>
          </cell>
        </row>
        <row r="168">
          <cell r="B168" t="str">
            <v>ST164</v>
          </cell>
          <cell r="C168">
            <v>10</v>
          </cell>
          <cell r="D168" t="str">
            <v>1997</v>
          </cell>
          <cell r="E168" t="str">
            <v>차체</v>
          </cell>
          <cell r="F168" t="str">
            <v>김시겸</v>
          </cell>
        </row>
        <row r="169">
          <cell r="B169" t="str">
            <v>ST165</v>
          </cell>
        </row>
        <row r="170">
          <cell r="B170" t="str">
            <v>SN166</v>
          </cell>
          <cell r="C170">
            <v>10</v>
          </cell>
          <cell r="D170" t="str">
            <v>1997</v>
          </cell>
          <cell r="E170" t="str">
            <v>엔진</v>
          </cell>
          <cell r="F170" t="str">
            <v>최철림</v>
          </cell>
        </row>
        <row r="171">
          <cell r="B171" t="str">
            <v>SN167</v>
          </cell>
          <cell r="C171">
            <v>10</v>
          </cell>
          <cell r="D171" t="str">
            <v>1997</v>
          </cell>
          <cell r="E171" t="str">
            <v>엔진</v>
          </cell>
          <cell r="F171" t="str">
            <v>최정훈</v>
          </cell>
        </row>
        <row r="172">
          <cell r="B172" t="str">
            <v>SA168</v>
          </cell>
          <cell r="C172">
            <v>10</v>
          </cell>
          <cell r="D172" t="str">
            <v>1997</v>
          </cell>
          <cell r="E172" t="str">
            <v>ＴＭ</v>
          </cell>
          <cell r="F172" t="str">
            <v>최정훈</v>
          </cell>
        </row>
        <row r="173">
          <cell r="B173" t="str">
            <v>SA169</v>
          </cell>
          <cell r="C173">
            <v>10</v>
          </cell>
          <cell r="D173" t="str">
            <v>1997</v>
          </cell>
          <cell r="E173" t="str">
            <v>ＴＭ</v>
          </cell>
          <cell r="F173" t="str">
            <v>손이오</v>
          </cell>
        </row>
        <row r="174">
          <cell r="B174" t="str">
            <v>SB170</v>
          </cell>
          <cell r="C174">
            <v>10</v>
          </cell>
          <cell r="D174" t="str">
            <v>1997</v>
          </cell>
          <cell r="E174" t="str">
            <v>차체</v>
          </cell>
          <cell r="F174" t="str">
            <v>공상복</v>
          </cell>
        </row>
        <row r="175">
          <cell r="B175" t="str">
            <v>SB171</v>
          </cell>
          <cell r="C175">
            <v>10</v>
          </cell>
          <cell r="D175" t="str">
            <v>1997</v>
          </cell>
          <cell r="E175" t="str">
            <v>차체</v>
          </cell>
          <cell r="F175" t="str">
            <v>이영수</v>
          </cell>
        </row>
        <row r="176">
          <cell r="B176" t="str">
            <v>ST172</v>
          </cell>
          <cell r="C176">
            <v>11</v>
          </cell>
          <cell r="D176" t="str">
            <v>1997</v>
          </cell>
          <cell r="E176" t="str">
            <v>의장</v>
          </cell>
          <cell r="F176" t="str">
            <v>정경식</v>
          </cell>
        </row>
        <row r="177">
          <cell r="B177" t="str">
            <v>SC173</v>
          </cell>
          <cell r="C177">
            <v>10</v>
          </cell>
          <cell r="D177" t="str">
            <v>1997</v>
          </cell>
          <cell r="E177" t="str">
            <v>샤시</v>
          </cell>
          <cell r="F177" t="str">
            <v>임화식</v>
          </cell>
        </row>
        <row r="178">
          <cell r="B178" t="str">
            <v>SC174</v>
          </cell>
          <cell r="C178">
            <v>11</v>
          </cell>
          <cell r="D178" t="str">
            <v>1997</v>
          </cell>
          <cell r="E178" t="str">
            <v>샤시</v>
          </cell>
          <cell r="F178" t="str">
            <v>지태호</v>
          </cell>
        </row>
        <row r="179">
          <cell r="B179" t="str">
            <v>SC175</v>
          </cell>
          <cell r="C179">
            <v>11</v>
          </cell>
          <cell r="D179" t="str">
            <v>1997</v>
          </cell>
          <cell r="E179" t="str">
            <v>샤시</v>
          </cell>
          <cell r="F179" t="str">
            <v>백숙인</v>
          </cell>
        </row>
        <row r="180">
          <cell r="B180" t="str">
            <v>SE176</v>
          </cell>
          <cell r="C180">
            <v>10</v>
          </cell>
          <cell r="D180" t="str">
            <v>1997</v>
          </cell>
          <cell r="E180" t="str">
            <v>전장</v>
          </cell>
          <cell r="F180" t="str">
            <v>이현섭</v>
          </cell>
        </row>
        <row r="181">
          <cell r="B181" t="str">
            <v>SE177</v>
          </cell>
          <cell r="C181">
            <v>11</v>
          </cell>
          <cell r="D181" t="str">
            <v>1997</v>
          </cell>
          <cell r="E181" t="str">
            <v>의장</v>
          </cell>
          <cell r="F181" t="str">
            <v>김정태</v>
          </cell>
        </row>
        <row r="182">
          <cell r="B182" t="str">
            <v>SE178</v>
          </cell>
          <cell r="C182">
            <v>10</v>
          </cell>
          <cell r="D182" t="str">
            <v>1997</v>
          </cell>
          <cell r="E182" t="str">
            <v>전장</v>
          </cell>
          <cell r="F182" t="str">
            <v>박종길</v>
          </cell>
        </row>
        <row r="183">
          <cell r="B183" t="str">
            <v>SC179</v>
          </cell>
          <cell r="C183">
            <v>10</v>
          </cell>
          <cell r="D183" t="str">
            <v>1997</v>
          </cell>
          <cell r="E183" t="str">
            <v>샤시</v>
          </cell>
          <cell r="F183" t="str">
            <v>임화식</v>
          </cell>
        </row>
        <row r="184">
          <cell r="B184" t="str">
            <v>SC180</v>
          </cell>
          <cell r="C184">
            <v>11</v>
          </cell>
          <cell r="D184" t="str">
            <v>1997</v>
          </cell>
          <cell r="E184" t="str">
            <v>샤시</v>
          </cell>
          <cell r="F184" t="str">
            <v>백숙인</v>
          </cell>
        </row>
        <row r="185">
          <cell r="B185" t="str">
            <v>SN181</v>
          </cell>
        </row>
        <row r="186">
          <cell r="B186" t="str">
            <v>SN182</v>
          </cell>
          <cell r="C186">
            <v>11</v>
          </cell>
          <cell r="D186" t="str">
            <v>1997</v>
          </cell>
          <cell r="E186" t="str">
            <v>엔진</v>
          </cell>
          <cell r="F186" t="str">
            <v>최정훈</v>
          </cell>
        </row>
        <row r="187">
          <cell r="B187" t="str">
            <v>SA183</v>
          </cell>
        </row>
        <row r="188">
          <cell r="B188" t="str">
            <v>SA184</v>
          </cell>
          <cell r="C188">
            <v>11</v>
          </cell>
          <cell r="D188" t="str">
            <v>1997</v>
          </cell>
          <cell r="E188" t="str">
            <v>ＴＭ</v>
          </cell>
          <cell r="F188" t="str">
            <v>김재수</v>
          </cell>
        </row>
        <row r="189">
          <cell r="B189" t="str">
            <v>SB185</v>
          </cell>
          <cell r="C189">
            <v>12</v>
          </cell>
          <cell r="D189" t="str">
            <v>1997</v>
          </cell>
          <cell r="E189" t="str">
            <v>의장</v>
          </cell>
          <cell r="F189" t="str">
            <v>서비용</v>
          </cell>
        </row>
        <row r="190">
          <cell r="B190" t="str">
            <v>SC186</v>
          </cell>
          <cell r="C190">
            <v>12</v>
          </cell>
          <cell r="D190" t="str">
            <v>1997</v>
          </cell>
          <cell r="E190" t="str">
            <v>샤시</v>
          </cell>
          <cell r="F190" t="str">
            <v>임화식</v>
          </cell>
        </row>
        <row r="191">
          <cell r="B191" t="str">
            <v>SE187</v>
          </cell>
          <cell r="C191">
            <v>11</v>
          </cell>
          <cell r="D191" t="str">
            <v>1997</v>
          </cell>
          <cell r="E191" t="str">
            <v>전장</v>
          </cell>
          <cell r="F191" t="str">
            <v>조판제</v>
          </cell>
        </row>
        <row r="192">
          <cell r="B192" t="str">
            <v>SE188</v>
          </cell>
          <cell r="C192">
            <v>11</v>
          </cell>
          <cell r="D192" t="str">
            <v>1997</v>
          </cell>
          <cell r="E192" t="str">
            <v>전장</v>
          </cell>
          <cell r="F192" t="str">
            <v>박종길</v>
          </cell>
        </row>
        <row r="193">
          <cell r="B193" t="str">
            <v>SN189</v>
          </cell>
          <cell r="C193">
            <v>11</v>
          </cell>
          <cell r="D193" t="str">
            <v>1997</v>
          </cell>
          <cell r="E193" t="str">
            <v>샤시</v>
          </cell>
          <cell r="F193" t="str">
            <v>최철림</v>
          </cell>
        </row>
        <row r="194">
          <cell r="B194" t="str">
            <v>SN190</v>
          </cell>
          <cell r="C194">
            <v>12</v>
          </cell>
          <cell r="D194" t="str">
            <v>1997</v>
          </cell>
          <cell r="E194" t="str">
            <v>엔진</v>
          </cell>
          <cell r="F194" t="str">
            <v>최정훈</v>
          </cell>
        </row>
        <row r="195">
          <cell r="B195" t="str">
            <v>SN191</v>
          </cell>
          <cell r="C195">
            <v>12</v>
          </cell>
          <cell r="D195" t="str">
            <v>1997</v>
          </cell>
          <cell r="E195" t="str">
            <v>엔진</v>
          </cell>
          <cell r="F195" t="str">
            <v>최정훈</v>
          </cell>
        </row>
        <row r="196">
          <cell r="B196" t="str">
            <v>SN192</v>
          </cell>
          <cell r="C196">
            <v>0</v>
          </cell>
          <cell r="D196">
            <v>0</v>
          </cell>
          <cell r="E196" t="str">
            <v>엔진</v>
          </cell>
          <cell r="F196" t="str">
            <v>-</v>
          </cell>
        </row>
        <row r="197">
          <cell r="B197" t="str">
            <v>SN193</v>
          </cell>
          <cell r="C197">
            <v>12</v>
          </cell>
          <cell r="D197" t="str">
            <v>1997</v>
          </cell>
          <cell r="E197" t="str">
            <v>엔진</v>
          </cell>
          <cell r="F197" t="str">
            <v>최철림</v>
          </cell>
        </row>
        <row r="198">
          <cell r="B198" t="str">
            <v>SN194</v>
          </cell>
          <cell r="C198">
            <v>12</v>
          </cell>
          <cell r="D198" t="str">
            <v>1997</v>
          </cell>
          <cell r="E198" t="str">
            <v>엔진</v>
          </cell>
          <cell r="F198" t="str">
            <v>김재수</v>
          </cell>
        </row>
        <row r="199">
          <cell r="B199" t="str">
            <v>SA195</v>
          </cell>
          <cell r="C199">
            <v>12</v>
          </cell>
          <cell r="D199" t="str">
            <v>1997</v>
          </cell>
          <cell r="E199" t="str">
            <v>ＴＭ</v>
          </cell>
          <cell r="F199" t="str">
            <v>손이오</v>
          </cell>
        </row>
        <row r="200">
          <cell r="B200" t="str">
            <v>SC196</v>
          </cell>
          <cell r="C200">
            <v>12</v>
          </cell>
          <cell r="D200" t="str">
            <v>1997</v>
          </cell>
          <cell r="E200" t="str">
            <v>샤시</v>
          </cell>
          <cell r="F200" t="str">
            <v>지태호</v>
          </cell>
        </row>
        <row r="201">
          <cell r="B201" t="str">
            <v>SC197</v>
          </cell>
          <cell r="C201">
            <v>12</v>
          </cell>
          <cell r="D201" t="str">
            <v>1997</v>
          </cell>
          <cell r="E201" t="str">
            <v>샤시</v>
          </cell>
          <cell r="F201" t="str">
            <v>백숙인</v>
          </cell>
        </row>
        <row r="202">
          <cell r="B202" t="str">
            <v>ST198</v>
          </cell>
          <cell r="C202">
            <v>12</v>
          </cell>
          <cell r="D202" t="str">
            <v>1997</v>
          </cell>
          <cell r="E202" t="str">
            <v>의장</v>
          </cell>
          <cell r="F202" t="str">
            <v>손헌호</v>
          </cell>
        </row>
        <row r="203">
          <cell r="B203" t="str">
            <v>ST199</v>
          </cell>
          <cell r="C203">
            <v>12</v>
          </cell>
          <cell r="D203" t="str">
            <v>1997</v>
          </cell>
          <cell r="E203" t="str">
            <v>의장</v>
          </cell>
          <cell r="F203" t="str">
            <v>이충원</v>
          </cell>
        </row>
        <row r="204">
          <cell r="B204" t="str">
            <v>SE200</v>
          </cell>
          <cell r="C204">
            <v>12</v>
          </cell>
          <cell r="D204" t="str">
            <v>1997</v>
          </cell>
          <cell r="E204" t="str">
            <v>전장</v>
          </cell>
          <cell r="F204" t="str">
            <v>이현섭</v>
          </cell>
        </row>
        <row r="205">
          <cell r="B205" t="str">
            <v>SE201</v>
          </cell>
          <cell r="C205">
            <v>12</v>
          </cell>
          <cell r="D205" t="str">
            <v>1997</v>
          </cell>
          <cell r="E205" t="str">
            <v>전장</v>
          </cell>
          <cell r="F205" t="str">
            <v>김정태</v>
          </cell>
        </row>
        <row r="206">
          <cell r="B206" t="str">
            <v>SE202</v>
          </cell>
          <cell r="C206">
            <v>12</v>
          </cell>
          <cell r="D206" t="str">
            <v>1997</v>
          </cell>
          <cell r="E206" t="str">
            <v>전장</v>
          </cell>
          <cell r="F206" t="str">
            <v>박종길</v>
          </cell>
        </row>
        <row r="207">
          <cell r="B207" t="str">
            <v>GE138</v>
          </cell>
          <cell r="C207">
            <v>8</v>
          </cell>
          <cell r="D207" t="str">
            <v>1996</v>
          </cell>
          <cell r="E207" t="str">
            <v>의장</v>
          </cell>
          <cell r="F207" t="str">
            <v>김정태</v>
          </cell>
        </row>
        <row r="208">
          <cell r="B208" t="str">
            <v>GE139</v>
          </cell>
          <cell r="C208">
            <v>8</v>
          </cell>
          <cell r="D208" t="str">
            <v>1996</v>
          </cell>
          <cell r="E208" t="str">
            <v>전장</v>
          </cell>
          <cell r="F208" t="str">
            <v>박종길</v>
          </cell>
        </row>
        <row r="209">
          <cell r="B209" t="str">
            <v>GE140</v>
          </cell>
          <cell r="C209">
            <v>8</v>
          </cell>
          <cell r="D209" t="str">
            <v>1996</v>
          </cell>
          <cell r="E209" t="str">
            <v>전장</v>
          </cell>
          <cell r="F209" t="str">
            <v>조판제</v>
          </cell>
        </row>
        <row r="210">
          <cell r="B210" t="str">
            <v>GB153</v>
          </cell>
          <cell r="C210">
            <v>9</v>
          </cell>
          <cell r="D210" t="str">
            <v>1997</v>
          </cell>
          <cell r="E210" t="str">
            <v>차체</v>
          </cell>
          <cell r="F210" t="str">
            <v>장희철</v>
          </cell>
        </row>
        <row r="211">
          <cell r="B211" t="str">
            <v>GC062</v>
          </cell>
          <cell r="C211">
            <v>9</v>
          </cell>
          <cell r="D211" t="str">
            <v>1997</v>
          </cell>
          <cell r="E211" t="str">
            <v>샤시</v>
          </cell>
          <cell r="F211" t="str">
            <v>백숙인</v>
          </cell>
        </row>
        <row r="212">
          <cell r="B212" t="str">
            <v>GC101</v>
          </cell>
          <cell r="C212">
            <v>9</v>
          </cell>
          <cell r="D212" t="str">
            <v>1997</v>
          </cell>
          <cell r="E212" t="str">
            <v>샤시</v>
          </cell>
          <cell r="F212" t="str">
            <v>최기철</v>
          </cell>
        </row>
        <row r="213">
          <cell r="B213" t="str">
            <v>GC160</v>
          </cell>
          <cell r="C213">
            <v>9</v>
          </cell>
          <cell r="D213" t="str">
            <v>1997</v>
          </cell>
          <cell r="E213" t="str">
            <v>샤시</v>
          </cell>
          <cell r="F213" t="str">
            <v>최기철</v>
          </cell>
        </row>
        <row r="214">
          <cell r="B214" t="str">
            <v>GC161</v>
          </cell>
          <cell r="C214">
            <v>9</v>
          </cell>
          <cell r="D214" t="str">
            <v>1997</v>
          </cell>
          <cell r="E214" t="str">
            <v>샤시</v>
          </cell>
          <cell r="F214" t="str">
            <v>임화식</v>
          </cell>
        </row>
        <row r="215">
          <cell r="B215" t="str">
            <v>GE016</v>
          </cell>
          <cell r="C215">
            <v>9</v>
          </cell>
          <cell r="D215" t="str">
            <v>1997</v>
          </cell>
          <cell r="E215" t="str">
            <v>전장</v>
          </cell>
          <cell r="F215" t="str">
            <v>이현섭</v>
          </cell>
        </row>
        <row r="216">
          <cell r="B216" t="str">
            <v>GE069</v>
          </cell>
          <cell r="C216">
            <v>9</v>
          </cell>
          <cell r="D216" t="str">
            <v>1997</v>
          </cell>
          <cell r="E216" t="str">
            <v>전장</v>
          </cell>
          <cell r="F216" t="str">
            <v>이현섭</v>
          </cell>
        </row>
        <row r="217">
          <cell r="B217" t="str">
            <v>GE070</v>
          </cell>
          <cell r="C217">
            <v>9</v>
          </cell>
          <cell r="D217" t="str">
            <v>1997</v>
          </cell>
          <cell r="E217" t="str">
            <v>전장</v>
          </cell>
          <cell r="F217" t="str">
            <v>김대곤</v>
          </cell>
        </row>
        <row r="218">
          <cell r="B218" t="str">
            <v>GE123</v>
          </cell>
          <cell r="C218">
            <v>9</v>
          </cell>
          <cell r="D218" t="str">
            <v>1997</v>
          </cell>
          <cell r="E218" t="str">
            <v>의장</v>
          </cell>
          <cell r="F218" t="str">
            <v>김대곤</v>
          </cell>
        </row>
        <row r="219">
          <cell r="B219" t="str">
            <v>GE141</v>
          </cell>
          <cell r="C219">
            <v>9</v>
          </cell>
          <cell r="D219" t="str">
            <v>1997</v>
          </cell>
          <cell r="E219" t="str">
            <v>샤시</v>
          </cell>
          <cell r="F219" t="str">
            <v>김정태</v>
          </cell>
        </row>
        <row r="220">
          <cell r="B220" t="str">
            <v>GE158</v>
          </cell>
          <cell r="C220">
            <v>9</v>
          </cell>
          <cell r="D220" t="str">
            <v>1997</v>
          </cell>
          <cell r="E220" t="str">
            <v>전장</v>
          </cell>
          <cell r="F220" t="str">
            <v>박종길</v>
          </cell>
        </row>
        <row r="221">
          <cell r="B221" t="str">
            <v>GT086</v>
          </cell>
          <cell r="C221">
            <v>9</v>
          </cell>
          <cell r="D221" t="str">
            <v>1997</v>
          </cell>
          <cell r="E221" t="str">
            <v>의장</v>
          </cell>
          <cell r="F221" t="str">
            <v>손헌호</v>
          </cell>
        </row>
        <row r="222">
          <cell r="B222" t="str">
            <v>GT125</v>
          </cell>
          <cell r="C222">
            <v>9</v>
          </cell>
          <cell r="D222" t="str">
            <v>1997</v>
          </cell>
          <cell r="E222" t="str">
            <v>의장</v>
          </cell>
          <cell r="F222" t="str">
            <v>손헌호</v>
          </cell>
        </row>
        <row r="223">
          <cell r="B223" t="str">
            <v>GTF12</v>
          </cell>
          <cell r="C223">
            <v>9</v>
          </cell>
          <cell r="D223" t="str">
            <v>1997</v>
          </cell>
          <cell r="E223" t="str">
            <v>의장</v>
          </cell>
          <cell r="F223" t="str">
            <v>문희탁</v>
          </cell>
        </row>
        <row r="224">
          <cell r="B224" t="str">
            <v>GB090</v>
          </cell>
          <cell r="C224">
            <v>10</v>
          </cell>
          <cell r="D224" t="str">
            <v>1997</v>
          </cell>
          <cell r="E224" t="str">
            <v>차체</v>
          </cell>
          <cell r="F224" t="str">
            <v>서비용</v>
          </cell>
        </row>
        <row r="225">
          <cell r="B225" t="str">
            <v>GC010</v>
          </cell>
          <cell r="C225">
            <v>10</v>
          </cell>
          <cell r="D225" t="str">
            <v>1997</v>
          </cell>
          <cell r="E225" t="str">
            <v>샤시</v>
          </cell>
          <cell r="F225" t="str">
            <v>김광석</v>
          </cell>
        </row>
        <row r="226">
          <cell r="B226" t="str">
            <v>GC046</v>
          </cell>
          <cell r="C226">
            <v>10</v>
          </cell>
          <cell r="D226" t="str">
            <v>1997</v>
          </cell>
          <cell r="E226" t="str">
            <v>샤시</v>
          </cell>
          <cell r="F226" t="str">
            <v>최기철</v>
          </cell>
        </row>
        <row r="227">
          <cell r="B227" t="str">
            <v>GC082</v>
          </cell>
          <cell r="C227">
            <v>10</v>
          </cell>
          <cell r="D227" t="str">
            <v>1997</v>
          </cell>
          <cell r="E227" t="str">
            <v>샤시</v>
          </cell>
          <cell r="F227" t="str">
            <v>최기철</v>
          </cell>
        </row>
        <row r="228">
          <cell r="B228" t="str">
            <v>GC102</v>
          </cell>
          <cell r="C228">
            <v>10</v>
          </cell>
          <cell r="D228" t="str">
            <v>1997</v>
          </cell>
          <cell r="E228" t="str">
            <v>샤시</v>
          </cell>
          <cell r="F228" t="str">
            <v>지태호</v>
          </cell>
        </row>
        <row r="229">
          <cell r="B229" t="str">
            <v>GC109</v>
          </cell>
          <cell r="C229">
            <v>10</v>
          </cell>
          <cell r="D229" t="str">
            <v>1997</v>
          </cell>
          <cell r="E229" t="str">
            <v>샤시</v>
          </cell>
          <cell r="F229" t="str">
            <v>지태호</v>
          </cell>
        </row>
        <row r="230">
          <cell r="B230" t="str">
            <v>GC136</v>
          </cell>
          <cell r="C230">
            <v>10</v>
          </cell>
          <cell r="D230" t="str">
            <v>1997</v>
          </cell>
          <cell r="E230" t="str">
            <v>샤시</v>
          </cell>
          <cell r="F230" t="str">
            <v>최기철</v>
          </cell>
        </row>
        <row r="231">
          <cell r="B231" t="str">
            <v>GC173</v>
          </cell>
          <cell r="C231">
            <v>10</v>
          </cell>
          <cell r="D231" t="str">
            <v>1997</v>
          </cell>
          <cell r="E231" t="str">
            <v>샤시</v>
          </cell>
          <cell r="F231" t="str">
            <v>임화식</v>
          </cell>
        </row>
        <row r="232">
          <cell r="B232" t="str">
            <v>GC174</v>
          </cell>
          <cell r="C232">
            <v>10</v>
          </cell>
          <cell r="D232" t="str">
            <v>1997</v>
          </cell>
          <cell r="E232" t="str">
            <v>샤시</v>
          </cell>
          <cell r="F232" t="str">
            <v>안석현</v>
          </cell>
        </row>
        <row r="233">
          <cell r="B233" t="str">
            <v>GC179</v>
          </cell>
          <cell r="C233">
            <v>10</v>
          </cell>
          <cell r="D233" t="str">
            <v>1997</v>
          </cell>
          <cell r="E233" t="str">
            <v>샤시</v>
          </cell>
          <cell r="F233" t="str">
            <v>임화식</v>
          </cell>
        </row>
        <row r="234">
          <cell r="B234" t="str">
            <v>GE033</v>
          </cell>
          <cell r="C234">
            <v>10</v>
          </cell>
          <cell r="D234" t="str">
            <v>1997</v>
          </cell>
          <cell r="E234" t="str">
            <v>전장</v>
          </cell>
          <cell r="F234" t="str">
            <v>김대곤</v>
          </cell>
        </row>
        <row r="235">
          <cell r="B235" t="str">
            <v>GE035</v>
          </cell>
          <cell r="C235">
            <v>10</v>
          </cell>
          <cell r="D235" t="str">
            <v>1997</v>
          </cell>
          <cell r="E235" t="str">
            <v>전장</v>
          </cell>
          <cell r="F235" t="str">
            <v>이현섭</v>
          </cell>
        </row>
        <row r="236">
          <cell r="B236" t="str">
            <v>GE072</v>
          </cell>
          <cell r="C236">
            <v>10</v>
          </cell>
          <cell r="D236" t="str">
            <v>1997</v>
          </cell>
          <cell r="E236" t="str">
            <v>전장</v>
          </cell>
          <cell r="F236" t="str">
            <v>박종길</v>
          </cell>
        </row>
        <row r="237">
          <cell r="B237" t="str">
            <v>GE156</v>
          </cell>
          <cell r="C237">
            <v>10</v>
          </cell>
          <cell r="D237" t="str">
            <v>1997</v>
          </cell>
          <cell r="E237" t="str">
            <v>의장</v>
          </cell>
          <cell r="F237" t="str">
            <v>김대곤</v>
          </cell>
        </row>
        <row r="238">
          <cell r="B238" t="str">
            <v>GE157</v>
          </cell>
          <cell r="C238">
            <v>10</v>
          </cell>
          <cell r="D238" t="str">
            <v>1997</v>
          </cell>
          <cell r="E238" t="str">
            <v>전장</v>
          </cell>
          <cell r="F238" t="str">
            <v>조판제</v>
          </cell>
        </row>
        <row r="239">
          <cell r="B239" t="str">
            <v>GE176</v>
          </cell>
          <cell r="C239">
            <v>10</v>
          </cell>
          <cell r="D239" t="str">
            <v>1997</v>
          </cell>
          <cell r="E239" t="str">
            <v>전장</v>
          </cell>
          <cell r="F239" t="str">
            <v>이현섭</v>
          </cell>
        </row>
        <row r="240">
          <cell r="B240" t="str">
            <v>GT014</v>
          </cell>
          <cell r="C240">
            <v>10</v>
          </cell>
          <cell r="D240" t="str">
            <v>1997</v>
          </cell>
          <cell r="E240" t="str">
            <v>의장</v>
          </cell>
          <cell r="F240" t="str">
            <v>이충원</v>
          </cell>
        </row>
        <row r="241">
          <cell r="B241" t="str">
            <v>GT015</v>
          </cell>
          <cell r="C241">
            <v>10</v>
          </cell>
          <cell r="D241" t="str">
            <v>1997</v>
          </cell>
          <cell r="E241" t="str">
            <v>의장</v>
          </cell>
          <cell r="F241" t="str">
            <v>정경식</v>
          </cell>
        </row>
        <row r="242">
          <cell r="B242" t="str">
            <v>GT017</v>
          </cell>
          <cell r="C242">
            <v>10</v>
          </cell>
          <cell r="D242" t="str">
            <v>1997</v>
          </cell>
          <cell r="E242" t="str">
            <v>의장</v>
          </cell>
          <cell r="F242" t="str">
            <v>문희탁</v>
          </cell>
        </row>
        <row r="243">
          <cell r="B243" t="str">
            <v>GT047</v>
          </cell>
          <cell r="C243">
            <v>10</v>
          </cell>
          <cell r="D243" t="str">
            <v>1997</v>
          </cell>
          <cell r="E243" t="str">
            <v>의장</v>
          </cell>
          <cell r="F243" t="str">
            <v>정경식</v>
          </cell>
        </row>
        <row r="244">
          <cell r="B244" t="str">
            <v>GT049</v>
          </cell>
          <cell r="C244">
            <v>10</v>
          </cell>
          <cell r="D244" t="str">
            <v>1997</v>
          </cell>
          <cell r="E244" t="str">
            <v>의장</v>
          </cell>
          <cell r="F244" t="str">
            <v>문희탁</v>
          </cell>
        </row>
        <row r="245">
          <cell r="B245" t="str">
            <v>GT066</v>
          </cell>
          <cell r="C245">
            <v>10</v>
          </cell>
          <cell r="D245" t="str">
            <v>1997</v>
          </cell>
          <cell r="E245" t="str">
            <v>의장</v>
          </cell>
          <cell r="F245" t="str">
            <v>한상빈</v>
          </cell>
        </row>
        <row r="246">
          <cell r="B246" t="str">
            <v>GT067</v>
          </cell>
          <cell r="C246">
            <v>10</v>
          </cell>
          <cell r="D246" t="str">
            <v>1997</v>
          </cell>
          <cell r="E246" t="str">
            <v>의장</v>
          </cell>
          <cell r="F246" t="str">
            <v>손헌호</v>
          </cell>
        </row>
        <row r="247">
          <cell r="B247" t="str">
            <v>GT068</v>
          </cell>
          <cell r="C247">
            <v>10</v>
          </cell>
          <cell r="D247" t="str">
            <v>1997</v>
          </cell>
          <cell r="E247" t="str">
            <v>의장</v>
          </cell>
          <cell r="F247" t="str">
            <v>한상빈</v>
          </cell>
        </row>
        <row r="248">
          <cell r="B248" t="str">
            <v>GT085</v>
          </cell>
          <cell r="C248">
            <v>10</v>
          </cell>
          <cell r="D248" t="str">
            <v>1997</v>
          </cell>
          <cell r="E248" t="str">
            <v>의장</v>
          </cell>
          <cell r="F248" t="str">
            <v>박재성</v>
          </cell>
        </row>
        <row r="249">
          <cell r="B249" t="str">
            <v>GT119</v>
          </cell>
          <cell r="C249">
            <v>10</v>
          </cell>
          <cell r="D249" t="str">
            <v>1997</v>
          </cell>
          <cell r="E249" t="str">
            <v>의장</v>
          </cell>
          <cell r="F249" t="str">
            <v>박재성</v>
          </cell>
        </row>
        <row r="250">
          <cell r="B250" t="str">
            <v>GT121</v>
          </cell>
          <cell r="C250">
            <v>10</v>
          </cell>
          <cell r="D250" t="str">
            <v>1997</v>
          </cell>
          <cell r="E250" t="str">
            <v>의장</v>
          </cell>
          <cell r="F250" t="str">
            <v>정경식</v>
          </cell>
        </row>
        <row r="251">
          <cell r="B251" t="str">
            <v>GT142</v>
          </cell>
          <cell r="C251">
            <v>10</v>
          </cell>
          <cell r="D251" t="str">
            <v>1997</v>
          </cell>
          <cell r="E251" t="str">
            <v>의장</v>
          </cell>
          <cell r="F251" t="str">
            <v>한상빈</v>
          </cell>
        </row>
        <row r="252">
          <cell r="B252" t="str">
            <v>GT143</v>
          </cell>
          <cell r="C252">
            <v>10</v>
          </cell>
          <cell r="D252" t="str">
            <v>1997</v>
          </cell>
          <cell r="E252" t="str">
            <v>의장</v>
          </cell>
          <cell r="F252" t="str">
            <v>한상빈</v>
          </cell>
        </row>
        <row r="253">
          <cell r="B253" t="str">
            <v>GT144</v>
          </cell>
          <cell r="C253">
            <v>10</v>
          </cell>
          <cell r="D253" t="str">
            <v>1997</v>
          </cell>
          <cell r="E253" t="str">
            <v>의장</v>
          </cell>
          <cell r="F253" t="str">
            <v>이충원</v>
          </cell>
        </row>
        <row r="254">
          <cell r="B254" t="str">
            <v>GT163</v>
          </cell>
          <cell r="C254">
            <v>10</v>
          </cell>
          <cell r="D254" t="str">
            <v>1997</v>
          </cell>
          <cell r="E254" t="str">
            <v>의장</v>
          </cell>
          <cell r="F254" t="str">
            <v>정경식</v>
          </cell>
        </row>
        <row r="255">
          <cell r="B255" t="str">
            <v>GTR85</v>
          </cell>
          <cell r="C255">
            <v>10</v>
          </cell>
          <cell r="D255" t="str">
            <v>1997</v>
          </cell>
          <cell r="E255" t="str">
            <v>의장</v>
          </cell>
          <cell r="F255" t="str">
            <v>박재성</v>
          </cell>
        </row>
        <row r="256">
          <cell r="B256" t="str">
            <v>GN148</v>
          </cell>
          <cell r="C256">
            <v>9</v>
          </cell>
          <cell r="D256" t="str">
            <v>1997</v>
          </cell>
          <cell r="E256" t="str">
            <v>엔진</v>
          </cell>
          <cell r="F256" t="str">
            <v>임종진</v>
          </cell>
        </row>
        <row r="257">
          <cell r="B257" t="str">
            <v>GTR12</v>
          </cell>
          <cell r="C257">
            <v>10</v>
          </cell>
          <cell r="D257" t="str">
            <v>1997</v>
          </cell>
          <cell r="E257" t="str">
            <v>의장</v>
          </cell>
          <cell r="F257" t="str">
            <v>문희탁</v>
          </cell>
        </row>
        <row r="258">
          <cell r="B258" t="str">
            <v>GA022</v>
          </cell>
          <cell r="C258">
            <v>11</v>
          </cell>
          <cell r="D258" t="str">
            <v>1997</v>
          </cell>
          <cell r="E258" t="str">
            <v>샤시</v>
          </cell>
          <cell r="F258" t="str">
            <v>최철림</v>
          </cell>
        </row>
        <row r="259">
          <cell r="B259" t="str">
            <v>GA097</v>
          </cell>
          <cell r="C259">
            <v>12</v>
          </cell>
          <cell r="D259" t="str">
            <v>1997</v>
          </cell>
          <cell r="E259" t="str">
            <v>ＴＭ</v>
          </cell>
          <cell r="F259" t="str">
            <v>손이오</v>
          </cell>
        </row>
        <row r="260">
          <cell r="B260" t="str">
            <v>GA184</v>
          </cell>
          <cell r="C260">
            <v>11</v>
          </cell>
          <cell r="D260" t="str">
            <v>1997</v>
          </cell>
          <cell r="E260" t="str">
            <v>ＴＭ</v>
          </cell>
          <cell r="F260" t="str">
            <v>김재수</v>
          </cell>
        </row>
        <row r="261">
          <cell r="B261" t="str">
            <v>GC180</v>
          </cell>
          <cell r="C261">
            <v>11</v>
          </cell>
          <cell r="D261" t="str">
            <v>1997</v>
          </cell>
          <cell r="E261" t="str">
            <v>샤시</v>
          </cell>
          <cell r="F261" t="str">
            <v>안석현</v>
          </cell>
        </row>
        <row r="262">
          <cell r="B262" t="str">
            <v>GB185</v>
          </cell>
          <cell r="C262">
            <v>12</v>
          </cell>
          <cell r="D262" t="str">
            <v>1997</v>
          </cell>
          <cell r="E262" t="str">
            <v>의장</v>
          </cell>
          <cell r="F262" t="str">
            <v>장희철</v>
          </cell>
        </row>
        <row r="263">
          <cell r="B263" t="str">
            <v>GB186</v>
          </cell>
          <cell r="C263">
            <v>12</v>
          </cell>
          <cell r="D263" t="str">
            <v>1997</v>
          </cell>
          <cell r="E263" t="str">
            <v>차체</v>
          </cell>
          <cell r="F263" t="str">
            <v>김시겸</v>
          </cell>
        </row>
        <row r="264">
          <cell r="B264" t="str">
            <v>GB187</v>
          </cell>
          <cell r="C264">
            <v>12</v>
          </cell>
          <cell r="D264" t="str">
            <v>1997</v>
          </cell>
          <cell r="E264" t="str">
            <v>차체</v>
          </cell>
          <cell r="F264" t="str">
            <v>공상복</v>
          </cell>
        </row>
        <row r="265">
          <cell r="B265" t="str">
            <v>GC028</v>
          </cell>
          <cell r="C265">
            <v>12</v>
          </cell>
          <cell r="D265" t="str">
            <v>1997</v>
          </cell>
          <cell r="E265" t="str">
            <v>샤시</v>
          </cell>
          <cell r="F265" t="str">
            <v>지태호</v>
          </cell>
        </row>
        <row r="266">
          <cell r="B266" t="str">
            <v>GC186</v>
          </cell>
          <cell r="C266">
            <v>12</v>
          </cell>
          <cell r="D266" t="str">
            <v>1997</v>
          </cell>
          <cell r="E266" t="str">
            <v>샤시</v>
          </cell>
          <cell r="F266" t="str">
            <v>임화식</v>
          </cell>
        </row>
        <row r="267">
          <cell r="B267" t="str">
            <v>GC196</v>
          </cell>
          <cell r="C267">
            <v>12</v>
          </cell>
          <cell r="D267" t="str">
            <v>1997</v>
          </cell>
          <cell r="E267" t="str">
            <v>샤시</v>
          </cell>
          <cell r="F267" t="str">
            <v>지태호</v>
          </cell>
        </row>
        <row r="268">
          <cell r="B268" t="str">
            <v>GN055</v>
          </cell>
          <cell r="C268">
            <v>12</v>
          </cell>
          <cell r="D268" t="str">
            <v>1997</v>
          </cell>
          <cell r="E268" t="str">
            <v>엔진</v>
          </cell>
          <cell r="F268" t="str">
            <v>최정훈</v>
          </cell>
        </row>
        <row r="269">
          <cell r="B269" t="str">
            <v>GN112</v>
          </cell>
          <cell r="C269">
            <v>12</v>
          </cell>
          <cell r="D269" t="str">
            <v>1997</v>
          </cell>
          <cell r="E269" t="str">
            <v>엔진</v>
          </cell>
          <cell r="F269" t="str">
            <v>최정훈</v>
          </cell>
        </row>
        <row r="270">
          <cell r="B270" t="str">
            <v>GN128</v>
          </cell>
          <cell r="C270">
            <v>12</v>
          </cell>
          <cell r="D270" t="str">
            <v>1997</v>
          </cell>
          <cell r="E270" t="str">
            <v>엔진</v>
          </cell>
          <cell r="F270" t="str">
            <v>임종진</v>
          </cell>
        </row>
        <row r="271">
          <cell r="B271" t="str">
            <v>TC901</v>
          </cell>
          <cell r="C271" t="str">
            <v>13</v>
          </cell>
          <cell r="D271" t="str">
            <v>1998</v>
          </cell>
          <cell r="E271" t="str">
            <v>의장</v>
          </cell>
          <cell r="F271" t="str">
            <v>이태범</v>
          </cell>
        </row>
        <row r="272">
          <cell r="B272" t="str">
            <v>TC902</v>
          </cell>
          <cell r="C272" t="str">
            <v>13</v>
          </cell>
          <cell r="D272" t="str">
            <v>1998</v>
          </cell>
          <cell r="E272" t="str">
            <v>의장</v>
          </cell>
          <cell r="F272" t="str">
            <v>이태범</v>
          </cell>
        </row>
        <row r="273">
          <cell r="B273" t="str">
            <v>TN001</v>
          </cell>
          <cell r="C273" t="str">
            <v>13</v>
          </cell>
          <cell r="D273" t="str">
            <v>1998</v>
          </cell>
          <cell r="E273" t="str">
            <v>엔진</v>
          </cell>
          <cell r="F273" t="str">
            <v>이현기</v>
          </cell>
        </row>
        <row r="274">
          <cell r="B274" t="str">
            <v>TN002</v>
          </cell>
          <cell r="C274" t="str">
            <v>13</v>
          </cell>
          <cell r="D274" t="str">
            <v>1998</v>
          </cell>
          <cell r="E274" t="str">
            <v>엔진</v>
          </cell>
          <cell r="F274" t="str">
            <v>이현기</v>
          </cell>
        </row>
        <row r="275">
          <cell r="B275" t="str">
            <v>TN003</v>
          </cell>
          <cell r="C275" t="str">
            <v>13</v>
          </cell>
          <cell r="D275" t="str">
            <v>1998</v>
          </cell>
          <cell r="E275" t="str">
            <v>엔진</v>
          </cell>
          <cell r="F275" t="str">
            <v>이현기</v>
          </cell>
        </row>
        <row r="276">
          <cell r="B276" t="str">
            <v>TN004</v>
          </cell>
          <cell r="C276" t="str">
            <v>13</v>
          </cell>
          <cell r="D276" t="str">
            <v>1998</v>
          </cell>
          <cell r="E276" t="str">
            <v>엔진</v>
          </cell>
          <cell r="F276" t="str">
            <v>이현기</v>
          </cell>
        </row>
        <row r="277">
          <cell r="B277" t="str">
            <v>TN005</v>
          </cell>
          <cell r="C277" t="str">
            <v>13</v>
          </cell>
          <cell r="D277" t="str">
            <v>1998</v>
          </cell>
          <cell r="E277" t="str">
            <v>엔진</v>
          </cell>
          <cell r="F277" t="str">
            <v>이원표</v>
          </cell>
        </row>
        <row r="278">
          <cell r="B278" t="str">
            <v>TN006</v>
          </cell>
          <cell r="C278" t="str">
            <v>13</v>
          </cell>
          <cell r="D278" t="str">
            <v>1998</v>
          </cell>
          <cell r="E278" t="str">
            <v>엔진</v>
          </cell>
          <cell r="F278" t="str">
            <v>이원표</v>
          </cell>
        </row>
        <row r="279">
          <cell r="B279" t="str">
            <v>TN007</v>
          </cell>
          <cell r="C279" t="str">
            <v>13</v>
          </cell>
          <cell r="D279" t="str">
            <v>1998</v>
          </cell>
          <cell r="E279" t="str">
            <v>엔진</v>
          </cell>
          <cell r="F279" t="str">
            <v>최정훈</v>
          </cell>
        </row>
        <row r="280">
          <cell r="B280" t="str">
            <v>TN008</v>
          </cell>
          <cell r="C280" t="str">
            <v>13</v>
          </cell>
          <cell r="D280" t="str">
            <v>1998</v>
          </cell>
          <cell r="E280" t="str">
            <v>엔진</v>
          </cell>
          <cell r="F280" t="str">
            <v>이원표</v>
          </cell>
        </row>
        <row r="281">
          <cell r="B281" t="str">
            <v>TN009</v>
          </cell>
          <cell r="C281" t="str">
            <v>13</v>
          </cell>
          <cell r="D281" t="str">
            <v>1998</v>
          </cell>
          <cell r="E281" t="str">
            <v>엔진</v>
          </cell>
          <cell r="F281" t="str">
            <v>이원표</v>
          </cell>
        </row>
        <row r="282">
          <cell r="B282" t="str">
            <v>TN010</v>
          </cell>
          <cell r="C282" t="str">
            <v>13</v>
          </cell>
          <cell r="D282" t="str">
            <v>1998</v>
          </cell>
          <cell r="E282" t="str">
            <v>엔진</v>
          </cell>
          <cell r="F282" t="str">
            <v>엄봉용</v>
          </cell>
        </row>
        <row r="283">
          <cell r="B283" t="str">
            <v>TN011</v>
          </cell>
          <cell r="C283" t="str">
            <v>13</v>
          </cell>
          <cell r="D283" t="str">
            <v>1998</v>
          </cell>
          <cell r="E283" t="str">
            <v>엔진</v>
          </cell>
          <cell r="F283" t="str">
            <v>권오운</v>
          </cell>
        </row>
        <row r="284">
          <cell r="B284" t="str">
            <v>TN012</v>
          </cell>
          <cell r="C284" t="str">
            <v>13</v>
          </cell>
          <cell r="D284" t="str">
            <v>1998</v>
          </cell>
          <cell r="E284" t="str">
            <v>엔진</v>
          </cell>
          <cell r="F284" t="str">
            <v>엄봉용</v>
          </cell>
        </row>
        <row r="285">
          <cell r="B285" t="str">
            <v>TN013</v>
          </cell>
          <cell r="C285" t="str">
            <v>13</v>
          </cell>
          <cell r="D285" t="str">
            <v>1998</v>
          </cell>
          <cell r="E285" t="str">
            <v>엔진</v>
          </cell>
          <cell r="F285" t="str">
            <v>이현기</v>
          </cell>
        </row>
        <row r="286">
          <cell r="B286" t="str">
            <v>TN014</v>
          </cell>
          <cell r="C286" t="str">
            <v>13</v>
          </cell>
          <cell r="D286" t="str">
            <v>1998</v>
          </cell>
          <cell r="E286" t="str">
            <v>엔진</v>
          </cell>
          <cell r="F286" t="str">
            <v>최정훈</v>
          </cell>
        </row>
        <row r="287">
          <cell r="B287" t="str">
            <v>TN015</v>
          </cell>
          <cell r="C287" t="str">
            <v>13</v>
          </cell>
          <cell r="D287" t="str">
            <v>1998</v>
          </cell>
          <cell r="E287" t="str">
            <v>엔진</v>
          </cell>
          <cell r="F287" t="str">
            <v>이현기</v>
          </cell>
        </row>
        <row r="288">
          <cell r="B288" t="str">
            <v>TN016</v>
          </cell>
          <cell r="C288" t="str">
            <v>13</v>
          </cell>
          <cell r="D288" t="str">
            <v>1998</v>
          </cell>
          <cell r="E288" t="str">
            <v>엔진</v>
          </cell>
          <cell r="F288" t="str">
            <v>엄봉용</v>
          </cell>
        </row>
        <row r="289">
          <cell r="B289" t="str">
            <v>TN017</v>
          </cell>
          <cell r="C289" t="str">
            <v>13</v>
          </cell>
          <cell r="D289" t="str">
            <v>1998</v>
          </cell>
          <cell r="E289" t="str">
            <v>엔진</v>
          </cell>
          <cell r="F289" t="str">
            <v>엄봉용</v>
          </cell>
        </row>
        <row r="290">
          <cell r="B290" t="str">
            <v>TN018</v>
          </cell>
          <cell r="C290" t="str">
            <v>13</v>
          </cell>
          <cell r="D290" t="str">
            <v>1998</v>
          </cell>
          <cell r="E290" t="str">
            <v>엔진</v>
          </cell>
          <cell r="F290" t="str">
            <v>엄봉용</v>
          </cell>
        </row>
        <row r="291">
          <cell r="B291" t="str">
            <v>TN019</v>
          </cell>
          <cell r="C291" t="str">
            <v>13</v>
          </cell>
          <cell r="D291" t="str">
            <v>1998</v>
          </cell>
          <cell r="E291" t="str">
            <v>엔진</v>
          </cell>
          <cell r="F291" t="str">
            <v>엄봉용</v>
          </cell>
        </row>
        <row r="292">
          <cell r="B292" t="str">
            <v>TN020</v>
          </cell>
          <cell r="C292" t="str">
            <v>13</v>
          </cell>
          <cell r="D292" t="str">
            <v>1998</v>
          </cell>
          <cell r="E292" t="str">
            <v>엔진</v>
          </cell>
          <cell r="F292" t="str">
            <v>엄봉용</v>
          </cell>
        </row>
        <row r="293">
          <cell r="B293" t="str">
            <v>TN021</v>
          </cell>
          <cell r="C293" t="str">
            <v>13</v>
          </cell>
          <cell r="D293" t="str">
            <v>1998</v>
          </cell>
          <cell r="E293" t="str">
            <v>엔진</v>
          </cell>
          <cell r="F293" t="str">
            <v>엄봉용</v>
          </cell>
        </row>
        <row r="294">
          <cell r="B294" t="str">
            <v>TN022</v>
          </cell>
          <cell r="C294" t="str">
            <v>13</v>
          </cell>
          <cell r="D294" t="str">
            <v>1998</v>
          </cell>
          <cell r="E294" t="str">
            <v>엔진</v>
          </cell>
          <cell r="F294" t="str">
            <v>권오운</v>
          </cell>
        </row>
        <row r="295">
          <cell r="B295" t="str">
            <v>TN023</v>
          </cell>
          <cell r="C295" t="str">
            <v>13</v>
          </cell>
          <cell r="D295" t="str">
            <v>1998</v>
          </cell>
          <cell r="E295" t="str">
            <v>엔진</v>
          </cell>
          <cell r="F295" t="str">
            <v>엄봉용</v>
          </cell>
        </row>
        <row r="296">
          <cell r="B296" t="str">
            <v>TN024</v>
          </cell>
          <cell r="C296" t="str">
            <v>13</v>
          </cell>
          <cell r="D296" t="str">
            <v>1998</v>
          </cell>
          <cell r="E296" t="str">
            <v>엔진</v>
          </cell>
          <cell r="F296" t="str">
            <v>엄봉용</v>
          </cell>
        </row>
        <row r="297">
          <cell r="B297" t="str">
            <v>TN025</v>
          </cell>
          <cell r="C297" t="str">
            <v>13</v>
          </cell>
          <cell r="D297" t="str">
            <v>1998</v>
          </cell>
          <cell r="E297" t="str">
            <v>엔진</v>
          </cell>
          <cell r="F297" t="str">
            <v>엄봉용</v>
          </cell>
        </row>
        <row r="298">
          <cell r="B298" t="str">
            <v>TN026</v>
          </cell>
          <cell r="C298" t="str">
            <v>13</v>
          </cell>
          <cell r="D298" t="str">
            <v>1998</v>
          </cell>
          <cell r="E298" t="str">
            <v>엔진</v>
          </cell>
          <cell r="F298" t="str">
            <v>엄봉용</v>
          </cell>
        </row>
        <row r="299">
          <cell r="B299" t="str">
            <v>TN027</v>
          </cell>
          <cell r="C299" t="str">
            <v>13</v>
          </cell>
          <cell r="D299" t="str">
            <v>1998</v>
          </cell>
          <cell r="E299" t="str">
            <v>엔진</v>
          </cell>
          <cell r="F299" t="str">
            <v>엄봉용</v>
          </cell>
        </row>
        <row r="300">
          <cell r="B300" t="str">
            <v>TN028</v>
          </cell>
          <cell r="C300" t="str">
            <v>13</v>
          </cell>
          <cell r="D300" t="str">
            <v>1998</v>
          </cell>
          <cell r="E300" t="str">
            <v>엔진</v>
          </cell>
          <cell r="F300" t="str">
            <v>엄봉용</v>
          </cell>
        </row>
        <row r="301">
          <cell r="B301" t="str">
            <v>TN029</v>
          </cell>
          <cell r="C301" t="str">
            <v>13</v>
          </cell>
          <cell r="D301" t="str">
            <v>1998</v>
          </cell>
          <cell r="E301" t="str">
            <v>엔진</v>
          </cell>
          <cell r="F301" t="str">
            <v>이원표</v>
          </cell>
        </row>
        <row r="302">
          <cell r="B302" t="str">
            <v>TN030</v>
          </cell>
          <cell r="C302" t="str">
            <v>13</v>
          </cell>
          <cell r="D302" t="str">
            <v>1998</v>
          </cell>
          <cell r="E302" t="str">
            <v>엔진</v>
          </cell>
          <cell r="F302" t="str">
            <v>엄봉용</v>
          </cell>
        </row>
        <row r="303">
          <cell r="B303" t="str">
            <v>TN031</v>
          </cell>
          <cell r="C303" t="str">
            <v>13</v>
          </cell>
          <cell r="D303" t="str">
            <v>1998</v>
          </cell>
          <cell r="E303" t="str">
            <v>엔진</v>
          </cell>
          <cell r="F303" t="str">
            <v>엄봉용</v>
          </cell>
        </row>
        <row r="304">
          <cell r="B304" t="str">
            <v>TN032</v>
          </cell>
          <cell r="C304" t="str">
            <v>13</v>
          </cell>
          <cell r="D304" t="str">
            <v>1998</v>
          </cell>
          <cell r="E304" t="str">
            <v>엔진</v>
          </cell>
          <cell r="F304" t="str">
            <v>이현기</v>
          </cell>
        </row>
        <row r="305">
          <cell r="B305" t="str">
            <v>TN033</v>
          </cell>
          <cell r="C305" t="str">
            <v>13</v>
          </cell>
          <cell r="D305" t="str">
            <v>1998</v>
          </cell>
          <cell r="E305" t="str">
            <v>엔진</v>
          </cell>
          <cell r="F305" t="str">
            <v>권오운</v>
          </cell>
        </row>
        <row r="306">
          <cell r="B306" t="str">
            <v>TN034</v>
          </cell>
          <cell r="C306" t="str">
            <v>13</v>
          </cell>
          <cell r="D306" t="str">
            <v>1998</v>
          </cell>
          <cell r="E306" t="str">
            <v>엔진</v>
          </cell>
          <cell r="F306" t="str">
            <v>엄봉용</v>
          </cell>
        </row>
        <row r="307">
          <cell r="B307" t="str">
            <v>TN035</v>
          </cell>
          <cell r="C307" t="str">
            <v>13</v>
          </cell>
          <cell r="D307" t="str">
            <v>1998</v>
          </cell>
          <cell r="E307" t="str">
            <v>엔진</v>
          </cell>
          <cell r="F307" t="str">
            <v>엄봉용</v>
          </cell>
        </row>
        <row r="308">
          <cell r="B308" t="str">
            <v>TA036</v>
          </cell>
          <cell r="C308" t="str">
            <v>13</v>
          </cell>
          <cell r="D308" t="str">
            <v>1998</v>
          </cell>
          <cell r="E308" t="str">
            <v>T/M</v>
          </cell>
          <cell r="F308" t="str">
            <v>박찬엽</v>
          </cell>
        </row>
        <row r="309">
          <cell r="B309" t="str">
            <v>TA037</v>
          </cell>
          <cell r="C309" t="str">
            <v>13</v>
          </cell>
          <cell r="D309" t="str">
            <v>1998</v>
          </cell>
          <cell r="E309" t="str">
            <v>T/M</v>
          </cell>
          <cell r="F309" t="str">
            <v>박찬엽</v>
          </cell>
        </row>
        <row r="310">
          <cell r="B310" t="str">
            <v>TA038</v>
          </cell>
          <cell r="C310" t="str">
            <v>13</v>
          </cell>
          <cell r="D310" t="str">
            <v>1998</v>
          </cell>
          <cell r="E310" t="str">
            <v>T/M</v>
          </cell>
          <cell r="F310" t="str">
            <v>김재학</v>
          </cell>
        </row>
        <row r="311">
          <cell r="B311" t="str">
            <v>TA039</v>
          </cell>
          <cell r="C311" t="str">
            <v>13</v>
          </cell>
          <cell r="D311" t="str">
            <v>1998</v>
          </cell>
          <cell r="E311" t="str">
            <v>T/M</v>
          </cell>
          <cell r="F311" t="str">
            <v>박찬엽</v>
          </cell>
        </row>
        <row r="312">
          <cell r="B312" t="str">
            <v>TA040</v>
          </cell>
          <cell r="C312" t="str">
            <v>13</v>
          </cell>
          <cell r="D312" t="str">
            <v>1998</v>
          </cell>
          <cell r="E312" t="str">
            <v>T/M</v>
          </cell>
          <cell r="F312" t="str">
            <v>박찬엽</v>
          </cell>
        </row>
        <row r="313">
          <cell r="B313" t="str">
            <v>TA041</v>
          </cell>
          <cell r="C313" t="str">
            <v>13</v>
          </cell>
          <cell r="D313" t="str">
            <v>1998</v>
          </cell>
          <cell r="E313" t="str">
            <v>T/M</v>
          </cell>
          <cell r="F313" t="str">
            <v>박찬엽</v>
          </cell>
        </row>
        <row r="314">
          <cell r="B314" t="str">
            <v>TA042</v>
          </cell>
          <cell r="C314" t="str">
            <v>13</v>
          </cell>
          <cell r="D314" t="str">
            <v>1998</v>
          </cell>
          <cell r="E314" t="str">
            <v>T/M</v>
          </cell>
          <cell r="F314" t="str">
            <v>박찬엽</v>
          </cell>
        </row>
        <row r="315">
          <cell r="B315" t="str">
            <v>TA043</v>
          </cell>
          <cell r="C315" t="str">
            <v>13</v>
          </cell>
          <cell r="D315" t="str">
            <v>1998</v>
          </cell>
          <cell r="E315" t="str">
            <v>T/M</v>
          </cell>
          <cell r="F315" t="str">
            <v>박찬엽</v>
          </cell>
        </row>
        <row r="316">
          <cell r="B316" t="str">
            <v>TA044</v>
          </cell>
          <cell r="C316" t="str">
            <v>13</v>
          </cell>
          <cell r="D316" t="str">
            <v>1998</v>
          </cell>
          <cell r="E316" t="str">
            <v>T/M</v>
          </cell>
          <cell r="F316" t="str">
            <v>박찬엽</v>
          </cell>
        </row>
        <row r="317">
          <cell r="B317" t="str">
            <v>TA045</v>
          </cell>
          <cell r="C317" t="str">
            <v>13</v>
          </cell>
          <cell r="D317" t="str">
            <v>1998</v>
          </cell>
          <cell r="E317" t="str">
            <v>T/M</v>
          </cell>
          <cell r="F317" t="str">
            <v>박찬엽</v>
          </cell>
        </row>
        <row r="318">
          <cell r="B318" t="str">
            <v>TA046</v>
          </cell>
          <cell r="C318" t="str">
            <v>13</v>
          </cell>
          <cell r="D318" t="str">
            <v>1998</v>
          </cell>
          <cell r="E318" t="str">
            <v>T/M</v>
          </cell>
          <cell r="F318" t="str">
            <v>박찬엽</v>
          </cell>
        </row>
        <row r="319">
          <cell r="B319" t="str">
            <v>TA047</v>
          </cell>
          <cell r="C319" t="str">
            <v>13</v>
          </cell>
          <cell r="D319" t="str">
            <v>1998</v>
          </cell>
          <cell r="E319" t="str">
            <v>T/M</v>
          </cell>
          <cell r="F319" t="str">
            <v>박찬엽</v>
          </cell>
        </row>
        <row r="320">
          <cell r="B320" t="str">
            <v>TA048</v>
          </cell>
          <cell r="C320" t="str">
            <v>13</v>
          </cell>
          <cell r="D320" t="str">
            <v>1998</v>
          </cell>
          <cell r="E320" t="str">
            <v>T/M</v>
          </cell>
          <cell r="F320" t="str">
            <v>박찬엽</v>
          </cell>
        </row>
        <row r="321">
          <cell r="B321" t="str">
            <v>TA049</v>
          </cell>
          <cell r="C321" t="str">
            <v>13</v>
          </cell>
          <cell r="D321" t="str">
            <v>1998</v>
          </cell>
          <cell r="E321" t="str">
            <v>T/M</v>
          </cell>
          <cell r="F321" t="str">
            <v>엄봉용</v>
          </cell>
        </row>
        <row r="322">
          <cell r="B322" t="str">
            <v>TA050</v>
          </cell>
          <cell r="C322" t="str">
            <v>13</v>
          </cell>
          <cell r="D322" t="str">
            <v>1998</v>
          </cell>
          <cell r="E322" t="str">
            <v>T/M</v>
          </cell>
          <cell r="F322" t="str">
            <v>박찬엽</v>
          </cell>
        </row>
        <row r="323">
          <cell r="B323" t="str">
            <v>TA051</v>
          </cell>
          <cell r="C323" t="str">
            <v>13</v>
          </cell>
          <cell r="D323" t="str">
            <v>1998</v>
          </cell>
          <cell r="E323" t="str">
            <v>T/M</v>
          </cell>
          <cell r="F323" t="str">
            <v>엄봉용</v>
          </cell>
        </row>
        <row r="324">
          <cell r="B324" t="str">
            <v>TA052</v>
          </cell>
          <cell r="C324" t="str">
            <v>13</v>
          </cell>
          <cell r="D324" t="str">
            <v>1998</v>
          </cell>
          <cell r="E324" t="str">
            <v>T/M</v>
          </cell>
          <cell r="F324" t="str">
            <v>박찬엽</v>
          </cell>
        </row>
        <row r="325">
          <cell r="B325" t="str">
            <v>TA053</v>
          </cell>
          <cell r="C325" t="str">
            <v>13</v>
          </cell>
          <cell r="D325" t="str">
            <v>1998</v>
          </cell>
          <cell r="E325" t="str">
            <v>T/M</v>
          </cell>
          <cell r="F325" t="str">
            <v>박찬엽</v>
          </cell>
        </row>
        <row r="326">
          <cell r="B326" t="str">
            <v>TA054</v>
          </cell>
          <cell r="C326" t="str">
            <v>13</v>
          </cell>
          <cell r="D326" t="str">
            <v>1998</v>
          </cell>
          <cell r="E326" t="str">
            <v>T/M</v>
          </cell>
          <cell r="F326" t="str">
            <v>엄봉용</v>
          </cell>
        </row>
        <row r="327">
          <cell r="B327" t="str">
            <v>TA055</v>
          </cell>
          <cell r="C327" t="str">
            <v>13</v>
          </cell>
          <cell r="D327" t="str">
            <v>1998</v>
          </cell>
          <cell r="E327" t="str">
            <v>T/M</v>
          </cell>
          <cell r="F327" t="str">
            <v>엄봉용</v>
          </cell>
        </row>
        <row r="328">
          <cell r="B328" t="str">
            <v>TC056</v>
          </cell>
          <cell r="C328" t="str">
            <v>13</v>
          </cell>
          <cell r="D328" t="str">
            <v>1998</v>
          </cell>
          <cell r="E328" t="str">
            <v>샤시</v>
          </cell>
          <cell r="F328" t="str">
            <v>백숙인</v>
          </cell>
        </row>
        <row r="329">
          <cell r="B329" t="str">
            <v>TC057</v>
          </cell>
          <cell r="C329" t="str">
            <v>13</v>
          </cell>
          <cell r="D329" t="str">
            <v>1998</v>
          </cell>
          <cell r="E329" t="str">
            <v>샤시</v>
          </cell>
          <cell r="F329" t="str">
            <v>백숙인</v>
          </cell>
        </row>
        <row r="330">
          <cell r="B330" t="str">
            <v>TC058</v>
          </cell>
          <cell r="C330" t="str">
            <v>13</v>
          </cell>
          <cell r="D330" t="str">
            <v>1998</v>
          </cell>
          <cell r="E330" t="str">
            <v>샤시</v>
          </cell>
          <cell r="F330" t="str">
            <v>백숙인</v>
          </cell>
        </row>
        <row r="331">
          <cell r="B331" t="str">
            <v>TC059</v>
          </cell>
          <cell r="C331" t="str">
            <v>13</v>
          </cell>
          <cell r="D331" t="str">
            <v>1998</v>
          </cell>
          <cell r="E331" t="str">
            <v>샤시</v>
          </cell>
          <cell r="F331" t="str">
            <v>백숙인</v>
          </cell>
        </row>
        <row r="332">
          <cell r="B332" t="str">
            <v>TC060</v>
          </cell>
          <cell r="C332" t="str">
            <v>13</v>
          </cell>
          <cell r="D332" t="str">
            <v>1998</v>
          </cell>
          <cell r="E332" t="str">
            <v>샤시</v>
          </cell>
          <cell r="F332" t="str">
            <v>백숙인</v>
          </cell>
        </row>
        <row r="333">
          <cell r="B333" t="str">
            <v>TC061</v>
          </cell>
          <cell r="C333" t="str">
            <v>13</v>
          </cell>
          <cell r="D333" t="str">
            <v>1998</v>
          </cell>
          <cell r="E333" t="str">
            <v>샤시</v>
          </cell>
          <cell r="F333" t="str">
            <v>백숙인</v>
          </cell>
        </row>
        <row r="334">
          <cell r="B334" t="str">
            <v>TC062</v>
          </cell>
          <cell r="C334" t="str">
            <v>13</v>
          </cell>
          <cell r="D334" t="str">
            <v>1998</v>
          </cell>
          <cell r="E334" t="str">
            <v>샤시</v>
          </cell>
          <cell r="F334" t="str">
            <v>김창섭</v>
          </cell>
        </row>
        <row r="335">
          <cell r="B335" t="str">
            <v>TC063</v>
          </cell>
          <cell r="C335" t="str">
            <v>13</v>
          </cell>
          <cell r="D335" t="str">
            <v>1998</v>
          </cell>
          <cell r="E335" t="str">
            <v>샤시</v>
          </cell>
          <cell r="F335" t="str">
            <v>김창섭</v>
          </cell>
        </row>
        <row r="336">
          <cell r="B336" t="str">
            <v>TC064</v>
          </cell>
          <cell r="C336" t="str">
            <v>13</v>
          </cell>
          <cell r="D336" t="str">
            <v>1998</v>
          </cell>
          <cell r="E336" t="str">
            <v>샤시</v>
          </cell>
          <cell r="F336" t="str">
            <v>김창섭</v>
          </cell>
        </row>
        <row r="337">
          <cell r="B337" t="str">
            <v>TC065</v>
          </cell>
          <cell r="C337" t="str">
            <v>13</v>
          </cell>
          <cell r="D337" t="str">
            <v>1998</v>
          </cell>
          <cell r="E337" t="str">
            <v>샤시</v>
          </cell>
          <cell r="F337" t="str">
            <v>김창섭</v>
          </cell>
        </row>
        <row r="338">
          <cell r="B338" t="str">
            <v>TC066</v>
          </cell>
          <cell r="C338" t="str">
            <v>13</v>
          </cell>
          <cell r="D338" t="str">
            <v>1998</v>
          </cell>
          <cell r="E338" t="str">
            <v>샤시</v>
          </cell>
          <cell r="F338" t="str">
            <v>김창섭</v>
          </cell>
        </row>
        <row r="339">
          <cell r="B339" t="str">
            <v>TC067</v>
          </cell>
          <cell r="C339" t="str">
            <v>13</v>
          </cell>
          <cell r="D339" t="str">
            <v>1998</v>
          </cell>
          <cell r="E339" t="str">
            <v>샤시</v>
          </cell>
          <cell r="F339" t="str">
            <v>김창섭</v>
          </cell>
        </row>
        <row r="340">
          <cell r="B340" t="str">
            <v>TC068</v>
          </cell>
          <cell r="C340" t="str">
            <v>13</v>
          </cell>
          <cell r="D340" t="str">
            <v>1998</v>
          </cell>
          <cell r="E340" t="str">
            <v>샤시</v>
          </cell>
          <cell r="F340" t="str">
            <v>김창섭</v>
          </cell>
        </row>
        <row r="341">
          <cell r="B341" t="str">
            <v>TC069</v>
          </cell>
          <cell r="C341" t="str">
            <v>13</v>
          </cell>
          <cell r="D341" t="str">
            <v>1998</v>
          </cell>
          <cell r="E341" t="str">
            <v>샤시</v>
          </cell>
          <cell r="F341" t="str">
            <v>이태범</v>
          </cell>
        </row>
        <row r="342">
          <cell r="B342" t="str">
            <v>TC070</v>
          </cell>
          <cell r="C342" t="str">
            <v>13</v>
          </cell>
          <cell r="D342" t="str">
            <v>1998</v>
          </cell>
          <cell r="E342" t="str">
            <v>샤시</v>
          </cell>
          <cell r="F342" t="str">
            <v>이재희</v>
          </cell>
        </row>
        <row r="343">
          <cell r="B343" t="str">
            <v>TC071</v>
          </cell>
          <cell r="C343" t="str">
            <v>13</v>
          </cell>
          <cell r="D343" t="str">
            <v>1998</v>
          </cell>
          <cell r="E343" t="str">
            <v>샤시</v>
          </cell>
          <cell r="F343" t="str">
            <v>김재학</v>
          </cell>
        </row>
        <row r="344">
          <cell r="B344" t="str">
            <v>TC072</v>
          </cell>
          <cell r="C344" t="str">
            <v>13</v>
          </cell>
          <cell r="D344" t="str">
            <v>1998</v>
          </cell>
          <cell r="E344" t="str">
            <v>샤시</v>
          </cell>
          <cell r="F344" t="str">
            <v>임화식</v>
          </cell>
        </row>
        <row r="345">
          <cell r="B345" t="str">
            <v>TC073</v>
          </cell>
          <cell r="C345" t="str">
            <v>13</v>
          </cell>
          <cell r="D345" t="str">
            <v>1998</v>
          </cell>
          <cell r="E345" t="str">
            <v>샤시</v>
          </cell>
          <cell r="F345" t="str">
            <v>임화식</v>
          </cell>
        </row>
        <row r="346">
          <cell r="B346" t="str">
            <v>TC074</v>
          </cell>
          <cell r="C346" t="str">
            <v>13</v>
          </cell>
          <cell r="D346" t="str">
            <v>1998</v>
          </cell>
          <cell r="E346" t="str">
            <v>샤시</v>
          </cell>
          <cell r="F346" t="str">
            <v>이재희</v>
          </cell>
        </row>
        <row r="347">
          <cell r="B347" t="str">
            <v>TC075</v>
          </cell>
          <cell r="C347" t="str">
            <v>13</v>
          </cell>
          <cell r="D347" t="str">
            <v>1998</v>
          </cell>
          <cell r="E347" t="str">
            <v>샤시</v>
          </cell>
          <cell r="F347" t="str">
            <v>이재희</v>
          </cell>
        </row>
        <row r="348">
          <cell r="B348" t="str">
            <v>TC076</v>
          </cell>
          <cell r="C348" t="str">
            <v>13</v>
          </cell>
          <cell r="D348" t="str">
            <v>1998</v>
          </cell>
          <cell r="E348" t="str">
            <v>샤시</v>
          </cell>
          <cell r="F348" t="str">
            <v>백숙인</v>
          </cell>
        </row>
        <row r="349">
          <cell r="B349" t="str">
            <v>TC077</v>
          </cell>
          <cell r="C349" t="str">
            <v>13</v>
          </cell>
          <cell r="D349" t="str">
            <v>1998</v>
          </cell>
          <cell r="E349" t="str">
            <v>샤시</v>
          </cell>
          <cell r="F349" t="str">
            <v>이재희</v>
          </cell>
        </row>
        <row r="350">
          <cell r="B350" t="str">
            <v>TC078</v>
          </cell>
          <cell r="C350" t="str">
            <v>13</v>
          </cell>
          <cell r="D350" t="str">
            <v>1998</v>
          </cell>
          <cell r="E350" t="str">
            <v>샤시</v>
          </cell>
          <cell r="F350" t="str">
            <v>이태범</v>
          </cell>
        </row>
        <row r="351">
          <cell r="B351" t="str">
            <v>TC079</v>
          </cell>
          <cell r="C351" t="str">
            <v>13</v>
          </cell>
          <cell r="D351" t="str">
            <v>1998</v>
          </cell>
          <cell r="E351" t="str">
            <v>샤시</v>
          </cell>
          <cell r="F351" t="str">
            <v>김재학</v>
          </cell>
        </row>
        <row r="352">
          <cell r="B352" t="str">
            <v>TC080</v>
          </cell>
          <cell r="C352" t="str">
            <v>13</v>
          </cell>
          <cell r="D352" t="str">
            <v>1998</v>
          </cell>
          <cell r="E352" t="str">
            <v>샤시</v>
          </cell>
          <cell r="F352" t="str">
            <v>김재학</v>
          </cell>
        </row>
        <row r="353">
          <cell r="B353" t="str">
            <v>TC081</v>
          </cell>
          <cell r="C353" t="str">
            <v>13</v>
          </cell>
          <cell r="D353" t="str">
            <v>1998</v>
          </cell>
          <cell r="E353" t="str">
            <v>샤시</v>
          </cell>
          <cell r="F353" t="str">
            <v>김재학</v>
          </cell>
        </row>
        <row r="354">
          <cell r="B354" t="str">
            <v>TC082</v>
          </cell>
          <cell r="C354" t="str">
            <v>13</v>
          </cell>
          <cell r="D354" t="str">
            <v>1998</v>
          </cell>
          <cell r="E354" t="str">
            <v>샤시</v>
          </cell>
          <cell r="F354" t="str">
            <v>김재학</v>
          </cell>
        </row>
        <row r="355">
          <cell r="B355" t="str">
            <v>TC083</v>
          </cell>
          <cell r="C355" t="str">
            <v>13</v>
          </cell>
          <cell r="D355" t="str">
            <v>1998</v>
          </cell>
          <cell r="E355" t="str">
            <v>샤시</v>
          </cell>
          <cell r="F355" t="str">
            <v>김재학</v>
          </cell>
        </row>
        <row r="356">
          <cell r="B356" t="str">
            <v>TC084</v>
          </cell>
          <cell r="C356" t="str">
            <v>13</v>
          </cell>
          <cell r="D356" t="str">
            <v>1998</v>
          </cell>
          <cell r="E356" t="str">
            <v>샤시</v>
          </cell>
          <cell r="F356" t="str">
            <v>김재학</v>
          </cell>
        </row>
        <row r="357">
          <cell r="B357" t="str">
            <v>TC085</v>
          </cell>
          <cell r="C357" t="str">
            <v>13</v>
          </cell>
          <cell r="D357" t="str">
            <v>1998</v>
          </cell>
          <cell r="E357" t="str">
            <v>샤시</v>
          </cell>
          <cell r="F357" t="str">
            <v>김재학</v>
          </cell>
        </row>
        <row r="358">
          <cell r="B358" t="str">
            <v>TC086</v>
          </cell>
          <cell r="C358" t="str">
            <v>13</v>
          </cell>
          <cell r="D358" t="str">
            <v>1998</v>
          </cell>
          <cell r="E358" t="str">
            <v>샤시</v>
          </cell>
          <cell r="F358" t="str">
            <v>김재학</v>
          </cell>
        </row>
        <row r="359">
          <cell r="B359" t="str">
            <v>TC087</v>
          </cell>
          <cell r="C359" t="str">
            <v>13</v>
          </cell>
          <cell r="D359" t="str">
            <v>1998</v>
          </cell>
          <cell r="E359" t="str">
            <v>샤시</v>
          </cell>
          <cell r="F359" t="str">
            <v>임화식</v>
          </cell>
        </row>
        <row r="360">
          <cell r="B360" t="str">
            <v>TC088</v>
          </cell>
          <cell r="C360" t="str">
            <v>13</v>
          </cell>
          <cell r="D360" t="str">
            <v>1998</v>
          </cell>
          <cell r="E360" t="str">
            <v>샤시</v>
          </cell>
          <cell r="F360" t="str">
            <v>임화식</v>
          </cell>
        </row>
        <row r="361">
          <cell r="B361" t="str">
            <v>TC089</v>
          </cell>
          <cell r="C361" t="str">
            <v>13</v>
          </cell>
          <cell r="D361" t="str">
            <v>1998</v>
          </cell>
          <cell r="E361" t="str">
            <v>샤시</v>
          </cell>
          <cell r="F361" t="str">
            <v>임화식</v>
          </cell>
        </row>
        <row r="362">
          <cell r="B362" t="str">
            <v>TC090</v>
          </cell>
          <cell r="C362" t="str">
            <v>13</v>
          </cell>
          <cell r="D362" t="str">
            <v>1998</v>
          </cell>
          <cell r="E362" t="str">
            <v>샤시</v>
          </cell>
          <cell r="F362" t="str">
            <v>이재희</v>
          </cell>
        </row>
        <row r="363">
          <cell r="B363" t="str">
            <v>TC091</v>
          </cell>
          <cell r="C363" t="str">
            <v>13</v>
          </cell>
          <cell r="D363" t="str">
            <v>1998</v>
          </cell>
          <cell r="E363" t="str">
            <v>샤시</v>
          </cell>
          <cell r="F363" t="str">
            <v>이재희</v>
          </cell>
        </row>
        <row r="364">
          <cell r="B364" t="str">
            <v>TC092</v>
          </cell>
          <cell r="C364" t="str">
            <v>13</v>
          </cell>
          <cell r="D364" t="str">
            <v>1998</v>
          </cell>
          <cell r="E364" t="str">
            <v>샤시</v>
          </cell>
          <cell r="F364" t="str">
            <v>이재희</v>
          </cell>
        </row>
        <row r="365">
          <cell r="B365" t="str">
            <v>TB093</v>
          </cell>
          <cell r="C365" t="str">
            <v>13</v>
          </cell>
          <cell r="D365" t="str">
            <v>1998</v>
          </cell>
          <cell r="E365" t="str">
            <v>차체</v>
          </cell>
          <cell r="F365" t="str">
            <v>이영수</v>
          </cell>
        </row>
        <row r="366">
          <cell r="B366" t="str">
            <v>TB094</v>
          </cell>
          <cell r="C366" t="str">
            <v>13</v>
          </cell>
          <cell r="D366" t="str">
            <v>1998</v>
          </cell>
          <cell r="E366" t="str">
            <v>차체</v>
          </cell>
          <cell r="F366" t="str">
            <v>장희철</v>
          </cell>
        </row>
        <row r="367">
          <cell r="B367" t="str">
            <v>TB095</v>
          </cell>
          <cell r="C367" t="str">
            <v>13</v>
          </cell>
          <cell r="D367" t="str">
            <v>1998</v>
          </cell>
          <cell r="E367" t="str">
            <v>차체</v>
          </cell>
          <cell r="F367" t="str">
            <v>공상복</v>
          </cell>
        </row>
        <row r="368">
          <cell r="B368" t="str">
            <v>TB096</v>
          </cell>
          <cell r="C368" t="str">
            <v>13</v>
          </cell>
          <cell r="D368" t="str">
            <v>1998</v>
          </cell>
          <cell r="E368" t="str">
            <v>차체</v>
          </cell>
          <cell r="F368" t="str">
            <v>공상복</v>
          </cell>
        </row>
        <row r="369">
          <cell r="B369" t="str">
            <v>TB097</v>
          </cell>
          <cell r="C369" t="str">
            <v>13</v>
          </cell>
          <cell r="D369" t="str">
            <v>1998</v>
          </cell>
          <cell r="E369" t="str">
            <v>차체</v>
          </cell>
          <cell r="F369" t="str">
            <v>장희철</v>
          </cell>
        </row>
        <row r="370">
          <cell r="B370" t="str">
            <v>TB098</v>
          </cell>
          <cell r="C370" t="str">
            <v>13</v>
          </cell>
          <cell r="D370" t="str">
            <v>1998</v>
          </cell>
          <cell r="E370" t="str">
            <v>차체</v>
          </cell>
          <cell r="F370" t="str">
            <v>장희철</v>
          </cell>
        </row>
        <row r="371">
          <cell r="B371" t="str">
            <v>TB099</v>
          </cell>
          <cell r="C371" t="str">
            <v>13</v>
          </cell>
          <cell r="D371" t="str">
            <v>1998</v>
          </cell>
          <cell r="E371" t="str">
            <v>차체</v>
          </cell>
          <cell r="F371" t="str">
            <v>장희철</v>
          </cell>
        </row>
        <row r="372">
          <cell r="B372" t="str">
            <v>TB100</v>
          </cell>
          <cell r="C372" t="str">
            <v>13</v>
          </cell>
          <cell r="D372" t="str">
            <v>1998</v>
          </cell>
          <cell r="E372" t="str">
            <v>차체</v>
          </cell>
          <cell r="F372" t="str">
            <v>장희철</v>
          </cell>
        </row>
        <row r="373">
          <cell r="B373" t="str">
            <v>TB101</v>
          </cell>
          <cell r="C373" t="str">
            <v>13</v>
          </cell>
          <cell r="D373" t="str">
            <v>1998</v>
          </cell>
          <cell r="E373" t="str">
            <v>차체</v>
          </cell>
          <cell r="F373" t="str">
            <v>장희철</v>
          </cell>
        </row>
        <row r="374">
          <cell r="B374" t="str">
            <v>TB102</v>
          </cell>
          <cell r="C374" t="str">
            <v>13</v>
          </cell>
          <cell r="D374" t="str">
            <v>1998</v>
          </cell>
          <cell r="E374" t="str">
            <v>차체</v>
          </cell>
          <cell r="F374" t="str">
            <v>공상복</v>
          </cell>
        </row>
        <row r="375">
          <cell r="B375" t="str">
            <v>TB103</v>
          </cell>
          <cell r="C375" t="str">
            <v>13</v>
          </cell>
          <cell r="D375" t="str">
            <v>1998</v>
          </cell>
          <cell r="E375" t="str">
            <v>차체</v>
          </cell>
          <cell r="F375" t="str">
            <v>서비용</v>
          </cell>
        </row>
        <row r="376">
          <cell r="B376" t="str">
            <v>TB104</v>
          </cell>
          <cell r="C376" t="str">
            <v>13</v>
          </cell>
          <cell r="D376" t="str">
            <v>1998</v>
          </cell>
          <cell r="E376" t="str">
            <v>차체</v>
          </cell>
          <cell r="F376" t="str">
            <v>서비용</v>
          </cell>
        </row>
        <row r="377">
          <cell r="B377" t="str">
            <v>TB105</v>
          </cell>
          <cell r="C377" t="str">
            <v>13</v>
          </cell>
          <cell r="D377" t="str">
            <v>1998</v>
          </cell>
          <cell r="E377" t="str">
            <v>차체</v>
          </cell>
          <cell r="F377" t="str">
            <v>이영수</v>
          </cell>
        </row>
        <row r="378">
          <cell r="B378" t="str">
            <v>TB106</v>
          </cell>
          <cell r="C378" t="str">
            <v>13</v>
          </cell>
          <cell r="D378" t="str">
            <v>1998</v>
          </cell>
          <cell r="E378" t="str">
            <v>차체</v>
          </cell>
          <cell r="F378" t="str">
            <v>공상복</v>
          </cell>
        </row>
        <row r="379">
          <cell r="B379" t="str">
            <v>TB107</v>
          </cell>
          <cell r="C379" t="str">
            <v>13</v>
          </cell>
          <cell r="D379" t="str">
            <v>1998</v>
          </cell>
          <cell r="E379" t="str">
            <v>차체</v>
          </cell>
          <cell r="F379" t="str">
            <v>공상복</v>
          </cell>
        </row>
        <row r="380">
          <cell r="B380" t="str">
            <v>TB108</v>
          </cell>
          <cell r="C380" t="str">
            <v>13</v>
          </cell>
          <cell r="D380" t="str">
            <v>1998</v>
          </cell>
          <cell r="E380" t="str">
            <v>차체</v>
          </cell>
          <cell r="F380" t="str">
            <v>공상복</v>
          </cell>
        </row>
        <row r="381">
          <cell r="B381" t="str">
            <v>TB109</v>
          </cell>
          <cell r="C381" t="str">
            <v>13</v>
          </cell>
          <cell r="D381" t="str">
            <v>1998</v>
          </cell>
          <cell r="E381" t="str">
            <v>차체</v>
          </cell>
          <cell r="F381" t="str">
            <v>이영수</v>
          </cell>
        </row>
        <row r="382">
          <cell r="B382" t="str">
            <v>TB110</v>
          </cell>
          <cell r="C382" t="str">
            <v>13</v>
          </cell>
          <cell r="D382" t="str">
            <v>1998</v>
          </cell>
          <cell r="E382" t="str">
            <v>차체</v>
          </cell>
          <cell r="F382" t="str">
            <v>이영수</v>
          </cell>
        </row>
        <row r="383">
          <cell r="B383" t="str">
            <v>TB111</v>
          </cell>
          <cell r="C383" t="str">
            <v>13</v>
          </cell>
          <cell r="D383" t="str">
            <v>1998</v>
          </cell>
          <cell r="E383" t="str">
            <v>차체</v>
          </cell>
          <cell r="F383" t="str">
            <v>공상복</v>
          </cell>
        </row>
        <row r="384">
          <cell r="B384" t="str">
            <v>TB112</v>
          </cell>
          <cell r="C384" t="str">
            <v>13</v>
          </cell>
          <cell r="D384" t="str">
            <v>1998</v>
          </cell>
          <cell r="E384" t="str">
            <v>차체</v>
          </cell>
          <cell r="F384" t="str">
            <v>이영수</v>
          </cell>
        </row>
        <row r="385">
          <cell r="B385" t="str">
            <v>TB113</v>
          </cell>
          <cell r="C385" t="str">
            <v>13</v>
          </cell>
          <cell r="D385" t="str">
            <v>1998</v>
          </cell>
          <cell r="E385" t="str">
            <v>차체</v>
          </cell>
          <cell r="F385" t="str">
            <v>이영수</v>
          </cell>
        </row>
        <row r="386">
          <cell r="B386" t="str">
            <v>TB114</v>
          </cell>
          <cell r="C386" t="str">
            <v>13</v>
          </cell>
          <cell r="D386" t="str">
            <v>1998</v>
          </cell>
          <cell r="E386" t="str">
            <v>차체</v>
          </cell>
          <cell r="F386" t="str">
            <v>서비용</v>
          </cell>
        </row>
        <row r="387">
          <cell r="B387" t="str">
            <v>TB115</v>
          </cell>
          <cell r="C387" t="str">
            <v>13</v>
          </cell>
          <cell r="D387" t="str">
            <v>1998</v>
          </cell>
          <cell r="E387" t="str">
            <v>차체</v>
          </cell>
          <cell r="F387" t="str">
            <v>이영수</v>
          </cell>
        </row>
        <row r="388">
          <cell r="B388" t="str">
            <v>TT116</v>
          </cell>
          <cell r="C388" t="str">
            <v>13</v>
          </cell>
          <cell r="D388" t="str">
            <v>1998</v>
          </cell>
          <cell r="E388" t="str">
            <v>의장</v>
          </cell>
          <cell r="F388" t="str">
            <v>-</v>
          </cell>
        </row>
        <row r="389">
          <cell r="B389" t="str">
            <v>TT117</v>
          </cell>
          <cell r="C389" t="str">
            <v>13</v>
          </cell>
          <cell r="D389" t="str">
            <v>1998</v>
          </cell>
          <cell r="E389" t="str">
            <v>의장</v>
          </cell>
          <cell r="F389" t="str">
            <v>박재성</v>
          </cell>
        </row>
        <row r="390">
          <cell r="B390" t="str">
            <v>TT118</v>
          </cell>
          <cell r="C390" t="str">
            <v>13</v>
          </cell>
          <cell r="D390" t="str">
            <v>1998</v>
          </cell>
          <cell r="E390" t="str">
            <v>의장</v>
          </cell>
          <cell r="F390" t="str">
            <v>이충원</v>
          </cell>
        </row>
        <row r="391">
          <cell r="B391" t="str">
            <v>TT119</v>
          </cell>
          <cell r="C391" t="str">
            <v>13</v>
          </cell>
          <cell r="D391" t="str">
            <v>1998</v>
          </cell>
          <cell r="E391" t="str">
            <v>의장</v>
          </cell>
          <cell r="F391" t="str">
            <v>박재성</v>
          </cell>
        </row>
        <row r="392">
          <cell r="B392" t="str">
            <v>TT120</v>
          </cell>
          <cell r="C392" t="str">
            <v>13</v>
          </cell>
          <cell r="D392" t="str">
            <v>1998</v>
          </cell>
          <cell r="E392" t="str">
            <v>의장</v>
          </cell>
          <cell r="F392" t="str">
            <v>문희탁</v>
          </cell>
        </row>
        <row r="393">
          <cell r="B393" t="str">
            <v>TT121</v>
          </cell>
          <cell r="C393" t="str">
            <v>13</v>
          </cell>
          <cell r="D393" t="str">
            <v>1998</v>
          </cell>
          <cell r="E393" t="str">
            <v>의장</v>
          </cell>
          <cell r="F393" t="str">
            <v>문희탁</v>
          </cell>
        </row>
        <row r="394">
          <cell r="B394" t="str">
            <v>TT122</v>
          </cell>
          <cell r="C394" t="str">
            <v>13</v>
          </cell>
          <cell r="D394" t="str">
            <v>1998</v>
          </cell>
          <cell r="E394" t="str">
            <v>의장</v>
          </cell>
          <cell r="F394" t="str">
            <v>김상문</v>
          </cell>
        </row>
        <row r="395">
          <cell r="B395" t="str">
            <v>TT123</v>
          </cell>
          <cell r="C395" t="str">
            <v>13</v>
          </cell>
          <cell r="D395" t="str">
            <v>1998</v>
          </cell>
          <cell r="E395" t="str">
            <v>의장</v>
          </cell>
          <cell r="F395" t="str">
            <v>문희탁</v>
          </cell>
        </row>
        <row r="396">
          <cell r="B396" t="str">
            <v>TT124</v>
          </cell>
          <cell r="C396" t="str">
            <v>13</v>
          </cell>
          <cell r="D396" t="str">
            <v>1998</v>
          </cell>
          <cell r="E396" t="str">
            <v>의장</v>
          </cell>
          <cell r="F396" t="str">
            <v>박재성</v>
          </cell>
        </row>
        <row r="397">
          <cell r="B397" t="str">
            <v>TB125</v>
          </cell>
          <cell r="C397" t="str">
            <v>13</v>
          </cell>
          <cell r="D397" t="str">
            <v>1998</v>
          </cell>
          <cell r="E397" t="str">
            <v>의장</v>
          </cell>
          <cell r="F397" t="str">
            <v>서비용</v>
          </cell>
        </row>
        <row r="398">
          <cell r="B398" t="str">
            <v>TT126</v>
          </cell>
          <cell r="C398" t="str">
            <v>13</v>
          </cell>
          <cell r="D398" t="str">
            <v>1998</v>
          </cell>
          <cell r="E398" t="str">
            <v>의장</v>
          </cell>
          <cell r="F398" t="str">
            <v>이충원</v>
          </cell>
        </row>
        <row r="399">
          <cell r="B399" t="str">
            <v>TE127</v>
          </cell>
          <cell r="C399" t="str">
            <v>13</v>
          </cell>
          <cell r="D399" t="str">
            <v>1998</v>
          </cell>
          <cell r="E399" t="str">
            <v>의장</v>
          </cell>
          <cell r="F399" t="str">
            <v>이현섭</v>
          </cell>
        </row>
        <row r="400">
          <cell r="B400" t="str">
            <v>TB128</v>
          </cell>
          <cell r="C400" t="str">
            <v>13</v>
          </cell>
          <cell r="D400" t="str">
            <v>1998</v>
          </cell>
          <cell r="E400" t="str">
            <v>의장</v>
          </cell>
          <cell r="F400" t="str">
            <v>서비용</v>
          </cell>
        </row>
        <row r="401">
          <cell r="B401" t="str">
            <v>TT129</v>
          </cell>
          <cell r="C401" t="str">
            <v>13</v>
          </cell>
          <cell r="D401" t="str">
            <v>1998</v>
          </cell>
          <cell r="E401" t="str">
            <v>의장</v>
          </cell>
          <cell r="F401" t="str">
            <v>박재성</v>
          </cell>
        </row>
        <row r="402">
          <cell r="B402" t="str">
            <v>TT130</v>
          </cell>
          <cell r="C402" t="str">
            <v>13</v>
          </cell>
          <cell r="D402" t="str">
            <v>1998</v>
          </cell>
          <cell r="E402" t="str">
            <v>의장</v>
          </cell>
          <cell r="F402" t="str">
            <v>이충원</v>
          </cell>
        </row>
        <row r="403">
          <cell r="B403" t="str">
            <v>TT131</v>
          </cell>
          <cell r="C403" t="str">
            <v>13</v>
          </cell>
          <cell r="D403" t="str">
            <v>1998</v>
          </cell>
          <cell r="E403" t="str">
            <v>의장</v>
          </cell>
          <cell r="F403" t="str">
            <v>김상문</v>
          </cell>
        </row>
        <row r="404">
          <cell r="B404" t="str">
            <v>TT132</v>
          </cell>
          <cell r="C404" t="str">
            <v>13</v>
          </cell>
          <cell r="D404" t="str">
            <v>1998</v>
          </cell>
          <cell r="E404" t="str">
            <v>의장</v>
          </cell>
          <cell r="F404" t="str">
            <v>김상문</v>
          </cell>
        </row>
        <row r="405">
          <cell r="B405" t="str">
            <v>TT133</v>
          </cell>
          <cell r="C405" t="str">
            <v>13</v>
          </cell>
          <cell r="D405" t="str">
            <v>1998</v>
          </cell>
          <cell r="E405" t="str">
            <v>의장</v>
          </cell>
          <cell r="F405" t="str">
            <v>이충원</v>
          </cell>
        </row>
        <row r="406">
          <cell r="B406" t="str">
            <v>TT134</v>
          </cell>
          <cell r="C406" t="str">
            <v>13</v>
          </cell>
          <cell r="D406" t="str">
            <v>1998</v>
          </cell>
          <cell r="E406" t="str">
            <v>의장</v>
          </cell>
          <cell r="F406" t="str">
            <v>이충원</v>
          </cell>
        </row>
        <row r="407">
          <cell r="B407" t="str">
            <v>TT135</v>
          </cell>
          <cell r="C407" t="str">
            <v>13</v>
          </cell>
          <cell r="D407" t="str">
            <v>1998</v>
          </cell>
          <cell r="E407" t="str">
            <v>의장</v>
          </cell>
          <cell r="F407" t="str">
            <v>이충원</v>
          </cell>
        </row>
        <row r="408">
          <cell r="B408" t="str">
            <v>TT136</v>
          </cell>
          <cell r="C408" t="str">
            <v>13</v>
          </cell>
          <cell r="D408" t="str">
            <v>1998</v>
          </cell>
          <cell r="E408" t="str">
            <v>의장</v>
          </cell>
          <cell r="F408" t="str">
            <v>박재성</v>
          </cell>
        </row>
        <row r="409">
          <cell r="B409" t="str">
            <v>TT137</v>
          </cell>
          <cell r="C409" t="str">
            <v>13</v>
          </cell>
          <cell r="D409" t="str">
            <v>1998</v>
          </cell>
          <cell r="E409" t="str">
            <v>의장</v>
          </cell>
          <cell r="F409" t="str">
            <v>박재성</v>
          </cell>
        </row>
        <row r="410">
          <cell r="B410" t="str">
            <v>TT138</v>
          </cell>
          <cell r="C410" t="str">
            <v>13</v>
          </cell>
          <cell r="D410" t="str">
            <v>1998</v>
          </cell>
          <cell r="E410" t="str">
            <v>의장</v>
          </cell>
          <cell r="F410" t="str">
            <v>박재성</v>
          </cell>
        </row>
        <row r="411">
          <cell r="B411" t="str">
            <v>TT139</v>
          </cell>
          <cell r="C411" t="str">
            <v>13</v>
          </cell>
          <cell r="D411" t="str">
            <v>1998</v>
          </cell>
          <cell r="E411" t="str">
            <v>의장</v>
          </cell>
          <cell r="F411" t="str">
            <v>이충원</v>
          </cell>
        </row>
        <row r="412">
          <cell r="B412" t="str">
            <v>TT140</v>
          </cell>
          <cell r="C412" t="str">
            <v>13</v>
          </cell>
          <cell r="D412" t="str">
            <v>1998</v>
          </cell>
          <cell r="E412" t="str">
            <v>의장</v>
          </cell>
          <cell r="F412" t="str">
            <v>박재성</v>
          </cell>
        </row>
        <row r="413">
          <cell r="B413" t="str">
            <v>TT141</v>
          </cell>
          <cell r="C413" t="str">
            <v>13</v>
          </cell>
          <cell r="D413" t="str">
            <v>1998</v>
          </cell>
          <cell r="E413" t="str">
            <v>샤시</v>
          </cell>
          <cell r="F413" t="str">
            <v>박재성</v>
          </cell>
        </row>
        <row r="414">
          <cell r="B414" t="str">
            <v>TT142</v>
          </cell>
          <cell r="C414" t="str">
            <v>13</v>
          </cell>
          <cell r="D414" t="str">
            <v>1998</v>
          </cell>
          <cell r="E414" t="str">
            <v>의장</v>
          </cell>
          <cell r="F414" t="str">
            <v>이충원</v>
          </cell>
        </row>
        <row r="415">
          <cell r="B415" t="str">
            <v>TT143</v>
          </cell>
          <cell r="C415" t="str">
            <v>13</v>
          </cell>
          <cell r="D415" t="str">
            <v>1998</v>
          </cell>
          <cell r="E415" t="str">
            <v>의장</v>
          </cell>
          <cell r="F415" t="str">
            <v>문희탁</v>
          </cell>
        </row>
        <row r="416">
          <cell r="B416" t="str">
            <v>TT144</v>
          </cell>
          <cell r="C416" t="str">
            <v>13</v>
          </cell>
          <cell r="D416" t="str">
            <v>1998</v>
          </cell>
          <cell r="E416" t="str">
            <v>의장</v>
          </cell>
          <cell r="F416" t="str">
            <v>문희탁</v>
          </cell>
        </row>
        <row r="417">
          <cell r="B417" t="str">
            <v>TT145</v>
          </cell>
          <cell r="C417" t="str">
            <v>13</v>
          </cell>
          <cell r="D417" t="str">
            <v>1998</v>
          </cell>
          <cell r="E417" t="str">
            <v>의장</v>
          </cell>
          <cell r="F417" t="str">
            <v>김상문</v>
          </cell>
        </row>
        <row r="418">
          <cell r="B418" t="str">
            <v>TT146</v>
          </cell>
          <cell r="C418" t="str">
            <v>13</v>
          </cell>
          <cell r="D418" t="str">
            <v>1998</v>
          </cell>
          <cell r="E418" t="str">
            <v>의장</v>
          </cell>
          <cell r="F418" t="str">
            <v>김상문</v>
          </cell>
        </row>
        <row r="419">
          <cell r="B419" t="str">
            <v>TT147</v>
          </cell>
          <cell r="C419" t="str">
            <v>13</v>
          </cell>
          <cell r="D419" t="str">
            <v>1998</v>
          </cell>
          <cell r="E419" t="str">
            <v>의장</v>
          </cell>
          <cell r="F419" t="str">
            <v>김상문</v>
          </cell>
        </row>
        <row r="420">
          <cell r="B420" t="str">
            <v>TE148</v>
          </cell>
          <cell r="C420" t="str">
            <v>13</v>
          </cell>
          <cell r="D420" t="str">
            <v>1998</v>
          </cell>
          <cell r="E420" t="str">
            <v>전장</v>
          </cell>
          <cell r="F420" t="str">
            <v>이현섭</v>
          </cell>
        </row>
        <row r="421">
          <cell r="B421" t="str">
            <v>TE149</v>
          </cell>
          <cell r="C421" t="str">
            <v>13</v>
          </cell>
          <cell r="D421" t="str">
            <v>1998</v>
          </cell>
          <cell r="E421" t="str">
            <v>전장</v>
          </cell>
          <cell r="F421" t="str">
            <v>이현섭</v>
          </cell>
        </row>
        <row r="422">
          <cell r="B422" t="str">
            <v>TE150</v>
          </cell>
          <cell r="C422" t="str">
            <v>13</v>
          </cell>
          <cell r="D422" t="str">
            <v>1998</v>
          </cell>
          <cell r="E422" t="str">
            <v>전장</v>
          </cell>
          <cell r="F422" t="str">
            <v>손태석</v>
          </cell>
        </row>
        <row r="423">
          <cell r="B423" t="str">
            <v>TE151</v>
          </cell>
          <cell r="C423" t="str">
            <v>13</v>
          </cell>
          <cell r="D423" t="str">
            <v>1998</v>
          </cell>
          <cell r="E423" t="str">
            <v>전장</v>
          </cell>
          <cell r="F423" t="str">
            <v>손태석</v>
          </cell>
        </row>
        <row r="424">
          <cell r="B424" t="str">
            <v>TE152</v>
          </cell>
          <cell r="C424" t="str">
            <v>13</v>
          </cell>
          <cell r="D424" t="str">
            <v>1998</v>
          </cell>
          <cell r="E424" t="str">
            <v>전장</v>
          </cell>
          <cell r="F424" t="str">
            <v>손태석</v>
          </cell>
        </row>
        <row r="425">
          <cell r="B425" t="str">
            <v>TE153</v>
          </cell>
          <cell r="C425" t="str">
            <v>13</v>
          </cell>
          <cell r="D425" t="str">
            <v>1998</v>
          </cell>
          <cell r="E425" t="str">
            <v>전장</v>
          </cell>
          <cell r="F425" t="str">
            <v>손태석</v>
          </cell>
        </row>
        <row r="426">
          <cell r="B426" t="str">
            <v>TE154</v>
          </cell>
          <cell r="C426" t="str">
            <v>13</v>
          </cell>
          <cell r="D426" t="str">
            <v>1998</v>
          </cell>
          <cell r="E426" t="str">
            <v>전장</v>
          </cell>
          <cell r="F426" t="str">
            <v>김정태</v>
          </cell>
        </row>
        <row r="427">
          <cell r="B427" t="str">
            <v>TE155</v>
          </cell>
          <cell r="C427" t="str">
            <v>13</v>
          </cell>
          <cell r="D427" t="str">
            <v>1998</v>
          </cell>
          <cell r="E427" t="str">
            <v>전장</v>
          </cell>
          <cell r="F427" t="str">
            <v>김대곤</v>
          </cell>
        </row>
        <row r="428">
          <cell r="B428" t="str">
            <v>TE156</v>
          </cell>
          <cell r="C428" t="str">
            <v>13</v>
          </cell>
          <cell r="D428" t="str">
            <v>1998</v>
          </cell>
          <cell r="E428" t="str">
            <v>전장</v>
          </cell>
          <cell r="F428" t="str">
            <v>김정태</v>
          </cell>
        </row>
        <row r="429">
          <cell r="B429" t="str">
            <v>TE157</v>
          </cell>
          <cell r="C429" t="str">
            <v>13</v>
          </cell>
          <cell r="D429" t="str">
            <v>1998</v>
          </cell>
          <cell r="E429" t="str">
            <v>전장</v>
          </cell>
          <cell r="F429" t="str">
            <v>김정태</v>
          </cell>
        </row>
        <row r="430">
          <cell r="B430" t="str">
            <v>TE158</v>
          </cell>
          <cell r="C430" t="str">
            <v>13</v>
          </cell>
          <cell r="D430" t="str">
            <v>1998</v>
          </cell>
          <cell r="E430" t="str">
            <v>전장</v>
          </cell>
          <cell r="F430" t="str">
            <v>김대곤</v>
          </cell>
        </row>
        <row r="431">
          <cell r="B431" t="str">
            <v>TE159</v>
          </cell>
          <cell r="C431" t="str">
            <v>13</v>
          </cell>
          <cell r="D431" t="str">
            <v>1998</v>
          </cell>
          <cell r="E431" t="str">
            <v>전장</v>
          </cell>
          <cell r="F431" t="str">
            <v>김정태</v>
          </cell>
        </row>
        <row r="432">
          <cell r="B432" t="str">
            <v>TE160</v>
          </cell>
          <cell r="C432" t="str">
            <v>13</v>
          </cell>
          <cell r="D432" t="str">
            <v>1998</v>
          </cell>
          <cell r="E432" t="str">
            <v>전장</v>
          </cell>
          <cell r="F432" t="str">
            <v>박종길</v>
          </cell>
        </row>
        <row r="433">
          <cell r="B433" t="str">
            <v>TE161</v>
          </cell>
          <cell r="C433" t="str">
            <v>13</v>
          </cell>
          <cell r="D433" t="str">
            <v>1998</v>
          </cell>
          <cell r="E433" t="str">
            <v>전장</v>
          </cell>
          <cell r="F433" t="str">
            <v>박종길</v>
          </cell>
        </row>
        <row r="434">
          <cell r="B434" t="str">
            <v>TE162</v>
          </cell>
          <cell r="C434" t="str">
            <v>13</v>
          </cell>
          <cell r="D434" t="str">
            <v>1998</v>
          </cell>
          <cell r="E434" t="str">
            <v>전장</v>
          </cell>
          <cell r="F434" t="str">
            <v>박종길</v>
          </cell>
        </row>
        <row r="435">
          <cell r="B435" t="str">
            <v>TE163</v>
          </cell>
          <cell r="C435" t="str">
            <v>13</v>
          </cell>
          <cell r="D435" t="str">
            <v>1998</v>
          </cell>
          <cell r="E435" t="str">
            <v>전장</v>
          </cell>
          <cell r="F435" t="str">
            <v>박종길</v>
          </cell>
        </row>
        <row r="436">
          <cell r="B436" t="str">
            <v>TE164</v>
          </cell>
          <cell r="C436" t="str">
            <v>13</v>
          </cell>
          <cell r="D436" t="str">
            <v>1998</v>
          </cell>
          <cell r="E436" t="str">
            <v>전장</v>
          </cell>
          <cell r="F436" t="str">
            <v>박종길</v>
          </cell>
        </row>
        <row r="437">
          <cell r="B437" t="str">
            <v>TE165</v>
          </cell>
          <cell r="C437" t="str">
            <v>13</v>
          </cell>
          <cell r="D437" t="str">
            <v>1998</v>
          </cell>
          <cell r="E437" t="str">
            <v>전장</v>
          </cell>
          <cell r="F437" t="str">
            <v>박종길</v>
          </cell>
        </row>
        <row r="438">
          <cell r="B438" t="str">
            <v>TE166</v>
          </cell>
          <cell r="C438" t="str">
            <v>13</v>
          </cell>
          <cell r="D438" t="str">
            <v>1998</v>
          </cell>
          <cell r="E438" t="str">
            <v>전장</v>
          </cell>
          <cell r="F438" t="str">
            <v>박종길</v>
          </cell>
        </row>
        <row r="439">
          <cell r="B439" t="str">
            <v>TE167</v>
          </cell>
          <cell r="C439" t="str">
            <v>13</v>
          </cell>
          <cell r="D439" t="str">
            <v>1998</v>
          </cell>
          <cell r="E439" t="str">
            <v>전장</v>
          </cell>
          <cell r="F439" t="str">
            <v>박종길</v>
          </cell>
        </row>
        <row r="440">
          <cell r="B440" t="str">
            <v>TE168</v>
          </cell>
          <cell r="C440" t="str">
            <v>13</v>
          </cell>
          <cell r="D440" t="str">
            <v>1998</v>
          </cell>
          <cell r="E440" t="str">
            <v>전장</v>
          </cell>
          <cell r="F440" t="str">
            <v>박종길</v>
          </cell>
        </row>
        <row r="441">
          <cell r="B441" t="str">
            <v>TE169</v>
          </cell>
          <cell r="C441" t="str">
            <v>13</v>
          </cell>
          <cell r="D441" t="str">
            <v>1998</v>
          </cell>
          <cell r="E441" t="str">
            <v>전장</v>
          </cell>
          <cell r="F441" t="str">
            <v>김정태</v>
          </cell>
        </row>
        <row r="442">
          <cell r="B442" t="str">
            <v>TE170</v>
          </cell>
          <cell r="C442" t="str">
            <v>13</v>
          </cell>
          <cell r="D442" t="str">
            <v>1998</v>
          </cell>
          <cell r="E442" t="str">
            <v>전장</v>
          </cell>
          <cell r="F442" t="str">
            <v>김정태</v>
          </cell>
        </row>
        <row r="443">
          <cell r="B443" t="str">
            <v>TE171</v>
          </cell>
          <cell r="C443" t="str">
            <v>13</v>
          </cell>
          <cell r="D443" t="str">
            <v>1998</v>
          </cell>
          <cell r="E443" t="str">
            <v>전장</v>
          </cell>
          <cell r="F443" t="str">
            <v>이현섭</v>
          </cell>
        </row>
        <row r="444">
          <cell r="B444" t="str">
            <v>TE172</v>
          </cell>
          <cell r="C444" t="str">
            <v>13</v>
          </cell>
          <cell r="D444" t="str">
            <v>1998</v>
          </cell>
          <cell r="E444" t="str">
            <v>전장</v>
          </cell>
          <cell r="F444" t="str">
            <v>김대곤</v>
          </cell>
        </row>
        <row r="445">
          <cell r="B445" t="str">
            <v>TE173</v>
          </cell>
          <cell r="C445" t="str">
            <v>13</v>
          </cell>
          <cell r="D445" t="str">
            <v>1998</v>
          </cell>
          <cell r="E445" t="str">
            <v>전장</v>
          </cell>
          <cell r="F445" t="str">
            <v>김대곤</v>
          </cell>
        </row>
        <row r="446">
          <cell r="B446" t="str">
            <v>TE174</v>
          </cell>
          <cell r="C446" t="str">
            <v>13</v>
          </cell>
          <cell r="D446" t="str">
            <v>1998</v>
          </cell>
          <cell r="E446" t="str">
            <v>전장</v>
          </cell>
          <cell r="F446" t="str">
            <v>김대곤</v>
          </cell>
        </row>
        <row r="447">
          <cell r="B447" t="str">
            <v>TE175</v>
          </cell>
          <cell r="C447" t="str">
            <v>13</v>
          </cell>
          <cell r="D447" t="str">
            <v>1998</v>
          </cell>
          <cell r="E447" t="str">
            <v>전장</v>
          </cell>
          <cell r="F447" t="str">
            <v>김대곤</v>
          </cell>
        </row>
        <row r="448">
          <cell r="B448" t="str">
            <v>TE176</v>
          </cell>
          <cell r="C448" t="str">
            <v>13</v>
          </cell>
          <cell r="D448" t="str">
            <v>1998</v>
          </cell>
          <cell r="E448" t="str">
            <v>전장</v>
          </cell>
          <cell r="F448" t="str">
            <v>김정태</v>
          </cell>
        </row>
        <row r="449">
          <cell r="B449" t="str">
            <v>TE177</v>
          </cell>
          <cell r="C449" t="str">
            <v>13</v>
          </cell>
          <cell r="D449" t="str">
            <v>1998</v>
          </cell>
          <cell r="E449" t="str">
            <v>전장</v>
          </cell>
          <cell r="F449" t="str">
            <v>김정태</v>
          </cell>
        </row>
        <row r="450">
          <cell r="B450" t="str">
            <v>TE178</v>
          </cell>
          <cell r="C450" t="str">
            <v>13</v>
          </cell>
          <cell r="D450" t="str">
            <v>1998</v>
          </cell>
          <cell r="E450" t="str">
            <v>전장</v>
          </cell>
          <cell r="F450" t="str">
            <v>김대곤</v>
          </cell>
        </row>
        <row r="451">
          <cell r="B451" t="str">
            <v>TC179</v>
          </cell>
          <cell r="C451" t="str">
            <v>13</v>
          </cell>
          <cell r="D451" t="str">
            <v>1998</v>
          </cell>
          <cell r="E451" t="str">
            <v>샤시</v>
          </cell>
          <cell r="F451" t="str">
            <v>임화식</v>
          </cell>
        </row>
        <row r="452">
          <cell r="B452" t="str">
            <v>TC180</v>
          </cell>
          <cell r="C452" t="str">
            <v>13</v>
          </cell>
          <cell r="D452" t="str">
            <v>1998</v>
          </cell>
          <cell r="E452" t="str">
            <v>샤시</v>
          </cell>
          <cell r="F452" t="str">
            <v>이재희</v>
          </cell>
        </row>
        <row r="453">
          <cell r="B453" t="str">
            <v>TC181</v>
          </cell>
          <cell r="C453" t="str">
            <v>13</v>
          </cell>
          <cell r="D453" t="str">
            <v>1998</v>
          </cell>
          <cell r="E453" t="str">
            <v>샤시</v>
          </cell>
          <cell r="F453" t="str">
            <v>이재희</v>
          </cell>
        </row>
        <row r="454">
          <cell r="B454" t="str">
            <v>TT182</v>
          </cell>
          <cell r="C454" t="str">
            <v>13</v>
          </cell>
          <cell r="D454" t="str">
            <v>1998</v>
          </cell>
          <cell r="E454" t="str">
            <v>의장</v>
          </cell>
          <cell r="F454" t="str">
            <v>문희탁</v>
          </cell>
        </row>
        <row r="455">
          <cell r="B455" t="str">
            <v>TA183</v>
          </cell>
          <cell r="C455" t="str">
            <v>13</v>
          </cell>
          <cell r="D455" t="str">
            <v>1998</v>
          </cell>
          <cell r="E455" t="str">
            <v>T/M</v>
          </cell>
          <cell r="F455" t="str">
            <v>박찬엽</v>
          </cell>
        </row>
        <row r="456">
          <cell r="B456" t="str">
            <v>TN184</v>
          </cell>
          <cell r="C456" t="str">
            <v>13</v>
          </cell>
          <cell r="D456" t="str">
            <v>1998</v>
          </cell>
          <cell r="E456" t="str">
            <v>엔진</v>
          </cell>
          <cell r="F456" t="str">
            <v>이현기</v>
          </cell>
        </row>
        <row r="457">
          <cell r="B457" t="str">
            <v>TN185</v>
          </cell>
          <cell r="C457" t="str">
            <v>13</v>
          </cell>
          <cell r="D457" t="str">
            <v>1998</v>
          </cell>
          <cell r="E457" t="str">
            <v>엔진</v>
          </cell>
          <cell r="F457" t="str">
            <v>권오운</v>
          </cell>
        </row>
        <row r="458">
          <cell r="B458" t="str">
            <v>TN186</v>
          </cell>
          <cell r="C458" t="str">
            <v>13</v>
          </cell>
          <cell r="D458" t="str">
            <v>1998</v>
          </cell>
          <cell r="E458" t="str">
            <v>엔진</v>
          </cell>
          <cell r="F458" t="str">
            <v>이원표</v>
          </cell>
        </row>
        <row r="459">
          <cell r="B459" t="str">
            <v>TN187</v>
          </cell>
          <cell r="C459" t="str">
            <v>13</v>
          </cell>
          <cell r="D459" t="str">
            <v>1998</v>
          </cell>
          <cell r="E459" t="str">
            <v>엔진</v>
          </cell>
          <cell r="F459" t="str">
            <v>엄봉용</v>
          </cell>
        </row>
        <row r="460">
          <cell r="B460" t="str">
            <v>TN188</v>
          </cell>
          <cell r="C460" t="str">
            <v>13</v>
          </cell>
          <cell r="D460" t="str">
            <v>1998</v>
          </cell>
          <cell r="E460" t="str">
            <v>엔진</v>
          </cell>
          <cell r="F460" t="str">
            <v>엄봉용</v>
          </cell>
        </row>
        <row r="461">
          <cell r="B461" t="str">
            <v>TT189</v>
          </cell>
          <cell r="C461" t="str">
            <v>13</v>
          </cell>
          <cell r="D461" t="str">
            <v>1998</v>
          </cell>
          <cell r="E461" t="str">
            <v>의장</v>
          </cell>
          <cell r="F461" t="str">
            <v>박재성</v>
          </cell>
        </row>
        <row r="462">
          <cell r="B462" t="str">
            <v>TT190</v>
          </cell>
          <cell r="C462" t="str">
            <v>13</v>
          </cell>
          <cell r="D462" t="str">
            <v>1998</v>
          </cell>
          <cell r="E462" t="str">
            <v>의장</v>
          </cell>
          <cell r="F462" t="str">
            <v>박재성</v>
          </cell>
        </row>
        <row r="463">
          <cell r="B463" t="str">
            <v>TC191</v>
          </cell>
          <cell r="C463" t="str">
            <v>13</v>
          </cell>
          <cell r="D463" t="str">
            <v>1998</v>
          </cell>
          <cell r="E463" t="str">
            <v>샤시</v>
          </cell>
          <cell r="F463" t="str">
            <v>김재학</v>
          </cell>
        </row>
        <row r="464">
          <cell r="B464" t="str">
            <v>TN192</v>
          </cell>
          <cell r="C464" t="str">
            <v>13</v>
          </cell>
          <cell r="D464" t="str">
            <v>1998</v>
          </cell>
          <cell r="E464" t="str">
            <v>엔진</v>
          </cell>
          <cell r="F464" t="str">
            <v>권오운</v>
          </cell>
        </row>
        <row r="465">
          <cell r="B465" t="str">
            <v>TN193</v>
          </cell>
          <cell r="C465" t="str">
            <v>13</v>
          </cell>
          <cell r="D465" t="str">
            <v>1998</v>
          </cell>
          <cell r="E465" t="str">
            <v>엔진</v>
          </cell>
          <cell r="F465" t="str">
            <v>이현기</v>
          </cell>
        </row>
        <row r="466">
          <cell r="B466" t="str">
            <v>TC194</v>
          </cell>
          <cell r="C466" t="str">
            <v>13</v>
          </cell>
          <cell r="D466" t="str">
            <v>1998</v>
          </cell>
          <cell r="E466" t="str">
            <v>샤시</v>
          </cell>
          <cell r="F466" t="str">
            <v>백숙인</v>
          </cell>
        </row>
        <row r="467">
          <cell r="B467" t="str">
            <v>TN195</v>
          </cell>
          <cell r="C467" t="str">
            <v>13</v>
          </cell>
          <cell r="D467" t="str">
            <v>1998</v>
          </cell>
          <cell r="E467" t="str">
            <v>엔진</v>
          </cell>
          <cell r="F467" t="str">
            <v>이원표</v>
          </cell>
        </row>
        <row r="468">
          <cell r="B468" t="str">
            <v>TN196</v>
          </cell>
          <cell r="C468" t="str">
            <v>13</v>
          </cell>
          <cell r="D468" t="str">
            <v>1998</v>
          </cell>
          <cell r="E468" t="str">
            <v>엔진</v>
          </cell>
          <cell r="F468" t="str">
            <v>이원표</v>
          </cell>
        </row>
        <row r="469">
          <cell r="B469" t="str">
            <v>TN197</v>
          </cell>
          <cell r="C469" t="str">
            <v>13</v>
          </cell>
          <cell r="D469" t="str">
            <v>1998</v>
          </cell>
          <cell r="E469" t="str">
            <v>엔진</v>
          </cell>
          <cell r="F469" t="str">
            <v>이원표</v>
          </cell>
        </row>
        <row r="470">
          <cell r="B470" t="str">
            <v>TB198</v>
          </cell>
          <cell r="C470" t="str">
            <v>13</v>
          </cell>
          <cell r="D470" t="str">
            <v>1998</v>
          </cell>
          <cell r="E470" t="str">
            <v>차체</v>
          </cell>
          <cell r="F470" t="str">
            <v>이영수</v>
          </cell>
        </row>
        <row r="471">
          <cell r="B471" t="str">
            <v>TA199</v>
          </cell>
          <cell r="C471" t="str">
            <v>13</v>
          </cell>
          <cell r="D471" t="str">
            <v>1998</v>
          </cell>
          <cell r="E471" t="str">
            <v>T/M</v>
          </cell>
          <cell r="F471" t="str">
            <v>이현기</v>
          </cell>
        </row>
        <row r="472">
          <cell r="B472" t="str">
            <v>TN200</v>
          </cell>
          <cell r="C472" t="str">
            <v>13</v>
          </cell>
          <cell r="D472" t="str">
            <v>1998</v>
          </cell>
          <cell r="E472" t="str">
            <v>엔진</v>
          </cell>
          <cell r="F472" t="str">
            <v>이현기</v>
          </cell>
        </row>
        <row r="473">
          <cell r="B473" t="str">
            <v>TN201</v>
          </cell>
          <cell r="C473" t="str">
            <v>13</v>
          </cell>
          <cell r="D473" t="str">
            <v>1998</v>
          </cell>
          <cell r="E473" t="str">
            <v>엔진</v>
          </cell>
          <cell r="F473" t="str">
            <v>권오운</v>
          </cell>
        </row>
        <row r="474">
          <cell r="B474" t="str">
            <v>TN202</v>
          </cell>
          <cell r="C474" t="str">
            <v>13</v>
          </cell>
          <cell r="D474" t="str">
            <v>1998</v>
          </cell>
          <cell r="E474" t="str">
            <v>엔진</v>
          </cell>
          <cell r="F474" t="str">
            <v>이현기</v>
          </cell>
        </row>
        <row r="475">
          <cell r="B475" t="str">
            <v>TA203</v>
          </cell>
          <cell r="C475" t="str">
            <v>13</v>
          </cell>
          <cell r="D475" t="str">
            <v>1998</v>
          </cell>
          <cell r="E475" t="str">
            <v>T/M</v>
          </cell>
          <cell r="F475" t="str">
            <v>박찬엽</v>
          </cell>
        </row>
        <row r="476">
          <cell r="B476" t="str">
            <v>TA204</v>
          </cell>
          <cell r="C476" t="str">
            <v>13</v>
          </cell>
          <cell r="D476" t="str">
            <v>1998</v>
          </cell>
          <cell r="E476" t="str">
            <v>T/M</v>
          </cell>
          <cell r="F476" t="str">
            <v>박찬엽</v>
          </cell>
        </row>
        <row r="477">
          <cell r="B477" t="str">
            <v>TA205</v>
          </cell>
          <cell r="C477" t="str">
            <v>13</v>
          </cell>
          <cell r="D477" t="str">
            <v>1998</v>
          </cell>
          <cell r="E477" t="str">
            <v>T/M</v>
          </cell>
          <cell r="F477" t="str">
            <v>권오운</v>
          </cell>
        </row>
        <row r="478">
          <cell r="B478" t="str">
            <v>TC206</v>
          </cell>
          <cell r="C478" t="str">
            <v>13</v>
          </cell>
          <cell r="D478" t="str">
            <v>1998</v>
          </cell>
          <cell r="E478" t="str">
            <v>샤시</v>
          </cell>
          <cell r="F478" t="str">
            <v>이태범</v>
          </cell>
        </row>
        <row r="479">
          <cell r="B479" t="str">
            <v>TA207</v>
          </cell>
          <cell r="C479" t="str">
            <v>13</v>
          </cell>
          <cell r="D479" t="str">
            <v>1998</v>
          </cell>
          <cell r="E479" t="str">
            <v>T/M</v>
          </cell>
          <cell r="F479" t="str">
            <v>엄봉용</v>
          </cell>
        </row>
        <row r="480">
          <cell r="B480" t="str">
            <v>TN208</v>
          </cell>
          <cell r="C480" t="str">
            <v>13</v>
          </cell>
          <cell r="D480" t="str">
            <v>1998</v>
          </cell>
          <cell r="E480" t="str">
            <v>엔진</v>
          </cell>
          <cell r="F480" t="str">
            <v>이현기</v>
          </cell>
        </row>
        <row r="481">
          <cell r="B481" t="str">
            <v>TA209</v>
          </cell>
          <cell r="C481" t="str">
            <v>13</v>
          </cell>
          <cell r="D481" t="str">
            <v>1998</v>
          </cell>
          <cell r="E481" t="str">
            <v>T/M</v>
          </cell>
          <cell r="F481" t="str">
            <v>이현기</v>
          </cell>
        </row>
        <row r="482">
          <cell r="B482" t="str">
            <v>TB210</v>
          </cell>
          <cell r="C482" t="str">
            <v>13</v>
          </cell>
          <cell r="D482" t="str">
            <v>1998</v>
          </cell>
          <cell r="E482" t="str">
            <v>차체</v>
          </cell>
          <cell r="F482" t="str">
            <v>장희철</v>
          </cell>
        </row>
        <row r="483">
          <cell r="B483" t="str">
            <v>TB211</v>
          </cell>
          <cell r="C483" t="str">
            <v>13</v>
          </cell>
          <cell r="D483" t="str">
            <v>1998</v>
          </cell>
          <cell r="E483" t="str">
            <v>차체</v>
          </cell>
          <cell r="F483" t="str">
            <v>장희철</v>
          </cell>
        </row>
        <row r="484">
          <cell r="B484" t="str">
            <v>TA212</v>
          </cell>
          <cell r="C484" t="str">
            <v>13</v>
          </cell>
          <cell r="D484" t="str">
            <v>1998</v>
          </cell>
          <cell r="E484" t="str">
            <v>T/M</v>
          </cell>
          <cell r="F484" t="str">
            <v>권오운</v>
          </cell>
        </row>
        <row r="485">
          <cell r="B485" t="str">
            <v>TA213</v>
          </cell>
          <cell r="C485" t="str">
            <v>13</v>
          </cell>
          <cell r="D485" t="str">
            <v>1998</v>
          </cell>
          <cell r="E485" t="str">
            <v>T/M</v>
          </cell>
          <cell r="F485" t="str">
            <v>박찬엽</v>
          </cell>
        </row>
        <row r="486">
          <cell r="B486" t="str">
            <v>TT214</v>
          </cell>
          <cell r="C486" t="str">
            <v>13</v>
          </cell>
          <cell r="D486" t="str">
            <v>1998</v>
          </cell>
          <cell r="E486" t="str">
            <v>의장</v>
          </cell>
          <cell r="F486" t="str">
            <v>문희탁</v>
          </cell>
        </row>
        <row r="487">
          <cell r="B487" t="str">
            <v>TA215</v>
          </cell>
          <cell r="C487" t="str">
            <v>13</v>
          </cell>
          <cell r="D487" t="str">
            <v>1998</v>
          </cell>
          <cell r="E487" t="str">
            <v>T/M</v>
          </cell>
          <cell r="F487" t="str">
            <v>엄봉용</v>
          </cell>
        </row>
        <row r="956">
          <cell r="B956" t="str">
            <v>QN038</v>
          </cell>
          <cell r="C956">
            <v>3</v>
          </cell>
          <cell r="D956" t="str">
            <v>1995</v>
          </cell>
          <cell r="E956" t="str">
            <v>엔진</v>
          </cell>
          <cell r="F956" t="str">
            <v>임종진</v>
          </cell>
        </row>
      </sheetData>
      <sheetData sheetId="1" refreshError="1">
        <row r="3">
          <cell r="B3" t="str">
            <v>CODE</v>
          </cell>
        </row>
        <row r="10">
          <cell r="D10" t="str">
            <v>차 종</v>
          </cell>
          <cell r="E10" t="str">
            <v>생산계획</v>
          </cell>
        </row>
        <row r="11">
          <cell r="D11" t="str">
            <v>X-3</v>
          </cell>
          <cell r="E11">
            <v>366000</v>
          </cell>
        </row>
        <row r="12">
          <cell r="D12" t="str">
            <v>Y-3</v>
          </cell>
          <cell r="E12">
            <v>235800</v>
          </cell>
        </row>
        <row r="13">
          <cell r="D13" t="str">
            <v>MX</v>
          </cell>
          <cell r="E13">
            <v>78000</v>
          </cell>
        </row>
        <row r="14">
          <cell r="D14" t="str">
            <v>H-1</v>
          </cell>
          <cell r="E14">
            <v>40000</v>
          </cell>
        </row>
        <row r="15">
          <cell r="D15" t="str">
            <v>GRACE</v>
          </cell>
          <cell r="E15">
            <v>99500</v>
          </cell>
        </row>
        <row r="16">
          <cell r="D16" t="str">
            <v>PORTER(OLD</v>
          </cell>
          <cell r="E16">
            <v>114900</v>
          </cell>
        </row>
        <row r="17">
          <cell r="D17" t="str">
            <v>RD</v>
          </cell>
          <cell r="E17">
            <v>276210</v>
          </cell>
        </row>
        <row r="18">
          <cell r="D18" t="str">
            <v>LX</v>
          </cell>
          <cell r="E18">
            <v>43200</v>
          </cell>
        </row>
        <row r="19">
          <cell r="D19" t="str">
            <v>A-1</v>
          </cell>
          <cell r="E19">
            <v>75400</v>
          </cell>
        </row>
        <row r="20">
          <cell r="D20" t="str">
            <v>BUS</v>
          </cell>
          <cell r="E20">
            <v>5440</v>
          </cell>
        </row>
        <row r="21">
          <cell r="D21" t="str">
            <v>TRUCK</v>
          </cell>
          <cell r="E21">
            <v>30675</v>
          </cell>
        </row>
        <row r="22">
          <cell r="D22" t="str">
            <v>차 종</v>
          </cell>
          <cell r="E22" t="str">
            <v>생산계획</v>
          </cell>
        </row>
        <row r="23">
          <cell r="D23" t="str">
            <v>X-3</v>
          </cell>
          <cell r="E23">
            <v>377000</v>
          </cell>
        </row>
        <row r="24">
          <cell r="D24" t="str">
            <v>Y-3</v>
          </cell>
          <cell r="E24">
            <v>253700</v>
          </cell>
        </row>
        <row r="25">
          <cell r="D25" t="str">
            <v>MX</v>
          </cell>
          <cell r="E25">
            <v>78000</v>
          </cell>
        </row>
        <row r="26">
          <cell r="D26" t="str">
            <v>H-1</v>
          </cell>
          <cell r="E26">
            <v>30000</v>
          </cell>
        </row>
        <row r="27">
          <cell r="D27" t="str">
            <v>GRACE</v>
          </cell>
          <cell r="E27">
            <v>101500</v>
          </cell>
        </row>
        <row r="28">
          <cell r="D28" t="str">
            <v>PORTER(OLD</v>
          </cell>
          <cell r="E28">
            <v>110800</v>
          </cell>
        </row>
        <row r="29">
          <cell r="D29" t="str">
            <v>RD</v>
          </cell>
          <cell r="E29">
            <v>386200</v>
          </cell>
        </row>
        <row r="30">
          <cell r="D30" t="str">
            <v>LX</v>
          </cell>
          <cell r="E30">
            <v>43600</v>
          </cell>
        </row>
        <row r="31">
          <cell r="D31" t="str">
            <v>A-1</v>
          </cell>
          <cell r="E31">
            <v>75400</v>
          </cell>
        </row>
        <row r="32">
          <cell r="D32" t="str">
            <v>BUS</v>
          </cell>
          <cell r="E32">
            <v>8200</v>
          </cell>
        </row>
        <row r="33">
          <cell r="D33" t="str">
            <v>TRUCK</v>
          </cell>
          <cell r="E33">
            <v>53400</v>
          </cell>
        </row>
        <row r="34">
          <cell r="D34" t="str">
            <v>차 종</v>
          </cell>
          <cell r="E34" t="str">
            <v>생산계획</v>
          </cell>
        </row>
        <row r="35">
          <cell r="D35" t="str">
            <v>X-3</v>
          </cell>
          <cell r="E35">
            <v>370000</v>
          </cell>
        </row>
        <row r="36">
          <cell r="D36" t="str">
            <v>Y-3</v>
          </cell>
          <cell r="E36">
            <v>261700</v>
          </cell>
        </row>
        <row r="37">
          <cell r="D37" t="str">
            <v>MX</v>
          </cell>
          <cell r="E37">
            <v>78000</v>
          </cell>
        </row>
        <row r="38">
          <cell r="D38" t="str">
            <v>H-1</v>
          </cell>
          <cell r="E38">
            <v>20000</v>
          </cell>
        </row>
        <row r="39">
          <cell r="D39" t="str">
            <v>GRACE</v>
          </cell>
          <cell r="E39">
            <v>46700</v>
          </cell>
        </row>
        <row r="40">
          <cell r="D40" t="str">
            <v>PORTER(OLD</v>
          </cell>
          <cell r="E40">
            <v>131000</v>
          </cell>
        </row>
        <row r="41">
          <cell r="D41" t="str">
            <v>RD</v>
          </cell>
          <cell r="E41">
            <v>390000</v>
          </cell>
        </row>
        <row r="42">
          <cell r="D42" t="str">
            <v>LX</v>
          </cell>
          <cell r="E42">
            <v>50000</v>
          </cell>
        </row>
        <row r="43">
          <cell r="D43" t="str">
            <v>EF</v>
          </cell>
          <cell r="E43">
            <v>202500</v>
          </cell>
        </row>
        <row r="44">
          <cell r="D44" t="str">
            <v>LZ</v>
          </cell>
          <cell r="E44">
            <v>35100</v>
          </cell>
        </row>
        <row r="45">
          <cell r="D45" t="str">
            <v>XG</v>
          </cell>
          <cell r="E45">
            <v>54000</v>
          </cell>
        </row>
        <row r="46">
          <cell r="D46" t="str">
            <v>A-1</v>
          </cell>
          <cell r="E46">
            <v>67300</v>
          </cell>
        </row>
        <row r="47">
          <cell r="D47" t="str">
            <v>PORTER(AU)</v>
          </cell>
          <cell r="E47">
            <v>131000</v>
          </cell>
        </row>
        <row r="48">
          <cell r="D48" t="str">
            <v>차 종</v>
          </cell>
          <cell r="E48" t="str">
            <v>생산계획</v>
          </cell>
        </row>
        <row r="49">
          <cell r="D49" t="str">
            <v>X-3</v>
          </cell>
          <cell r="E49">
            <v>270000</v>
          </cell>
        </row>
        <row r="50">
          <cell r="D50" t="str">
            <v>MX</v>
          </cell>
          <cell r="E50">
            <v>138220</v>
          </cell>
        </row>
        <row r="51">
          <cell r="D51" t="str">
            <v>H-1</v>
          </cell>
          <cell r="E51">
            <v>2712</v>
          </cell>
        </row>
        <row r="52">
          <cell r="D52" t="str">
            <v>GRACE</v>
          </cell>
          <cell r="E52">
            <v>36000</v>
          </cell>
        </row>
        <row r="53">
          <cell r="D53" t="str">
            <v>RD</v>
          </cell>
          <cell r="E53">
            <v>209300</v>
          </cell>
        </row>
        <row r="54">
          <cell r="D54" t="str">
            <v>Y-3</v>
          </cell>
          <cell r="E54">
            <v>32481</v>
          </cell>
        </row>
        <row r="55">
          <cell r="D55" t="str">
            <v>LX</v>
          </cell>
          <cell r="E55">
            <v>3080</v>
          </cell>
        </row>
        <row r="56">
          <cell r="D56" t="str">
            <v>LC</v>
          </cell>
          <cell r="E56">
            <v>281000</v>
          </cell>
        </row>
        <row r="57">
          <cell r="D57" t="str">
            <v>SM</v>
          </cell>
          <cell r="E57">
            <v>63400</v>
          </cell>
        </row>
        <row r="58">
          <cell r="D58" t="str">
            <v>XD</v>
          </cell>
          <cell r="E58">
            <v>272600</v>
          </cell>
        </row>
        <row r="59">
          <cell r="D59" t="str">
            <v>EF</v>
          </cell>
          <cell r="E59">
            <v>160000</v>
          </cell>
        </row>
        <row r="60">
          <cell r="D60" t="str">
            <v>LZ</v>
          </cell>
          <cell r="E60">
            <v>8000</v>
          </cell>
        </row>
        <row r="61">
          <cell r="D61" t="str">
            <v>XG</v>
          </cell>
          <cell r="E61">
            <v>24700</v>
          </cell>
        </row>
        <row r="62">
          <cell r="D62" t="str">
            <v>FO</v>
          </cell>
          <cell r="E62">
            <v>56900</v>
          </cell>
        </row>
        <row r="63">
          <cell r="D63" t="str">
            <v>A-1</v>
          </cell>
          <cell r="E63">
            <v>51400</v>
          </cell>
        </row>
        <row r="64">
          <cell r="D64" t="str">
            <v>PORTER(AU)</v>
          </cell>
          <cell r="E64">
            <v>77300</v>
          </cell>
        </row>
      </sheetData>
      <sheetData sheetId="2" refreshError="1">
        <row r="1">
          <cell r="B1" t="str">
            <v>부서</v>
          </cell>
          <cell r="C1" t="str">
            <v>부서명</v>
          </cell>
          <cell r="D1" t="str">
            <v>부문 CODE</v>
          </cell>
        </row>
        <row r="2">
          <cell r="B2" t="str">
            <v>6N00</v>
          </cell>
          <cell r="C2" t="str">
            <v>강동영업소</v>
          </cell>
          <cell r="D2" t="str">
            <v>**</v>
          </cell>
        </row>
        <row r="3">
          <cell r="B3" t="str">
            <v>TDNG</v>
          </cell>
          <cell r="C3" t="str">
            <v>특장설계팀</v>
          </cell>
          <cell r="D3" t="str">
            <v>**</v>
          </cell>
        </row>
        <row r="4">
          <cell r="B4" t="str">
            <v>TH1*</v>
          </cell>
          <cell r="C4" t="str">
            <v>중앙연구소</v>
          </cell>
        </row>
        <row r="5">
          <cell r="B5" t="str">
            <v>TH2*</v>
          </cell>
          <cell r="C5" t="str">
            <v>승용제품개발１연구소</v>
          </cell>
        </row>
        <row r="6">
          <cell r="B6" t="str">
            <v>TH3*</v>
          </cell>
          <cell r="C6" t="str">
            <v>승용제품개발２연구소</v>
          </cell>
        </row>
        <row r="7">
          <cell r="B7" t="str">
            <v>TH4*</v>
          </cell>
          <cell r="C7" t="str">
            <v>상용제품개발연구소</v>
          </cell>
        </row>
        <row r="8">
          <cell r="B8" t="str">
            <v>TH5*</v>
          </cell>
          <cell r="C8" t="str">
            <v>디자인연구소</v>
          </cell>
        </row>
        <row r="9">
          <cell r="B9" t="str">
            <v>THTA</v>
          </cell>
          <cell r="C9" t="str">
            <v>디자인１팀</v>
          </cell>
        </row>
        <row r="10">
          <cell r="B10" t="str">
            <v>THTB</v>
          </cell>
          <cell r="C10" t="str">
            <v>디자인２팀</v>
          </cell>
        </row>
        <row r="11">
          <cell r="B11" t="str">
            <v>THTC</v>
          </cell>
          <cell r="C11" t="str">
            <v>디자인３팀</v>
          </cell>
        </row>
        <row r="12">
          <cell r="B12" t="str">
            <v>THTD</v>
          </cell>
          <cell r="C12" t="str">
            <v>디자인４팀</v>
          </cell>
        </row>
        <row r="13">
          <cell r="B13" t="str">
            <v>THTE</v>
          </cell>
          <cell r="C13" t="str">
            <v>디자인５팀</v>
          </cell>
        </row>
        <row r="14">
          <cell r="B14" t="str">
            <v>THTF</v>
          </cell>
          <cell r="C14" t="str">
            <v>ＣＡＤ／ＣＡＭ팀</v>
          </cell>
        </row>
        <row r="15">
          <cell r="B15" t="str">
            <v>THTG</v>
          </cell>
          <cell r="C15" t="str">
            <v>디자인６팀</v>
          </cell>
        </row>
        <row r="16">
          <cell r="B16" t="str">
            <v>THDA</v>
          </cell>
          <cell r="C16" t="str">
            <v>가솔린엔진설계１팀</v>
          </cell>
          <cell r="D16" t="str">
            <v>S4</v>
          </cell>
        </row>
        <row r="17">
          <cell r="B17" t="str">
            <v>THDB</v>
          </cell>
          <cell r="C17" t="str">
            <v>가솔린엔진설계２팀</v>
          </cell>
          <cell r="D17" t="str">
            <v>S4</v>
          </cell>
        </row>
        <row r="18">
          <cell r="B18" t="str">
            <v>THDE</v>
          </cell>
          <cell r="C18" t="str">
            <v>가솔린엔진시험１팀</v>
          </cell>
          <cell r="D18" t="str">
            <v>S4</v>
          </cell>
        </row>
        <row r="19">
          <cell r="B19" t="str">
            <v>THDF</v>
          </cell>
          <cell r="C19" t="str">
            <v>가솔린엔진시험２팀</v>
          </cell>
          <cell r="D19" t="str">
            <v>S4</v>
          </cell>
        </row>
        <row r="20">
          <cell r="B20" t="str">
            <v>THEA</v>
          </cell>
          <cell r="C20" t="str">
            <v>디젤엔진설계팀</v>
          </cell>
          <cell r="D20" t="str">
            <v>S4</v>
          </cell>
        </row>
        <row r="21">
          <cell r="B21" t="str">
            <v>THEB</v>
          </cell>
          <cell r="C21" t="str">
            <v>디젤엔진시험１팀</v>
          </cell>
          <cell r="D21" t="str">
            <v>S4</v>
          </cell>
        </row>
        <row r="22">
          <cell r="B22" t="str">
            <v>THED</v>
          </cell>
          <cell r="C22" t="str">
            <v>디젤엔진시험２팀</v>
          </cell>
          <cell r="D22" t="str">
            <v>S4</v>
          </cell>
        </row>
        <row r="23">
          <cell r="B23" t="str">
            <v>THFA</v>
          </cell>
          <cell r="C23" t="str">
            <v>Ｍ／Ｔ설계팀</v>
          </cell>
          <cell r="D23" t="str">
            <v>S4</v>
          </cell>
        </row>
        <row r="24">
          <cell r="B24" t="str">
            <v>THFB</v>
          </cell>
          <cell r="C24" t="str">
            <v>Ａ／Ｔ설계팀</v>
          </cell>
          <cell r="D24" t="str">
            <v>S4</v>
          </cell>
        </row>
        <row r="25">
          <cell r="B25" t="str">
            <v>THFC</v>
          </cell>
          <cell r="C25" t="str">
            <v>ＴＭ시험팀</v>
          </cell>
          <cell r="D25" t="str">
            <v>S4</v>
          </cell>
        </row>
        <row r="26">
          <cell r="B26" t="str">
            <v>THHA</v>
          </cell>
          <cell r="C26" t="str">
            <v>승용차체설계１팀</v>
          </cell>
          <cell r="D26" t="str">
            <v>S1</v>
          </cell>
        </row>
        <row r="27">
          <cell r="B27" t="str">
            <v>THHB</v>
          </cell>
          <cell r="C27" t="str">
            <v>승용의장설계１팀</v>
          </cell>
          <cell r="D27" t="str">
            <v>S1</v>
          </cell>
        </row>
        <row r="28">
          <cell r="B28" t="str">
            <v>THHC</v>
          </cell>
          <cell r="C28" t="str">
            <v>승용샤시설계１팀</v>
          </cell>
          <cell r="D28" t="str">
            <v>S1</v>
          </cell>
        </row>
        <row r="29">
          <cell r="B29" t="str">
            <v>THHD</v>
          </cell>
          <cell r="C29" t="str">
            <v>승용전자설계１팀</v>
          </cell>
          <cell r="D29" t="str">
            <v>S1</v>
          </cell>
        </row>
        <row r="30">
          <cell r="B30" t="str">
            <v>THHE</v>
          </cell>
          <cell r="C30" t="str">
            <v>승용기술지원１팀</v>
          </cell>
          <cell r="D30" t="str">
            <v>S1</v>
          </cell>
        </row>
        <row r="31">
          <cell r="B31" t="str">
            <v>THAC</v>
          </cell>
          <cell r="C31" t="str">
            <v>설계원가１팀</v>
          </cell>
          <cell r="D31" t="str">
            <v>S1</v>
          </cell>
        </row>
        <row r="32">
          <cell r="B32" t="str">
            <v>THMA</v>
          </cell>
          <cell r="C32" t="str">
            <v>승용차체설계２팀</v>
          </cell>
          <cell r="D32" t="str">
            <v>S2</v>
          </cell>
        </row>
        <row r="33">
          <cell r="B33" t="str">
            <v>THMB</v>
          </cell>
          <cell r="C33" t="str">
            <v>승용의장설계２팀</v>
          </cell>
          <cell r="D33" t="str">
            <v>S2</v>
          </cell>
        </row>
        <row r="34">
          <cell r="B34" t="str">
            <v>THMC</v>
          </cell>
          <cell r="C34" t="str">
            <v>승용샤시설계２팀</v>
          </cell>
          <cell r="D34" t="str">
            <v>S2</v>
          </cell>
        </row>
        <row r="35">
          <cell r="B35" t="str">
            <v>THMD</v>
          </cell>
          <cell r="C35" t="str">
            <v>승용전자설계２팀</v>
          </cell>
          <cell r="D35" t="str">
            <v>S2</v>
          </cell>
        </row>
        <row r="36">
          <cell r="B36" t="str">
            <v>THME</v>
          </cell>
          <cell r="C36" t="str">
            <v>승용기술지원２팀</v>
          </cell>
          <cell r="D36" t="str">
            <v>S2</v>
          </cell>
        </row>
        <row r="37">
          <cell r="B37" t="str">
            <v>THBF</v>
          </cell>
          <cell r="C37" t="str">
            <v>설계원가２팀</v>
          </cell>
          <cell r="D37" t="str">
            <v>S2</v>
          </cell>
        </row>
        <row r="38">
          <cell r="B38" t="str">
            <v>THRA</v>
          </cell>
          <cell r="C38" t="str">
            <v>버스차체의장설계팀</v>
          </cell>
          <cell r="D38" t="str">
            <v>S3</v>
          </cell>
        </row>
        <row r="39">
          <cell r="B39" t="str">
            <v>THRC</v>
          </cell>
          <cell r="C39" t="str">
            <v>트럭차체의장설계팀</v>
          </cell>
          <cell r="D39" t="str">
            <v>S3</v>
          </cell>
        </row>
        <row r="40">
          <cell r="B40" t="str">
            <v>THRE</v>
          </cell>
          <cell r="C40" t="str">
            <v>상용샤시설계팀</v>
          </cell>
          <cell r="D40" t="str">
            <v>S3</v>
          </cell>
        </row>
        <row r="41">
          <cell r="B41" t="str">
            <v>THRG</v>
          </cell>
          <cell r="C41" t="str">
            <v>상용전자설계팀</v>
          </cell>
          <cell r="D41" t="str">
            <v>S3</v>
          </cell>
        </row>
        <row r="42">
          <cell r="B42" t="str">
            <v>THRH</v>
          </cell>
          <cell r="C42" t="str">
            <v>상용기술지원팀</v>
          </cell>
          <cell r="D42" t="str">
            <v>S3</v>
          </cell>
        </row>
        <row r="43">
          <cell r="B43" t="str">
            <v>TJ**</v>
          </cell>
          <cell r="C43" t="str">
            <v>생산기술센타</v>
          </cell>
        </row>
        <row r="44">
          <cell r="B44" t="str">
            <v>TJBA</v>
          </cell>
          <cell r="C44" t="str">
            <v>프레스기술개발팀</v>
          </cell>
          <cell r="D44" t="str">
            <v>GA</v>
          </cell>
        </row>
        <row r="45">
          <cell r="B45" t="str">
            <v>TJBB</v>
          </cell>
          <cell r="C45" t="str">
            <v>프레스금형설계팀</v>
          </cell>
          <cell r="D45" t="str">
            <v>GA</v>
          </cell>
        </row>
        <row r="46">
          <cell r="B46" t="str">
            <v>TJBC</v>
          </cell>
          <cell r="C46" t="str">
            <v>프레스기술팀</v>
          </cell>
          <cell r="D46" t="str">
            <v>GA</v>
          </cell>
        </row>
        <row r="47">
          <cell r="B47" t="str">
            <v>TJBF</v>
          </cell>
          <cell r="C47" t="str">
            <v>프레스기술계획팀</v>
          </cell>
          <cell r="D47" t="str">
            <v>GA</v>
          </cell>
        </row>
        <row r="48">
          <cell r="B48" t="str">
            <v>TJCB</v>
          </cell>
          <cell r="C48" t="str">
            <v>차체기술팀</v>
          </cell>
          <cell r="D48" t="str">
            <v>GA</v>
          </cell>
        </row>
        <row r="49">
          <cell r="B49" t="str">
            <v>TJCG</v>
          </cell>
          <cell r="C49" t="str">
            <v>아산차체기술팀</v>
          </cell>
          <cell r="D49" t="str">
            <v>GA</v>
          </cell>
        </row>
        <row r="50">
          <cell r="B50" t="str">
            <v>TJD*</v>
          </cell>
          <cell r="C50" t="str">
            <v>도장기술실</v>
          </cell>
          <cell r="D50" t="str">
            <v>GA</v>
          </cell>
        </row>
        <row r="51">
          <cell r="B51" t="str">
            <v>TJDA</v>
          </cell>
          <cell r="C51" t="str">
            <v>도장기술팀</v>
          </cell>
          <cell r="D51" t="str">
            <v>GA</v>
          </cell>
        </row>
        <row r="52">
          <cell r="B52" t="str">
            <v>TJDC</v>
          </cell>
          <cell r="C52" t="str">
            <v>도장기술개발팀</v>
          </cell>
          <cell r="D52" t="str">
            <v>GA</v>
          </cell>
        </row>
        <row r="53">
          <cell r="B53" t="str">
            <v>TJDE</v>
          </cell>
          <cell r="C53" t="str">
            <v>아산도장기술팀</v>
          </cell>
          <cell r="D53" t="str">
            <v>GA</v>
          </cell>
        </row>
        <row r="54">
          <cell r="B54" t="str">
            <v>TJEB</v>
          </cell>
          <cell r="C54" t="str">
            <v>조립기술팀</v>
          </cell>
          <cell r="D54" t="str">
            <v>GA</v>
          </cell>
        </row>
        <row r="55">
          <cell r="B55" t="str">
            <v>TJEG</v>
          </cell>
          <cell r="C55" t="str">
            <v>아산조립기술팀</v>
          </cell>
          <cell r="D55" t="str">
            <v>GA</v>
          </cell>
        </row>
        <row r="56">
          <cell r="B56" t="str">
            <v>TJF*</v>
          </cell>
          <cell r="C56" t="str">
            <v>상용생산기술실</v>
          </cell>
          <cell r="D56" t="str">
            <v>GA</v>
          </cell>
        </row>
        <row r="57">
          <cell r="B57" t="str">
            <v>TJFB</v>
          </cell>
          <cell r="C57" t="str">
            <v>버스차체기술팀</v>
          </cell>
          <cell r="D57" t="str">
            <v>GA</v>
          </cell>
        </row>
        <row r="58">
          <cell r="B58" t="str">
            <v>TJFC</v>
          </cell>
          <cell r="C58" t="str">
            <v>트럭차체기술팀</v>
          </cell>
          <cell r="D58" t="str">
            <v>GA</v>
          </cell>
        </row>
        <row r="59">
          <cell r="B59" t="str">
            <v>TJFD</v>
          </cell>
          <cell r="C59" t="str">
            <v>상용도장기술팀</v>
          </cell>
          <cell r="D59" t="str">
            <v>GA</v>
          </cell>
        </row>
        <row r="60">
          <cell r="B60" t="str">
            <v>TJFE</v>
          </cell>
          <cell r="C60" t="str">
            <v>트럭조립기술팀</v>
          </cell>
          <cell r="D60" t="str">
            <v>GA</v>
          </cell>
        </row>
        <row r="61">
          <cell r="B61" t="str">
            <v>TJFF</v>
          </cell>
          <cell r="C61" t="str">
            <v>버스조립기술팀</v>
          </cell>
          <cell r="D61" t="str">
            <v>GA</v>
          </cell>
        </row>
        <row r="62">
          <cell r="B62" t="str">
            <v>TJGD</v>
          </cell>
          <cell r="C62" t="str">
            <v>지그부</v>
          </cell>
          <cell r="D62" t="str">
            <v>GA</v>
          </cell>
        </row>
        <row r="63">
          <cell r="B63" t="str">
            <v>TJHA</v>
          </cell>
          <cell r="C63" t="str">
            <v>금형부</v>
          </cell>
          <cell r="D63" t="str">
            <v>GA</v>
          </cell>
        </row>
        <row r="64">
          <cell r="B64" t="str">
            <v>TJHB</v>
          </cell>
          <cell r="C64" t="str">
            <v>플라스틱금형기술부</v>
          </cell>
          <cell r="D64" t="str">
            <v>GA</v>
          </cell>
        </row>
        <row r="65">
          <cell r="B65" t="str">
            <v>TJKA</v>
          </cell>
          <cell r="C65" t="str">
            <v>해외기술１팀</v>
          </cell>
          <cell r="D65" t="str">
            <v>GA</v>
          </cell>
        </row>
        <row r="66">
          <cell r="B66" t="str">
            <v>TJKB</v>
          </cell>
          <cell r="C66" t="str">
            <v>해외기술２팀</v>
          </cell>
          <cell r="D66" t="str">
            <v>GA</v>
          </cell>
        </row>
        <row r="67">
          <cell r="B67" t="str">
            <v>TK**</v>
          </cell>
          <cell r="C67" t="str">
            <v>부품개발사업부</v>
          </cell>
        </row>
        <row r="68">
          <cell r="B68" t="str">
            <v>TKAA</v>
          </cell>
          <cell r="C68" t="str">
            <v>부품개발지원팀</v>
          </cell>
          <cell r="D68" t="str">
            <v>J1</v>
          </cell>
        </row>
        <row r="69">
          <cell r="B69" t="str">
            <v>TKBB</v>
          </cell>
          <cell r="C69" t="str">
            <v>부품원가２팀</v>
          </cell>
          <cell r="D69" t="str">
            <v>J1</v>
          </cell>
        </row>
        <row r="70">
          <cell r="B70" t="str">
            <v>TKBC</v>
          </cell>
          <cell r="C70" t="str">
            <v>부품원가관리팀</v>
          </cell>
          <cell r="D70" t="str">
            <v>J1</v>
          </cell>
        </row>
        <row r="71">
          <cell r="B71" t="str">
            <v>TKBD</v>
          </cell>
          <cell r="C71" t="str">
            <v>부품원가１팀</v>
          </cell>
          <cell r="D71" t="str">
            <v>J1</v>
          </cell>
        </row>
        <row r="72">
          <cell r="B72" t="str">
            <v>TKBE</v>
          </cell>
          <cell r="C72" t="str">
            <v>원부자재팀</v>
          </cell>
          <cell r="D72" t="str">
            <v>J1</v>
          </cell>
        </row>
        <row r="73">
          <cell r="B73" t="str">
            <v>TKBF</v>
          </cell>
          <cell r="C73" t="str">
            <v>코일센타팀</v>
          </cell>
          <cell r="D73" t="str">
            <v>J1</v>
          </cell>
        </row>
        <row r="74">
          <cell r="B74" t="str">
            <v>TKBG</v>
          </cell>
          <cell r="C74" t="str">
            <v>선행부품개발팀</v>
          </cell>
          <cell r="D74" t="str">
            <v>J1</v>
          </cell>
        </row>
        <row r="75">
          <cell r="B75" t="str">
            <v>TKCA</v>
          </cell>
          <cell r="C75" t="str">
            <v>샤시부품개발１팀</v>
          </cell>
          <cell r="D75" t="str">
            <v>J1</v>
          </cell>
        </row>
        <row r="76">
          <cell r="B76" t="str">
            <v>TKCB</v>
          </cell>
          <cell r="C76" t="str">
            <v>샤시부품개발２팀</v>
          </cell>
          <cell r="D76" t="str">
            <v>J1</v>
          </cell>
        </row>
        <row r="77">
          <cell r="B77" t="str">
            <v>TKCC</v>
          </cell>
          <cell r="C77" t="str">
            <v>공작부품개발팀</v>
          </cell>
          <cell r="D77" t="str">
            <v>J1</v>
          </cell>
        </row>
        <row r="78">
          <cell r="B78" t="str">
            <v>TKCF</v>
          </cell>
          <cell r="C78" t="str">
            <v>차체부품개발팀</v>
          </cell>
          <cell r="D78" t="str">
            <v>J1</v>
          </cell>
        </row>
        <row r="79">
          <cell r="B79" t="str">
            <v>TKCG</v>
          </cell>
          <cell r="C79" t="str">
            <v>의장부품개발팀</v>
          </cell>
          <cell r="D79" t="str">
            <v>J1</v>
          </cell>
        </row>
        <row r="80">
          <cell r="B80" t="str">
            <v>TKCJ</v>
          </cell>
          <cell r="C80" t="str">
            <v>전장부품개발팀</v>
          </cell>
          <cell r="D80" t="str">
            <v>J1</v>
          </cell>
        </row>
        <row r="81">
          <cell r="B81" t="str">
            <v>TKCK</v>
          </cell>
          <cell r="C81" t="str">
            <v>승용부품개발업무팀</v>
          </cell>
          <cell r="D81" t="str">
            <v>J1</v>
          </cell>
        </row>
        <row r="82">
          <cell r="B82" t="str">
            <v>TKDD</v>
          </cell>
          <cell r="C82" t="str">
            <v>자재지원팀</v>
          </cell>
          <cell r="D82" t="str">
            <v>J1</v>
          </cell>
        </row>
        <row r="83">
          <cell r="B83" t="str">
            <v>TKEA</v>
          </cell>
          <cell r="C83" t="str">
            <v>상용부품개발업무팀</v>
          </cell>
          <cell r="D83" t="str">
            <v>J1</v>
          </cell>
        </row>
        <row r="84">
          <cell r="B84" t="str">
            <v>TKEB</v>
          </cell>
          <cell r="C84" t="str">
            <v>상용차체부품개발팀</v>
          </cell>
          <cell r="D84" t="str">
            <v>J1</v>
          </cell>
        </row>
        <row r="85">
          <cell r="B85" t="str">
            <v>TKEC</v>
          </cell>
          <cell r="C85" t="str">
            <v>상용샤시부품개발팀</v>
          </cell>
          <cell r="D85" t="str">
            <v>J1</v>
          </cell>
        </row>
        <row r="86">
          <cell r="B86" t="str">
            <v>TKED</v>
          </cell>
          <cell r="C86" t="str">
            <v>상용의장부품개발팀</v>
          </cell>
          <cell r="D86" t="str">
            <v>J1</v>
          </cell>
        </row>
        <row r="87">
          <cell r="B87" t="str">
            <v>TKEE</v>
          </cell>
          <cell r="C87" t="str">
            <v>상용공작부품개발팀</v>
          </cell>
          <cell r="D87" t="str">
            <v>J1</v>
          </cell>
        </row>
        <row r="88">
          <cell r="B88" t="str">
            <v>TL2*</v>
          </cell>
          <cell r="C88" t="str">
            <v>１공장</v>
          </cell>
        </row>
        <row r="89">
          <cell r="B89" t="str">
            <v>TL3*</v>
          </cell>
          <cell r="C89" t="str">
            <v>２공장</v>
          </cell>
        </row>
        <row r="90">
          <cell r="B90" t="str">
            <v>TL4*</v>
          </cell>
          <cell r="C90" t="str">
            <v>３공장</v>
          </cell>
        </row>
        <row r="91">
          <cell r="B91" t="str">
            <v>TL5*</v>
          </cell>
          <cell r="C91" t="str">
            <v>４공장</v>
          </cell>
        </row>
        <row r="92">
          <cell r="B92" t="str">
            <v>TL6*</v>
          </cell>
          <cell r="C92" t="str">
            <v>엔진기어공장</v>
          </cell>
        </row>
        <row r="93">
          <cell r="B93" t="str">
            <v>TL7*</v>
          </cell>
          <cell r="C93" t="str">
            <v>소재생산실</v>
          </cell>
        </row>
        <row r="94">
          <cell r="B94" t="str">
            <v>TL8*</v>
          </cell>
          <cell r="C94" t="str">
            <v>시트공장</v>
          </cell>
        </row>
        <row r="95">
          <cell r="B95" t="str">
            <v>TLFB</v>
          </cell>
          <cell r="C95" t="str">
            <v>생산관리１부</v>
          </cell>
          <cell r="D95" t="str">
            <v>G1</v>
          </cell>
        </row>
        <row r="96">
          <cell r="B96" t="str">
            <v>TLFC</v>
          </cell>
          <cell r="C96" t="str">
            <v>차체１부</v>
          </cell>
          <cell r="D96" t="str">
            <v>G1</v>
          </cell>
        </row>
        <row r="97">
          <cell r="B97" t="str">
            <v>TLFD</v>
          </cell>
          <cell r="C97" t="str">
            <v>도장１부</v>
          </cell>
          <cell r="D97" t="str">
            <v>G1</v>
          </cell>
        </row>
        <row r="98">
          <cell r="B98" t="str">
            <v>TLFE</v>
          </cell>
          <cell r="C98" t="str">
            <v>의장１부</v>
          </cell>
          <cell r="D98" t="str">
            <v>G1</v>
          </cell>
        </row>
        <row r="99">
          <cell r="B99" t="str">
            <v>TLFF</v>
          </cell>
          <cell r="C99" t="str">
            <v>품질관리１부</v>
          </cell>
          <cell r="D99" t="str">
            <v>G1</v>
          </cell>
        </row>
        <row r="100">
          <cell r="B100" t="str">
            <v>TLFG</v>
          </cell>
          <cell r="C100" t="str">
            <v>보전１부</v>
          </cell>
          <cell r="D100" t="str">
            <v>G1</v>
          </cell>
        </row>
        <row r="101">
          <cell r="B101" t="str">
            <v>TLFH</v>
          </cell>
          <cell r="C101" t="str">
            <v>프레스１부</v>
          </cell>
          <cell r="D101" t="str">
            <v>G1</v>
          </cell>
        </row>
        <row r="102">
          <cell r="B102" t="str">
            <v>TLGB</v>
          </cell>
          <cell r="C102" t="str">
            <v>생산관리２부</v>
          </cell>
          <cell r="D102" t="str">
            <v>G2</v>
          </cell>
        </row>
        <row r="103">
          <cell r="B103" t="str">
            <v>TLGC</v>
          </cell>
          <cell r="C103" t="str">
            <v>차체２부</v>
          </cell>
          <cell r="D103" t="str">
            <v>G2</v>
          </cell>
        </row>
        <row r="104">
          <cell r="B104" t="str">
            <v>TLGD</v>
          </cell>
          <cell r="C104" t="str">
            <v>도장２부</v>
          </cell>
          <cell r="D104" t="str">
            <v>G2</v>
          </cell>
        </row>
        <row r="105">
          <cell r="B105" t="str">
            <v>TLGE</v>
          </cell>
          <cell r="C105" t="str">
            <v>의장２부</v>
          </cell>
          <cell r="D105" t="str">
            <v>G2</v>
          </cell>
        </row>
        <row r="106">
          <cell r="B106" t="str">
            <v>TLGF</v>
          </cell>
          <cell r="C106" t="str">
            <v>품질관리２부</v>
          </cell>
          <cell r="D106" t="str">
            <v>G2</v>
          </cell>
        </row>
        <row r="107">
          <cell r="B107" t="str">
            <v>TLGG</v>
          </cell>
          <cell r="C107" t="str">
            <v>보전２부</v>
          </cell>
          <cell r="D107" t="str">
            <v>G2</v>
          </cell>
        </row>
        <row r="108">
          <cell r="B108" t="str">
            <v>TLGH</v>
          </cell>
          <cell r="C108" t="str">
            <v>프레스２부</v>
          </cell>
          <cell r="D108" t="str">
            <v>G2</v>
          </cell>
        </row>
        <row r="109">
          <cell r="B109" t="str">
            <v>TLHB</v>
          </cell>
          <cell r="C109" t="str">
            <v>생산관리３부</v>
          </cell>
          <cell r="D109" t="str">
            <v>G3</v>
          </cell>
        </row>
        <row r="110">
          <cell r="B110" t="str">
            <v>TLHC</v>
          </cell>
          <cell r="C110" t="str">
            <v>차체３부</v>
          </cell>
          <cell r="D110" t="str">
            <v>G3</v>
          </cell>
        </row>
        <row r="111">
          <cell r="B111" t="str">
            <v>TLHD</v>
          </cell>
          <cell r="C111" t="str">
            <v>도장３부</v>
          </cell>
          <cell r="D111" t="str">
            <v>G3</v>
          </cell>
        </row>
        <row r="112">
          <cell r="B112" t="str">
            <v>TLHE</v>
          </cell>
          <cell r="C112" t="str">
            <v>의장３부</v>
          </cell>
          <cell r="D112" t="str">
            <v>G3</v>
          </cell>
        </row>
        <row r="113">
          <cell r="B113" t="str">
            <v>TLHF</v>
          </cell>
          <cell r="C113" t="str">
            <v>품질관리３부</v>
          </cell>
          <cell r="D113" t="str">
            <v>G3</v>
          </cell>
        </row>
        <row r="114">
          <cell r="B114" t="str">
            <v>TLHG</v>
          </cell>
          <cell r="C114" t="str">
            <v>보전３부</v>
          </cell>
          <cell r="D114" t="str">
            <v>G3</v>
          </cell>
        </row>
        <row r="115">
          <cell r="B115" t="str">
            <v>TLHH</v>
          </cell>
          <cell r="C115" t="str">
            <v>프레스３부</v>
          </cell>
          <cell r="D115" t="str">
            <v>G3</v>
          </cell>
        </row>
        <row r="116">
          <cell r="B116" t="str">
            <v>TLJB</v>
          </cell>
          <cell r="C116" t="str">
            <v>생산관리４부</v>
          </cell>
          <cell r="D116" t="str">
            <v>G4</v>
          </cell>
        </row>
        <row r="117">
          <cell r="B117" t="str">
            <v>TLJC</v>
          </cell>
          <cell r="C117" t="str">
            <v>소형버스１부</v>
          </cell>
          <cell r="D117" t="str">
            <v>G4</v>
          </cell>
        </row>
        <row r="118">
          <cell r="B118" t="str">
            <v>TLJD</v>
          </cell>
          <cell r="C118" t="str">
            <v>소형버스２부</v>
          </cell>
          <cell r="D118" t="str">
            <v>G4</v>
          </cell>
        </row>
        <row r="119">
          <cell r="B119" t="str">
            <v>TLJE</v>
          </cell>
          <cell r="C119" t="str">
            <v>소형트럭부</v>
          </cell>
          <cell r="D119" t="str">
            <v>G4</v>
          </cell>
        </row>
        <row r="120">
          <cell r="B120" t="str">
            <v>TLJF</v>
          </cell>
          <cell r="C120" t="str">
            <v>품질관리４부</v>
          </cell>
          <cell r="D120" t="str">
            <v>G4</v>
          </cell>
        </row>
        <row r="121">
          <cell r="B121" t="str">
            <v>TLJG</v>
          </cell>
          <cell r="C121" t="str">
            <v>보전４부</v>
          </cell>
          <cell r="D121" t="str">
            <v>G4</v>
          </cell>
        </row>
        <row r="122">
          <cell r="B122" t="str">
            <v>TLLA</v>
          </cell>
          <cell r="C122" t="str">
            <v>엔진생산관리부</v>
          </cell>
          <cell r="D122" t="str">
            <v>G5</v>
          </cell>
        </row>
        <row r="123">
          <cell r="B123" t="str">
            <v>TLLB</v>
          </cell>
          <cell r="C123" t="str">
            <v>소형엔진부</v>
          </cell>
          <cell r="D123" t="str">
            <v>G5</v>
          </cell>
        </row>
        <row r="124">
          <cell r="B124" t="str">
            <v>TLLC</v>
          </cell>
          <cell r="C124" t="str">
            <v>중형엔진１부</v>
          </cell>
          <cell r="D124" t="str">
            <v>G5</v>
          </cell>
        </row>
        <row r="125">
          <cell r="B125" t="str">
            <v>TLLD</v>
          </cell>
          <cell r="C125" t="str">
            <v>디젤엔진부</v>
          </cell>
          <cell r="D125" t="str">
            <v>G5</v>
          </cell>
        </row>
        <row r="126">
          <cell r="B126" t="str">
            <v>TLLE</v>
          </cell>
          <cell r="C126" t="str">
            <v>엔진보전부</v>
          </cell>
          <cell r="D126" t="str">
            <v>G5</v>
          </cell>
        </row>
        <row r="127">
          <cell r="B127" t="str">
            <v>TLLF</v>
          </cell>
          <cell r="C127" t="str">
            <v>엔진품질관리부</v>
          </cell>
          <cell r="D127" t="str">
            <v>G5</v>
          </cell>
        </row>
        <row r="128">
          <cell r="B128" t="str">
            <v>TLLG</v>
          </cell>
          <cell r="C128" t="str">
            <v>중형엔진２부</v>
          </cell>
          <cell r="D128" t="str">
            <v>G5</v>
          </cell>
        </row>
        <row r="129">
          <cell r="B129" t="str">
            <v>TLMA</v>
          </cell>
          <cell r="C129" t="str">
            <v>기어생산관리부</v>
          </cell>
          <cell r="D129" t="str">
            <v>G5</v>
          </cell>
        </row>
        <row r="130">
          <cell r="B130" t="str">
            <v>TLMB</v>
          </cell>
          <cell r="C130" t="str">
            <v>ＡＴＭ부</v>
          </cell>
          <cell r="D130" t="str">
            <v>G5</v>
          </cell>
        </row>
        <row r="131">
          <cell r="B131" t="str">
            <v>TLMC</v>
          </cell>
          <cell r="C131" t="str">
            <v>ＭＴＭ부</v>
          </cell>
          <cell r="D131" t="str">
            <v>G5</v>
          </cell>
        </row>
        <row r="132">
          <cell r="B132" t="str">
            <v>TLMD</v>
          </cell>
          <cell r="C132" t="str">
            <v>ＴＭ보전부</v>
          </cell>
          <cell r="D132" t="str">
            <v>G5</v>
          </cell>
        </row>
        <row r="133">
          <cell r="B133" t="str">
            <v>TLME</v>
          </cell>
          <cell r="C133" t="str">
            <v>ＴＭ품질관리부</v>
          </cell>
          <cell r="D133" t="str">
            <v>G5</v>
          </cell>
        </row>
        <row r="134">
          <cell r="B134" t="str">
            <v>TLNA</v>
          </cell>
          <cell r="C134" t="str">
            <v>엔진기술팀</v>
          </cell>
          <cell r="D134" t="str">
            <v>G5</v>
          </cell>
        </row>
        <row r="135">
          <cell r="B135" t="str">
            <v>TLNB</v>
          </cell>
          <cell r="C135" t="str">
            <v>기어기술팀</v>
          </cell>
          <cell r="D135" t="str">
            <v>G5</v>
          </cell>
        </row>
        <row r="136">
          <cell r="B136" t="str">
            <v>TLNC</v>
          </cell>
          <cell r="C136" t="str">
            <v>공구부</v>
          </cell>
          <cell r="D136" t="str">
            <v>G5</v>
          </cell>
        </row>
        <row r="137">
          <cell r="B137" t="str">
            <v>TLNE</v>
          </cell>
          <cell r="C137" t="str">
            <v>공작생산관리팀</v>
          </cell>
          <cell r="D137" t="str">
            <v>G5</v>
          </cell>
        </row>
        <row r="138">
          <cell r="B138" t="str">
            <v>TLNF</v>
          </cell>
          <cell r="C138" t="str">
            <v>엔진기어기술계획팀</v>
          </cell>
          <cell r="D138" t="str">
            <v>G5</v>
          </cell>
        </row>
        <row r="139">
          <cell r="B139" t="str">
            <v>TLPB</v>
          </cell>
          <cell r="C139" t="str">
            <v>소재생산관리부</v>
          </cell>
          <cell r="D139" t="str">
            <v>G6</v>
          </cell>
        </row>
        <row r="140">
          <cell r="B140" t="str">
            <v>TLPC</v>
          </cell>
          <cell r="C140" t="str">
            <v>주철주조부</v>
          </cell>
          <cell r="D140" t="str">
            <v>G6</v>
          </cell>
        </row>
        <row r="141">
          <cell r="B141" t="str">
            <v>TLPD</v>
          </cell>
          <cell r="C141" t="str">
            <v>경합금주조부</v>
          </cell>
          <cell r="D141" t="str">
            <v>G6</v>
          </cell>
        </row>
        <row r="142">
          <cell r="B142" t="str">
            <v>TLPE</v>
          </cell>
          <cell r="C142" t="str">
            <v>단조부</v>
          </cell>
          <cell r="D142" t="str">
            <v>G6</v>
          </cell>
        </row>
        <row r="143">
          <cell r="B143" t="str">
            <v>TLPF</v>
          </cell>
          <cell r="C143" t="str">
            <v>소재보전부</v>
          </cell>
          <cell r="D143" t="str">
            <v>G6</v>
          </cell>
        </row>
        <row r="144">
          <cell r="B144" t="str">
            <v>TLPG</v>
          </cell>
          <cell r="C144" t="str">
            <v>소재품질관리부</v>
          </cell>
          <cell r="D144" t="str">
            <v>G6</v>
          </cell>
        </row>
        <row r="145">
          <cell r="B145" t="str">
            <v>TLPH</v>
          </cell>
          <cell r="C145" t="str">
            <v>소재기술팀</v>
          </cell>
          <cell r="D145" t="str">
            <v>G6</v>
          </cell>
        </row>
        <row r="146">
          <cell r="B146" t="str">
            <v>TLPJ</v>
          </cell>
          <cell r="C146" t="str">
            <v>소재금형부</v>
          </cell>
          <cell r="D146" t="str">
            <v>G6</v>
          </cell>
        </row>
        <row r="147">
          <cell r="B147" t="str">
            <v>TLRA</v>
          </cell>
          <cell r="C147" t="str">
            <v>시트생산관리부</v>
          </cell>
          <cell r="D147" t="str">
            <v>G7</v>
          </cell>
        </row>
        <row r="148">
          <cell r="B148" t="str">
            <v>TLRB</v>
          </cell>
          <cell r="C148" t="str">
            <v>시트생산기술부</v>
          </cell>
          <cell r="D148" t="str">
            <v>G7</v>
          </cell>
        </row>
        <row r="149">
          <cell r="B149" t="str">
            <v>TLRC</v>
          </cell>
          <cell r="C149" t="str">
            <v>시트１부</v>
          </cell>
          <cell r="D149" t="str">
            <v>G7</v>
          </cell>
        </row>
        <row r="150">
          <cell r="B150" t="str">
            <v>TLRD</v>
          </cell>
          <cell r="C150" t="str">
            <v>시트２부</v>
          </cell>
          <cell r="D150" t="str">
            <v>G7</v>
          </cell>
        </row>
        <row r="151">
          <cell r="B151" t="str">
            <v>TLRE</v>
          </cell>
          <cell r="C151" t="str">
            <v>시트품질관리부</v>
          </cell>
          <cell r="D151" t="str">
            <v>G7</v>
          </cell>
        </row>
        <row r="152">
          <cell r="B152" t="str">
            <v>TLRF</v>
          </cell>
          <cell r="C152" t="str">
            <v>시트설계부</v>
          </cell>
          <cell r="D152" t="str">
            <v>S5</v>
          </cell>
        </row>
        <row r="153">
          <cell r="B153" t="str">
            <v>TM**</v>
          </cell>
          <cell r="C153" t="str">
            <v>전주공장</v>
          </cell>
        </row>
        <row r="154">
          <cell r="B154" t="str">
            <v>TMBA</v>
          </cell>
          <cell r="C154" t="str">
            <v>상용생산관리부</v>
          </cell>
          <cell r="D154" t="str">
            <v>G8</v>
          </cell>
        </row>
        <row r="155">
          <cell r="B155" t="str">
            <v>TMBB</v>
          </cell>
          <cell r="C155" t="str">
            <v>버스부</v>
          </cell>
          <cell r="D155" t="str">
            <v>G8</v>
          </cell>
        </row>
        <row r="156">
          <cell r="B156" t="str">
            <v>TMBC</v>
          </cell>
          <cell r="C156" t="str">
            <v>트럭부</v>
          </cell>
          <cell r="D156" t="str">
            <v>G8</v>
          </cell>
        </row>
        <row r="157">
          <cell r="B157" t="str">
            <v>TMBD</v>
          </cell>
          <cell r="C157" t="str">
            <v>상용엔진부</v>
          </cell>
          <cell r="D157" t="str">
            <v>G8</v>
          </cell>
        </row>
        <row r="158">
          <cell r="B158" t="str">
            <v>TMBE</v>
          </cell>
          <cell r="C158" t="str">
            <v>상용보전부</v>
          </cell>
          <cell r="D158" t="str">
            <v>G8</v>
          </cell>
        </row>
        <row r="159">
          <cell r="B159" t="str">
            <v>TMBF</v>
          </cell>
          <cell r="C159" t="str">
            <v>상용품질관리부</v>
          </cell>
          <cell r="D159" t="str">
            <v>G8</v>
          </cell>
        </row>
        <row r="160">
          <cell r="B160" t="str">
            <v>TN**</v>
          </cell>
          <cell r="C160" t="str">
            <v>아산공장</v>
          </cell>
        </row>
        <row r="161">
          <cell r="B161" t="str">
            <v>TNBA</v>
          </cell>
          <cell r="C161" t="str">
            <v>아산생산관리부</v>
          </cell>
          <cell r="D161" t="str">
            <v>G9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99 조정수량"/>
      <sheetName val="99 조정금액"/>
      <sheetName val="종합"/>
      <sheetName val="99 조정금액 (2)"/>
      <sheetName val="공제"/>
      <sheetName val="생산계획 (2)"/>
      <sheetName val="계열사현황종합"/>
      <sheetName val="#REF"/>
      <sheetName val="부서CODE"/>
      <sheetName val="CR CODE"/>
      <sheetName val="THEME CODE"/>
      <sheetName val="상품매출"/>
      <sheetName val="재고 "/>
      <sheetName val="HEAD"/>
      <sheetName val="99년계획(최종)"/>
      <sheetName val="Macro1"/>
      <sheetName val="문서처리전"/>
    </sheetNames>
    <sheetDataSet>
      <sheetData sheetId="0" refreshError="1"/>
      <sheetData sheetId="1" refreshError="1"/>
      <sheetData sheetId="2" refreshError="1">
        <row r="13">
          <cell r="AB13">
            <v>9.9996207034657059E-2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가격표"/>
      <sheetName val="관리계획서 "/>
      <sheetName val="96599872 Action Form "/>
      <sheetName val="96599991 Action Form (1)"/>
      <sheetName val="간이연락"/>
      <sheetName val="Assumption"/>
      <sheetName val="99 조정금액"/>
      <sheetName val="원가"/>
      <sheetName val="Fan_Motor(가공비)"/>
      <sheetName val="간이2"/>
      <sheetName val="TCA"/>
      <sheetName val="3.일반사상"/>
      <sheetName val="구동"/>
      <sheetName val="환율"/>
      <sheetName val="조명율표"/>
      <sheetName val="10월인원계획"/>
      <sheetName val="일위산출근거"/>
      <sheetName val="요율"/>
      <sheetName val="입력정보"/>
      <sheetName val="직재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96"/>
      <sheetName val="작성양식"/>
      <sheetName val="직원신상"/>
      <sheetName val="가격표"/>
      <sheetName val="59130-25200"/>
      <sheetName val="신규DEP"/>
      <sheetName val="존4"/>
      <sheetName val="ML"/>
      <sheetName val="부서CODE"/>
      <sheetName val="CR CODE"/>
      <sheetName val="THEME CODE"/>
      <sheetName val="2-2. 구체자재 직도보급현황"/>
      <sheetName val="XGPROD"/>
      <sheetName val="2월"/>
      <sheetName val="진급관련DATA"/>
      <sheetName val="Macro1"/>
      <sheetName val="구동"/>
      <sheetName val="鞤원신상"/>
      <sheetName val="이익"/>
      <sheetName val="참고"/>
      <sheetName val="사양"/>
      <sheetName val="대외공문"/>
      <sheetName val="Sheet3"/>
      <sheetName val="Sheet1"/>
      <sheetName val="통합data"/>
      <sheetName val="FUEL FILLER"/>
      <sheetName val="BND"/>
      <sheetName val="ORIGIN"/>
      <sheetName val="미결업무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변수약"/>
      <sheetName val="변수총"/>
      <sheetName val="간접약"/>
      <sheetName val="간접총"/>
      <sheetName val="상관분석"/>
      <sheetName val="판관공통"/>
      <sheetName val="경비공통"/>
      <sheetName val="96"/>
      <sheetName val="99 조정금액"/>
      <sheetName val="#REF"/>
      <sheetName val="계열사현황종합"/>
      <sheetName val="EQ"/>
      <sheetName val="외화수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ERMA"/>
      <sheetName val="LIST9"/>
      <sheetName val="LIST8"/>
      <sheetName val="부서현황"/>
      <sheetName val="Sheet2"/>
      <sheetName val="LIST5"/>
      <sheetName val="완료보고"/>
      <sheetName val="전체현황"/>
      <sheetName val="CVT산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선수금"/>
      <sheetName val="CVT산정"/>
      <sheetName val="부서현황"/>
      <sheetName val="BASIC (2)"/>
      <sheetName val="LIST9"/>
      <sheetName val="전체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전장품(관리용)"/>
      <sheetName val="Master List"/>
      <sheetName val="물량산출용"/>
      <sheetName val="회로도(관리용)"/>
      <sheetName val="#REF"/>
      <sheetName val="표지"/>
      <sheetName val="종합"/>
      <sheetName val="분석1"/>
      <sheetName val="분석2"/>
      <sheetName val="별첨1. CASE A LAYOUT"/>
      <sheetName val="별첨2. CASE B LAYOUT (2)"/>
      <sheetName val="별첨3.흐름도"/>
      <sheetName val="목차"/>
      <sheetName val="선급금"/>
      <sheetName val="받을어음1"/>
      <sheetName val="투자유가증권"/>
      <sheetName val="임차보증금"/>
      <sheetName val="기타투자자산"/>
      <sheetName val="선수금"/>
      <sheetName val="지급어음"/>
      <sheetName val="차입금1"/>
      <sheetName val="가지급, 가수금"/>
      <sheetName val="잡이익,잡손실"/>
      <sheetName val="미수채권"/>
      <sheetName val="미수채권(의왕공장)"/>
      <sheetName val="미수채권(창원공장)"/>
      <sheetName val="▶미지급채무"/>
      <sheetName val="표지 (3)"/>
      <sheetName val="보고(총괄)"/>
      <sheetName val="보고(상세)"/>
      <sheetName val="Sheet2"/>
      <sheetName val="보고(1)"/>
      <sheetName val="보고(2)"/>
      <sheetName val="Sheet3"/>
      <sheetName val="전장품_관리용_"/>
      <sheetName val="SENDDWG2"/>
      <sheetName val="회로내역(승인)"/>
      <sheetName val="Sheet1"/>
      <sheetName val="물가자료"/>
      <sheetName val="환율"/>
      <sheetName val="VXXXXX"/>
      <sheetName val="탑승교-절단"/>
      <sheetName val="탑승교-형강"/>
      <sheetName val="계열사현황종합"/>
      <sheetName val="분석mast"/>
      <sheetName val="5월16(처)"/>
      <sheetName val="Soha_d"/>
      <sheetName val="집계표"/>
      <sheetName val="총괄표"/>
      <sheetName val="DB Server"/>
      <sheetName val="KR&amp;BOF Server"/>
      <sheetName val="LF&amp;RHTOB Server"/>
      <sheetName val="Storage&amp;SAN&amp;BACKUP"/>
      <sheetName val="Alarm&amp;Trend Server"/>
      <sheetName val="HMI Server &amp; HMI"/>
      <sheetName val="Network 장비"/>
      <sheetName val="Rack"/>
      <sheetName val="Tran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FO원단위"/>
      <sheetName val="전장품(관리용)"/>
      <sheetName val="공수(FWD)"/>
      <sheetName val="공수(RWD) "/>
      <sheetName val="명세서"/>
      <sheetName val="CLMN자료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교육계획"/>
      <sheetName val="교육계획2"/>
      <sheetName val="FO원단위"/>
      <sheetName val="회로내역(승인)"/>
      <sheetName val="전장품(관리용)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OPT손익 내수"/>
      <sheetName val="OPT손익 수출"/>
      <sheetName val="표지"/>
      <sheetName val="LZ RR BUSH"/>
      <sheetName val="1.개선이력"/>
      <sheetName val="2-1.현상"/>
      <sheetName val="RO분석"/>
      <sheetName val="ppcarpet"/>
      <sheetName val="T진도"/>
      <sheetName val="내수1.8GL"/>
      <sheetName val="분석mast"/>
      <sheetName val="원단위 1계 2계"/>
      <sheetName val="BAL(이력관리)"/>
      <sheetName val="Sheet1"/>
      <sheetName val="Tiburon"/>
      <sheetName val="신고서.전"/>
      <sheetName val="매도안"/>
      <sheetName val="품의서"/>
      <sheetName val="#REF"/>
      <sheetName val="2차-PROTO-(1)"/>
      <sheetName val="Book1"/>
      <sheetName val="전체현황"/>
      <sheetName val="INDIA-ML"/>
      <sheetName val="존4"/>
      <sheetName val="2.대외공문"/>
      <sheetName val="검사성적서(갑)"/>
      <sheetName val="PC%계산"/>
      <sheetName val="정산내역"/>
      <sheetName val="직원신상"/>
      <sheetName val="계산정보"/>
      <sheetName val="입력laser"/>
      <sheetName val="0 절삭조건"/>
      <sheetName val="기안"/>
      <sheetName val="CAUDIT"/>
      <sheetName val="major"/>
      <sheetName val="Sheet5"/>
      <sheetName val="Sheet6 (3)"/>
      <sheetName val="FO원단위"/>
      <sheetName val="일반"/>
      <sheetName val="견적LIST"/>
      <sheetName val="ss"/>
      <sheetName val="CODE"/>
      <sheetName val="인원부하"/>
      <sheetName val="64164"/>
      <sheetName val="해외생산"/>
      <sheetName val="94B"/>
      <sheetName val="CVT산정"/>
      <sheetName val="내구품질향상1"/>
      <sheetName val="to Carlyle 0825"/>
      <sheetName val="Cost Rate"/>
      <sheetName val="Process Rate"/>
      <sheetName val="Flags"/>
      <sheetName val="Tables"/>
      <sheetName val="Sales_1"/>
      <sheetName val="Tbom-tot"/>
      <sheetName val="실적(Q11)"/>
      <sheetName val="예산(Q11)"/>
      <sheetName val="PAKAGE4362"/>
      <sheetName val="A000"/>
      <sheetName val="공문"/>
      <sheetName val="ORIGIN"/>
      <sheetName val="A-A"/>
      <sheetName val="차수"/>
      <sheetName val="완성차 미수금"/>
      <sheetName val="CLM-MP"/>
      <sheetName val="투자-국내2"/>
      <sheetName val="DH BS 03"/>
      <sheetName val="주행"/>
      <sheetName val="DATA"/>
      <sheetName val="Income Statement"/>
      <sheetName val="입력lacer"/>
      <sheetName val="전장품(관리용)"/>
      <sheetName val="Definitions"/>
      <sheetName val="지사"/>
      <sheetName val="세부"/>
      <sheetName val="제조부문배부"/>
      <sheetName val="회수1"/>
      <sheetName val="Dbase"/>
      <sheetName val="작성양식"/>
      <sheetName val="뒤차축소"/>
      <sheetName val="HP1AMLIST"/>
      <sheetName val="ITB COS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원97"/>
      <sheetName val="업무"/>
      <sheetName val="R&amp;D"/>
      <sheetName val="Macro1"/>
      <sheetName val="RD제품개발투자비(매가)"/>
      <sheetName val="2.대외공문"/>
      <sheetName val="환율"/>
      <sheetName val="B"/>
      <sheetName val="cv"/>
      <sheetName val="원본명단"/>
      <sheetName val="OPT손익 내수"/>
      <sheetName val="OPT손익 수출"/>
      <sheetName val="ratios"/>
      <sheetName val="ppcarp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RDLEVLST"/>
      <sheetName val="원97"/>
      <sheetName val="DWPM"/>
      <sheetName val="수출"/>
      <sheetName val="부품LIST"/>
      <sheetName val="환율표"/>
      <sheetName val="업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인원"/>
      <sheetName val="절감현황 (1)"/>
      <sheetName val="절감현황 (2)"/>
      <sheetName val="자체교육"/>
      <sheetName val="업체교육"/>
      <sheetName val="원가교육"/>
      <sheetName val="계산일정"/>
      <sheetName val="원가계산"/>
      <sheetName val="CTABLE"/>
      <sheetName val="Sheet1"/>
      <sheetName val="Sheet2"/>
      <sheetName val="Sheet3"/>
      <sheetName val="#REF"/>
      <sheetName val="RDLEVLST"/>
      <sheetName val="원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인원계획"/>
      <sheetName val="개발부문 좌석배치"/>
      <sheetName val="개인별 주업무"/>
      <sheetName val="업무보고표지"/>
      <sheetName val="사업계획표지"/>
      <sheetName val="사업계획목차 "/>
      <sheetName val="부품원가관리팀조직"/>
      <sheetName val="매크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품-(주)코①"/>
      <sheetName val="인원계획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전체현황"/>
      <sheetName val="부집계"/>
      <sheetName val="laroux"/>
      <sheetName val="일정"/>
      <sheetName val="FLOW (3)"/>
      <sheetName val="직 (2)"/>
      <sheetName val="품질실"/>
      <sheetName val="가동"/>
      <sheetName val="상벌즉시"/>
      <sheetName val="품-(주)코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PILOT품"/>
      <sheetName val="금형품의서"/>
      <sheetName val="M96현황-동아"/>
      <sheetName val="전체현황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재1(840_$)"/>
      <sheetName val="재1(840_$)이월"/>
      <sheetName val="재2(840_$)"/>
      <sheetName val="입고환차96"/>
      <sheetName val="재료비96"/>
      <sheetName val="이후sheet는 과거자료임"/>
      <sheetName val="재1"/>
      <sheetName val="CVT산정"/>
      <sheetName val="Assumptions"/>
      <sheetName val="전체현황"/>
      <sheetName val="경비공통"/>
      <sheetName val="CALENDAR"/>
      <sheetName val="96"/>
      <sheetName val="환율적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주소(한문)"/>
      <sheetName val="재1"/>
      <sheetName val="96"/>
      <sheetName val="626TD(COLOR)"/>
      <sheetName val="QC조직도"/>
      <sheetName val="기술연구실조직도"/>
      <sheetName val="Sheet1"/>
      <sheetName val="Sheet2"/>
      <sheetName val="Sheet3"/>
      <sheetName val="CVT산정"/>
      <sheetName val="626TD"/>
      <sheetName val="직원신상"/>
      <sheetName val="단가"/>
      <sheetName val="작성양식"/>
      <sheetName val="RD제품개발투자비(매가)"/>
      <sheetName val="FWS P-1"/>
      <sheetName val="FWS P-2"/>
      <sheetName val="CFLOW"/>
      <sheetName val="#REF"/>
      <sheetName val="이종서CR자료"/>
      <sheetName val="전체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재1"/>
    </sheet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간이연락"/>
      <sheetName val="주소(한문)"/>
      <sheetName val="TCA"/>
      <sheetName val="공문22"/>
      <sheetName val="#REF"/>
      <sheetName val="차수"/>
      <sheetName val="PN_ORDER"/>
      <sheetName val="기안"/>
      <sheetName val="품의양"/>
      <sheetName val="MC&amp;다변화"/>
      <sheetName val="BUS제원1"/>
      <sheetName val="RD제품개발투자비(매가)"/>
      <sheetName val="2.대외공문"/>
      <sheetName val="64164"/>
      <sheetName val="B053 (990701)공정실적PP%계산"/>
      <sheetName val="OM600"/>
      <sheetName val="작성양식"/>
      <sheetName val="직원신상"/>
      <sheetName val="수량산출"/>
      <sheetName val="CAUDIT"/>
      <sheetName val="1.변경범위"/>
      <sheetName val="선반OPT"/>
      <sheetName val="PILOT품"/>
      <sheetName val="M96현황-동아"/>
      <sheetName val="시산표"/>
      <sheetName val="외주현황.wq1"/>
      <sheetName val="데이타"/>
      <sheetName val="DATA"/>
      <sheetName val="N10(미지급)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소유주(원)"/>
      <sheetName val="주소(한문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LXLIST1"/>
      <sheetName val="LXCR3%(9801)"/>
      <sheetName val="PILOT품"/>
      <sheetName val="M96현황-동아"/>
      <sheetName val="공통(20-91)"/>
      <sheetName val="Definition"/>
      <sheetName val="원97"/>
      <sheetName val="계산DATA입력"/>
      <sheetName val="MC&amp;다변화"/>
      <sheetName val="첨부2"/>
      <sheetName val="PN_ORDER"/>
      <sheetName val="so-021"/>
      <sheetName val="소유주(원)"/>
    </sheetNames>
    <definedNames>
      <definedName name="Line132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GRACE"/>
      <sheetName val="LXLIST1"/>
      <sheetName val="원가통보"/>
    </sheetNames>
    <sheetDataSet>
      <sheetData sheetId="0"/>
      <sheetData sheetId="1" refreshError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그래프1수정"/>
      <sheetName val="그래프2수정"/>
      <sheetName val="종합현황 (1)"/>
      <sheetName val="종합현황(2)"/>
      <sheetName val="자료2-1"/>
      <sheetName val="자료2-2"/>
      <sheetName val="자료2-2 -1"/>
      <sheetName val="자료2-2-2-3"/>
      <sheetName val="자료2-2-4 "/>
      <sheetName val="HMC"/>
      <sheetName val="2-2-2(KMC)"/>
      <sheetName val="자료2-3 "/>
      <sheetName val="자료2-3 첨부"/>
      <sheetName val="자료3-1"/>
      <sheetName val="자료3-2"/>
      <sheetName val="자료3-3"/>
      <sheetName val="4.물류비"/>
      <sheetName val="자료4-2"/>
      <sheetName val="자료4-3"/>
      <sheetName val="자료4-4  "/>
      <sheetName val="자료4-5"/>
      <sheetName val="자료5-1"/>
      <sheetName val="자료5-1첨부"/>
      <sheetName val="자료5-2"/>
      <sheetName val="자료5-3"/>
      <sheetName val="자료5-4"/>
      <sheetName val="자료6-1"/>
      <sheetName val="자료6-2  (수정)"/>
      <sheetName val="자료6-3 (2)"/>
      <sheetName val="자료7"/>
      <sheetName val="자료8-1"/>
      <sheetName val="자료8 -2"/>
      <sheetName val="자료8 (3)"/>
      <sheetName val="전체현황"/>
      <sheetName val="GRACE"/>
      <sheetName val="87만(lLINE운영2-27)"/>
      <sheetName val="LXLI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-A"/>
      <sheetName val="GRACE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내수1.8GL"/>
      <sheetName val="최종 (2)"/>
      <sheetName val="Sheet1"/>
      <sheetName val="Sheet2"/>
      <sheetName val="Sheet3"/>
      <sheetName val="BRAKE"/>
      <sheetName val="RD제품개발투자비(매가)"/>
      <sheetName val="A-A"/>
      <sheetName val="비교원RD-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금임율"/>
      <sheetName val="완료"/>
      <sheetName val="Sheet1"/>
      <sheetName val="1.기안지원본"/>
      <sheetName val="2.대외공문"/>
      <sheetName val="내수1.8GL"/>
      <sheetName val="RD제품개발투자비(매가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2_대외공문"/>
      <sheetName val="내수1.8GL"/>
      <sheetName val="000 김양섭 O"/>
      <sheetName val="개인별장비관리"/>
      <sheetName val="301  금성근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직원신상"/>
      <sheetName val="2.대외공문"/>
      <sheetName val="구동"/>
      <sheetName val="PC Master List"/>
      <sheetName val="MX628EX"/>
      <sheetName val="RD제품개발투자비(매가)"/>
      <sheetName val="DATA"/>
      <sheetName val="64164"/>
      <sheetName val="내수1.8GL"/>
      <sheetName val="11"/>
      <sheetName val="실적(Q11)"/>
      <sheetName val="예산(Q11)"/>
      <sheetName val="LENS-RED-INNER"/>
      <sheetName val="WCR_R160"/>
      <sheetName val="Sheet1"/>
      <sheetName val="비교원RD-S"/>
      <sheetName val="A-100전제"/>
      <sheetName val="자가2급"/>
      <sheetName val="125PIECE"/>
      <sheetName val="계산정보"/>
      <sheetName val="Quote Summary"/>
      <sheetName val="작업명"/>
      <sheetName val="CAUDIT"/>
      <sheetName val="원가배분(재료비)"/>
      <sheetName val="원가배분(기타가공비)"/>
      <sheetName val="재공수불부"/>
      <sheetName val="제품수불부"/>
      <sheetName val="중국발송부자재 합계"/>
      <sheetName val="BRAKE"/>
      <sheetName val="9806-99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환율"/>
      <sheetName val="직원신상"/>
      <sheetName val="2.대외공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환율"/>
      <sheetName val="직원신상"/>
    </sheetNames>
    <sheetDataSet>
      <sheetData sheetId="0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CLMN자료"/>
      <sheetName val="2.대외공문"/>
      <sheetName val="환율"/>
    </sheetNames>
    <sheetDataSet>
      <sheetData sheetId="0"/>
      <sheetData sheetId="1" refreshError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CLMN자료"/>
      <sheetName val="계산DATA입력"/>
      <sheetName val="환율"/>
      <sheetName val="단중표-ST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X3"/>
      <sheetName val="2.대외공문"/>
      <sheetName val="EF (2)"/>
      <sheetName val="f-lift (2)"/>
      <sheetName val="XG (2)"/>
      <sheetName val="MS (2)"/>
      <sheetName val="B-cush"/>
      <sheetName val="B-back"/>
      <sheetName val="B-back top"/>
      <sheetName val="B-taxi"/>
      <sheetName val="B-ICS,RH"/>
      <sheetName val="B-side"/>
      <sheetName val="B-SPLIT"/>
      <sheetName val="B-SPLIT ICS,LH"/>
      <sheetName val="FRT PART"/>
      <sheetName val="외주기준"/>
      <sheetName val="F-LIFT"/>
      <sheetName val="XG"/>
      <sheetName val="MS"/>
      <sheetName val="EF"/>
      <sheetName val="Sheet2"/>
      <sheetName val="Sheet3"/>
      <sheetName val="LXLIST1"/>
      <sheetName val="GRACE"/>
      <sheetName val="M1master"/>
      <sheetName val="2"/>
      <sheetName val="우스끼"/>
      <sheetName val="MC&amp;다변화"/>
      <sheetName val="5-2"/>
      <sheetName val="직원신상"/>
      <sheetName val="PROCEDURE LIST"/>
      <sheetName val="X3CR12%(9712)"/>
      <sheetName val="양식"/>
      <sheetName val="CLMN자료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X49"/>
  <sheetViews>
    <sheetView showZeros="0" tabSelected="1" workbookViewId="0">
      <selection activeCell="H3" sqref="H3:I3"/>
    </sheetView>
  </sheetViews>
  <sheetFormatPr defaultColWidth="8" defaultRowHeight="13.5"/>
  <cols>
    <col min="1" max="1" width="5.125" style="3" customWidth="1"/>
    <col min="2" max="2" width="10.25" style="3" customWidth="1"/>
    <col min="3" max="3" width="39.375" style="3" bestFit="1" customWidth="1"/>
    <col min="4" max="4" width="4.375" style="157" hidden="1" customWidth="1"/>
    <col min="5" max="5" width="4.375" style="3" hidden="1" customWidth="1"/>
    <col min="6" max="6" width="11.25" style="157" hidden="1" customWidth="1"/>
    <col min="7" max="7" width="11.25" style="17" customWidth="1"/>
    <col min="8" max="8" width="15" style="3" bestFit="1" customWidth="1"/>
    <col min="9" max="9" width="13.125" style="3" bestFit="1" customWidth="1"/>
    <col min="10" max="10" width="7.625" style="157" hidden="1" customWidth="1"/>
    <col min="11" max="11" width="6.5" style="3" customWidth="1"/>
    <col min="12" max="12" width="11.625" style="3" bestFit="1" customWidth="1"/>
    <col min="13" max="13" width="7.5" style="3" bestFit="1" customWidth="1"/>
    <col min="14" max="14" width="11.625" style="3" bestFit="1" customWidth="1"/>
    <col min="15" max="15" width="15" style="3" bestFit="1" customWidth="1"/>
    <col min="16" max="16" width="11.625" style="3" customWidth="1"/>
    <col min="17" max="18" width="15" style="3" bestFit="1" customWidth="1"/>
    <col min="19" max="19" width="15" style="17" hidden="1" customWidth="1"/>
    <col min="20" max="20" width="13.625" style="3" customWidth="1"/>
    <col min="21" max="21" width="26.625" style="3" customWidth="1"/>
    <col min="22" max="23" width="8" style="3" customWidth="1"/>
    <col min="24" max="24" width="16.25" style="3" bestFit="1" customWidth="1"/>
    <col min="25" max="16384" width="8" style="3"/>
  </cols>
  <sheetData>
    <row r="1" spans="1:21" ht="57.75" customHeight="1" thickBot="1">
      <c r="A1" s="1"/>
      <c r="B1" s="1"/>
      <c r="C1" s="1"/>
      <c r="D1" s="2"/>
      <c r="E1" s="1"/>
      <c r="F1" s="2"/>
      <c r="G1" s="165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65"/>
      <c r="T1" s="1"/>
      <c r="U1" s="1"/>
    </row>
    <row r="2" spans="1:21" s="17" customFormat="1" ht="24.75" customHeight="1">
      <c r="A2" s="4" t="s">
        <v>0</v>
      </c>
      <c r="B2" s="5"/>
      <c r="C2" s="6"/>
      <c r="D2" s="7" t="s">
        <v>1</v>
      </c>
      <c r="E2" s="8"/>
      <c r="F2" s="9"/>
      <c r="G2" s="8"/>
      <c r="H2" s="10" t="s">
        <v>2</v>
      </c>
      <c r="I2" s="11" t="s">
        <v>76</v>
      </c>
      <c r="J2" s="12"/>
      <c r="K2" s="12"/>
      <c r="L2" s="12"/>
      <c r="M2" s="12"/>
      <c r="N2" s="12"/>
      <c r="O2" s="13"/>
      <c r="P2" s="10" t="s">
        <v>3</v>
      </c>
      <c r="Q2" s="14" t="s">
        <v>4</v>
      </c>
      <c r="R2" s="10" t="s">
        <v>5</v>
      </c>
      <c r="S2" s="169"/>
      <c r="T2" s="15" t="s">
        <v>6</v>
      </c>
      <c r="U2" s="16"/>
    </row>
    <row r="3" spans="1:21" s="17" customFormat="1" ht="24.75" customHeight="1">
      <c r="A3" s="18" t="s">
        <v>7</v>
      </c>
      <c r="B3" s="19" t="s">
        <v>8</v>
      </c>
      <c r="C3" s="20"/>
      <c r="D3" s="21"/>
      <c r="E3" s="22" t="s">
        <v>9</v>
      </c>
      <c r="F3" s="23"/>
      <c r="G3" s="22" t="s">
        <v>74</v>
      </c>
      <c r="H3" s="24" t="s">
        <v>10</v>
      </c>
      <c r="I3" s="25"/>
      <c r="J3" s="26"/>
      <c r="K3" s="19" t="s">
        <v>11</v>
      </c>
      <c r="L3" s="20"/>
      <c r="M3" s="19" t="s">
        <v>12</v>
      </c>
      <c r="N3" s="20"/>
      <c r="O3" s="27" t="s">
        <v>13</v>
      </c>
      <c r="P3" s="28" t="s">
        <v>14</v>
      </c>
      <c r="Q3" s="29" t="s">
        <v>15</v>
      </c>
      <c r="R3" s="29" t="s">
        <v>16</v>
      </c>
      <c r="S3" s="29"/>
      <c r="T3" s="30" t="s">
        <v>17</v>
      </c>
      <c r="U3" s="31" t="s">
        <v>18</v>
      </c>
    </row>
    <row r="4" spans="1:21" s="17" customFormat="1" ht="24.75" customHeight="1" thickBot="1">
      <c r="A4" s="32"/>
      <c r="B4" s="33" t="s">
        <v>19</v>
      </c>
      <c r="C4" s="33" t="s">
        <v>8</v>
      </c>
      <c r="D4" s="34"/>
      <c r="E4" s="35"/>
      <c r="F4" s="36"/>
      <c r="G4" s="35"/>
      <c r="H4" s="37" t="s">
        <v>20</v>
      </c>
      <c r="I4" s="37" t="s">
        <v>21</v>
      </c>
      <c r="J4" s="38"/>
      <c r="K4" s="37" t="s">
        <v>22</v>
      </c>
      <c r="L4" s="37" t="s">
        <v>23</v>
      </c>
      <c r="M4" s="37" t="s">
        <v>21</v>
      </c>
      <c r="N4" s="33" t="s">
        <v>24</v>
      </c>
      <c r="O4" s="39"/>
      <c r="P4" s="40">
        <f>Q31</f>
        <v>0.12</v>
      </c>
      <c r="Q4" s="35" t="s">
        <v>25</v>
      </c>
      <c r="R4" s="41" t="s">
        <v>26</v>
      </c>
      <c r="S4" s="41"/>
      <c r="T4" s="42"/>
      <c r="U4" s="43"/>
    </row>
    <row r="5" spans="1:21" s="17" customFormat="1" ht="24.95" customHeight="1">
      <c r="A5" s="44">
        <v>1</v>
      </c>
      <c r="B5" s="45">
        <v>10007310</v>
      </c>
      <c r="C5" s="46" t="s">
        <v>27</v>
      </c>
      <c r="D5" s="47">
        <v>1</v>
      </c>
      <c r="E5" s="47">
        <v>10</v>
      </c>
      <c r="F5" s="48">
        <f>[1]FDI!H22</f>
        <v>2100331</v>
      </c>
      <c r="G5" s="48">
        <f>E5/10</f>
        <v>1</v>
      </c>
      <c r="H5" s="48">
        <f>F5*G5</f>
        <v>2100331</v>
      </c>
      <c r="I5" s="49">
        <f t="shared" ref="I5:I24" si="0">IF(ISERROR(H5/T5),"0",(H5/T5))</f>
        <v>0.82044179687499996</v>
      </c>
      <c r="J5" s="50">
        <v>4.5</v>
      </c>
      <c r="K5" s="50">
        <v>0</v>
      </c>
      <c r="L5" s="51"/>
      <c r="M5" s="52">
        <f t="shared" ref="M5:M28" si="1">IF(ISERROR(N5/T5),"0",(N5/T5))</f>
        <v>0</v>
      </c>
      <c r="N5" s="48">
        <f t="shared" ref="N5:N24" si="2">K5*$Q$33</f>
        <v>0</v>
      </c>
      <c r="O5" s="51">
        <f t="shared" ref="O5:O24" si="3">H5+L5+N5</f>
        <v>2100331</v>
      </c>
      <c r="P5" s="51">
        <f t="shared" ref="P5:P24" si="4">O5*$Q$31</f>
        <v>252039.72</v>
      </c>
      <c r="Q5" s="51">
        <f t="shared" ref="Q5:Q24" si="5">O5+P5</f>
        <v>2352370.7200000002</v>
      </c>
      <c r="R5" s="53">
        <f t="shared" ref="R5:R24" si="6">T5-Q5</f>
        <v>207629.2799999998</v>
      </c>
      <c r="S5" s="54">
        <v>2560000</v>
      </c>
      <c r="T5" s="54">
        <f>S5*G5</f>
        <v>2560000</v>
      </c>
      <c r="U5" s="55" t="s">
        <v>75</v>
      </c>
    </row>
    <row r="6" spans="1:21" s="17" customFormat="1" ht="24.95" customHeight="1">
      <c r="A6" s="56">
        <v>2</v>
      </c>
      <c r="B6" s="45">
        <v>10007311</v>
      </c>
      <c r="C6" s="57" t="s">
        <v>28</v>
      </c>
      <c r="D6" s="58">
        <v>1</v>
      </c>
      <c r="E6" s="58">
        <v>40</v>
      </c>
      <c r="F6" s="51">
        <f>[1]SDI!H20</f>
        <v>1894423</v>
      </c>
      <c r="G6" s="48">
        <f t="shared" ref="G6:G12" si="7">E6/10</f>
        <v>4</v>
      </c>
      <c r="H6" s="48">
        <f t="shared" ref="H6:H24" si="8">F6*G6</f>
        <v>7577692</v>
      </c>
      <c r="I6" s="49">
        <f t="shared" si="0"/>
        <v>0.74642356185973202</v>
      </c>
      <c r="J6" s="59">
        <v>4.5</v>
      </c>
      <c r="K6" s="50">
        <v>0</v>
      </c>
      <c r="L6" s="51">
        <f t="shared" ref="L6:L24" si="9">K6*$Q$30</f>
        <v>0</v>
      </c>
      <c r="M6" s="52">
        <f t="shared" si="1"/>
        <v>0</v>
      </c>
      <c r="N6" s="48">
        <f t="shared" si="2"/>
        <v>0</v>
      </c>
      <c r="O6" s="51">
        <f t="shared" si="3"/>
        <v>7577692</v>
      </c>
      <c r="P6" s="51">
        <f t="shared" si="4"/>
        <v>909323.03999999992</v>
      </c>
      <c r="Q6" s="51">
        <f t="shared" si="5"/>
        <v>8487015.0399999991</v>
      </c>
      <c r="R6" s="53">
        <f t="shared" si="6"/>
        <v>1664984.9600000009</v>
      </c>
      <c r="S6" s="60">
        <v>2538000</v>
      </c>
      <c r="T6" s="54">
        <f t="shared" ref="T6:T26" si="10">S6*G6</f>
        <v>10152000</v>
      </c>
      <c r="U6" s="55" t="s">
        <v>75</v>
      </c>
    </row>
    <row r="7" spans="1:21" s="17" customFormat="1" ht="24.95" customHeight="1">
      <c r="A7" s="56">
        <v>3</v>
      </c>
      <c r="B7" s="61">
        <v>10007312</v>
      </c>
      <c r="C7" s="57" t="s">
        <v>29</v>
      </c>
      <c r="D7" s="58">
        <v>1</v>
      </c>
      <c r="E7" s="58">
        <v>40</v>
      </c>
      <c r="F7" s="51">
        <f>[1]PID1!H21</f>
        <v>1322180</v>
      </c>
      <c r="G7" s="48">
        <f t="shared" si="7"/>
        <v>4</v>
      </c>
      <c r="H7" s="48">
        <f t="shared" si="8"/>
        <v>5288720</v>
      </c>
      <c r="I7" s="49">
        <f t="shared" si="0"/>
        <v>0.40090357792601578</v>
      </c>
      <c r="J7" s="59">
        <v>4.5</v>
      </c>
      <c r="K7" s="50">
        <v>0</v>
      </c>
      <c r="L7" s="51" t="s">
        <v>30</v>
      </c>
      <c r="M7" s="52">
        <f t="shared" si="1"/>
        <v>0</v>
      </c>
      <c r="N7" s="48">
        <f t="shared" si="2"/>
        <v>0</v>
      </c>
      <c r="O7" s="51">
        <v>52887200</v>
      </c>
      <c r="P7" s="51">
        <f t="shared" si="4"/>
        <v>6346464</v>
      </c>
      <c r="Q7" s="51">
        <f t="shared" si="5"/>
        <v>59233664</v>
      </c>
      <c r="R7" s="53">
        <f t="shared" si="6"/>
        <v>-46041664</v>
      </c>
      <c r="S7" s="60">
        <v>3298000</v>
      </c>
      <c r="T7" s="54">
        <f t="shared" si="10"/>
        <v>13192000</v>
      </c>
      <c r="U7" s="55" t="s">
        <v>75</v>
      </c>
    </row>
    <row r="8" spans="1:21" s="17" customFormat="1" ht="24.95" customHeight="1">
      <c r="A8" s="56">
        <v>4</v>
      </c>
      <c r="B8" s="45">
        <v>10007313</v>
      </c>
      <c r="C8" s="57" t="s">
        <v>31</v>
      </c>
      <c r="D8" s="58">
        <v>1</v>
      </c>
      <c r="E8" s="58">
        <v>10</v>
      </c>
      <c r="F8" s="51">
        <f>[1]PID2!H20</f>
        <v>1418292</v>
      </c>
      <c r="G8" s="48">
        <f t="shared" si="7"/>
        <v>1</v>
      </c>
      <c r="H8" s="48">
        <f t="shared" si="8"/>
        <v>1418292</v>
      </c>
      <c r="I8" s="49">
        <f t="shared" si="0"/>
        <v>0.32641933256616801</v>
      </c>
      <c r="J8" s="59">
        <v>4.5</v>
      </c>
      <c r="K8" s="50">
        <v>0</v>
      </c>
      <c r="L8" s="51">
        <f t="shared" si="9"/>
        <v>0</v>
      </c>
      <c r="M8" s="52">
        <f t="shared" si="1"/>
        <v>0</v>
      </c>
      <c r="N8" s="48">
        <f t="shared" si="2"/>
        <v>0</v>
      </c>
      <c r="O8" s="51">
        <f t="shared" si="3"/>
        <v>1418292</v>
      </c>
      <c r="P8" s="51">
        <f t="shared" si="4"/>
        <v>170195.04</v>
      </c>
      <c r="Q8" s="51">
        <f t="shared" si="5"/>
        <v>1588487.04</v>
      </c>
      <c r="R8" s="53">
        <f t="shared" si="6"/>
        <v>2756512.96</v>
      </c>
      <c r="S8" s="60">
        <v>4345000</v>
      </c>
      <c r="T8" s="54">
        <f t="shared" si="10"/>
        <v>4345000</v>
      </c>
      <c r="U8" s="55" t="s">
        <v>75</v>
      </c>
    </row>
    <row r="9" spans="1:21" s="17" customFormat="1" ht="24.75" customHeight="1">
      <c r="A9" s="56">
        <v>5</v>
      </c>
      <c r="B9" s="45">
        <v>10007314</v>
      </c>
      <c r="C9" s="62" t="s">
        <v>32</v>
      </c>
      <c r="D9" s="58">
        <v>1</v>
      </c>
      <c r="E9" s="58">
        <v>20</v>
      </c>
      <c r="F9" s="51">
        <f>[1]PII!H22</f>
        <v>1675106</v>
      </c>
      <c r="G9" s="48">
        <f t="shared" si="7"/>
        <v>2</v>
      </c>
      <c r="H9" s="48">
        <f t="shared" si="8"/>
        <v>3350212</v>
      </c>
      <c r="I9" s="49">
        <f t="shared" si="0"/>
        <v>0.50884143377885782</v>
      </c>
      <c r="J9" s="59">
        <v>6</v>
      </c>
      <c r="K9" s="50">
        <v>0</v>
      </c>
      <c r="L9" s="51">
        <f t="shared" si="9"/>
        <v>0</v>
      </c>
      <c r="M9" s="52">
        <f t="shared" si="1"/>
        <v>0</v>
      </c>
      <c r="N9" s="48">
        <f t="shared" si="2"/>
        <v>0</v>
      </c>
      <c r="O9" s="51">
        <f t="shared" si="3"/>
        <v>3350212</v>
      </c>
      <c r="P9" s="51">
        <f t="shared" si="4"/>
        <v>402025.44</v>
      </c>
      <c r="Q9" s="51">
        <f t="shared" si="5"/>
        <v>3752237.44</v>
      </c>
      <c r="R9" s="53">
        <f t="shared" si="6"/>
        <v>2831762.56</v>
      </c>
      <c r="S9" s="60">
        <v>3292000</v>
      </c>
      <c r="T9" s="54">
        <f t="shared" si="10"/>
        <v>6584000</v>
      </c>
      <c r="U9" s="55" t="s">
        <v>75</v>
      </c>
    </row>
    <row r="10" spans="1:21" s="17" customFormat="1" ht="24.95" customHeight="1">
      <c r="A10" s="56">
        <v>6</v>
      </c>
      <c r="B10" s="45">
        <v>10007319</v>
      </c>
      <c r="C10" s="57" t="s">
        <v>33</v>
      </c>
      <c r="D10" s="58">
        <v>1</v>
      </c>
      <c r="E10" s="58">
        <v>80</v>
      </c>
      <c r="F10" s="51">
        <f>[1]ISP!H19</f>
        <v>244255</v>
      </c>
      <c r="G10" s="48">
        <f t="shared" si="7"/>
        <v>8</v>
      </c>
      <c r="H10" s="48">
        <f t="shared" si="8"/>
        <v>1954040</v>
      </c>
      <c r="I10" s="49">
        <f>IF(ISERROR(H10/T10),"0",(H10/T10))</f>
        <v>0.61063750000000006</v>
      </c>
      <c r="J10" s="59">
        <v>2</v>
      </c>
      <c r="K10" s="50">
        <v>0</v>
      </c>
      <c r="L10" s="51">
        <f t="shared" si="9"/>
        <v>0</v>
      </c>
      <c r="M10" s="52">
        <f>IF(ISERROR(N10/T10),"0",(N10/T10))</f>
        <v>0</v>
      </c>
      <c r="N10" s="48">
        <f t="shared" si="2"/>
        <v>0</v>
      </c>
      <c r="O10" s="51">
        <f>H10+L10+N10</f>
        <v>1954040</v>
      </c>
      <c r="P10" s="51">
        <f t="shared" si="4"/>
        <v>234484.8</v>
      </c>
      <c r="Q10" s="51">
        <f>O10+P10</f>
        <v>2188524.7999999998</v>
      </c>
      <c r="R10" s="53">
        <f>T10-Q10</f>
        <v>1011475.2000000002</v>
      </c>
      <c r="S10" s="60">
        <v>400000</v>
      </c>
      <c r="T10" s="54">
        <f t="shared" si="10"/>
        <v>3200000</v>
      </c>
      <c r="U10" s="55" t="s">
        <v>75</v>
      </c>
    </row>
    <row r="11" spans="1:21" s="17" customFormat="1" ht="24.95" customHeight="1">
      <c r="A11" s="56">
        <v>7</v>
      </c>
      <c r="B11" s="61">
        <v>10007320</v>
      </c>
      <c r="C11" s="57" t="s">
        <v>34</v>
      </c>
      <c r="D11" s="58">
        <v>1</v>
      </c>
      <c r="E11" s="58">
        <v>40</v>
      </c>
      <c r="F11" s="51">
        <f>[1]ESP!H17</f>
        <v>153530</v>
      </c>
      <c r="G11" s="48">
        <f t="shared" si="7"/>
        <v>4</v>
      </c>
      <c r="H11" s="48">
        <f t="shared" si="8"/>
        <v>614120</v>
      </c>
      <c r="I11" s="49">
        <f>IF(ISERROR(H11/T11),"0",(H11/T11))</f>
        <v>0.5117666666666667</v>
      </c>
      <c r="J11" s="59">
        <v>1.5</v>
      </c>
      <c r="K11" s="50">
        <v>0</v>
      </c>
      <c r="L11" s="51">
        <f t="shared" si="9"/>
        <v>0</v>
      </c>
      <c r="M11" s="52">
        <f>IF(ISERROR(N11/T11),"0",(N11/T11))</f>
        <v>0</v>
      </c>
      <c r="N11" s="48">
        <f t="shared" si="2"/>
        <v>0</v>
      </c>
      <c r="O11" s="51">
        <f>H11+L11+N11</f>
        <v>614120</v>
      </c>
      <c r="P11" s="51">
        <f t="shared" si="4"/>
        <v>73694.399999999994</v>
      </c>
      <c r="Q11" s="51">
        <f>O11+P11</f>
        <v>687814.4</v>
      </c>
      <c r="R11" s="53">
        <f>T11-Q11</f>
        <v>512185.59999999998</v>
      </c>
      <c r="S11" s="60">
        <v>300000</v>
      </c>
      <c r="T11" s="54">
        <f t="shared" si="10"/>
        <v>1200000</v>
      </c>
      <c r="U11" s="55" t="s">
        <v>75</v>
      </c>
    </row>
    <row r="12" spans="1:21" s="17" customFormat="1" ht="24.95" customHeight="1" thickBot="1">
      <c r="A12" s="63">
        <v>8</v>
      </c>
      <c r="B12" s="64">
        <v>10007324</v>
      </c>
      <c r="C12" s="65" t="s">
        <v>35</v>
      </c>
      <c r="D12" s="66">
        <v>1</v>
      </c>
      <c r="E12" s="66">
        <v>40</v>
      </c>
      <c r="F12" s="67">
        <f>[1]TRF!H18</f>
        <v>97905</v>
      </c>
      <c r="G12" s="48">
        <f t="shared" si="7"/>
        <v>4</v>
      </c>
      <c r="H12" s="48">
        <f t="shared" si="8"/>
        <v>391620</v>
      </c>
      <c r="I12" s="69">
        <f>IF(ISERROR(H12/T12),"0",(H12/T12))</f>
        <v>0.24661209068010076</v>
      </c>
      <c r="J12" s="70">
        <v>1.5</v>
      </c>
      <c r="K12" s="71">
        <v>0</v>
      </c>
      <c r="L12" s="67">
        <f t="shared" si="9"/>
        <v>0</v>
      </c>
      <c r="M12" s="72">
        <f>IF(ISERROR(N12/T12),"0",(N12/T12))</f>
        <v>0</v>
      </c>
      <c r="N12" s="68">
        <f t="shared" si="2"/>
        <v>0</v>
      </c>
      <c r="O12" s="67">
        <f>H12+L12+N12</f>
        <v>391620</v>
      </c>
      <c r="P12" s="67">
        <f t="shared" si="4"/>
        <v>46994.400000000001</v>
      </c>
      <c r="Q12" s="67">
        <f>O12+P12</f>
        <v>438614.4</v>
      </c>
      <c r="R12" s="73">
        <f>T12-Q12</f>
        <v>1149385.6000000001</v>
      </c>
      <c r="S12" s="74">
        <v>397000</v>
      </c>
      <c r="T12" s="54">
        <f t="shared" si="10"/>
        <v>1588000</v>
      </c>
      <c r="U12" s="55" t="s">
        <v>75</v>
      </c>
    </row>
    <row r="13" spans="1:21" s="17" customFormat="1" ht="24.95" customHeight="1" thickBot="1">
      <c r="A13" s="75" t="s">
        <v>36</v>
      </c>
      <c r="B13" s="76"/>
      <c r="C13" s="77"/>
      <c r="D13" s="78"/>
      <c r="E13" s="78"/>
      <c r="F13" s="79"/>
      <c r="G13" s="166"/>
      <c r="H13" s="79">
        <f>SUM(H5:H12)</f>
        <v>22695027</v>
      </c>
      <c r="I13" s="80">
        <f>H13/T13</f>
        <v>0.52999759463814489</v>
      </c>
      <c r="J13" s="81"/>
      <c r="K13" s="81"/>
      <c r="L13" s="79"/>
      <c r="M13" s="80"/>
      <c r="N13" s="79"/>
      <c r="O13" s="79">
        <f>SUM(O5:O12)</f>
        <v>70293507</v>
      </c>
      <c r="P13" s="79">
        <f>SUM(P5:P12)</f>
        <v>8435220.8399999999</v>
      </c>
      <c r="Q13" s="79">
        <f>SUM(Q5:Q12)</f>
        <v>78728727.840000018</v>
      </c>
      <c r="R13" s="82">
        <f>SUM(R5:R12)</f>
        <v>-35907727.839999989</v>
      </c>
      <c r="S13" s="170"/>
      <c r="T13" s="83">
        <f>SUM(T5:T12)</f>
        <v>42821000</v>
      </c>
      <c r="U13" s="84"/>
    </row>
    <row r="14" spans="1:21" s="17" customFormat="1" ht="24.95" customHeight="1">
      <c r="A14" s="44">
        <v>9</v>
      </c>
      <c r="B14" s="85">
        <v>10007307</v>
      </c>
      <c r="C14" s="86" t="s">
        <v>37</v>
      </c>
      <c r="D14" s="87">
        <v>1</v>
      </c>
      <c r="E14" s="47">
        <v>10</v>
      </c>
      <c r="F14" s="88">
        <f>[1]CRA!H22</f>
        <v>12947485</v>
      </c>
      <c r="G14" s="48">
        <f t="shared" ref="G14:G26" si="11">E14/10</f>
        <v>1</v>
      </c>
      <c r="H14" s="48">
        <f t="shared" si="8"/>
        <v>12947485</v>
      </c>
      <c r="I14" s="52">
        <f t="shared" si="0"/>
        <v>0.36992814285714287</v>
      </c>
      <c r="J14" s="89">
        <v>1.5</v>
      </c>
      <c r="K14" s="50">
        <f t="shared" ref="K14:K26" si="12">J14*E14</f>
        <v>15</v>
      </c>
      <c r="L14" s="48">
        <f t="shared" si="9"/>
        <v>511110</v>
      </c>
      <c r="M14" s="52">
        <f t="shared" si="1"/>
        <v>2.0738571428571429E-3</v>
      </c>
      <c r="N14" s="48">
        <f t="shared" si="2"/>
        <v>72585</v>
      </c>
      <c r="O14" s="48">
        <f t="shared" si="3"/>
        <v>13531180</v>
      </c>
      <c r="P14" s="48">
        <f t="shared" si="4"/>
        <v>1623741.5999999999</v>
      </c>
      <c r="Q14" s="48">
        <f t="shared" si="5"/>
        <v>15154921.6</v>
      </c>
      <c r="R14" s="90">
        <f t="shared" si="6"/>
        <v>19845078.399999999</v>
      </c>
      <c r="S14" s="54">
        <v>35000000</v>
      </c>
      <c r="T14" s="54">
        <f t="shared" si="10"/>
        <v>35000000</v>
      </c>
      <c r="U14" s="55"/>
    </row>
    <row r="15" spans="1:21" s="17" customFormat="1" ht="24.95" customHeight="1">
      <c r="A15" s="56">
        <v>10</v>
      </c>
      <c r="B15" s="45">
        <v>10007309</v>
      </c>
      <c r="C15" s="62" t="s">
        <v>38</v>
      </c>
      <c r="D15" s="91">
        <v>1</v>
      </c>
      <c r="E15" s="58">
        <v>10</v>
      </c>
      <c r="F15" s="92">
        <f>[1]CCP!H19</f>
        <v>2245723</v>
      </c>
      <c r="G15" s="48">
        <f t="shared" si="11"/>
        <v>1</v>
      </c>
      <c r="H15" s="48">
        <f t="shared" si="8"/>
        <v>2245723</v>
      </c>
      <c r="I15" s="49">
        <f t="shared" si="0"/>
        <v>0.97640130434782613</v>
      </c>
      <c r="J15" s="93">
        <v>3.5</v>
      </c>
      <c r="K15" s="50">
        <f t="shared" si="12"/>
        <v>35</v>
      </c>
      <c r="L15" s="51">
        <f t="shared" si="9"/>
        <v>1192590</v>
      </c>
      <c r="M15" s="52">
        <f t="shared" si="1"/>
        <v>7.3636956521739128E-2</v>
      </c>
      <c r="N15" s="48">
        <f t="shared" si="2"/>
        <v>169365</v>
      </c>
      <c r="O15" s="51">
        <f t="shared" si="3"/>
        <v>3607678</v>
      </c>
      <c r="P15" s="51">
        <f t="shared" si="4"/>
        <v>432921.36</v>
      </c>
      <c r="Q15" s="51">
        <f t="shared" si="5"/>
        <v>4040599.36</v>
      </c>
      <c r="R15" s="53">
        <f t="shared" si="6"/>
        <v>-1740599.3599999999</v>
      </c>
      <c r="S15" s="51">
        <v>2300000</v>
      </c>
      <c r="T15" s="54">
        <f t="shared" si="10"/>
        <v>2300000</v>
      </c>
      <c r="U15" s="94"/>
    </row>
    <row r="16" spans="1:21" s="17" customFormat="1" ht="24.95" customHeight="1">
      <c r="A16" s="56">
        <v>11</v>
      </c>
      <c r="B16" s="61">
        <v>10007321</v>
      </c>
      <c r="C16" s="57" t="s">
        <v>39</v>
      </c>
      <c r="D16" s="91">
        <v>1</v>
      </c>
      <c r="E16" s="58">
        <v>10</v>
      </c>
      <c r="F16" s="92">
        <f>[1]CSP!H18</f>
        <v>99250</v>
      </c>
      <c r="G16" s="48">
        <f t="shared" si="11"/>
        <v>1</v>
      </c>
      <c r="H16" s="48">
        <f t="shared" si="8"/>
        <v>99250</v>
      </c>
      <c r="I16" s="49">
        <f t="shared" si="0"/>
        <v>0.31015625000000002</v>
      </c>
      <c r="J16" s="93">
        <v>2</v>
      </c>
      <c r="K16" s="50">
        <f t="shared" si="12"/>
        <v>20</v>
      </c>
      <c r="L16" s="51">
        <f t="shared" si="9"/>
        <v>681480</v>
      </c>
      <c r="M16" s="52">
        <f t="shared" si="1"/>
        <v>0.30243750000000003</v>
      </c>
      <c r="N16" s="48">
        <f t="shared" si="2"/>
        <v>96780</v>
      </c>
      <c r="O16" s="51">
        <f t="shared" si="3"/>
        <v>877510</v>
      </c>
      <c r="P16" s="51">
        <f t="shared" si="4"/>
        <v>105301.2</v>
      </c>
      <c r="Q16" s="51">
        <f t="shared" si="5"/>
        <v>982811.2</v>
      </c>
      <c r="R16" s="53">
        <f t="shared" si="6"/>
        <v>-662811.19999999995</v>
      </c>
      <c r="S16" s="60">
        <v>320000</v>
      </c>
      <c r="T16" s="54">
        <f t="shared" si="10"/>
        <v>320000</v>
      </c>
      <c r="U16" s="94"/>
    </row>
    <row r="17" spans="1:21" s="17" customFormat="1" ht="24.95" customHeight="1">
      <c r="A17" s="56">
        <v>12</v>
      </c>
      <c r="B17" s="61">
        <v>10007322</v>
      </c>
      <c r="C17" s="57" t="s">
        <v>40</v>
      </c>
      <c r="D17" s="91">
        <v>1</v>
      </c>
      <c r="E17" s="58">
        <v>10</v>
      </c>
      <c r="F17" s="92">
        <f>[1]DMA!H15</f>
        <v>197280</v>
      </c>
      <c r="G17" s="48">
        <f t="shared" si="11"/>
        <v>1</v>
      </c>
      <c r="H17" s="48">
        <f t="shared" si="8"/>
        <v>197280</v>
      </c>
      <c r="I17" s="49">
        <f t="shared" si="0"/>
        <v>0.31819354838709679</v>
      </c>
      <c r="J17" s="93">
        <v>1.5</v>
      </c>
      <c r="K17" s="50">
        <f t="shared" si="12"/>
        <v>15</v>
      </c>
      <c r="L17" s="51">
        <f t="shared" si="9"/>
        <v>511110</v>
      </c>
      <c r="M17" s="52">
        <f t="shared" si="1"/>
        <v>0.11707258064516129</v>
      </c>
      <c r="N17" s="48">
        <f t="shared" si="2"/>
        <v>72585</v>
      </c>
      <c r="O17" s="51">
        <f t="shared" si="3"/>
        <v>780975</v>
      </c>
      <c r="P17" s="51">
        <f t="shared" si="4"/>
        <v>93717</v>
      </c>
      <c r="Q17" s="51">
        <f t="shared" si="5"/>
        <v>874692</v>
      </c>
      <c r="R17" s="53">
        <f t="shared" si="6"/>
        <v>-254692</v>
      </c>
      <c r="S17" s="60">
        <v>620000</v>
      </c>
      <c r="T17" s="54">
        <f t="shared" si="10"/>
        <v>620000</v>
      </c>
      <c r="U17" s="94"/>
    </row>
    <row r="18" spans="1:21" s="17" customFormat="1" ht="24.95" customHeight="1">
      <c r="A18" s="56">
        <v>13</v>
      </c>
      <c r="B18" s="61">
        <v>10007323</v>
      </c>
      <c r="C18" s="57" t="s">
        <v>41</v>
      </c>
      <c r="D18" s="91">
        <v>1</v>
      </c>
      <c r="E18" s="58">
        <v>20</v>
      </c>
      <c r="F18" s="92">
        <f>[1]ANSM1!H15</f>
        <v>103220</v>
      </c>
      <c r="G18" s="48">
        <f t="shared" si="11"/>
        <v>2</v>
      </c>
      <c r="H18" s="48">
        <f t="shared" si="8"/>
        <v>206440</v>
      </c>
      <c r="I18" s="49">
        <f t="shared" si="0"/>
        <v>0.16568218298555376</v>
      </c>
      <c r="J18" s="93">
        <v>1</v>
      </c>
      <c r="K18" s="50">
        <f t="shared" si="12"/>
        <v>20</v>
      </c>
      <c r="L18" s="51">
        <f t="shared" si="9"/>
        <v>681480</v>
      </c>
      <c r="M18" s="52">
        <f t="shared" si="1"/>
        <v>7.7672552166934195E-2</v>
      </c>
      <c r="N18" s="48">
        <f t="shared" si="2"/>
        <v>96780</v>
      </c>
      <c r="O18" s="51">
        <f t="shared" si="3"/>
        <v>984700</v>
      </c>
      <c r="P18" s="51">
        <f t="shared" si="4"/>
        <v>118164</v>
      </c>
      <c r="Q18" s="51">
        <f t="shared" si="5"/>
        <v>1102864</v>
      </c>
      <c r="R18" s="53">
        <f t="shared" si="6"/>
        <v>143136</v>
      </c>
      <c r="S18" s="60">
        <v>623000</v>
      </c>
      <c r="T18" s="54">
        <f t="shared" si="10"/>
        <v>1246000</v>
      </c>
      <c r="U18" s="94"/>
    </row>
    <row r="19" spans="1:21" s="17" customFormat="1" ht="24.95" customHeight="1">
      <c r="A19" s="56">
        <v>14</v>
      </c>
      <c r="B19" s="61">
        <v>10007315</v>
      </c>
      <c r="C19" s="57" t="s">
        <v>42</v>
      </c>
      <c r="D19" s="91">
        <v>1</v>
      </c>
      <c r="E19" s="58">
        <v>10</v>
      </c>
      <c r="F19" s="92">
        <f>[1]DPO!H20</f>
        <v>2598667</v>
      </c>
      <c r="G19" s="48">
        <f t="shared" si="11"/>
        <v>1</v>
      </c>
      <c r="H19" s="48">
        <f t="shared" si="8"/>
        <v>2598667</v>
      </c>
      <c r="I19" s="49">
        <f t="shared" si="0"/>
        <v>0.79958984615384621</v>
      </c>
      <c r="J19" s="93">
        <v>18</v>
      </c>
      <c r="K19" s="50">
        <f t="shared" si="12"/>
        <v>180</v>
      </c>
      <c r="L19" s="51">
        <f t="shared" si="9"/>
        <v>6133320</v>
      </c>
      <c r="M19" s="52">
        <f t="shared" si="1"/>
        <v>0.26800615384615384</v>
      </c>
      <c r="N19" s="48">
        <f t="shared" si="2"/>
        <v>871020</v>
      </c>
      <c r="O19" s="51">
        <f t="shared" si="3"/>
        <v>9603007</v>
      </c>
      <c r="P19" s="51">
        <f t="shared" si="4"/>
        <v>1152360.8399999999</v>
      </c>
      <c r="Q19" s="51">
        <f t="shared" si="5"/>
        <v>10755367.84</v>
      </c>
      <c r="R19" s="53">
        <f t="shared" si="6"/>
        <v>-7505367.8399999999</v>
      </c>
      <c r="S19" s="60">
        <v>3250000</v>
      </c>
      <c r="T19" s="54">
        <f t="shared" si="10"/>
        <v>3250000</v>
      </c>
      <c r="U19" s="94"/>
    </row>
    <row r="20" spans="1:21" s="17" customFormat="1" ht="24.95" customHeight="1">
      <c r="A20" s="56">
        <v>15</v>
      </c>
      <c r="B20" s="61">
        <v>10007318</v>
      </c>
      <c r="C20" s="57" t="s">
        <v>43</v>
      </c>
      <c r="D20" s="91">
        <v>1</v>
      </c>
      <c r="E20" s="58">
        <v>20</v>
      </c>
      <c r="F20" s="92">
        <f>[1]PEI!H19</f>
        <v>1673941</v>
      </c>
      <c r="G20" s="48">
        <f t="shared" si="11"/>
        <v>2</v>
      </c>
      <c r="H20" s="48">
        <f t="shared" si="8"/>
        <v>3347882</v>
      </c>
      <c r="I20" s="49">
        <f t="shared" si="0"/>
        <v>0.43478987012987014</v>
      </c>
      <c r="J20" s="93">
        <v>8</v>
      </c>
      <c r="K20" s="50">
        <f t="shared" si="12"/>
        <v>160</v>
      </c>
      <c r="L20" s="51">
        <f t="shared" si="9"/>
        <v>5451840</v>
      </c>
      <c r="M20" s="52">
        <f t="shared" si="1"/>
        <v>0.10055064935064935</v>
      </c>
      <c r="N20" s="48">
        <f t="shared" si="2"/>
        <v>774240</v>
      </c>
      <c r="O20" s="51">
        <f t="shared" si="3"/>
        <v>9573962</v>
      </c>
      <c r="P20" s="51">
        <f t="shared" si="4"/>
        <v>1148875.44</v>
      </c>
      <c r="Q20" s="51">
        <f t="shared" si="5"/>
        <v>10722837.439999999</v>
      </c>
      <c r="R20" s="53">
        <f t="shared" si="6"/>
        <v>-3022837.4399999995</v>
      </c>
      <c r="S20" s="60">
        <v>3850000</v>
      </c>
      <c r="T20" s="54">
        <f t="shared" si="10"/>
        <v>7700000</v>
      </c>
      <c r="U20" s="94"/>
    </row>
    <row r="21" spans="1:21" s="17" customFormat="1" ht="24.95" customHeight="1">
      <c r="A21" s="56">
        <v>16</v>
      </c>
      <c r="B21" s="61">
        <v>10007316</v>
      </c>
      <c r="C21" s="57" t="s">
        <v>44</v>
      </c>
      <c r="D21" s="58">
        <v>1</v>
      </c>
      <c r="E21" s="58">
        <v>10</v>
      </c>
      <c r="F21" s="51">
        <f>[1]DPH!H19</f>
        <v>1485249</v>
      </c>
      <c r="G21" s="48">
        <f t="shared" si="11"/>
        <v>1</v>
      </c>
      <c r="H21" s="48">
        <f t="shared" si="8"/>
        <v>1485249</v>
      </c>
      <c r="I21" s="49">
        <f t="shared" si="0"/>
        <v>0.45699969230769233</v>
      </c>
      <c r="J21" s="59">
        <v>8</v>
      </c>
      <c r="K21" s="50">
        <v>54</v>
      </c>
      <c r="L21" s="51">
        <f t="shared" si="9"/>
        <v>1839996</v>
      </c>
      <c r="M21" s="52">
        <f t="shared" si="1"/>
        <v>8.0401846153846157E-2</v>
      </c>
      <c r="N21" s="48">
        <f t="shared" si="2"/>
        <v>261306</v>
      </c>
      <c r="O21" s="51">
        <f t="shared" si="3"/>
        <v>3586551</v>
      </c>
      <c r="P21" s="51">
        <f t="shared" si="4"/>
        <v>430386.12</v>
      </c>
      <c r="Q21" s="51">
        <f t="shared" si="5"/>
        <v>4016937.12</v>
      </c>
      <c r="R21" s="53">
        <f t="shared" si="6"/>
        <v>-766937.12000000011</v>
      </c>
      <c r="S21" s="60">
        <v>3250000</v>
      </c>
      <c r="T21" s="54">
        <f t="shared" si="10"/>
        <v>3250000</v>
      </c>
      <c r="U21" s="94"/>
    </row>
    <row r="22" spans="1:21" s="17" customFormat="1" ht="24.95" customHeight="1">
      <c r="A22" s="56">
        <v>17</v>
      </c>
      <c r="B22" s="61">
        <v>10007326</v>
      </c>
      <c r="C22" s="57" t="s">
        <v>45</v>
      </c>
      <c r="D22" s="91">
        <v>1</v>
      </c>
      <c r="E22" s="58">
        <v>5</v>
      </c>
      <c r="F22" s="92">
        <f>'[1]JCR(PLUG)'!H13</f>
        <v>1357400</v>
      </c>
      <c r="G22" s="48">
        <f t="shared" si="11"/>
        <v>0.5</v>
      </c>
      <c r="H22" s="48">
        <f t="shared" si="8"/>
        <v>678700</v>
      </c>
      <c r="I22" s="49">
        <f t="shared" si="0"/>
        <v>0.48687230989956959</v>
      </c>
      <c r="J22" s="93"/>
      <c r="K22" s="50">
        <f t="shared" si="12"/>
        <v>0</v>
      </c>
      <c r="L22" s="51">
        <f t="shared" si="9"/>
        <v>0</v>
      </c>
      <c r="M22" s="52">
        <f t="shared" si="1"/>
        <v>0</v>
      </c>
      <c r="N22" s="48">
        <f t="shared" si="2"/>
        <v>0</v>
      </c>
      <c r="O22" s="51">
        <f t="shared" si="3"/>
        <v>678700</v>
      </c>
      <c r="P22" s="51">
        <f t="shared" si="4"/>
        <v>81444</v>
      </c>
      <c r="Q22" s="51">
        <f t="shared" si="5"/>
        <v>760144</v>
      </c>
      <c r="R22" s="53">
        <f t="shared" si="6"/>
        <v>633856</v>
      </c>
      <c r="S22" s="60">
        <v>2788000</v>
      </c>
      <c r="T22" s="54">
        <f t="shared" si="10"/>
        <v>1394000</v>
      </c>
      <c r="U22" s="94" t="s">
        <v>46</v>
      </c>
    </row>
    <row r="23" spans="1:21" s="17" customFormat="1" ht="24.95" customHeight="1">
      <c r="A23" s="56">
        <v>18</v>
      </c>
      <c r="B23" s="61">
        <v>10007327</v>
      </c>
      <c r="C23" s="57" t="s">
        <v>45</v>
      </c>
      <c r="D23" s="91">
        <v>1</v>
      </c>
      <c r="E23" s="58">
        <v>10</v>
      </c>
      <c r="F23" s="92">
        <f>'[1]JCR(RECP)'!H12</f>
        <v>298000</v>
      </c>
      <c r="G23" s="48">
        <f t="shared" si="11"/>
        <v>1</v>
      </c>
      <c r="H23" s="48">
        <f t="shared" si="8"/>
        <v>298000</v>
      </c>
      <c r="I23" s="49">
        <f t="shared" si="0"/>
        <v>0.56546489563567359</v>
      </c>
      <c r="J23" s="93"/>
      <c r="K23" s="50">
        <f t="shared" si="12"/>
        <v>0</v>
      </c>
      <c r="L23" s="51">
        <f t="shared" si="9"/>
        <v>0</v>
      </c>
      <c r="M23" s="52">
        <f t="shared" si="1"/>
        <v>0</v>
      </c>
      <c r="N23" s="48">
        <f t="shared" si="2"/>
        <v>0</v>
      </c>
      <c r="O23" s="51">
        <f t="shared" si="3"/>
        <v>298000</v>
      </c>
      <c r="P23" s="51">
        <f t="shared" si="4"/>
        <v>35760</v>
      </c>
      <c r="Q23" s="51">
        <f t="shared" si="5"/>
        <v>333760</v>
      </c>
      <c r="R23" s="53">
        <f t="shared" si="6"/>
        <v>193240</v>
      </c>
      <c r="S23" s="60">
        <v>527000</v>
      </c>
      <c r="T23" s="54">
        <f t="shared" si="10"/>
        <v>527000</v>
      </c>
      <c r="U23" s="94" t="s">
        <v>46</v>
      </c>
    </row>
    <row r="24" spans="1:21" s="17" customFormat="1" ht="24.95" customHeight="1">
      <c r="A24" s="56">
        <v>19</v>
      </c>
      <c r="B24" s="61">
        <v>102000301</v>
      </c>
      <c r="C24" s="57" t="s">
        <v>47</v>
      </c>
      <c r="D24" s="91"/>
      <c r="E24" s="58">
        <v>10</v>
      </c>
      <c r="F24" s="92">
        <f>'[1]RG-11'!H12</f>
        <v>834400</v>
      </c>
      <c r="G24" s="48">
        <f t="shared" si="11"/>
        <v>1</v>
      </c>
      <c r="H24" s="48">
        <f t="shared" si="8"/>
        <v>834400</v>
      </c>
      <c r="I24" s="49">
        <f t="shared" si="0"/>
        <v>0.75785649409627609</v>
      </c>
      <c r="J24" s="93"/>
      <c r="K24" s="50">
        <f t="shared" si="12"/>
        <v>0</v>
      </c>
      <c r="L24" s="51">
        <f t="shared" si="9"/>
        <v>0</v>
      </c>
      <c r="M24" s="52">
        <f t="shared" si="1"/>
        <v>0</v>
      </c>
      <c r="N24" s="48">
        <f t="shared" si="2"/>
        <v>0</v>
      </c>
      <c r="O24" s="51">
        <f t="shared" si="3"/>
        <v>834400</v>
      </c>
      <c r="P24" s="51">
        <f t="shared" si="4"/>
        <v>100128</v>
      </c>
      <c r="Q24" s="51">
        <f t="shared" si="5"/>
        <v>934528</v>
      </c>
      <c r="R24" s="53">
        <f t="shared" si="6"/>
        <v>166472</v>
      </c>
      <c r="S24" s="60">
        <v>1101000</v>
      </c>
      <c r="T24" s="54">
        <f t="shared" si="10"/>
        <v>1101000</v>
      </c>
      <c r="U24" s="94"/>
    </row>
    <row r="25" spans="1:21" s="17" customFormat="1" ht="24.95" customHeight="1">
      <c r="A25" s="56">
        <v>20</v>
      </c>
      <c r="B25" s="61">
        <v>102000302</v>
      </c>
      <c r="C25" s="57" t="s">
        <v>48</v>
      </c>
      <c r="D25" s="91"/>
      <c r="E25" s="58">
        <v>10</v>
      </c>
      <c r="F25" s="92"/>
      <c r="G25" s="48">
        <f t="shared" si="11"/>
        <v>1</v>
      </c>
      <c r="H25" s="48"/>
      <c r="I25" s="49"/>
      <c r="J25" s="93"/>
      <c r="K25" s="50">
        <f t="shared" si="12"/>
        <v>0</v>
      </c>
      <c r="L25" s="51"/>
      <c r="M25" s="52"/>
      <c r="N25" s="48"/>
      <c r="O25" s="51"/>
      <c r="P25" s="51"/>
      <c r="Q25" s="51"/>
      <c r="R25" s="53"/>
      <c r="S25" s="60">
        <v>300000</v>
      </c>
      <c r="T25" s="54">
        <f t="shared" si="10"/>
        <v>300000</v>
      </c>
      <c r="U25" s="94" t="s">
        <v>49</v>
      </c>
    </row>
    <row r="26" spans="1:21" s="17" customFormat="1" ht="24.95" customHeight="1" thickBot="1">
      <c r="A26" s="63">
        <v>21</v>
      </c>
      <c r="B26" s="64">
        <v>102000303</v>
      </c>
      <c r="C26" s="65" t="s">
        <v>50</v>
      </c>
      <c r="D26" s="95">
        <v>1</v>
      </c>
      <c r="E26" s="66">
        <v>10</v>
      </c>
      <c r="F26" s="96">
        <v>0</v>
      </c>
      <c r="G26" s="48">
        <f t="shared" si="11"/>
        <v>1</v>
      </c>
      <c r="H26" s="68">
        <f t="shared" ref="H26" si="13">F26*E26</f>
        <v>0</v>
      </c>
      <c r="I26" s="69">
        <f t="shared" ref="I26" si="14">IF(ISERROR(H26/T26),"0",(H26/T26))</f>
        <v>0</v>
      </c>
      <c r="J26" s="97"/>
      <c r="K26" s="71">
        <f t="shared" si="12"/>
        <v>0</v>
      </c>
      <c r="L26" s="67">
        <f t="shared" ref="L26" si="15">K26*$Q$30</f>
        <v>0</v>
      </c>
      <c r="M26" s="72">
        <f t="shared" ref="M26" si="16">IF(ISERROR(N26/T26),"0",(N26/T26))</f>
        <v>0</v>
      </c>
      <c r="N26" s="68">
        <f t="shared" ref="N26" si="17">K26*$Q$33</f>
        <v>0</v>
      </c>
      <c r="O26" s="67">
        <f t="shared" ref="O26" si="18">H26+L26+N26</f>
        <v>0</v>
      </c>
      <c r="P26" s="67">
        <f t="shared" ref="P26" si="19">O26*$Q$31</f>
        <v>0</v>
      </c>
      <c r="Q26" s="67">
        <f t="shared" ref="Q26" si="20">O26+P26</f>
        <v>0</v>
      </c>
      <c r="R26" s="73"/>
      <c r="S26" s="74">
        <v>6500000</v>
      </c>
      <c r="T26" s="54">
        <f t="shared" si="10"/>
        <v>6500000</v>
      </c>
      <c r="U26" s="98" t="s">
        <v>49</v>
      </c>
    </row>
    <row r="27" spans="1:21" s="17" customFormat="1" ht="24.95" customHeight="1" thickBot="1">
      <c r="A27" s="99" t="s">
        <v>36</v>
      </c>
      <c r="B27" s="100"/>
      <c r="C27" s="101"/>
      <c r="D27" s="102"/>
      <c r="E27" s="102"/>
      <c r="F27" s="103"/>
      <c r="G27" s="167"/>
      <c r="H27" s="103">
        <f>SUM(H14:H24)</f>
        <v>24939076</v>
      </c>
      <c r="I27" s="104">
        <f>H27/T27</f>
        <v>0.39269188133778421</v>
      </c>
      <c r="J27" s="105"/>
      <c r="K27" s="106">
        <f>SUM(K13:K22)</f>
        <v>499</v>
      </c>
      <c r="L27" s="107">
        <f t="shared" ref="L27" si="21">SUM(L14:L26)</f>
        <v>17002926</v>
      </c>
      <c r="M27" s="108">
        <v>1E-3</v>
      </c>
      <c r="N27" s="107">
        <f t="shared" ref="N27:Q27" si="22">SUM(N14:N26)</f>
        <v>2414661</v>
      </c>
      <c r="O27" s="107">
        <f t="shared" si="22"/>
        <v>44356663</v>
      </c>
      <c r="P27" s="107">
        <f t="shared" si="22"/>
        <v>5322799.5599999996</v>
      </c>
      <c r="Q27" s="107">
        <f t="shared" si="22"/>
        <v>49679462.559999995</v>
      </c>
      <c r="R27" s="107">
        <f>SUM(R14:R26)</f>
        <v>7028537.4400000004</v>
      </c>
      <c r="S27" s="171"/>
      <c r="T27" s="109">
        <f>SUM(T14:T26)</f>
        <v>63508000</v>
      </c>
      <c r="U27" s="110"/>
    </row>
    <row r="28" spans="1:21" s="17" customFormat="1" ht="24.95" customHeight="1" thickTop="1" thickBot="1">
      <c r="A28" s="111" t="s">
        <v>51</v>
      </c>
      <c r="B28" s="112"/>
      <c r="C28" s="113"/>
      <c r="D28" s="114"/>
      <c r="E28" s="114"/>
      <c r="F28" s="114"/>
      <c r="G28" s="168"/>
      <c r="H28" s="115">
        <f>H27+H13</f>
        <v>47634103</v>
      </c>
      <c r="I28" s="116">
        <f>H28/T28</f>
        <v>0.44798787724891609</v>
      </c>
      <c r="J28" s="116"/>
      <c r="K28" s="115">
        <f>SUM(K14:K23)</f>
        <v>499</v>
      </c>
      <c r="L28" s="115">
        <f>L27+L13</f>
        <v>17002926</v>
      </c>
      <c r="M28" s="116">
        <f t="shared" si="1"/>
        <v>2.2709336117145838E-2</v>
      </c>
      <c r="N28" s="115">
        <f>N27+N13</f>
        <v>2414661</v>
      </c>
      <c r="O28" s="115">
        <f>O27+O13</f>
        <v>114650170</v>
      </c>
      <c r="P28" s="115">
        <f>P27+P13</f>
        <v>13758020.399999999</v>
      </c>
      <c r="Q28" s="115">
        <f>Q27+Q13</f>
        <v>128408190.40000001</v>
      </c>
      <c r="R28" s="115">
        <f>R27+R13</f>
        <v>-28879190.399999987</v>
      </c>
      <c r="S28" s="172"/>
      <c r="T28" s="115">
        <f>T27+T13</f>
        <v>106329000</v>
      </c>
      <c r="U28" s="117">
        <f>R28/T28</f>
        <v>-0.27160220071664348</v>
      </c>
    </row>
    <row r="29" spans="1:21" s="17" customFormat="1" ht="24.95" customHeight="1">
      <c r="A29" s="118" t="s">
        <v>52</v>
      </c>
      <c r="B29" s="119"/>
      <c r="C29" s="119"/>
      <c r="D29" s="120"/>
      <c r="E29" s="119"/>
      <c r="F29" s="120"/>
      <c r="G29" s="119"/>
      <c r="H29" s="119"/>
      <c r="I29" s="119"/>
      <c r="J29" s="120"/>
      <c r="K29" s="119"/>
      <c r="L29" s="119"/>
      <c r="M29" s="119"/>
      <c r="N29" s="121"/>
      <c r="O29" s="122"/>
      <c r="P29" s="123" t="s">
        <v>53</v>
      </c>
      <c r="Q29" s="124"/>
      <c r="R29" s="125" t="s">
        <v>54</v>
      </c>
      <c r="S29" s="173"/>
      <c r="T29" s="126"/>
      <c r="U29" s="127"/>
    </row>
    <row r="30" spans="1:21" s="17" customFormat="1" ht="24.95" customHeight="1">
      <c r="A30" s="128" t="s">
        <v>55</v>
      </c>
      <c r="B30" s="129"/>
      <c r="C30" s="129"/>
      <c r="D30" s="130"/>
      <c r="E30" s="129"/>
      <c r="F30" s="130"/>
      <c r="G30" s="129"/>
      <c r="H30" s="129"/>
      <c r="I30" s="129"/>
      <c r="J30" s="130"/>
      <c r="K30" s="129"/>
      <c r="L30" s="129"/>
      <c r="M30" s="129"/>
      <c r="N30" s="129"/>
      <c r="O30" s="131"/>
      <c r="P30" s="132" t="s">
        <v>56</v>
      </c>
      <c r="Q30" s="133">
        <v>34074</v>
      </c>
      <c r="R30" s="134"/>
      <c r="S30" s="174"/>
      <c r="T30" s="135"/>
      <c r="U30" s="136"/>
    </row>
    <row r="31" spans="1:21" s="17" customFormat="1" ht="24.75" customHeight="1">
      <c r="A31" s="137" t="s">
        <v>57</v>
      </c>
      <c r="B31" s="129"/>
      <c r="C31" s="129"/>
      <c r="D31" s="130"/>
      <c r="E31" s="129"/>
      <c r="F31" s="130"/>
      <c r="G31" s="129"/>
      <c r="H31" s="129"/>
      <c r="I31" s="129"/>
      <c r="J31" s="130"/>
      <c r="K31" s="129"/>
      <c r="L31" s="129"/>
      <c r="M31" s="129"/>
      <c r="N31" s="129"/>
      <c r="O31" s="131"/>
      <c r="P31" s="132" t="s">
        <v>58</v>
      </c>
      <c r="Q31" s="138">
        <v>0.12</v>
      </c>
      <c r="R31" s="139" t="s">
        <v>59</v>
      </c>
      <c r="S31" s="175"/>
      <c r="T31" s="140"/>
      <c r="U31" s="141" t="s">
        <v>60</v>
      </c>
    </row>
    <row r="32" spans="1:21" s="17" customFormat="1" ht="24.95" customHeight="1">
      <c r="A32" s="137"/>
      <c r="B32" s="129"/>
      <c r="C32" s="129"/>
      <c r="D32" s="130"/>
      <c r="E32" s="129"/>
      <c r="F32" s="130"/>
      <c r="G32" s="129"/>
      <c r="H32" s="129"/>
      <c r="I32" s="129"/>
      <c r="J32" s="130"/>
      <c r="K32" s="129"/>
      <c r="L32" s="129"/>
      <c r="M32" s="142"/>
      <c r="N32" s="142"/>
      <c r="O32" s="131"/>
      <c r="P32" s="132" t="s">
        <v>61</v>
      </c>
      <c r="Q32" s="138">
        <v>0.15</v>
      </c>
      <c r="R32" s="143"/>
      <c r="S32" s="176"/>
      <c r="T32" s="140"/>
      <c r="U32" s="144"/>
    </row>
    <row r="33" spans="1:24" s="17" customFormat="1" ht="24.95" customHeight="1" thickBot="1">
      <c r="A33" s="145"/>
      <c r="B33" s="146"/>
      <c r="C33" s="146"/>
      <c r="D33" s="147"/>
      <c r="E33" s="146"/>
      <c r="F33" s="147"/>
      <c r="G33" s="146"/>
      <c r="H33" s="146"/>
      <c r="I33" s="146"/>
      <c r="J33" s="147"/>
      <c r="K33" s="146"/>
      <c r="L33" s="146"/>
      <c r="M33" s="146"/>
      <c r="N33" s="146"/>
      <c r="O33" s="148"/>
      <c r="P33" s="149" t="s">
        <v>62</v>
      </c>
      <c r="Q33" s="150">
        <v>4839</v>
      </c>
      <c r="R33" s="151"/>
      <c r="S33" s="177"/>
      <c r="T33" s="152"/>
      <c r="U33" s="153"/>
    </row>
    <row r="34" spans="1:24" s="156" customFormat="1" ht="15" customHeight="1">
      <c r="A34" s="154" t="s">
        <v>63</v>
      </c>
      <c r="B34" s="154"/>
      <c r="C34" s="129"/>
      <c r="D34" s="130"/>
      <c r="E34" s="129"/>
      <c r="F34" s="130"/>
      <c r="G34" s="129"/>
      <c r="H34" s="129"/>
      <c r="I34" s="129"/>
      <c r="J34" s="130"/>
      <c r="K34" s="129"/>
      <c r="L34" s="129"/>
      <c r="M34" s="129"/>
      <c r="N34" s="129" t="s">
        <v>64</v>
      </c>
      <c r="O34" s="129"/>
      <c r="P34" s="119"/>
      <c r="Q34" s="129"/>
      <c r="R34" s="129"/>
      <c r="S34" s="129"/>
      <c r="T34" s="129"/>
      <c r="U34" s="155" t="s">
        <v>65</v>
      </c>
    </row>
    <row r="35" spans="1:24" s="17" customFormat="1">
      <c r="D35" s="157"/>
      <c r="F35" s="157"/>
      <c r="J35" s="157"/>
    </row>
    <row r="36" spans="1:24" s="17" customFormat="1">
      <c r="D36" s="157"/>
      <c r="F36" s="157"/>
      <c r="J36" s="157"/>
    </row>
    <row r="39" spans="1:24">
      <c r="W39" s="158" t="s">
        <v>66</v>
      </c>
      <c r="X39" s="158" t="s">
        <v>67</v>
      </c>
    </row>
    <row r="40" spans="1:24">
      <c r="W40" s="158" t="s">
        <v>68</v>
      </c>
      <c r="X40" s="158" t="s">
        <v>69</v>
      </c>
    </row>
    <row r="41" spans="1:24">
      <c r="W41" s="158" t="s">
        <v>70</v>
      </c>
      <c r="X41" s="158" t="s">
        <v>71</v>
      </c>
    </row>
    <row r="42" spans="1:24">
      <c r="W42" s="159" t="s">
        <v>1</v>
      </c>
      <c r="X42" s="160">
        <v>8</v>
      </c>
    </row>
    <row r="43" spans="1:24">
      <c r="W43" s="161" t="s">
        <v>72</v>
      </c>
      <c r="X43" s="161" t="s">
        <v>73</v>
      </c>
    </row>
    <row r="44" spans="1:24">
      <c r="W44" s="162"/>
      <c r="X44" s="163"/>
    </row>
    <row r="45" spans="1:24">
      <c r="W45" s="162"/>
    </row>
    <row r="49" spans="8:8">
      <c r="H49" s="164"/>
    </row>
  </sheetData>
  <mergeCells count="23">
    <mergeCell ref="R31:R33"/>
    <mergeCell ref="M32:N32"/>
    <mergeCell ref="U32:U33"/>
    <mergeCell ref="T3:T4"/>
    <mergeCell ref="U3:U4"/>
    <mergeCell ref="A13:C13"/>
    <mergeCell ref="A27:C27"/>
    <mergeCell ref="A28:C28"/>
    <mergeCell ref="N29:O29"/>
    <mergeCell ref="P29:Q29"/>
    <mergeCell ref="R29:R30"/>
    <mergeCell ref="T29:U29"/>
    <mergeCell ref="T30:U30"/>
    <mergeCell ref="A2:B2"/>
    <mergeCell ref="D2:D4"/>
    <mergeCell ref="I2:O2"/>
    <mergeCell ref="T2:U2"/>
    <mergeCell ref="A3:A4"/>
    <mergeCell ref="B3:C3"/>
    <mergeCell ref="H3:I3"/>
    <mergeCell ref="K3:L3"/>
    <mergeCell ref="M3:N3"/>
    <mergeCell ref="O3:O4"/>
  </mergeCells>
  <phoneticPr fontId="4" type="noConversion"/>
  <printOptions horizontalCentered="1"/>
  <pageMargins left="0.63" right="0.35433070866141736" top="0.74" bottom="0.18" header="0.51181102362204722" footer="0.34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예비품 3량</vt:lpstr>
      <vt:lpstr>'예비품 3량'!Print_Area</vt:lpstr>
    </vt:vector>
  </TitlesOfParts>
  <Company>woojin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2014-09-25T23:58:16Z</dcterms:created>
  <dcterms:modified xsi:type="dcterms:W3CDTF">2014-09-26T00:01:08Z</dcterms:modified>
</cp:coreProperties>
</file>