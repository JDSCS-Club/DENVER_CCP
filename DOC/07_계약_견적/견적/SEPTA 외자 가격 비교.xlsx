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95" windowWidth="21840" windowHeight="129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22" i="1" l="1"/>
  <c r="L15" i="1"/>
  <c r="L14" i="1"/>
  <c r="L13" i="1"/>
  <c r="L23" i="1"/>
  <c r="L21" i="1"/>
  <c r="L20" i="1"/>
  <c r="L19" i="1"/>
  <c r="L18" i="1"/>
  <c r="L17" i="1"/>
  <c r="L16" i="1"/>
  <c r="L12" i="1"/>
  <c r="L11" i="1"/>
  <c r="L10" i="1"/>
  <c r="L9" i="1"/>
  <c r="L8" i="1"/>
  <c r="L7" i="1"/>
  <c r="L6" i="1"/>
  <c r="G23" i="1"/>
  <c r="G17" i="1"/>
  <c r="G18" i="1"/>
  <c r="G19" i="1"/>
  <c r="G20" i="1"/>
  <c r="G21" i="1"/>
  <c r="G16" i="1"/>
  <c r="G7" i="1"/>
  <c r="G8" i="1"/>
  <c r="G9" i="1"/>
  <c r="G10" i="1"/>
  <c r="G11" i="1"/>
  <c r="G12" i="1"/>
  <c r="G6" i="1"/>
  <c r="J23" i="1" l="1"/>
  <c r="E17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12" i="1"/>
  <c r="E11" i="1"/>
  <c r="E10" i="1"/>
  <c r="E9" i="1"/>
  <c r="E8" i="1"/>
  <c r="E7" i="1"/>
  <c r="E6" i="1"/>
  <c r="E21" i="1"/>
  <c r="E20" i="1"/>
  <c r="E19" i="1"/>
  <c r="E18" i="1"/>
  <c r="E16" i="1"/>
  <c r="E23" i="1"/>
</calcChain>
</file>

<file path=xl/sharedStrings.xml><?xml version="1.0" encoding="utf-8"?>
<sst xmlns="http://schemas.openxmlformats.org/spreadsheetml/2006/main" count="60" uniqueCount="36">
  <si>
    <t>품목</t>
    <phoneticPr fontId="2" type="noConversion"/>
  </si>
  <si>
    <t>단가</t>
    <phoneticPr fontId="2" type="noConversion"/>
  </si>
  <si>
    <t>SEPTA</t>
    <phoneticPr fontId="2" type="noConversion"/>
  </si>
  <si>
    <t>DENVER</t>
    <phoneticPr fontId="2" type="noConversion"/>
  </si>
  <si>
    <t>19"</t>
  </si>
  <si>
    <t>LCD</t>
    <phoneticPr fontId="2" type="noConversion"/>
  </si>
  <si>
    <t xml:space="preserve">FDI </t>
    <phoneticPr fontId="2" type="noConversion"/>
  </si>
  <si>
    <t>SDI</t>
    <phoneticPr fontId="2" type="noConversion"/>
  </si>
  <si>
    <t>PII</t>
    <phoneticPr fontId="2" type="noConversion"/>
  </si>
  <si>
    <t>CCP</t>
    <phoneticPr fontId="2" type="noConversion"/>
  </si>
  <si>
    <t>PSA</t>
    <phoneticPr fontId="2" type="noConversion"/>
  </si>
  <si>
    <t>PID1/2</t>
    <phoneticPr fontId="2" type="noConversion"/>
  </si>
  <si>
    <t>DPO/CPO/PEI</t>
    <phoneticPr fontId="2" type="noConversion"/>
  </si>
  <si>
    <t>PID1</t>
    <phoneticPr fontId="2" type="noConversion"/>
  </si>
  <si>
    <t>PID2</t>
    <phoneticPr fontId="2" type="noConversion"/>
  </si>
  <si>
    <t>DPO</t>
    <phoneticPr fontId="2" type="noConversion"/>
  </si>
  <si>
    <t>CPO</t>
    <phoneticPr fontId="2" type="noConversion"/>
  </si>
  <si>
    <t>PEI</t>
    <phoneticPr fontId="2" type="noConversion"/>
  </si>
  <si>
    <t>환율(2010년 4월)</t>
    <phoneticPr fontId="2" type="noConversion"/>
  </si>
  <si>
    <t>파워
(DC-DC)</t>
    <phoneticPr fontId="2" type="noConversion"/>
  </si>
  <si>
    <t>환율(2011년 5월)</t>
    <phoneticPr fontId="2" type="noConversion"/>
  </si>
  <si>
    <t>유럽 : 1,522</t>
    <phoneticPr fontId="2" type="noConversion"/>
  </si>
  <si>
    <t>미국 : 1,126</t>
    <phoneticPr fontId="2" type="noConversion"/>
  </si>
  <si>
    <t>미국 : 1,065</t>
    <phoneticPr fontId="2" type="noConversion"/>
  </si>
  <si>
    <t>일본 : 1,306</t>
    <phoneticPr fontId="2" type="noConversion"/>
  </si>
  <si>
    <t>유럽 : 1,577</t>
    <phoneticPr fontId="2" type="noConversion"/>
  </si>
  <si>
    <t>일본 : 1,203</t>
    <phoneticPr fontId="2" type="noConversion"/>
  </si>
  <si>
    <t>Connector</t>
    <phoneticPr fontId="2" type="noConversion"/>
  </si>
  <si>
    <t>비고</t>
    <phoneticPr fontId="2" type="noConversion"/>
  </si>
  <si>
    <t>SEPTA 동일 제품</t>
    <phoneticPr fontId="2" type="noConversion"/>
  </si>
  <si>
    <t>SEPTA 규격 변경</t>
    <phoneticPr fontId="2" type="noConversion"/>
  </si>
  <si>
    <t>PIN 가격</t>
    <phoneticPr fontId="2" type="noConversion"/>
  </si>
  <si>
    <t>* Connector 가격 상승은 금값 상승에 따른 PIN 가격이 2배 이상 상승 하였습니다.</t>
    <phoneticPr fontId="2" type="noConversion"/>
  </si>
  <si>
    <t>수량</t>
    <phoneticPr fontId="2" type="noConversion"/>
  </si>
  <si>
    <t>총 가격</t>
    <phoneticPr fontId="2" type="noConversion"/>
  </si>
  <si>
    <t>총가격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</si>
</sst>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@\ \ \ \ \ \ \ \ \ \ \ \ \ \ \ "/>
    <numFmt numFmtId="179" formatCode="0.0_ "/>
    <numFmt numFmtId="180" formatCode="0%\ \ "/>
    <numFmt numFmtId="181" formatCode="\$#,##0.00"/>
    <numFmt numFmtId="182" formatCode="[$¥-411]#,##0.00"/>
    <numFmt numFmtId="183" formatCode="[$€-410]\ #,##0.00"/>
    <numFmt numFmtId="184" formatCode="[$$-409]#,##0.00"/>
    <numFmt numFmtId="185" formatCode="[$¥-411]#,##0.00_);[Red]\([$¥-411]#,##0.00\)"/>
    <numFmt numFmtId="186" formatCode="&quot;₩&quot;#,##0.00;[Red]&quot;₩&quot;#,##0.00"/>
    <numFmt numFmtId="187" formatCode="&quot;₩&quot;#,##0.00"/>
    <numFmt numFmtId="188" formatCode="0_);[Red]\(0\)"/>
  </numFmts>
  <fonts count="24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name val="Arial"/>
      <family val="2"/>
    </font>
    <font>
      <sz val="9"/>
      <name val="돋움"/>
      <family val="3"/>
      <charset val="129"/>
    </font>
    <font>
      <sz val="10"/>
      <color indexed="8"/>
      <name val="돋움"/>
      <family val="3"/>
      <charset val="129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굴림체"/>
      <family val="2"/>
      <charset val="129"/>
    </font>
    <font>
      <sz val="11"/>
      <name val="굴림체"/>
      <family val="3"/>
      <charset val="129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name val="Arial"/>
      <family val="2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0"/>
      <color rgb="FF000000"/>
      <name val="굴림"/>
      <family val="3"/>
      <charset val="129"/>
    </font>
    <font>
      <sz val="12"/>
      <color indexed="8"/>
      <name val="맑은 고딕"/>
      <family val="3"/>
      <charset val="129"/>
      <scheme val="major"/>
    </font>
    <font>
      <sz val="1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2">
    <xf numFmtId="0" fontId="0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9" fontId="11" fillId="0" borderId="0" applyFont="0" applyFill="0" applyBorder="0" applyAlignment="0" applyProtection="0"/>
    <xf numFmtId="0" fontId="12" fillId="0" borderId="0"/>
    <xf numFmtId="41" fontId="11" fillId="0" borderId="0" applyFont="0" applyFill="0" applyBorder="0" applyAlignment="0" applyProtection="0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14" fillId="0" borderId="0">
      <alignment vertical="center"/>
    </xf>
    <xf numFmtId="0" fontId="3" fillId="0" borderId="0">
      <alignment vertical="center"/>
    </xf>
    <xf numFmtId="0" fontId="15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0" borderId="0"/>
    <xf numFmtId="38" fontId="5" fillId="2" borderId="0" applyNumberFormat="0" applyBorder="0" applyAlignment="0" applyProtection="0"/>
    <xf numFmtId="0" fontId="16" fillId="0" borderId="0">
      <alignment horizontal="left"/>
    </xf>
    <xf numFmtId="10" fontId="5" fillId="2" borderId="3" applyNumberFormat="0" applyBorder="0" applyAlignment="0" applyProtection="0"/>
    <xf numFmtId="0" fontId="17" fillId="0" borderId="12"/>
    <xf numFmtId="180" fontId="18" fillId="0" borderId="0"/>
    <xf numFmtId="0" fontId="9" fillId="0" borderId="0"/>
    <xf numFmtId="10" fontId="9" fillId="0" borderId="0" applyFont="0" applyFill="0" applyBorder="0" applyAlignment="0" applyProtection="0"/>
    <xf numFmtId="0" fontId="8" fillId="0" borderId="0"/>
    <xf numFmtId="0" fontId="17" fillId="0" borderId="0"/>
    <xf numFmtId="41" fontId="10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</cellStyleXfs>
  <cellXfs count="64"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 shrinkToFit="1"/>
    </xf>
    <xf numFmtId="0" fontId="6" fillId="0" borderId="3" xfId="1" applyFont="1" applyBorder="1" applyAlignment="1">
      <alignment horizontal="center" vertical="center" shrinkToFit="1"/>
    </xf>
    <xf numFmtId="0" fontId="7" fillId="2" borderId="3" xfId="3" applyFont="1" applyFill="1" applyBorder="1" applyAlignment="1">
      <alignment horizontal="center" vertical="center" shrinkToFit="1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182" fontId="0" fillId="0" borderId="3" xfId="0" applyNumberFormat="1" applyFill="1" applyBorder="1">
      <alignment vertical="center"/>
    </xf>
    <xf numFmtId="0" fontId="1" fillId="4" borderId="3" xfId="0" applyFont="1" applyFill="1" applyBorder="1">
      <alignment vertical="center"/>
    </xf>
    <xf numFmtId="181" fontId="0" fillId="4" borderId="3" xfId="0" applyNumberFormat="1" applyFill="1" applyBorder="1">
      <alignment vertical="center"/>
    </xf>
    <xf numFmtId="183" fontId="0" fillId="0" borderId="3" xfId="0" applyNumberFormat="1" applyBorder="1">
      <alignment vertical="center"/>
    </xf>
    <xf numFmtId="184" fontId="19" fillId="0" borderId="3" xfId="0" applyNumberFormat="1" applyFont="1" applyBorder="1">
      <alignment vertical="center"/>
    </xf>
    <xf numFmtId="184" fontId="0" fillId="0" borderId="3" xfId="0" applyNumberFormat="1" applyBorder="1">
      <alignment vertical="center"/>
    </xf>
    <xf numFmtId="185" fontId="20" fillId="0" borderId="3" xfId="31" applyNumberFormat="1" applyFont="1" applyFill="1" applyBorder="1" applyAlignment="1">
      <alignment vertical="center"/>
    </xf>
    <xf numFmtId="186" fontId="21" fillId="3" borderId="0" xfId="0" applyNumberFormat="1" applyFont="1" applyFill="1">
      <alignment vertical="center"/>
    </xf>
    <xf numFmtId="186" fontId="0" fillId="3" borderId="3" xfId="0" applyNumberFormat="1" applyFill="1" applyBorder="1">
      <alignment vertical="center"/>
    </xf>
    <xf numFmtId="187" fontId="0" fillId="3" borderId="3" xfId="0" applyNumberFormat="1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2" fillId="0" borderId="0" xfId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7" fillId="2" borderId="7" xfId="3" applyFont="1" applyFill="1" applyBorder="1" applyAlignment="1">
      <alignment horizontal="center" vertical="center" shrinkToFit="1"/>
    </xf>
    <xf numFmtId="0" fontId="7" fillId="2" borderId="4" xfId="3" applyFont="1" applyFill="1" applyBorder="1" applyAlignment="1">
      <alignment horizontal="center" vertical="center" shrinkToFit="1"/>
    </xf>
    <xf numFmtId="0" fontId="0" fillId="5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4" fillId="5" borderId="7" xfId="1" applyFont="1" applyFill="1" applyBorder="1" applyAlignment="1">
      <alignment horizontal="center" vertical="center" shrinkToFit="1"/>
    </xf>
    <xf numFmtId="0" fontId="4" fillId="5" borderId="4" xfId="1" applyFont="1" applyFill="1" applyBorder="1" applyAlignment="1">
      <alignment horizontal="center" vertical="center" shrinkToFit="1"/>
    </xf>
    <xf numFmtId="0" fontId="6" fillId="6" borderId="7" xfId="1" applyFont="1" applyFill="1" applyBorder="1" applyAlignment="1">
      <alignment horizontal="center" vertical="center" shrinkToFit="1"/>
    </xf>
    <xf numFmtId="0" fontId="6" fillId="6" borderId="4" xfId="1" applyFont="1" applyFill="1" applyBorder="1" applyAlignment="1">
      <alignment horizontal="center" vertical="center" shrinkToFit="1"/>
    </xf>
    <xf numFmtId="0" fontId="4" fillId="0" borderId="8" xfId="1" applyFont="1" applyBorder="1" applyAlignment="1">
      <alignment horizontal="center" vertical="center" shrinkToFit="1"/>
    </xf>
    <xf numFmtId="0" fontId="4" fillId="0" borderId="13" xfId="1" applyFont="1" applyBorder="1" applyAlignment="1">
      <alignment horizontal="center" vertical="center" shrinkToFit="1"/>
    </xf>
    <xf numFmtId="0" fontId="4" fillId="0" borderId="9" xfId="1" applyFont="1" applyBorder="1" applyAlignment="1">
      <alignment horizontal="center" vertical="center" shrinkToFit="1"/>
    </xf>
    <xf numFmtId="183" fontId="0" fillId="0" borderId="5" xfId="0" applyNumberFormat="1" applyBorder="1">
      <alignment vertical="center"/>
    </xf>
    <xf numFmtId="0" fontId="1" fillId="4" borderId="10" xfId="0" applyFont="1" applyFill="1" applyBorder="1">
      <alignment vertical="center"/>
    </xf>
    <xf numFmtId="0" fontId="1" fillId="4" borderId="1" xfId="0" applyFont="1" applyFill="1" applyBorder="1">
      <alignment vertical="center"/>
    </xf>
    <xf numFmtId="184" fontId="0" fillId="0" borderId="7" xfId="0" applyNumberFormat="1" applyBorder="1">
      <alignment vertical="center"/>
    </xf>
    <xf numFmtId="181" fontId="0" fillId="4" borderId="7" xfId="0" applyNumberFormat="1" applyFill="1" applyBorder="1">
      <alignment vertical="center"/>
    </xf>
    <xf numFmtId="182" fontId="0" fillId="0" borderId="7" xfId="0" applyNumberFormat="1" applyFill="1" applyBorder="1">
      <alignment vertical="center"/>
    </xf>
    <xf numFmtId="188" fontId="0" fillId="0" borderId="5" xfId="0" applyNumberFormat="1" applyBorder="1">
      <alignment vertical="center"/>
    </xf>
    <xf numFmtId="188" fontId="0" fillId="0" borderId="10" xfId="0" applyNumberFormat="1" applyBorder="1">
      <alignment vertical="center"/>
    </xf>
    <xf numFmtId="188" fontId="1" fillId="4" borderId="10" xfId="0" applyNumberFormat="1" applyFont="1" applyFill="1" applyBorder="1">
      <alignment vertical="center"/>
    </xf>
    <xf numFmtId="188" fontId="1" fillId="4" borderId="1" xfId="0" applyNumberFormat="1" applyFont="1" applyFill="1" applyBorder="1">
      <alignment vertical="center"/>
    </xf>
    <xf numFmtId="188" fontId="0" fillId="0" borderId="7" xfId="0" applyNumberFormat="1" applyBorder="1">
      <alignment vertical="center"/>
    </xf>
    <xf numFmtId="188" fontId="0" fillId="4" borderId="7" xfId="0" applyNumberFormat="1" applyFill="1" applyBorder="1">
      <alignment vertical="center"/>
    </xf>
    <xf numFmtId="188" fontId="0" fillId="0" borderId="7" xfId="0" applyNumberFormat="1" applyFill="1" applyBorder="1">
      <alignment vertical="center"/>
    </xf>
    <xf numFmtId="188" fontId="23" fillId="0" borderId="10" xfId="0" applyNumberFormat="1" applyFont="1" applyFill="1" applyBorder="1">
      <alignment vertical="center"/>
    </xf>
    <xf numFmtId="188" fontId="23" fillId="0" borderId="1" xfId="0" applyNumberFormat="1" applyFont="1" applyFill="1" applyBorder="1">
      <alignment vertical="center"/>
    </xf>
    <xf numFmtId="181" fontId="0" fillId="0" borderId="7" xfId="0" applyNumberFormat="1" applyFill="1" applyBorder="1">
      <alignment vertical="center"/>
    </xf>
  </cellXfs>
  <cellStyles count="32">
    <cellStyle name="category" xfId="14"/>
    <cellStyle name="Comma [0]_ SG&amp;A Bridge " xfId="15"/>
    <cellStyle name="Comma_ SG&amp;A Bridge " xfId="16"/>
    <cellStyle name="Currency [0]_ SG&amp;A Bridge " xfId="17"/>
    <cellStyle name="Currency_ SG&amp;A Bridge " xfId="18"/>
    <cellStyle name="Currency1" xfId="19"/>
    <cellStyle name="Grey" xfId="20"/>
    <cellStyle name="HEADER" xfId="21"/>
    <cellStyle name="Input [yellow]" xfId="22"/>
    <cellStyle name="Model" xfId="23"/>
    <cellStyle name="Normal - Style1" xfId="24"/>
    <cellStyle name="Normal_ SG&amp;A Bridge " xfId="25"/>
    <cellStyle name="Percent [2]" xfId="26"/>
    <cellStyle name="Standard_Tabelle2" xfId="27"/>
    <cellStyle name="subhead" xfId="28"/>
    <cellStyle name="백분율 2" xfId="7"/>
    <cellStyle name="백분율 3" xfId="5"/>
    <cellStyle name="뷭?_BOOKSHIP" xfId="8"/>
    <cellStyle name="쉼표 [0] 2" xfId="2"/>
    <cellStyle name="쉼표 [0] 2 2" xfId="9"/>
    <cellStyle name="쉼표 [0] 3" xfId="4"/>
    <cellStyle name="쉼표 [0] 4" xfId="29"/>
    <cellStyle name="쉼표 [0] 5" xfId="31"/>
    <cellStyle name="콤마 [0]_0N-HANDLING" xfId="10"/>
    <cellStyle name="콤마_0N-HANDLING" xfId="11"/>
    <cellStyle name="표준" xfId="0" builtinId="0"/>
    <cellStyle name="표준 2" xfId="1"/>
    <cellStyle name="표준 2 2" xfId="12"/>
    <cellStyle name="표준 3" xfId="13"/>
    <cellStyle name="표준 4" xfId="6"/>
    <cellStyle name="표준 5" xfId="30"/>
    <cellStyle name="표준_KTX2원가조사표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zoomScale="85" zoomScaleNormal="85" workbookViewId="0">
      <selection activeCell="B26" sqref="B26:M26"/>
    </sheetView>
  </sheetViews>
  <sheetFormatPr defaultRowHeight="16.5"/>
  <cols>
    <col min="1" max="1" width="13.75" bestFit="1" customWidth="1"/>
    <col min="2" max="2" width="21.75" bestFit="1" customWidth="1"/>
    <col min="3" max="3" width="7.5" bestFit="1" customWidth="1"/>
    <col min="4" max="4" width="9.25" bestFit="1" customWidth="1"/>
    <col min="5" max="5" width="8.375" bestFit="1" customWidth="1"/>
    <col min="6" max="6" width="8.375" customWidth="1"/>
    <col min="7" max="7" width="12" bestFit="1" customWidth="1"/>
    <col min="8" max="8" width="8.875" bestFit="1" customWidth="1"/>
    <col min="9" max="9" width="10.125" bestFit="1" customWidth="1"/>
    <col min="10" max="10" width="9" bestFit="1" customWidth="1"/>
    <col min="11" max="11" width="9" customWidth="1"/>
    <col min="12" max="12" width="12" bestFit="1" customWidth="1"/>
    <col min="13" max="13" width="15.75" customWidth="1"/>
  </cols>
  <sheetData>
    <row r="1" spans="1:13">
      <c r="A1" s="20"/>
      <c r="B1" s="18" t="s">
        <v>0</v>
      </c>
      <c r="C1" s="18" t="s">
        <v>2</v>
      </c>
      <c r="D1" s="18"/>
      <c r="E1" s="18"/>
      <c r="F1" s="16"/>
      <c r="G1" s="16"/>
      <c r="H1" s="18" t="s">
        <v>3</v>
      </c>
      <c r="I1" s="18"/>
      <c r="J1" s="18"/>
      <c r="K1" s="18"/>
      <c r="L1" s="18"/>
      <c r="M1" s="18"/>
    </row>
    <row r="2" spans="1:13">
      <c r="A2" s="21"/>
      <c r="B2" s="18"/>
      <c r="C2" s="28" t="s">
        <v>18</v>
      </c>
      <c r="D2" s="29"/>
      <c r="E2" s="23" t="s">
        <v>1</v>
      </c>
      <c r="F2" s="20" t="s">
        <v>33</v>
      </c>
      <c r="G2" s="20" t="s">
        <v>34</v>
      </c>
      <c r="H2" s="18" t="s">
        <v>20</v>
      </c>
      <c r="I2" s="18"/>
      <c r="J2" s="5" t="s">
        <v>1</v>
      </c>
      <c r="K2" s="16"/>
      <c r="L2" s="16"/>
      <c r="M2" s="18" t="s">
        <v>28</v>
      </c>
    </row>
    <row r="3" spans="1:13">
      <c r="A3" s="21"/>
      <c r="B3" s="18"/>
      <c r="C3" s="26" t="s">
        <v>22</v>
      </c>
      <c r="D3" s="27"/>
      <c r="E3" s="24"/>
      <c r="F3" s="21"/>
      <c r="G3" s="21"/>
      <c r="H3" s="38" t="s">
        <v>23</v>
      </c>
      <c r="I3" s="38"/>
      <c r="J3" s="5"/>
      <c r="K3" s="20" t="s">
        <v>33</v>
      </c>
      <c r="L3" s="20" t="s">
        <v>35</v>
      </c>
      <c r="M3" s="18"/>
    </row>
    <row r="4" spans="1:13">
      <c r="A4" s="21"/>
      <c r="B4" s="18"/>
      <c r="C4" s="30" t="s">
        <v>21</v>
      </c>
      <c r="D4" s="31"/>
      <c r="E4" s="24"/>
      <c r="F4" s="21"/>
      <c r="G4" s="21"/>
      <c r="H4" s="39" t="s">
        <v>25</v>
      </c>
      <c r="I4" s="39"/>
      <c r="J4" s="5"/>
      <c r="K4" s="21"/>
      <c r="L4" s="21"/>
      <c r="M4" s="18"/>
    </row>
    <row r="5" spans="1:13">
      <c r="A5" s="22"/>
      <c r="B5" s="18"/>
      <c r="C5" s="32" t="s">
        <v>26</v>
      </c>
      <c r="D5" s="33"/>
      <c r="E5" s="25"/>
      <c r="F5" s="22"/>
      <c r="G5" s="22"/>
      <c r="H5" s="40" t="s">
        <v>24</v>
      </c>
      <c r="I5" s="40"/>
      <c r="J5" s="4"/>
      <c r="K5" s="22"/>
      <c r="L5" s="22"/>
      <c r="M5" s="18"/>
    </row>
    <row r="6" spans="1:13">
      <c r="A6" s="18" t="s">
        <v>27</v>
      </c>
      <c r="B6" s="1" t="s">
        <v>6</v>
      </c>
      <c r="C6" s="45" t="s">
        <v>31</v>
      </c>
      <c r="D6" s="13">
        <v>500</v>
      </c>
      <c r="E6" s="9">
        <f>47800/1522</f>
        <v>31.406044678055192</v>
      </c>
      <c r="F6" s="54">
        <v>50</v>
      </c>
      <c r="G6" s="48">
        <f>E6*F6</f>
        <v>1570.3022339027596</v>
      </c>
      <c r="H6" s="20" t="s">
        <v>31</v>
      </c>
      <c r="I6" s="15">
        <v>2124</v>
      </c>
      <c r="J6" s="9">
        <f>102170.88/1577</f>
        <v>64.788129359543433</v>
      </c>
      <c r="K6" s="54">
        <v>50</v>
      </c>
      <c r="L6" s="48">
        <f>J6*K6</f>
        <v>3239.4064679771718</v>
      </c>
      <c r="M6" s="4" t="s">
        <v>30</v>
      </c>
    </row>
    <row r="7" spans="1:13">
      <c r="A7" s="18"/>
      <c r="B7" s="1" t="s">
        <v>7</v>
      </c>
      <c r="C7" s="46"/>
      <c r="D7" s="14">
        <v>500</v>
      </c>
      <c r="E7" s="9">
        <f>50800/1522</f>
        <v>33.37713534822602</v>
      </c>
      <c r="F7" s="55">
        <v>200</v>
      </c>
      <c r="G7" s="48">
        <f t="shared" ref="G7:G12" si="0">E7*F7</f>
        <v>6675.427069645204</v>
      </c>
      <c r="H7" s="21"/>
      <c r="I7" s="15">
        <v>2124</v>
      </c>
      <c r="J7" s="9">
        <f>102170.88/1577</f>
        <v>64.788129359543433</v>
      </c>
      <c r="K7" s="55">
        <v>200</v>
      </c>
      <c r="L7" s="48">
        <f t="shared" ref="L7:L15" si="1">J7*K7</f>
        <v>12957.625871908687</v>
      </c>
      <c r="M7" s="4" t="s">
        <v>30</v>
      </c>
    </row>
    <row r="8" spans="1:13">
      <c r="A8" s="18"/>
      <c r="B8" s="1" t="s">
        <v>8</v>
      </c>
      <c r="C8" s="46"/>
      <c r="D8" s="14">
        <v>500</v>
      </c>
      <c r="E8" s="9">
        <f>47800/1522</f>
        <v>31.406044678055192</v>
      </c>
      <c r="F8" s="55">
        <v>100</v>
      </c>
      <c r="G8" s="48">
        <f t="shared" si="0"/>
        <v>3140.6044678055191</v>
      </c>
      <c r="H8" s="21"/>
      <c r="I8" s="15">
        <v>2124</v>
      </c>
      <c r="J8" s="9">
        <f>102170.88/1577</f>
        <v>64.788129359543433</v>
      </c>
      <c r="K8" s="55">
        <v>100</v>
      </c>
      <c r="L8" s="48">
        <f t="shared" si="1"/>
        <v>6478.8129359543436</v>
      </c>
      <c r="M8" s="4" t="s">
        <v>30</v>
      </c>
    </row>
    <row r="9" spans="1:13">
      <c r="A9" s="18"/>
      <c r="B9" s="1" t="s">
        <v>9</v>
      </c>
      <c r="C9" s="46"/>
      <c r="D9" s="14">
        <v>900</v>
      </c>
      <c r="E9" s="9">
        <f>59800/1522</f>
        <v>39.290407358738499</v>
      </c>
      <c r="F9" s="55">
        <v>50</v>
      </c>
      <c r="G9" s="48">
        <f t="shared" si="0"/>
        <v>1964.5203679369249</v>
      </c>
      <c r="H9" s="21"/>
      <c r="I9" s="15">
        <v>1398</v>
      </c>
      <c r="J9" s="9">
        <f>64538.88/1577</f>
        <v>40.925098287888396</v>
      </c>
      <c r="K9" s="55">
        <v>50</v>
      </c>
      <c r="L9" s="48">
        <f t="shared" si="1"/>
        <v>2046.2549143944198</v>
      </c>
      <c r="M9" s="4" t="s">
        <v>30</v>
      </c>
    </row>
    <row r="10" spans="1:13">
      <c r="A10" s="18"/>
      <c r="B10" s="1" t="s">
        <v>10</v>
      </c>
      <c r="C10" s="46"/>
      <c r="D10" s="14">
        <v>500</v>
      </c>
      <c r="E10" s="9">
        <f>20900/1522</f>
        <v>13.731931668856767</v>
      </c>
      <c r="F10" s="55">
        <v>50</v>
      </c>
      <c r="G10" s="48">
        <f t="shared" si="0"/>
        <v>686.59658344283832</v>
      </c>
      <c r="H10" s="21"/>
      <c r="I10" s="15">
        <v>672</v>
      </c>
      <c r="J10" s="9">
        <f>23308.8/1577</f>
        <v>14.780469245402664</v>
      </c>
      <c r="K10" s="55">
        <v>50</v>
      </c>
      <c r="L10" s="48">
        <f t="shared" si="1"/>
        <v>739.02346227013322</v>
      </c>
      <c r="M10" s="4" t="s">
        <v>30</v>
      </c>
    </row>
    <row r="11" spans="1:13">
      <c r="A11" s="18"/>
      <c r="B11" s="1" t="s">
        <v>13</v>
      </c>
      <c r="C11" s="46"/>
      <c r="D11" s="14">
        <v>400</v>
      </c>
      <c r="E11" s="9">
        <f>40300/1522</f>
        <v>26.478318002628122</v>
      </c>
      <c r="F11" s="55">
        <v>200</v>
      </c>
      <c r="G11" s="48">
        <f t="shared" si="0"/>
        <v>5295.6636005256241</v>
      </c>
      <c r="H11" s="21"/>
      <c r="I11" s="15">
        <v>672</v>
      </c>
      <c r="J11" s="9">
        <f>41300/1577</f>
        <v>26.188966391883323</v>
      </c>
      <c r="K11" s="55">
        <v>200</v>
      </c>
      <c r="L11" s="48">
        <f t="shared" si="1"/>
        <v>5237.7932783766646</v>
      </c>
      <c r="M11" s="4" t="s">
        <v>30</v>
      </c>
    </row>
    <row r="12" spans="1:13">
      <c r="A12" s="18"/>
      <c r="B12" s="2" t="s">
        <v>14</v>
      </c>
      <c r="C12" s="47"/>
      <c r="D12" s="14">
        <v>500</v>
      </c>
      <c r="E12" s="9">
        <f>47800/1522</f>
        <v>31.406044678055192</v>
      </c>
      <c r="F12" s="55">
        <v>50</v>
      </c>
      <c r="G12" s="48">
        <f t="shared" si="0"/>
        <v>1570.3022339027596</v>
      </c>
      <c r="H12" s="21"/>
      <c r="I12" s="15">
        <v>672</v>
      </c>
      <c r="J12" s="9">
        <f>49800/1577</f>
        <v>31.578947368421051</v>
      </c>
      <c r="K12" s="55">
        <v>50</v>
      </c>
      <c r="L12" s="48">
        <f t="shared" si="1"/>
        <v>1578.9473684210525</v>
      </c>
      <c r="M12" s="4" t="s">
        <v>30</v>
      </c>
    </row>
    <row r="13" spans="1:13">
      <c r="A13" s="18"/>
      <c r="B13" s="2" t="s">
        <v>15</v>
      </c>
      <c r="C13" s="34"/>
      <c r="D13" s="35"/>
      <c r="E13" s="7"/>
      <c r="F13" s="56"/>
      <c r="G13" s="49"/>
      <c r="H13" s="21"/>
      <c r="I13" s="15">
        <v>1505</v>
      </c>
      <c r="J13" s="9">
        <f>97359.36/1577</f>
        <v>61.737070386810402</v>
      </c>
      <c r="K13" s="61">
        <v>50</v>
      </c>
      <c r="L13" s="48">
        <f t="shared" si="1"/>
        <v>3086.8535193405201</v>
      </c>
      <c r="M13" s="4" t="s">
        <v>30</v>
      </c>
    </row>
    <row r="14" spans="1:13">
      <c r="A14" s="18"/>
      <c r="B14" s="3" t="s">
        <v>16</v>
      </c>
      <c r="C14" s="36"/>
      <c r="D14" s="37"/>
      <c r="E14" s="7"/>
      <c r="F14" s="56"/>
      <c r="G14" s="49"/>
      <c r="H14" s="21"/>
      <c r="I14" s="15">
        <v>1505</v>
      </c>
      <c r="J14" s="9">
        <f>97359.36/1577</f>
        <v>61.737070386810402</v>
      </c>
      <c r="K14" s="61">
        <v>100</v>
      </c>
      <c r="L14" s="48">
        <f t="shared" si="1"/>
        <v>6173.7070386810401</v>
      </c>
      <c r="M14" s="4" t="s">
        <v>30</v>
      </c>
    </row>
    <row r="15" spans="1:13">
      <c r="A15" s="18"/>
      <c r="B15" s="2" t="s">
        <v>17</v>
      </c>
      <c r="C15" s="34"/>
      <c r="D15" s="35"/>
      <c r="E15" s="7"/>
      <c r="F15" s="57"/>
      <c r="G15" s="50"/>
      <c r="H15" s="22"/>
      <c r="I15" s="15">
        <v>1505</v>
      </c>
      <c r="J15" s="9">
        <f>66581.76/1577</f>
        <v>42.22051997463538</v>
      </c>
      <c r="K15" s="62">
        <v>100</v>
      </c>
      <c r="L15" s="48">
        <f t="shared" si="1"/>
        <v>4222.0519974635381</v>
      </c>
      <c r="M15" s="4" t="s">
        <v>30</v>
      </c>
    </row>
    <row r="16" spans="1:13">
      <c r="A16" s="17" t="s">
        <v>19</v>
      </c>
      <c r="B16" s="1" t="s">
        <v>6</v>
      </c>
      <c r="C16" s="41"/>
      <c r="D16" s="42"/>
      <c r="E16" s="11">
        <f>666040/1126</f>
        <v>591.50976909413851</v>
      </c>
      <c r="F16" s="58">
        <v>50</v>
      </c>
      <c r="G16" s="51">
        <f>F16*E16</f>
        <v>29575.488454706927</v>
      </c>
      <c r="H16" s="26"/>
      <c r="I16" s="27"/>
      <c r="J16" s="10">
        <f>670000/1065</f>
        <v>629.10798122065728</v>
      </c>
      <c r="K16" s="58">
        <v>50</v>
      </c>
      <c r="L16" s="51">
        <f>K16*J16</f>
        <v>31455.399061032866</v>
      </c>
      <c r="M16" s="4" t="s">
        <v>29</v>
      </c>
    </row>
    <row r="17" spans="1:13">
      <c r="A17" s="18"/>
      <c r="B17" s="1" t="s">
        <v>7</v>
      </c>
      <c r="C17" s="41"/>
      <c r="D17" s="42"/>
      <c r="E17" s="11">
        <f>666040/1126</f>
        <v>591.50976909413851</v>
      </c>
      <c r="F17" s="58">
        <v>200</v>
      </c>
      <c r="G17" s="51">
        <f t="shared" ref="G17:G21" si="2">F17*E17</f>
        <v>118301.95381882771</v>
      </c>
      <c r="H17" s="26"/>
      <c r="I17" s="27"/>
      <c r="J17" s="10">
        <f>670000/1065</f>
        <v>629.10798122065728</v>
      </c>
      <c r="K17" s="58">
        <v>200</v>
      </c>
      <c r="L17" s="51">
        <f t="shared" ref="L17:L22" si="3">K17*J17</f>
        <v>125821.59624413146</v>
      </c>
      <c r="M17" s="4" t="s">
        <v>29</v>
      </c>
    </row>
    <row r="18" spans="1:13">
      <c r="A18" s="18"/>
      <c r="B18" s="1" t="s">
        <v>8</v>
      </c>
      <c r="C18" s="41"/>
      <c r="D18" s="42"/>
      <c r="E18" s="11">
        <f>495310/1126</f>
        <v>439.88454706927178</v>
      </c>
      <c r="F18" s="58">
        <v>100</v>
      </c>
      <c r="G18" s="51">
        <f t="shared" si="2"/>
        <v>43988.454706927179</v>
      </c>
      <c r="H18" s="26"/>
      <c r="I18" s="27"/>
      <c r="J18" s="10">
        <f>495000/1065</f>
        <v>464.78873239436621</v>
      </c>
      <c r="K18" s="58">
        <v>100</v>
      </c>
      <c r="L18" s="51">
        <f t="shared" si="3"/>
        <v>46478.873239436623</v>
      </c>
      <c r="M18" s="4" t="s">
        <v>29</v>
      </c>
    </row>
    <row r="19" spans="1:13">
      <c r="A19" s="18"/>
      <c r="B19" s="1" t="s">
        <v>9</v>
      </c>
      <c r="C19" s="41"/>
      <c r="D19" s="42"/>
      <c r="E19" s="11">
        <f>434240/1126</f>
        <v>385.64831261101244</v>
      </c>
      <c r="F19" s="58">
        <v>50</v>
      </c>
      <c r="G19" s="51">
        <f t="shared" si="2"/>
        <v>19282.415630550622</v>
      </c>
      <c r="H19" s="26"/>
      <c r="I19" s="27"/>
      <c r="J19" s="10">
        <f>435000/1065</f>
        <v>408.45070422535213</v>
      </c>
      <c r="K19" s="58">
        <v>50</v>
      </c>
      <c r="L19" s="51">
        <f t="shared" si="3"/>
        <v>20422.535211267605</v>
      </c>
      <c r="M19" s="4" t="s">
        <v>29</v>
      </c>
    </row>
    <row r="20" spans="1:13">
      <c r="A20" s="18"/>
      <c r="B20" s="1" t="s">
        <v>10</v>
      </c>
      <c r="C20" s="41"/>
      <c r="D20" s="42"/>
      <c r="E20" s="11">
        <f>897300/1126</f>
        <v>796.89165186500884</v>
      </c>
      <c r="F20" s="58">
        <v>50</v>
      </c>
      <c r="G20" s="51">
        <f t="shared" si="2"/>
        <v>39844.582593250445</v>
      </c>
      <c r="H20" s="26"/>
      <c r="I20" s="27"/>
      <c r="J20" s="10">
        <f>897000/1065</f>
        <v>842.25352112676057</v>
      </c>
      <c r="K20" s="58">
        <v>50</v>
      </c>
      <c r="L20" s="51">
        <f t="shared" si="3"/>
        <v>42112.67605633803</v>
      </c>
      <c r="M20" s="4" t="s">
        <v>29</v>
      </c>
    </row>
    <row r="21" spans="1:13">
      <c r="A21" s="18"/>
      <c r="B21" s="1" t="s">
        <v>11</v>
      </c>
      <c r="C21" s="41"/>
      <c r="D21" s="42"/>
      <c r="E21" s="11">
        <f>443480/1126</f>
        <v>393.854351687389</v>
      </c>
      <c r="F21" s="58">
        <v>250</v>
      </c>
      <c r="G21" s="51">
        <f t="shared" si="2"/>
        <v>98463.587921847255</v>
      </c>
      <c r="H21" s="26"/>
      <c r="I21" s="27"/>
      <c r="J21" s="10">
        <f>445000/1065</f>
        <v>417.84037558685446</v>
      </c>
      <c r="K21" s="58">
        <v>250</v>
      </c>
      <c r="L21" s="51">
        <f t="shared" si="3"/>
        <v>104460.09389671362</v>
      </c>
      <c r="M21" s="4" t="s">
        <v>29</v>
      </c>
    </row>
    <row r="22" spans="1:13">
      <c r="A22" s="18"/>
      <c r="B22" s="1" t="s">
        <v>12</v>
      </c>
      <c r="C22" s="41"/>
      <c r="D22" s="42"/>
      <c r="E22" s="8"/>
      <c r="F22" s="59"/>
      <c r="G22" s="52"/>
      <c r="H22" s="26"/>
      <c r="I22" s="27"/>
      <c r="J22" s="10">
        <f>287000/1065</f>
        <v>269.48356807511738</v>
      </c>
      <c r="K22" s="60">
        <v>250</v>
      </c>
      <c r="L22" s="63">
        <f t="shared" si="3"/>
        <v>67370.892018779341</v>
      </c>
      <c r="M22" s="4" t="s">
        <v>29</v>
      </c>
    </row>
    <row r="23" spans="1:13">
      <c r="A23" s="5" t="s">
        <v>5</v>
      </c>
      <c r="B23" s="2" t="s">
        <v>4</v>
      </c>
      <c r="C23" s="43"/>
      <c r="D23" s="44"/>
      <c r="E23" s="6">
        <f>170000/1203</f>
        <v>141.31338320864506</v>
      </c>
      <c r="F23" s="60">
        <v>250</v>
      </c>
      <c r="G23" s="53">
        <f>F23*E23</f>
        <v>35328.345802161268</v>
      </c>
      <c r="H23" s="32"/>
      <c r="I23" s="33"/>
      <c r="J23" s="12">
        <f>250000/1306</f>
        <v>191.42419601837673</v>
      </c>
      <c r="K23" s="60">
        <v>250</v>
      </c>
      <c r="L23" s="53">
        <f>K23*J23</f>
        <v>47856.049004594184</v>
      </c>
      <c r="M23" s="4" t="s">
        <v>29</v>
      </c>
    </row>
    <row r="25" spans="1:13" ht="17.25">
      <c r="B25" s="19" t="s">
        <v>32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spans="1:13" ht="17.25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</sheetData>
  <mergeCells count="43">
    <mergeCell ref="K3:K5"/>
    <mergeCell ref="L3:L5"/>
    <mergeCell ref="B26:M26"/>
    <mergeCell ref="H22:I22"/>
    <mergeCell ref="H23:I23"/>
    <mergeCell ref="H16:I16"/>
    <mergeCell ref="H17:I17"/>
    <mergeCell ref="H18:I18"/>
    <mergeCell ref="H19:I19"/>
    <mergeCell ref="H20:I20"/>
    <mergeCell ref="C22:D22"/>
    <mergeCell ref="C23:D23"/>
    <mergeCell ref="C1:E1"/>
    <mergeCell ref="C16:D16"/>
    <mergeCell ref="C17:D17"/>
    <mergeCell ref="C18:D18"/>
    <mergeCell ref="C19:D19"/>
    <mergeCell ref="C20:D20"/>
    <mergeCell ref="C6:C12"/>
    <mergeCell ref="H2:I2"/>
    <mergeCell ref="H3:I3"/>
    <mergeCell ref="H4:I4"/>
    <mergeCell ref="H5:I5"/>
    <mergeCell ref="C21:D21"/>
    <mergeCell ref="H21:I21"/>
    <mergeCell ref="F2:F5"/>
    <mergeCell ref="G2:G5"/>
    <mergeCell ref="A16:A22"/>
    <mergeCell ref="B1:B5"/>
    <mergeCell ref="B25:M25"/>
    <mergeCell ref="A1:A5"/>
    <mergeCell ref="E2:E5"/>
    <mergeCell ref="M2:M5"/>
    <mergeCell ref="H1:M1"/>
    <mergeCell ref="A6:A15"/>
    <mergeCell ref="H6:H15"/>
    <mergeCell ref="C3:D3"/>
    <mergeCell ref="C2:D2"/>
    <mergeCell ref="C4:D4"/>
    <mergeCell ref="C5:D5"/>
    <mergeCell ref="C13:D13"/>
    <mergeCell ref="C14:D14"/>
    <mergeCell ref="C15:D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</dc:creator>
  <cp:lastModifiedBy>jds</cp:lastModifiedBy>
  <dcterms:created xsi:type="dcterms:W3CDTF">2011-06-28T00:49:54Z</dcterms:created>
  <dcterms:modified xsi:type="dcterms:W3CDTF">2011-06-28T08:39:11Z</dcterms:modified>
</cp:coreProperties>
</file>