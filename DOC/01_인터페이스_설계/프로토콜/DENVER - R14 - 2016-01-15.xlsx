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방송장치\Denver\문서자료\프로토콜\"/>
    </mc:Choice>
  </mc:AlternateContent>
  <bookViews>
    <workbookView xWindow="0" yWindow="0" windowWidth="28800" windowHeight="12645" tabRatio="823" firstSheet="2" activeTab="3"/>
  </bookViews>
  <sheets>
    <sheet name="Prologue" sheetId="3" r:id="rId1"/>
    <sheet name="Revision" sheetId="1" r:id="rId2"/>
    <sheet name="ID Table" sheetId="2" r:id="rId3"/>
    <sheet name="1.MPAC&lt;-&gt;MPAC" sheetId="5" r:id="rId4"/>
    <sheet name="2.&lt;-SPAC-&gt;" sheetId="11" r:id="rId5"/>
    <sheet name="3.&lt;-PIS(Version)-&gt;" sheetId="15" r:id="rId6"/>
    <sheet name="4.&lt;-LIC-&gt;" sheetId="7" r:id="rId7"/>
    <sheet name="4.1. LIC &lt;-&gt; CNCS" sheetId="18" r:id="rId8"/>
    <sheet name="5.PAC&lt;-CCP-&gt;" sheetId="12" r:id="rId9"/>
    <sheet name="6.&lt;-VTX-&gt;" sheetId="8" r:id="rId10"/>
    <sheet name="7.&lt;-VRX-&gt;" sheetId="14" r:id="rId11"/>
    <sheet name="8.&lt;-CNCS-&gt;" sheetId="9" r:id="rId12"/>
    <sheet name="9.&lt;-PIS-&gt;" sheetId="13" r:id="rId13"/>
    <sheet name="10. &lt;-VOIPC-&gt;" sheetId="17" r:id="rId14"/>
    <sheet name="System Bypass" sheetId="16" r:id="rId15"/>
  </sheets>
  <calcPr calcId="152511"/>
</workbook>
</file>

<file path=xl/calcChain.xml><?xml version="1.0" encoding="utf-8"?>
<calcChain xmlns="http://schemas.openxmlformats.org/spreadsheetml/2006/main">
  <c r="M55" i="18" l="1"/>
  <c r="M56" i="18"/>
  <c r="M57" i="18"/>
  <c r="M54" i="18"/>
  <c r="K151" i="18" l="1"/>
  <c r="K132" i="18"/>
  <c r="P36" i="9" l="1"/>
  <c r="P35" i="9"/>
</calcChain>
</file>

<file path=xl/comments1.xml><?xml version="1.0" encoding="utf-8"?>
<comments xmlns="http://schemas.openxmlformats.org/spreadsheetml/2006/main">
  <authors>
    <author>Hamsung98</author>
  </authors>
  <commentList>
    <comment ref="C16" authorId="0" shapeId="0">
      <text>
        <r>
          <rPr>
            <b/>
            <sz val="9"/>
            <color indexed="81"/>
            <rFont val="돋움"/>
            <family val="3"/>
            <charset val="129"/>
          </rPr>
          <t>중련된</t>
        </r>
        <r>
          <rPr>
            <b/>
            <sz val="9"/>
            <color indexed="81"/>
            <rFont val="Tahoma"/>
            <family val="2"/>
          </rPr>
          <t xml:space="preserve"> </t>
        </r>
        <r>
          <rPr>
            <b/>
            <sz val="9"/>
            <color indexed="81"/>
            <rFont val="돋움"/>
            <family val="3"/>
            <charset val="129"/>
          </rPr>
          <t>편성수</t>
        </r>
        <r>
          <rPr>
            <b/>
            <sz val="9"/>
            <color indexed="81"/>
            <rFont val="Tahoma"/>
            <family val="2"/>
          </rPr>
          <t>.</t>
        </r>
      </text>
    </comment>
    <comment ref="F18" authorId="0" shapeId="0">
      <text>
        <r>
          <rPr>
            <b/>
            <sz val="9"/>
            <color indexed="81"/>
            <rFont val="Tahoma"/>
            <family val="2"/>
          </rPr>
          <t>DPO Intercom to OCC</t>
        </r>
      </text>
    </comment>
    <comment ref="H18" authorId="0" shapeId="0">
      <text>
        <r>
          <rPr>
            <b/>
            <sz val="9"/>
            <color indexed="81"/>
            <rFont val="Tahoma"/>
            <family val="2"/>
          </rPr>
          <t>OCC</t>
        </r>
        <r>
          <rPr>
            <b/>
            <sz val="9"/>
            <color indexed="81"/>
            <rFont val="돋움"/>
            <family val="3"/>
            <charset val="129"/>
          </rPr>
          <t>에서</t>
        </r>
        <r>
          <rPr>
            <b/>
            <sz val="9"/>
            <color indexed="81"/>
            <rFont val="Tahoma"/>
            <family val="2"/>
          </rPr>
          <t xml:space="preserve"> PEI MIC</t>
        </r>
        <r>
          <rPr>
            <b/>
            <sz val="9"/>
            <color indexed="81"/>
            <rFont val="돋움"/>
            <family val="3"/>
            <charset val="129"/>
          </rPr>
          <t>를</t>
        </r>
        <r>
          <rPr>
            <b/>
            <sz val="9"/>
            <color indexed="81"/>
            <rFont val="Tahoma"/>
            <family val="2"/>
          </rPr>
          <t xml:space="preserve"> ON </t>
        </r>
        <r>
          <rPr>
            <b/>
            <sz val="9"/>
            <color indexed="81"/>
            <rFont val="돋움"/>
            <family val="3"/>
            <charset val="129"/>
          </rPr>
          <t>하였을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r>
          <rPr>
            <b/>
            <sz val="9"/>
            <color indexed="81"/>
            <rFont val="돋움"/>
            <family val="3"/>
            <charset val="129"/>
          </rPr>
          <t>현재는</t>
        </r>
        <r>
          <rPr>
            <b/>
            <sz val="9"/>
            <color indexed="81"/>
            <rFont val="Tahoma"/>
            <family val="2"/>
          </rPr>
          <t xml:space="preserve"> </t>
        </r>
        <r>
          <rPr>
            <b/>
            <sz val="9"/>
            <color indexed="81"/>
            <rFont val="돋움"/>
            <family val="3"/>
            <charset val="129"/>
          </rPr>
          <t>기능</t>
        </r>
        <r>
          <rPr>
            <b/>
            <sz val="9"/>
            <color indexed="81"/>
            <rFont val="Tahoma"/>
            <family val="2"/>
          </rPr>
          <t xml:space="preserve"> </t>
        </r>
        <r>
          <rPr>
            <b/>
            <sz val="9"/>
            <color indexed="81"/>
            <rFont val="돋움"/>
            <family val="3"/>
            <charset val="129"/>
          </rPr>
          <t>사용안함</t>
        </r>
        <r>
          <rPr>
            <b/>
            <sz val="9"/>
            <color indexed="81"/>
            <rFont val="Tahoma"/>
            <family val="2"/>
          </rPr>
          <t>)</t>
        </r>
      </text>
    </comment>
    <comment ref="J18" authorId="0" shapeId="0">
      <text>
        <r>
          <rPr>
            <b/>
            <sz val="9"/>
            <color indexed="81"/>
            <rFont val="Tahoma"/>
            <family val="2"/>
          </rPr>
          <t>OCC Broadcast.</t>
        </r>
      </text>
    </comment>
    <comment ref="C20" authorId="0" shape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G20" authorId="0" shapeId="0">
      <text>
        <r>
          <rPr>
            <b/>
            <sz val="9"/>
            <color indexed="81"/>
            <rFont val="Tahoma"/>
            <family val="2"/>
          </rPr>
          <t>CNCS</t>
        </r>
        <r>
          <rPr>
            <b/>
            <sz val="9"/>
            <color indexed="81"/>
            <rFont val="돋움"/>
            <family val="3"/>
            <charset val="129"/>
          </rPr>
          <t>의</t>
        </r>
        <r>
          <rPr>
            <b/>
            <sz val="9"/>
            <color indexed="81"/>
            <rFont val="Tahoma"/>
            <family val="2"/>
          </rPr>
          <t xml:space="preserve"> PTT Button</t>
        </r>
        <r>
          <rPr>
            <b/>
            <sz val="9"/>
            <color indexed="81"/>
            <rFont val="돋움"/>
            <family val="3"/>
            <charset val="129"/>
          </rPr>
          <t>상태</t>
        </r>
        <r>
          <rPr>
            <b/>
            <sz val="9"/>
            <color indexed="81"/>
            <rFont val="Tahoma"/>
            <family val="2"/>
          </rPr>
          <t xml:space="preserve"> </t>
        </r>
        <r>
          <rPr>
            <b/>
            <sz val="9"/>
            <color indexed="81"/>
            <rFont val="돋움"/>
            <family val="3"/>
            <charset val="129"/>
          </rPr>
          <t>피드백</t>
        </r>
      </text>
    </comment>
    <comment ref="H20" authorId="0" shapeId="0">
      <text>
        <r>
          <rPr>
            <b/>
            <sz val="9"/>
            <color indexed="81"/>
            <rFont val="Tahoma"/>
            <family val="2"/>
          </rPr>
          <t>VOIP&lt;-&gt;OCC</t>
        </r>
        <r>
          <rPr>
            <b/>
            <sz val="9"/>
            <color indexed="81"/>
            <rFont val="돋움"/>
            <family val="3"/>
            <charset val="129"/>
          </rPr>
          <t>연결상태</t>
        </r>
      </text>
    </comment>
    <comment ref="I20" authorId="0" shapeId="0">
      <text>
        <r>
          <rPr>
            <b/>
            <sz val="9"/>
            <color indexed="81"/>
            <rFont val="Tahoma"/>
            <family val="2"/>
          </rPr>
          <t>VOIP&lt;-&gt;OCC</t>
        </r>
        <r>
          <rPr>
            <b/>
            <sz val="9"/>
            <color indexed="81"/>
            <rFont val="돋움"/>
            <family val="3"/>
            <charset val="129"/>
          </rPr>
          <t>연결상태</t>
        </r>
      </text>
    </comment>
    <comment ref="J20" authorId="0" shapeId="0">
      <text>
        <r>
          <rPr>
            <b/>
            <sz val="9"/>
            <color indexed="81"/>
            <rFont val="Tahoma"/>
            <family val="2"/>
          </rPr>
          <t>Hamsung98:</t>
        </r>
        <r>
          <rPr>
            <sz val="9"/>
            <color indexed="81"/>
            <rFont val="Tahoma"/>
            <family val="2"/>
          </rPr>
          <t xml:space="preserve">
OCC</t>
        </r>
        <r>
          <rPr>
            <sz val="9"/>
            <color indexed="81"/>
            <rFont val="돋움"/>
            <family val="3"/>
            <charset val="129"/>
          </rPr>
          <t>의</t>
        </r>
        <r>
          <rPr>
            <sz val="9"/>
            <color indexed="81"/>
            <rFont val="Tahoma"/>
            <family val="2"/>
          </rPr>
          <t xml:space="preserve"> </t>
        </r>
        <r>
          <rPr>
            <sz val="9"/>
            <color indexed="81"/>
            <rFont val="돋움"/>
            <family val="3"/>
            <charset val="129"/>
          </rPr>
          <t>메시지</t>
        </r>
        <r>
          <rPr>
            <sz val="9"/>
            <color indexed="81"/>
            <rFont val="Tahoma"/>
            <family val="2"/>
          </rPr>
          <t xml:space="preserve"> </t>
        </r>
        <r>
          <rPr>
            <sz val="9"/>
            <color indexed="81"/>
            <rFont val="돋움"/>
            <family val="3"/>
            <charset val="129"/>
          </rPr>
          <t>출력에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장치가</t>
        </r>
        <r>
          <rPr>
            <sz val="9"/>
            <color indexed="81"/>
            <rFont val="Tahoma"/>
            <family val="2"/>
          </rPr>
          <t xml:space="preserve"> PIS </t>
        </r>
        <r>
          <rPr>
            <sz val="9"/>
            <color indexed="81"/>
            <rFont val="돋움"/>
            <family val="3"/>
            <charset val="129"/>
          </rPr>
          <t>장치가</t>
        </r>
        <r>
          <rPr>
            <sz val="9"/>
            <color indexed="81"/>
            <rFont val="Tahoma"/>
            <family val="2"/>
          </rPr>
          <t xml:space="preserve"> OCC</t>
        </r>
        <r>
          <rPr>
            <sz val="9"/>
            <color indexed="81"/>
            <rFont val="돋움"/>
            <family val="3"/>
            <charset val="129"/>
          </rPr>
          <t>에서</t>
        </r>
        <r>
          <rPr>
            <sz val="9"/>
            <color indexed="81"/>
            <rFont val="Tahoma"/>
            <family val="2"/>
          </rPr>
          <t xml:space="preserve"> </t>
        </r>
        <r>
          <rPr>
            <sz val="9"/>
            <color indexed="81"/>
            <rFont val="돋움"/>
            <family val="3"/>
            <charset val="129"/>
          </rPr>
          <t>제공한</t>
        </r>
        <r>
          <rPr>
            <sz val="9"/>
            <color indexed="81"/>
            <rFont val="Tahoma"/>
            <family val="2"/>
          </rPr>
          <t xml:space="preserve"> </t>
        </r>
        <r>
          <rPr>
            <sz val="9"/>
            <color indexed="81"/>
            <rFont val="돋움"/>
            <family val="3"/>
            <charset val="129"/>
          </rPr>
          <t>메시지를</t>
        </r>
        <r>
          <rPr>
            <sz val="9"/>
            <color indexed="81"/>
            <rFont val="Tahoma"/>
            <family val="2"/>
          </rPr>
          <t xml:space="preserve"> </t>
        </r>
        <r>
          <rPr>
            <sz val="9"/>
            <color indexed="81"/>
            <rFont val="돋움"/>
            <family val="3"/>
            <charset val="129"/>
          </rPr>
          <t>표출</t>
        </r>
        <r>
          <rPr>
            <sz val="9"/>
            <color indexed="81"/>
            <rFont val="Tahoma"/>
            <family val="2"/>
          </rPr>
          <t>.</t>
        </r>
      </text>
    </comment>
    <comment ref="I50" authorId="0" shapeId="0">
      <text>
        <r>
          <rPr>
            <b/>
            <sz val="9"/>
            <color indexed="81"/>
            <rFont val="Tahoma"/>
            <family val="2"/>
          </rPr>
          <t>CCP</t>
        </r>
        <r>
          <rPr>
            <b/>
            <sz val="9"/>
            <color indexed="81"/>
            <rFont val="돋움"/>
            <family val="3"/>
            <charset val="129"/>
          </rPr>
          <t>에서</t>
        </r>
        <r>
          <rPr>
            <b/>
            <sz val="9"/>
            <color indexed="81"/>
            <rFont val="Tahoma"/>
            <family val="2"/>
          </rPr>
          <t xml:space="preserve"> Vector </t>
        </r>
        <r>
          <rPr>
            <b/>
            <sz val="9"/>
            <color indexed="81"/>
            <rFont val="돋움"/>
            <family val="3"/>
            <charset val="129"/>
          </rPr>
          <t>참조</t>
        </r>
        <r>
          <rPr>
            <b/>
            <sz val="9"/>
            <color indexed="81"/>
            <rFont val="Tahoma"/>
            <family val="2"/>
          </rPr>
          <t xml:space="preserve"> </t>
        </r>
        <r>
          <rPr>
            <b/>
            <sz val="9"/>
            <color indexed="81"/>
            <rFont val="돋움"/>
            <family val="3"/>
            <charset val="129"/>
          </rPr>
          <t>정보</t>
        </r>
        <r>
          <rPr>
            <b/>
            <sz val="9"/>
            <color indexed="81"/>
            <rFont val="Tahoma"/>
            <family val="2"/>
          </rPr>
          <t xml:space="preserve">.
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 ref="C52" authorId="0" shapeId="0">
      <text>
        <r>
          <rPr>
            <b/>
            <sz val="9"/>
            <color indexed="81"/>
            <rFont val="Tahoma"/>
            <family val="2"/>
          </rPr>
          <t>FDI/SDI Color ROUTE Number.</t>
        </r>
        <r>
          <rPr>
            <sz val="9"/>
            <color indexed="81"/>
            <rFont val="Tahoma"/>
            <family val="2"/>
          </rPr>
          <t xml:space="preserve">
</t>
        </r>
      </text>
    </comment>
    <comment ref="D52" authorId="0" shapeId="0">
      <text>
        <r>
          <rPr>
            <b/>
            <sz val="9"/>
            <color indexed="81"/>
            <rFont val="Tahoma"/>
            <family val="2"/>
          </rPr>
          <t>FDI/SDI Color EXP</t>
        </r>
      </text>
    </comment>
    <comment ref="E52" authorId="0" shapeId="0">
      <text>
        <r>
          <rPr>
            <b/>
            <sz val="9"/>
            <color indexed="81"/>
            <rFont val="Tahoma"/>
            <family val="2"/>
          </rPr>
          <t>FDI/SDI Color LTD.</t>
        </r>
      </text>
    </comment>
    <comment ref="F52" authorId="0" shapeId="0">
      <text>
        <r>
          <rPr>
            <b/>
            <sz val="9"/>
            <color indexed="81"/>
            <rFont val="Tahoma"/>
            <family val="2"/>
          </rPr>
          <t>FDI/SDI Color Mark</t>
        </r>
      </text>
    </comment>
    <comment ref="G52" authorId="0" shapeId="0">
      <text>
        <r>
          <rPr>
            <b/>
            <sz val="9"/>
            <color indexed="81"/>
            <rFont val="Tahoma"/>
            <family val="2"/>
          </rPr>
          <t>LED MARK</t>
        </r>
        <r>
          <rPr>
            <b/>
            <sz val="9"/>
            <color indexed="81"/>
            <rFont val="돋움"/>
            <family val="3"/>
            <charset val="129"/>
          </rPr>
          <t>의</t>
        </r>
        <r>
          <rPr>
            <b/>
            <sz val="9"/>
            <color indexed="81"/>
            <rFont val="Tahoma"/>
            <family val="2"/>
          </rPr>
          <t xml:space="preserve"> Route</t>
        </r>
        <r>
          <rPr>
            <b/>
            <sz val="9"/>
            <color indexed="81"/>
            <rFont val="돋움"/>
            <family val="3"/>
            <charset val="129"/>
          </rPr>
          <t>가</t>
        </r>
        <r>
          <rPr>
            <b/>
            <sz val="9"/>
            <color indexed="81"/>
            <rFont val="Tahoma"/>
            <family val="2"/>
          </rPr>
          <t xml:space="preserve"> 1</t>
        </r>
        <r>
          <rPr>
            <b/>
            <sz val="9"/>
            <color indexed="81"/>
            <rFont val="돋움"/>
            <family val="3"/>
            <charset val="129"/>
          </rPr>
          <t>일</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표출할</t>
        </r>
        <r>
          <rPr>
            <b/>
            <sz val="9"/>
            <color indexed="81"/>
            <rFont val="Tahoma"/>
            <family val="2"/>
          </rPr>
          <t xml:space="preserve"> Route </t>
        </r>
        <r>
          <rPr>
            <b/>
            <sz val="9"/>
            <color indexed="81"/>
            <rFont val="돋움"/>
            <family val="3"/>
            <charset val="129"/>
          </rPr>
          <t>번호</t>
        </r>
        <r>
          <rPr>
            <b/>
            <sz val="9"/>
            <color indexed="81"/>
            <rFont val="Tahoma"/>
            <family val="2"/>
          </rPr>
          <t>.</t>
        </r>
      </text>
    </comment>
    <comment ref="B90" authorId="0" shapeId="0">
      <text/>
    </comment>
    <comment ref="C92" authorId="0" shapeId="0">
      <text>
        <r>
          <rPr>
            <b/>
            <sz val="9"/>
            <color indexed="81"/>
            <rFont val="Tahoma"/>
            <family val="2"/>
          </rPr>
          <t xml:space="preserve">Carline </t>
        </r>
        <r>
          <rPr>
            <b/>
            <sz val="9"/>
            <color indexed="81"/>
            <rFont val="돋움"/>
            <family val="3"/>
            <charset val="129"/>
          </rPr>
          <t>통신을</t>
        </r>
        <r>
          <rPr>
            <b/>
            <sz val="9"/>
            <color indexed="81"/>
            <rFont val="Tahoma"/>
            <family val="2"/>
          </rPr>
          <t xml:space="preserve"> </t>
        </r>
        <r>
          <rPr>
            <b/>
            <sz val="9"/>
            <color indexed="81"/>
            <rFont val="돋움"/>
            <family val="3"/>
            <charset val="129"/>
          </rPr>
          <t>하는</t>
        </r>
        <r>
          <rPr>
            <b/>
            <sz val="9"/>
            <color indexed="81"/>
            <rFont val="Tahoma"/>
            <family val="2"/>
          </rPr>
          <t xml:space="preserve"> PAC</t>
        </r>
        <r>
          <rPr>
            <b/>
            <sz val="9"/>
            <color indexed="81"/>
            <rFont val="돋움"/>
            <family val="3"/>
            <charset val="129"/>
          </rPr>
          <t>가</t>
        </r>
        <r>
          <rPr>
            <b/>
            <sz val="9"/>
            <color indexed="81"/>
            <rFont val="Tahoma"/>
            <family val="2"/>
          </rPr>
          <t xml:space="preserve"> </t>
        </r>
        <r>
          <rPr>
            <b/>
            <sz val="9"/>
            <color indexed="81"/>
            <rFont val="돋움"/>
            <family val="3"/>
            <charset val="129"/>
          </rPr>
          <t>위치한</t>
        </r>
        <r>
          <rPr>
            <b/>
            <sz val="9"/>
            <color indexed="81"/>
            <rFont val="Tahoma"/>
            <family val="2"/>
          </rPr>
          <t xml:space="preserve"> </t>
        </r>
        <r>
          <rPr>
            <b/>
            <sz val="9"/>
            <color indexed="81"/>
            <rFont val="돋움"/>
            <family val="3"/>
            <charset val="129"/>
          </rPr>
          <t>차량의</t>
        </r>
        <r>
          <rPr>
            <b/>
            <sz val="9"/>
            <color indexed="81"/>
            <rFont val="Tahoma"/>
            <family val="2"/>
          </rPr>
          <t xml:space="preserve"> Index </t>
        </r>
        <r>
          <rPr>
            <b/>
            <sz val="9"/>
            <color indexed="81"/>
            <rFont val="돋움"/>
            <family val="3"/>
            <charset val="129"/>
          </rPr>
          <t>번호</t>
        </r>
        <r>
          <rPr>
            <b/>
            <sz val="9"/>
            <color indexed="81"/>
            <rFont val="Tahoma"/>
            <family val="2"/>
          </rPr>
          <t>(0</t>
        </r>
        <r>
          <rPr>
            <b/>
            <sz val="9"/>
            <color indexed="81"/>
            <rFont val="돋움"/>
            <family val="3"/>
            <charset val="129"/>
          </rPr>
          <t>부터</t>
        </r>
        <r>
          <rPr>
            <b/>
            <sz val="9"/>
            <color indexed="81"/>
            <rFont val="Tahoma"/>
            <family val="2"/>
          </rPr>
          <t xml:space="preserve"> </t>
        </r>
        <r>
          <rPr>
            <b/>
            <sz val="9"/>
            <color indexed="81"/>
            <rFont val="돋움"/>
            <family val="3"/>
            <charset val="129"/>
          </rPr>
          <t>시작</t>
        </r>
        <r>
          <rPr>
            <b/>
            <sz val="9"/>
            <color indexed="81"/>
            <rFont val="Tahoma"/>
            <family val="2"/>
          </rPr>
          <t>)</t>
        </r>
      </text>
    </comment>
    <comment ref="C141" authorId="0" shapeId="0">
      <text>
        <r>
          <rPr>
            <b/>
            <sz val="9"/>
            <color indexed="81"/>
            <rFont val="Tahoma"/>
            <family val="2"/>
          </rPr>
          <t>Train line CID</t>
        </r>
      </text>
    </comment>
    <comment ref="C165" authorId="0" shape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G165" authorId="0" shapeId="0">
      <text>
        <r>
          <rPr>
            <b/>
            <sz val="9"/>
            <color indexed="81"/>
            <rFont val="Tahoma"/>
            <family val="2"/>
          </rPr>
          <t>CNCS</t>
        </r>
        <r>
          <rPr>
            <b/>
            <sz val="9"/>
            <color indexed="81"/>
            <rFont val="돋움"/>
            <family val="3"/>
            <charset val="129"/>
          </rPr>
          <t>의</t>
        </r>
        <r>
          <rPr>
            <b/>
            <sz val="9"/>
            <color indexed="81"/>
            <rFont val="Tahoma"/>
            <family val="2"/>
          </rPr>
          <t xml:space="preserve"> PTT Button</t>
        </r>
        <r>
          <rPr>
            <b/>
            <sz val="9"/>
            <color indexed="81"/>
            <rFont val="돋움"/>
            <family val="3"/>
            <charset val="129"/>
          </rPr>
          <t>상태</t>
        </r>
        <r>
          <rPr>
            <b/>
            <sz val="9"/>
            <color indexed="81"/>
            <rFont val="Tahoma"/>
            <family val="2"/>
          </rPr>
          <t xml:space="preserve"> </t>
        </r>
        <r>
          <rPr>
            <b/>
            <sz val="9"/>
            <color indexed="81"/>
            <rFont val="돋움"/>
            <family val="3"/>
            <charset val="129"/>
          </rPr>
          <t>피드백</t>
        </r>
      </text>
    </comment>
    <comment ref="H165" authorId="0" shapeId="0">
      <text>
        <r>
          <rPr>
            <b/>
            <sz val="9"/>
            <color indexed="81"/>
            <rFont val="Tahoma"/>
            <family val="2"/>
          </rPr>
          <t>VOIP&lt;-&gt;OCC</t>
        </r>
        <r>
          <rPr>
            <b/>
            <sz val="9"/>
            <color indexed="81"/>
            <rFont val="돋움"/>
            <family val="3"/>
            <charset val="129"/>
          </rPr>
          <t>연결상태</t>
        </r>
      </text>
    </comment>
    <comment ref="I165" authorId="0" shapeId="0">
      <text>
        <r>
          <rPr>
            <b/>
            <sz val="9"/>
            <color indexed="81"/>
            <rFont val="Tahoma"/>
            <family val="2"/>
          </rPr>
          <t>VOIP&lt;-&gt;OCC</t>
        </r>
        <r>
          <rPr>
            <b/>
            <sz val="9"/>
            <color indexed="81"/>
            <rFont val="돋움"/>
            <family val="3"/>
            <charset val="129"/>
          </rPr>
          <t>연결상태</t>
        </r>
      </text>
    </comment>
    <comment ref="J165" authorId="0" shapeId="0">
      <text>
        <r>
          <rPr>
            <b/>
            <sz val="9"/>
            <color indexed="81"/>
            <rFont val="Tahoma"/>
            <family val="2"/>
          </rPr>
          <t>Hamsung98:</t>
        </r>
        <r>
          <rPr>
            <sz val="9"/>
            <color indexed="81"/>
            <rFont val="Tahoma"/>
            <family val="2"/>
          </rPr>
          <t xml:space="preserve">
OCC</t>
        </r>
        <r>
          <rPr>
            <sz val="9"/>
            <color indexed="81"/>
            <rFont val="돋움"/>
            <family val="3"/>
            <charset val="129"/>
          </rPr>
          <t>의</t>
        </r>
        <r>
          <rPr>
            <sz val="9"/>
            <color indexed="81"/>
            <rFont val="Tahoma"/>
            <family val="2"/>
          </rPr>
          <t xml:space="preserve"> </t>
        </r>
        <r>
          <rPr>
            <sz val="9"/>
            <color indexed="81"/>
            <rFont val="돋움"/>
            <family val="3"/>
            <charset val="129"/>
          </rPr>
          <t>메시지</t>
        </r>
        <r>
          <rPr>
            <sz val="9"/>
            <color indexed="81"/>
            <rFont val="Tahoma"/>
            <family val="2"/>
          </rPr>
          <t xml:space="preserve"> </t>
        </r>
        <r>
          <rPr>
            <sz val="9"/>
            <color indexed="81"/>
            <rFont val="돋움"/>
            <family val="3"/>
            <charset val="129"/>
          </rPr>
          <t>출력에</t>
        </r>
        <r>
          <rPr>
            <sz val="9"/>
            <color indexed="81"/>
            <rFont val="Tahoma"/>
            <family val="2"/>
          </rPr>
          <t xml:space="preserve"> </t>
        </r>
        <r>
          <rPr>
            <sz val="9"/>
            <color indexed="81"/>
            <rFont val="돋움"/>
            <family val="3"/>
            <charset val="129"/>
          </rPr>
          <t>해당하는</t>
        </r>
        <r>
          <rPr>
            <sz val="9"/>
            <color indexed="81"/>
            <rFont val="Tahoma"/>
            <family val="2"/>
          </rPr>
          <t xml:space="preserve"> </t>
        </r>
        <r>
          <rPr>
            <sz val="9"/>
            <color indexed="81"/>
            <rFont val="돋움"/>
            <family val="3"/>
            <charset val="129"/>
          </rPr>
          <t>장치가</t>
        </r>
        <r>
          <rPr>
            <sz val="9"/>
            <color indexed="81"/>
            <rFont val="Tahoma"/>
            <family val="2"/>
          </rPr>
          <t xml:space="preserve"> PIS </t>
        </r>
        <r>
          <rPr>
            <sz val="9"/>
            <color indexed="81"/>
            <rFont val="돋움"/>
            <family val="3"/>
            <charset val="129"/>
          </rPr>
          <t>장치가</t>
        </r>
        <r>
          <rPr>
            <sz val="9"/>
            <color indexed="81"/>
            <rFont val="Tahoma"/>
            <family val="2"/>
          </rPr>
          <t xml:space="preserve"> OCC</t>
        </r>
        <r>
          <rPr>
            <sz val="9"/>
            <color indexed="81"/>
            <rFont val="돋움"/>
            <family val="3"/>
            <charset val="129"/>
          </rPr>
          <t>에서</t>
        </r>
        <r>
          <rPr>
            <sz val="9"/>
            <color indexed="81"/>
            <rFont val="Tahoma"/>
            <family val="2"/>
          </rPr>
          <t xml:space="preserve"> </t>
        </r>
        <r>
          <rPr>
            <sz val="9"/>
            <color indexed="81"/>
            <rFont val="돋움"/>
            <family val="3"/>
            <charset val="129"/>
          </rPr>
          <t>제공한</t>
        </r>
        <r>
          <rPr>
            <sz val="9"/>
            <color indexed="81"/>
            <rFont val="Tahoma"/>
            <family val="2"/>
          </rPr>
          <t xml:space="preserve"> </t>
        </r>
        <r>
          <rPr>
            <sz val="9"/>
            <color indexed="81"/>
            <rFont val="돋움"/>
            <family val="3"/>
            <charset val="129"/>
          </rPr>
          <t>메시지를</t>
        </r>
        <r>
          <rPr>
            <sz val="9"/>
            <color indexed="81"/>
            <rFont val="Tahoma"/>
            <family val="2"/>
          </rPr>
          <t xml:space="preserve"> </t>
        </r>
        <r>
          <rPr>
            <sz val="9"/>
            <color indexed="81"/>
            <rFont val="돋움"/>
            <family val="3"/>
            <charset val="129"/>
          </rPr>
          <t>표출</t>
        </r>
        <r>
          <rPr>
            <sz val="9"/>
            <color indexed="81"/>
            <rFont val="Tahoma"/>
            <family val="2"/>
          </rPr>
          <t>.</t>
        </r>
      </text>
    </comment>
    <comment ref="C166" authorId="0" shapeId="0">
      <text>
        <r>
          <rPr>
            <b/>
            <sz val="9"/>
            <color indexed="81"/>
            <rFont val="돋움"/>
            <family val="3"/>
            <charset val="129"/>
          </rPr>
          <t>받은</t>
        </r>
        <r>
          <rPr>
            <b/>
            <sz val="9"/>
            <color indexed="81"/>
            <rFont val="Tahoma"/>
            <family val="2"/>
          </rPr>
          <t xml:space="preserve"> OCC </t>
        </r>
        <r>
          <rPr>
            <b/>
            <sz val="9"/>
            <color indexed="81"/>
            <rFont val="돋움"/>
            <family val="3"/>
            <charset val="129"/>
          </rPr>
          <t>사령의</t>
        </r>
        <r>
          <rPr>
            <b/>
            <sz val="9"/>
            <color indexed="81"/>
            <rFont val="Tahoma"/>
            <family val="2"/>
          </rPr>
          <t xml:space="preserve"> </t>
        </r>
        <r>
          <rPr>
            <b/>
            <sz val="9"/>
            <color indexed="81"/>
            <rFont val="돋움"/>
            <family val="3"/>
            <charset val="129"/>
          </rPr>
          <t>전화번호</t>
        </r>
      </text>
    </comment>
    <comment ref="C200" authorId="0" shapeId="0">
      <text>
        <r>
          <rPr>
            <b/>
            <sz val="9"/>
            <color indexed="81"/>
            <rFont val="Tahoma"/>
            <family val="2"/>
          </rPr>
          <t>CNCS</t>
        </r>
        <r>
          <rPr>
            <b/>
            <sz val="9"/>
            <color indexed="81"/>
            <rFont val="돋움"/>
            <family val="3"/>
            <charset val="129"/>
          </rPr>
          <t>의</t>
        </r>
        <r>
          <rPr>
            <b/>
            <sz val="9"/>
            <color indexed="81"/>
            <rFont val="Tahoma"/>
            <family val="2"/>
          </rPr>
          <t xml:space="preserve"> </t>
        </r>
        <r>
          <rPr>
            <b/>
            <sz val="9"/>
            <color indexed="81"/>
            <rFont val="돋움"/>
            <family val="3"/>
            <charset val="129"/>
          </rPr>
          <t>방송</t>
        </r>
        <r>
          <rPr>
            <b/>
            <sz val="9"/>
            <color indexed="81"/>
            <rFont val="Tahoma"/>
            <family val="2"/>
          </rPr>
          <t xml:space="preserve"> </t>
        </r>
        <r>
          <rPr>
            <b/>
            <sz val="9"/>
            <color indexed="81"/>
            <rFont val="돋움"/>
            <family val="3"/>
            <charset val="129"/>
          </rPr>
          <t>지령</t>
        </r>
        <r>
          <rPr>
            <b/>
            <sz val="9"/>
            <color indexed="81"/>
            <rFont val="Tahoma"/>
            <family val="2"/>
          </rPr>
          <t>.</t>
        </r>
      </text>
    </comment>
    <comment ref="I225" authorId="0" shapeId="0">
      <text>
        <r>
          <rPr>
            <b/>
            <sz val="9"/>
            <color indexed="81"/>
            <rFont val="Tahoma"/>
            <family val="2"/>
          </rPr>
          <t>CCP</t>
        </r>
        <r>
          <rPr>
            <b/>
            <sz val="9"/>
            <color indexed="81"/>
            <rFont val="돋움"/>
            <family val="3"/>
            <charset val="129"/>
          </rPr>
          <t>에서</t>
        </r>
        <r>
          <rPr>
            <b/>
            <sz val="9"/>
            <color indexed="81"/>
            <rFont val="Tahoma"/>
            <family val="2"/>
          </rPr>
          <t xml:space="preserve"> Vector </t>
        </r>
        <r>
          <rPr>
            <b/>
            <sz val="9"/>
            <color indexed="81"/>
            <rFont val="돋움"/>
            <family val="3"/>
            <charset val="129"/>
          </rPr>
          <t>참조</t>
        </r>
        <r>
          <rPr>
            <b/>
            <sz val="9"/>
            <color indexed="81"/>
            <rFont val="Tahoma"/>
            <family val="2"/>
          </rPr>
          <t xml:space="preserve"> </t>
        </r>
        <r>
          <rPr>
            <b/>
            <sz val="9"/>
            <color indexed="81"/>
            <rFont val="돋움"/>
            <family val="3"/>
            <charset val="129"/>
          </rPr>
          <t>정보</t>
        </r>
        <r>
          <rPr>
            <b/>
            <sz val="9"/>
            <color indexed="81"/>
            <rFont val="Tahoma"/>
            <family val="2"/>
          </rPr>
          <t xml:space="preserve">.
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List>
</comments>
</file>

<file path=xl/comments2.xml><?xml version="1.0" encoding="utf-8"?>
<comments xmlns="http://schemas.openxmlformats.org/spreadsheetml/2006/main">
  <authors>
    <author>Hamsung98</author>
  </authors>
  <commentList>
    <comment ref="D14" authorId="0" shapeId="0">
      <text>
        <r>
          <rPr>
            <b/>
            <sz val="9"/>
            <color indexed="81"/>
            <rFont val="Tahoma"/>
            <family val="2"/>
          </rPr>
          <t>Normal : 0
Fault : 1</t>
        </r>
      </text>
    </comment>
  </commentList>
</comments>
</file>

<file path=xl/comments3.xml><?xml version="1.0" encoding="utf-8"?>
<comments xmlns="http://schemas.openxmlformats.org/spreadsheetml/2006/main">
  <authors>
    <author>Hamsung98</author>
    <author>김재우</author>
  </authors>
  <commentList>
    <comment ref="S14" authorId="0" shapeId="0">
      <text>
        <r>
          <rPr>
            <b/>
            <sz val="9"/>
            <color indexed="81"/>
            <rFont val="Tahoma"/>
            <family val="2"/>
          </rPr>
          <t>Normal : 0
Fault : 1</t>
        </r>
      </text>
    </comment>
    <comment ref="C20" authorId="1" shapeId="0">
      <text>
        <r>
          <rPr>
            <b/>
            <sz val="9"/>
            <color indexed="10"/>
            <rFont val="굴림"/>
            <family val="3"/>
            <charset val="129"/>
          </rPr>
          <t xml:space="preserve">10: CA_Info_Req
</t>
        </r>
        <r>
          <rPr>
            <b/>
            <sz val="9"/>
            <color indexed="81"/>
            <rFont val="굴림"/>
            <family val="3"/>
            <charset val="129"/>
          </rPr>
          <t>11: CA_Info_Ack</t>
        </r>
      </text>
    </comment>
    <comment ref="C23"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34" authorId="1" shapeId="0">
      <text>
        <r>
          <rPr>
            <b/>
            <sz val="9"/>
            <color indexed="10"/>
            <rFont val="굴림"/>
            <family val="3"/>
            <charset val="129"/>
          </rPr>
          <t xml:space="preserve">10: CA_Info_Req
</t>
        </r>
        <r>
          <rPr>
            <b/>
            <sz val="9"/>
            <color indexed="81"/>
            <rFont val="굴림"/>
            <family val="3"/>
            <charset val="129"/>
          </rPr>
          <t>11: CA_Info_Ack</t>
        </r>
      </text>
    </comment>
    <comment ref="C37"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B38" authorId="0" shapeId="0">
      <text>
        <r>
          <rPr>
            <b/>
            <sz val="9"/>
            <color indexed="81"/>
            <rFont val="돋움"/>
            <family val="3"/>
            <charset val="129"/>
          </rPr>
          <t>차량번호</t>
        </r>
      </text>
    </comment>
    <comment ref="C50" authorId="1" shapeId="0">
      <text>
        <r>
          <rPr>
            <b/>
            <sz val="9"/>
            <color indexed="10"/>
            <rFont val="굴림"/>
            <family val="3"/>
            <charset val="129"/>
          </rPr>
          <t xml:space="preserve">10: CA_Info_Req
</t>
        </r>
        <r>
          <rPr>
            <b/>
            <sz val="9"/>
            <color indexed="81"/>
            <rFont val="굴림"/>
            <family val="3"/>
            <charset val="129"/>
          </rPr>
          <t>11: CA_Info_Ack</t>
        </r>
      </text>
    </comment>
    <comment ref="C53"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60" authorId="0" shapeId="0">
      <text>
        <r>
          <rPr>
            <b/>
            <sz val="9"/>
            <color indexed="81"/>
            <rFont val="Tahoma"/>
            <family val="2"/>
          </rPr>
          <t xml:space="preserve">Wayside  On : 01
Wayside Off : 00
</t>
        </r>
      </text>
    </comment>
    <comment ref="C61" authorId="0" shapeId="0">
      <text>
        <r>
          <rPr>
            <b/>
            <sz val="9"/>
            <color indexed="81"/>
            <rFont val="Tahoma"/>
            <family val="2"/>
          </rPr>
          <t xml:space="preserve">- Recent : 1
- Historical : 2
</t>
        </r>
      </text>
    </comment>
    <comment ref="C62" authorId="0" shapeId="0">
      <text>
        <r>
          <rPr>
            <b/>
            <sz val="9"/>
            <color indexed="81"/>
            <rFont val="Tahoma"/>
            <family val="2"/>
          </rPr>
          <t>2008</t>
        </r>
        <r>
          <rPr>
            <b/>
            <sz val="9"/>
            <color indexed="81"/>
            <rFont val="돋움"/>
            <family val="3"/>
            <charset val="129"/>
          </rPr>
          <t>년</t>
        </r>
        <r>
          <rPr>
            <b/>
            <sz val="9"/>
            <color indexed="81"/>
            <rFont val="Tahoma"/>
            <family val="2"/>
          </rPr>
          <t xml:space="preserve"> 1</t>
        </r>
        <r>
          <rPr>
            <b/>
            <sz val="9"/>
            <color indexed="81"/>
            <rFont val="돋움"/>
            <family val="3"/>
            <charset val="129"/>
          </rPr>
          <t>월</t>
        </r>
        <r>
          <rPr>
            <b/>
            <sz val="9"/>
            <color indexed="81"/>
            <rFont val="Tahoma"/>
            <family val="2"/>
          </rPr>
          <t xml:space="preserve"> 1</t>
        </r>
        <r>
          <rPr>
            <b/>
            <sz val="9"/>
            <color indexed="81"/>
            <rFont val="돋움"/>
            <family val="3"/>
            <charset val="129"/>
          </rPr>
          <t>일</t>
        </r>
        <r>
          <rPr>
            <b/>
            <sz val="9"/>
            <color indexed="81"/>
            <rFont val="Tahoma"/>
            <family val="2"/>
          </rPr>
          <t xml:space="preserve"> 0</t>
        </r>
        <r>
          <rPr>
            <b/>
            <sz val="9"/>
            <color indexed="81"/>
            <rFont val="돋움"/>
            <family val="3"/>
            <charset val="129"/>
          </rPr>
          <t>시</t>
        </r>
        <r>
          <rPr>
            <b/>
            <sz val="9"/>
            <color indexed="81"/>
            <rFont val="Tahoma"/>
            <family val="2"/>
          </rPr>
          <t xml:space="preserve"> 0</t>
        </r>
        <r>
          <rPr>
            <b/>
            <sz val="9"/>
            <color indexed="81"/>
            <rFont val="돋움"/>
            <family val="3"/>
            <charset val="129"/>
          </rPr>
          <t>분</t>
        </r>
        <r>
          <rPr>
            <b/>
            <sz val="9"/>
            <color indexed="81"/>
            <rFont val="Tahoma"/>
            <family val="2"/>
          </rPr>
          <t xml:space="preserve"> 0</t>
        </r>
        <r>
          <rPr>
            <b/>
            <sz val="9"/>
            <color indexed="81"/>
            <rFont val="돋움"/>
            <family val="3"/>
            <charset val="129"/>
          </rPr>
          <t>초</t>
        </r>
        <r>
          <rPr>
            <b/>
            <sz val="9"/>
            <color indexed="81"/>
            <rFont val="Tahoma"/>
            <family val="2"/>
          </rPr>
          <t xml:space="preserve"> </t>
        </r>
        <r>
          <rPr>
            <b/>
            <sz val="9"/>
            <color indexed="81"/>
            <rFont val="돋움"/>
            <family val="3"/>
            <charset val="129"/>
          </rPr>
          <t>서부터</t>
        </r>
        <r>
          <rPr>
            <b/>
            <sz val="9"/>
            <color indexed="81"/>
            <rFont val="Tahoma"/>
            <family val="2"/>
          </rPr>
          <t xml:space="preserve"> </t>
        </r>
        <r>
          <rPr>
            <b/>
            <sz val="9"/>
            <color indexed="81"/>
            <rFont val="돋움"/>
            <family val="3"/>
            <charset val="129"/>
          </rPr>
          <t>초로</t>
        </r>
        <r>
          <rPr>
            <b/>
            <sz val="9"/>
            <color indexed="81"/>
            <rFont val="Tahoma"/>
            <family val="2"/>
          </rPr>
          <t xml:space="preserve"> </t>
        </r>
        <r>
          <rPr>
            <b/>
            <sz val="9"/>
            <color indexed="81"/>
            <rFont val="돋움"/>
            <family val="3"/>
            <charset val="129"/>
          </rPr>
          <t>환산된</t>
        </r>
        <r>
          <rPr>
            <b/>
            <sz val="9"/>
            <color indexed="81"/>
            <rFont val="Tahoma"/>
            <family val="2"/>
          </rPr>
          <t xml:space="preserve"> </t>
        </r>
        <r>
          <rPr>
            <b/>
            <sz val="9"/>
            <color indexed="81"/>
            <rFont val="돋움"/>
            <family val="3"/>
            <charset val="129"/>
          </rPr>
          <t>값</t>
        </r>
        <r>
          <rPr>
            <b/>
            <sz val="9"/>
            <color indexed="81"/>
            <rFont val="Tahoma"/>
            <family val="2"/>
          </rPr>
          <t>.</t>
        </r>
      </text>
    </comment>
    <comment ref="B116" authorId="0" shapeId="0">
      <text>
        <r>
          <rPr>
            <b/>
            <sz val="9"/>
            <color indexed="81"/>
            <rFont val="돋움"/>
            <family val="3"/>
            <charset val="129"/>
          </rPr>
          <t>차량번호</t>
        </r>
      </text>
    </comment>
    <comment ref="C127" authorId="1" shapeId="0">
      <text>
        <r>
          <rPr>
            <b/>
            <sz val="9"/>
            <color indexed="10"/>
            <rFont val="굴림"/>
            <family val="3"/>
            <charset val="129"/>
          </rPr>
          <t xml:space="preserve">10: CA_Info_Req
</t>
        </r>
        <r>
          <rPr>
            <b/>
            <sz val="9"/>
            <color indexed="81"/>
            <rFont val="굴림"/>
            <family val="3"/>
            <charset val="129"/>
          </rPr>
          <t>11: CA_Info_Ack</t>
        </r>
      </text>
    </comment>
    <comment ref="C130"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146" authorId="1" shapeId="0">
      <text>
        <r>
          <rPr>
            <b/>
            <sz val="9"/>
            <color indexed="10"/>
            <rFont val="굴림"/>
            <family val="3"/>
            <charset val="129"/>
          </rPr>
          <t xml:space="preserve">10: CA_Info_Req
</t>
        </r>
        <r>
          <rPr>
            <b/>
            <sz val="9"/>
            <color indexed="81"/>
            <rFont val="굴림"/>
            <family val="3"/>
            <charset val="129"/>
          </rPr>
          <t>11: CA_Info_Ack</t>
        </r>
      </text>
    </comment>
    <comment ref="C149"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 ref="C161" authorId="1" shapeId="0">
      <text>
        <r>
          <rPr>
            <b/>
            <sz val="9"/>
            <color indexed="10"/>
            <rFont val="굴림"/>
            <family val="3"/>
            <charset val="129"/>
          </rPr>
          <t xml:space="preserve">10: CA_Info_Req
</t>
        </r>
        <r>
          <rPr>
            <b/>
            <sz val="9"/>
            <color indexed="81"/>
            <rFont val="굴림"/>
            <family val="3"/>
            <charset val="129"/>
          </rPr>
          <t>11: CA_Info_Ack</t>
        </r>
      </text>
    </comment>
    <comment ref="C164" authorId="0" shapeId="0">
      <text>
        <r>
          <rPr>
            <b/>
            <sz val="9"/>
            <color indexed="81"/>
            <rFont val="Tahoma"/>
            <family val="2"/>
          </rPr>
          <t xml:space="preserve">0x08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요청</t>
        </r>
        <r>
          <rPr>
            <b/>
            <sz val="9"/>
            <color indexed="81"/>
            <rFont val="Tahoma"/>
            <family val="2"/>
          </rPr>
          <t>(LIC -&gt; CNCS)</t>
        </r>
        <r>
          <rPr>
            <b/>
            <sz val="9"/>
            <color indexed="81"/>
            <rFont val="돋움"/>
            <family val="3"/>
            <charset val="129"/>
          </rPr>
          <t xml:space="preserve">
</t>
        </r>
        <r>
          <rPr>
            <b/>
            <sz val="9"/>
            <color indexed="81"/>
            <rFont val="Tahoma"/>
            <family val="2"/>
          </rPr>
          <t xml:space="preserve">0x09 : </t>
        </r>
        <r>
          <rPr>
            <b/>
            <sz val="9"/>
            <color indexed="81"/>
            <rFont val="돋움"/>
            <family val="3"/>
            <charset val="129"/>
          </rPr>
          <t>시간</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응답</t>
        </r>
        <r>
          <rPr>
            <b/>
            <sz val="9"/>
            <color indexed="81"/>
            <rFont val="Tahoma"/>
            <family val="2"/>
          </rPr>
          <t>(CNCS-&gt;LIC)</t>
        </r>
        <r>
          <rPr>
            <b/>
            <sz val="9"/>
            <color indexed="81"/>
            <rFont val="돋움"/>
            <family val="3"/>
            <charset val="129"/>
          </rPr>
          <t xml:space="preserve">
</t>
        </r>
        <r>
          <rPr>
            <b/>
            <sz val="9"/>
            <color indexed="81"/>
            <rFont val="Tahoma"/>
            <family val="2"/>
          </rPr>
          <t xml:space="preserve">0x04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(LIC -&gt; CNCS)</t>
        </r>
        <r>
          <rPr>
            <b/>
            <sz val="9"/>
            <color indexed="81"/>
            <rFont val="돋움"/>
            <family val="3"/>
            <charset val="129"/>
          </rPr>
          <t xml:space="preserve">
</t>
        </r>
        <r>
          <rPr>
            <b/>
            <sz val="9"/>
            <color indexed="81"/>
            <rFont val="Tahoma"/>
            <family val="2"/>
          </rPr>
          <t xml:space="preserve">0x06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(LIC -&gt; CNCS)
0x07 : CDT </t>
        </r>
        <r>
          <rPr>
            <b/>
            <sz val="9"/>
            <color indexed="81"/>
            <rFont val="돋움"/>
            <family val="3"/>
            <charset val="129"/>
          </rPr>
          <t>고장</t>
        </r>
        <r>
          <rPr>
            <b/>
            <sz val="9"/>
            <color indexed="81"/>
            <rFont val="Tahoma"/>
            <family val="2"/>
          </rPr>
          <t xml:space="preserve"> </t>
        </r>
        <r>
          <rPr>
            <b/>
            <sz val="9"/>
            <color indexed="81"/>
            <rFont val="돋움"/>
            <family val="3"/>
            <charset val="129"/>
          </rPr>
          <t>정보</t>
        </r>
        <r>
          <rPr>
            <b/>
            <sz val="9"/>
            <color indexed="81"/>
            <rFont val="Tahoma"/>
            <family val="2"/>
          </rPr>
          <t xml:space="preserve"> </t>
        </r>
        <r>
          <rPr>
            <b/>
            <sz val="9"/>
            <color indexed="81"/>
            <rFont val="돋움"/>
            <family val="3"/>
            <charset val="129"/>
          </rPr>
          <t>전송</t>
        </r>
        <r>
          <rPr>
            <b/>
            <sz val="9"/>
            <color indexed="81"/>
            <rFont val="Tahoma"/>
            <family val="2"/>
          </rPr>
          <t xml:space="preserve"> </t>
        </r>
        <r>
          <rPr>
            <b/>
            <sz val="9"/>
            <color indexed="81"/>
            <rFont val="돋움"/>
            <family val="3"/>
            <charset val="129"/>
          </rPr>
          <t>완료</t>
        </r>
        <r>
          <rPr>
            <b/>
            <sz val="9"/>
            <color indexed="81"/>
            <rFont val="Tahoma"/>
            <family val="2"/>
          </rPr>
          <t xml:space="preserve"> </t>
        </r>
        <r>
          <rPr>
            <b/>
            <sz val="9"/>
            <color indexed="81"/>
            <rFont val="돋움"/>
            <family val="3"/>
            <charset val="129"/>
          </rPr>
          <t>응답</t>
        </r>
        <r>
          <rPr>
            <b/>
            <sz val="9"/>
            <color indexed="81"/>
            <rFont val="Tahoma"/>
            <family val="2"/>
          </rPr>
          <t xml:space="preserve">(CNCS-&gt;LIC)
</t>
        </r>
        <r>
          <rPr>
            <b/>
            <sz val="9"/>
            <color indexed="81"/>
            <rFont val="돋움"/>
            <family val="3"/>
            <charset val="129"/>
          </rPr>
          <t xml:space="preserve">
</t>
        </r>
      </text>
    </comment>
  </commentList>
</comments>
</file>

<file path=xl/comments4.xml><?xml version="1.0" encoding="utf-8"?>
<comments xmlns="http://schemas.openxmlformats.org/spreadsheetml/2006/main">
  <authors>
    <author>Hamsung98</author>
  </authors>
  <commentList>
    <comment ref="I43" authorId="0" shapeId="0">
      <text>
        <r>
          <rPr>
            <b/>
            <sz val="9"/>
            <color indexed="81"/>
            <rFont val="Tahoma"/>
            <family val="2"/>
          </rPr>
          <t xml:space="preserve">0 : </t>
        </r>
        <r>
          <rPr>
            <b/>
            <sz val="9"/>
            <color indexed="81"/>
            <rFont val="돋움"/>
            <family val="3"/>
            <charset val="129"/>
          </rPr>
          <t>역명</t>
        </r>
        <r>
          <rPr>
            <b/>
            <sz val="9"/>
            <color indexed="81"/>
            <rFont val="Tahoma"/>
            <family val="2"/>
          </rPr>
          <t>1(</t>
        </r>
        <r>
          <rPr>
            <b/>
            <sz val="9"/>
            <color indexed="81"/>
            <rFont val="돋움"/>
            <family val="3"/>
            <charset val="129"/>
          </rPr>
          <t>역명</t>
        </r>
        <r>
          <rPr>
            <b/>
            <sz val="9"/>
            <color indexed="81"/>
            <rFont val="Tahoma"/>
            <family val="2"/>
          </rPr>
          <t xml:space="preserve"> Master)
1 : Via Center city
2 : </t>
        </r>
        <r>
          <rPr>
            <b/>
            <sz val="9"/>
            <color indexed="81"/>
            <rFont val="돋움"/>
            <family val="3"/>
            <charset val="129"/>
          </rPr>
          <t>역명</t>
        </r>
        <r>
          <rPr>
            <b/>
            <sz val="9"/>
            <color indexed="81"/>
            <rFont val="Tahoma"/>
            <family val="2"/>
          </rPr>
          <t>2(</t>
        </r>
        <r>
          <rPr>
            <b/>
            <sz val="9"/>
            <color indexed="81"/>
            <rFont val="돋움"/>
            <family val="3"/>
            <charset val="129"/>
          </rPr>
          <t>역명</t>
        </r>
        <r>
          <rPr>
            <b/>
            <sz val="9"/>
            <color indexed="81"/>
            <rFont val="Tahoma"/>
            <family val="2"/>
          </rPr>
          <t xml:space="preserve"> Slave)
3 : PR Message </t>
        </r>
        <r>
          <rPr>
            <b/>
            <sz val="9"/>
            <color indexed="81"/>
            <rFont val="돋움"/>
            <family val="3"/>
            <charset val="129"/>
          </rPr>
          <t>현시</t>
        </r>
        <r>
          <rPr>
            <b/>
            <sz val="9"/>
            <color indexed="81"/>
            <rFont val="Tahoma"/>
            <family val="2"/>
          </rPr>
          <t>.</t>
        </r>
        <r>
          <rPr>
            <sz val="9"/>
            <color indexed="81"/>
            <rFont val="Tahoma"/>
            <family val="2"/>
          </rPr>
          <t xml:space="preserve">
</t>
        </r>
      </text>
    </comment>
  </commentList>
</comments>
</file>

<file path=xl/comments5.xml><?xml version="1.0" encoding="utf-8"?>
<comments xmlns="http://schemas.openxmlformats.org/spreadsheetml/2006/main">
  <authors>
    <author>Hamsung98</author>
  </authors>
  <commentList>
    <comment ref="G14" authorId="0" shapeId="0">
      <text>
        <r>
          <rPr>
            <b/>
            <sz val="9"/>
            <color indexed="81"/>
            <rFont val="돋움"/>
            <family val="3"/>
            <charset val="129"/>
          </rPr>
          <t>통신</t>
        </r>
        <r>
          <rPr>
            <b/>
            <sz val="9"/>
            <color indexed="81"/>
            <rFont val="Tahoma"/>
            <family val="2"/>
          </rPr>
          <t xml:space="preserve"> </t>
        </r>
        <r>
          <rPr>
            <b/>
            <sz val="9"/>
            <color indexed="81"/>
            <rFont val="돋움"/>
            <family val="3"/>
            <charset val="129"/>
          </rPr>
          <t>권한</t>
        </r>
        <r>
          <rPr>
            <b/>
            <sz val="9"/>
            <color indexed="81"/>
            <rFont val="Tahoma"/>
            <family val="2"/>
          </rPr>
          <t xml:space="preserve"> </t>
        </r>
        <r>
          <rPr>
            <b/>
            <sz val="9"/>
            <color indexed="81"/>
            <rFont val="돋움"/>
            <family val="3"/>
            <charset val="129"/>
          </rPr>
          <t>제어</t>
        </r>
        <r>
          <rPr>
            <b/>
            <sz val="9"/>
            <color indexed="81"/>
            <rFont val="Tahoma"/>
            <family val="2"/>
          </rPr>
          <t xml:space="preserve"> </t>
        </r>
        <r>
          <rPr>
            <b/>
            <sz val="9"/>
            <color indexed="81"/>
            <rFont val="돋움"/>
            <family val="3"/>
            <charset val="129"/>
          </rPr>
          <t>비트</t>
        </r>
      </text>
    </comment>
    <comment ref="G15" authorId="0" shape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통신을</t>
        </r>
        <r>
          <rPr>
            <b/>
            <sz val="9"/>
            <color indexed="81"/>
            <rFont val="Tahoma"/>
            <family val="2"/>
          </rPr>
          <t xml:space="preserve"> </t>
        </r>
        <r>
          <rPr>
            <b/>
            <sz val="9"/>
            <color indexed="81"/>
            <rFont val="돋움"/>
            <family val="3"/>
            <charset val="129"/>
          </rPr>
          <t>주관할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5" authorId="0" shape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통신</t>
        </r>
        <r>
          <rPr>
            <b/>
            <sz val="9"/>
            <color indexed="81"/>
            <rFont val="Tahoma"/>
            <family val="2"/>
          </rPr>
          <t xml:space="preserve"> </t>
        </r>
        <r>
          <rPr>
            <b/>
            <sz val="9"/>
            <color indexed="81"/>
            <rFont val="돋움"/>
            <family val="3"/>
            <charset val="129"/>
          </rPr>
          <t>권한을</t>
        </r>
        <r>
          <rPr>
            <b/>
            <sz val="9"/>
            <color indexed="81"/>
            <rFont val="Tahoma"/>
            <family val="2"/>
          </rPr>
          <t xml:space="preserve"> </t>
        </r>
        <r>
          <rPr>
            <b/>
            <sz val="9"/>
            <color indexed="81"/>
            <rFont val="돋움"/>
            <family val="3"/>
            <charset val="129"/>
          </rPr>
          <t>가진</t>
        </r>
        <r>
          <rPr>
            <b/>
            <sz val="9"/>
            <color indexed="81"/>
            <rFont val="Tahoma"/>
            <family val="2"/>
          </rPr>
          <t xml:space="preserve"> </t>
        </r>
        <r>
          <rPr>
            <b/>
            <sz val="9"/>
            <color indexed="81"/>
            <rFont val="돋움"/>
            <family val="3"/>
            <charset val="129"/>
          </rPr>
          <t>장치로</t>
        </r>
        <r>
          <rPr>
            <b/>
            <sz val="9"/>
            <color indexed="81"/>
            <rFont val="Tahoma"/>
            <family val="2"/>
          </rPr>
          <t xml:space="preserve"> </t>
        </r>
        <r>
          <rPr>
            <b/>
            <sz val="9"/>
            <color indexed="81"/>
            <rFont val="돋움"/>
            <family val="3"/>
            <charset val="129"/>
          </rPr>
          <t>부터</t>
        </r>
        <r>
          <rPr>
            <b/>
            <sz val="9"/>
            <color indexed="81"/>
            <rFont val="Tahoma"/>
            <family val="2"/>
          </rPr>
          <t xml:space="preserve">, </t>
        </r>
        <r>
          <rPr>
            <b/>
            <sz val="9"/>
            <color indexed="81"/>
            <rFont val="돋움"/>
            <family val="3"/>
            <charset val="129"/>
          </rPr>
          <t>통신</t>
        </r>
        <r>
          <rPr>
            <b/>
            <sz val="9"/>
            <color indexed="81"/>
            <rFont val="Tahoma"/>
            <family val="2"/>
          </rPr>
          <t xml:space="preserve"> </t>
        </r>
        <r>
          <rPr>
            <b/>
            <sz val="9"/>
            <color indexed="81"/>
            <rFont val="돋움"/>
            <family val="3"/>
            <charset val="129"/>
          </rPr>
          <t>권한을</t>
        </r>
        <r>
          <rPr>
            <b/>
            <sz val="9"/>
            <color indexed="81"/>
            <rFont val="Tahoma"/>
            <family val="2"/>
          </rPr>
          <t xml:space="preserve"> </t>
        </r>
        <r>
          <rPr>
            <b/>
            <sz val="9"/>
            <color indexed="81"/>
            <rFont val="돋움"/>
            <family val="3"/>
            <charset val="129"/>
          </rPr>
          <t>요청할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16" authorId="0" shapeId="0">
      <text>
        <r>
          <rPr>
            <b/>
            <sz val="9"/>
            <color indexed="81"/>
            <rFont val="Tahoma"/>
            <family val="2"/>
          </rPr>
          <t xml:space="preserve">CCP Calbration </t>
        </r>
        <r>
          <rPr>
            <b/>
            <sz val="9"/>
            <color indexed="81"/>
            <rFont val="돋움"/>
            <family val="3"/>
            <charset val="129"/>
          </rPr>
          <t>제어</t>
        </r>
      </text>
    </comment>
    <comment ref="H16" authorId="0" shapeId="0">
      <text>
        <r>
          <rPr>
            <b/>
            <sz val="9"/>
            <color indexed="81"/>
            <rFont val="Tahoma"/>
            <family val="2"/>
          </rPr>
          <t xml:space="preserve">WLR </t>
        </r>
        <r>
          <rPr>
            <b/>
            <sz val="9"/>
            <color indexed="81"/>
            <rFont val="돋움"/>
            <family val="3"/>
            <charset val="129"/>
          </rPr>
          <t>상태</t>
        </r>
      </text>
    </comment>
    <comment ref="H17" authorId="0" shapeId="0">
      <text>
        <r>
          <rPr>
            <b/>
            <sz val="9"/>
            <color indexed="81"/>
            <rFont val="Tahoma"/>
            <family val="2"/>
          </rPr>
          <t>CNCS</t>
        </r>
        <r>
          <rPr>
            <b/>
            <sz val="9"/>
            <color indexed="81"/>
            <rFont val="돋움"/>
            <family val="3"/>
            <charset val="129"/>
          </rPr>
          <t>의</t>
        </r>
        <r>
          <rPr>
            <b/>
            <sz val="9"/>
            <color indexed="81"/>
            <rFont val="Tahoma"/>
            <family val="2"/>
          </rPr>
          <t xml:space="preserve"> FTP</t>
        </r>
        <r>
          <rPr>
            <b/>
            <sz val="9"/>
            <color indexed="81"/>
            <rFont val="돋움"/>
            <family val="3"/>
            <charset val="129"/>
          </rPr>
          <t>가</t>
        </r>
        <r>
          <rPr>
            <b/>
            <sz val="9"/>
            <color indexed="81"/>
            <rFont val="Tahoma"/>
            <family val="2"/>
          </rPr>
          <t xml:space="preserve"> Up/Down</t>
        </r>
        <r>
          <rPr>
            <b/>
            <sz val="9"/>
            <color indexed="81"/>
            <rFont val="돋움"/>
            <family val="3"/>
            <charset val="129"/>
          </rPr>
          <t>작업을</t>
        </r>
        <r>
          <rPr>
            <b/>
            <sz val="9"/>
            <color indexed="81"/>
            <rFont val="Tahoma"/>
            <family val="2"/>
          </rPr>
          <t xml:space="preserve"> </t>
        </r>
        <r>
          <rPr>
            <b/>
            <sz val="9"/>
            <color indexed="81"/>
            <rFont val="돋움"/>
            <family val="3"/>
            <charset val="129"/>
          </rPr>
          <t>진행할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I17" authorId="0" shapeId="0">
      <text>
        <r>
          <rPr>
            <b/>
            <sz val="9"/>
            <color indexed="81"/>
            <rFont val="Tahoma"/>
            <family val="2"/>
          </rPr>
          <t>CNCS</t>
        </r>
        <r>
          <rPr>
            <b/>
            <sz val="9"/>
            <color indexed="81"/>
            <rFont val="돋움"/>
            <family val="3"/>
            <charset val="129"/>
          </rPr>
          <t>의</t>
        </r>
        <r>
          <rPr>
            <b/>
            <sz val="9"/>
            <color indexed="81"/>
            <rFont val="Tahoma"/>
            <family val="2"/>
          </rPr>
          <t xml:space="preserve"> FTP</t>
        </r>
        <r>
          <rPr>
            <b/>
            <sz val="9"/>
            <color indexed="81"/>
            <rFont val="돋움"/>
            <family val="3"/>
            <charset val="129"/>
          </rPr>
          <t>가</t>
        </r>
        <r>
          <rPr>
            <b/>
            <sz val="9"/>
            <color indexed="81"/>
            <rFont val="Tahoma"/>
            <family val="2"/>
          </rPr>
          <t xml:space="preserve"> Server</t>
        </r>
        <r>
          <rPr>
            <b/>
            <sz val="9"/>
            <color indexed="81"/>
            <rFont val="돋움"/>
            <family val="3"/>
            <charset val="129"/>
          </rPr>
          <t>에</t>
        </r>
        <r>
          <rPr>
            <b/>
            <sz val="9"/>
            <color indexed="81"/>
            <rFont val="Tahoma"/>
            <family val="2"/>
          </rPr>
          <t xml:space="preserve"> </t>
        </r>
        <r>
          <rPr>
            <b/>
            <sz val="9"/>
            <color indexed="81"/>
            <rFont val="돋움"/>
            <family val="3"/>
            <charset val="129"/>
          </rPr>
          <t>연결되었을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7" authorId="0" shapeId="0">
      <text>
        <r>
          <rPr>
            <b/>
            <sz val="9"/>
            <color indexed="81"/>
            <rFont val="Tahoma"/>
            <family val="2"/>
          </rPr>
          <t>CNCS</t>
        </r>
        <r>
          <rPr>
            <b/>
            <sz val="9"/>
            <color indexed="81"/>
            <rFont val="돋움"/>
            <family val="3"/>
            <charset val="129"/>
          </rPr>
          <t>의</t>
        </r>
        <r>
          <rPr>
            <b/>
            <sz val="9"/>
            <color indexed="81"/>
            <rFont val="Tahoma"/>
            <family val="2"/>
          </rPr>
          <t xml:space="preserve"> Ethernet Port</t>
        </r>
        <r>
          <rPr>
            <b/>
            <sz val="9"/>
            <color indexed="81"/>
            <rFont val="돋움"/>
            <family val="3"/>
            <charset val="129"/>
          </rPr>
          <t>가</t>
        </r>
        <r>
          <rPr>
            <b/>
            <sz val="9"/>
            <color indexed="81"/>
            <rFont val="Tahoma"/>
            <family val="2"/>
          </rPr>
          <t xml:space="preserve"> </t>
        </r>
        <r>
          <rPr>
            <b/>
            <sz val="9"/>
            <color indexed="81"/>
            <rFont val="돋움"/>
            <family val="3"/>
            <charset val="129"/>
          </rPr>
          <t>활성화</t>
        </r>
        <r>
          <rPr>
            <b/>
            <sz val="9"/>
            <color indexed="81"/>
            <rFont val="Tahoma"/>
            <family val="2"/>
          </rPr>
          <t xml:space="preserve"> </t>
        </r>
        <r>
          <rPr>
            <b/>
            <sz val="9"/>
            <color indexed="81"/>
            <rFont val="돋움"/>
            <family val="3"/>
            <charset val="129"/>
          </rPr>
          <t>되었을</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18" authorId="0" shapeId="0">
      <text>
        <r>
          <rPr>
            <b/>
            <sz val="9"/>
            <color indexed="81"/>
            <rFont val="돋움"/>
            <family val="3"/>
            <charset val="129"/>
          </rPr>
          <t>신호가</t>
        </r>
        <r>
          <rPr>
            <b/>
            <sz val="9"/>
            <color indexed="81"/>
            <rFont val="Tahoma"/>
            <family val="2"/>
          </rPr>
          <t xml:space="preserve"> </t>
        </r>
        <r>
          <rPr>
            <b/>
            <sz val="9"/>
            <color indexed="81"/>
            <rFont val="돋움"/>
            <family val="3"/>
            <charset val="129"/>
          </rPr>
          <t>변경될</t>
        </r>
        <r>
          <rPr>
            <b/>
            <sz val="9"/>
            <color indexed="81"/>
            <rFont val="Tahoma"/>
            <family val="2"/>
          </rPr>
          <t xml:space="preserve"> </t>
        </r>
        <r>
          <rPr>
            <b/>
            <sz val="9"/>
            <color indexed="81"/>
            <rFont val="돋움"/>
            <family val="3"/>
            <charset val="129"/>
          </rPr>
          <t>경우</t>
        </r>
        <r>
          <rPr>
            <b/>
            <sz val="9"/>
            <color indexed="81"/>
            <rFont val="Tahoma"/>
            <family val="2"/>
          </rPr>
          <t xml:space="preserve">, VTX </t>
        </r>
        <r>
          <rPr>
            <b/>
            <sz val="9"/>
            <color indexed="81"/>
            <rFont val="돋움"/>
            <family val="3"/>
            <charset val="129"/>
          </rPr>
          <t>출력</t>
        </r>
        <r>
          <rPr>
            <b/>
            <sz val="9"/>
            <color indexed="81"/>
            <rFont val="Tahoma"/>
            <family val="2"/>
          </rPr>
          <t xml:space="preserve"> </t>
        </r>
        <r>
          <rPr>
            <b/>
            <sz val="9"/>
            <color indexed="81"/>
            <rFont val="돋움"/>
            <family val="3"/>
            <charset val="129"/>
          </rPr>
          <t>시그널을</t>
        </r>
        <r>
          <rPr>
            <b/>
            <sz val="9"/>
            <color indexed="81"/>
            <rFont val="Tahoma"/>
            <family val="2"/>
          </rPr>
          <t xml:space="preserve"> </t>
        </r>
        <r>
          <rPr>
            <b/>
            <sz val="9"/>
            <color indexed="81"/>
            <rFont val="돋움"/>
            <family val="3"/>
            <charset val="129"/>
          </rPr>
          <t>반전함</t>
        </r>
        <r>
          <rPr>
            <b/>
            <sz val="9"/>
            <color indexed="81"/>
            <rFont val="Tahoma"/>
            <family val="2"/>
          </rPr>
          <t>.</t>
        </r>
      </text>
    </comment>
    <comment ref="D18" authorId="0" shapeId="0">
      <text>
        <r>
          <rPr>
            <b/>
            <sz val="9"/>
            <color indexed="81"/>
            <rFont val="Tahoma"/>
            <family val="2"/>
          </rPr>
          <t>CNCS</t>
        </r>
        <r>
          <rPr>
            <b/>
            <sz val="9"/>
            <color indexed="81"/>
            <rFont val="돋움"/>
            <family val="3"/>
            <charset val="129"/>
          </rPr>
          <t>에</t>
        </r>
        <r>
          <rPr>
            <b/>
            <sz val="9"/>
            <color indexed="81"/>
            <rFont val="Tahoma"/>
            <family val="2"/>
          </rPr>
          <t xml:space="preserve"> PTU</t>
        </r>
        <r>
          <rPr>
            <b/>
            <sz val="9"/>
            <color indexed="81"/>
            <rFont val="돋움"/>
            <family val="3"/>
            <charset val="129"/>
          </rPr>
          <t>가</t>
        </r>
        <r>
          <rPr>
            <b/>
            <sz val="9"/>
            <color indexed="81"/>
            <rFont val="Tahoma"/>
            <family val="2"/>
          </rPr>
          <t xml:space="preserve"> </t>
        </r>
        <r>
          <rPr>
            <b/>
            <sz val="9"/>
            <color indexed="81"/>
            <rFont val="돋움"/>
            <family val="3"/>
            <charset val="129"/>
          </rPr>
          <t>연결되면</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I18" authorId="0" shapeId="0">
      <text>
        <r>
          <rPr>
            <b/>
            <sz val="9"/>
            <color indexed="81"/>
            <rFont val="Tahoma"/>
            <family val="2"/>
          </rPr>
          <t xml:space="preserve">CNCS </t>
        </r>
        <r>
          <rPr>
            <b/>
            <sz val="9"/>
            <color indexed="81"/>
            <rFont val="돋움"/>
            <family val="3"/>
            <charset val="129"/>
          </rPr>
          <t>방송</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알림</t>
        </r>
        <r>
          <rPr>
            <b/>
            <sz val="9"/>
            <color indexed="81"/>
            <rFont val="Tahoma"/>
            <family val="2"/>
          </rPr>
          <t xml:space="preserve">.
- Ready : </t>
        </r>
        <r>
          <rPr>
            <b/>
            <sz val="9"/>
            <color indexed="81"/>
            <rFont val="돋움"/>
            <family val="3"/>
            <charset val="129"/>
          </rPr>
          <t>방송출력</t>
        </r>
        <r>
          <rPr>
            <b/>
            <sz val="9"/>
            <color indexed="81"/>
            <rFont val="Tahoma"/>
            <family val="2"/>
          </rPr>
          <t xml:space="preserve"> </t>
        </r>
        <r>
          <rPr>
            <b/>
            <sz val="9"/>
            <color indexed="81"/>
            <rFont val="돋움"/>
            <family val="3"/>
            <charset val="129"/>
          </rPr>
          <t>준비</t>
        </r>
        <r>
          <rPr>
            <b/>
            <sz val="9"/>
            <color indexed="81"/>
            <rFont val="Tahoma"/>
            <family val="2"/>
          </rPr>
          <t xml:space="preserve">.
- Auction : Ready </t>
        </r>
        <r>
          <rPr>
            <b/>
            <sz val="9"/>
            <color indexed="81"/>
            <rFont val="돋움"/>
            <family val="3"/>
            <charset val="129"/>
          </rPr>
          <t>전송</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다음</t>
        </r>
        <r>
          <rPr>
            <b/>
            <sz val="9"/>
            <color indexed="81"/>
            <rFont val="Tahoma"/>
            <family val="2"/>
          </rPr>
          <t xml:space="preserve"> MP3</t>
        </r>
        <r>
          <rPr>
            <b/>
            <sz val="9"/>
            <color indexed="81"/>
            <rFont val="돋움"/>
            <family val="3"/>
            <charset val="129"/>
          </rPr>
          <t>재생시</t>
        </r>
        <r>
          <rPr>
            <b/>
            <sz val="9"/>
            <color indexed="81"/>
            <rFont val="Tahoma"/>
            <family val="2"/>
          </rPr>
          <t>.</t>
        </r>
      </text>
    </comment>
    <comment ref="H19" authorId="0" shapeId="0">
      <text>
        <r>
          <rPr>
            <b/>
            <sz val="9"/>
            <color indexed="81"/>
            <rFont val="Tahoma"/>
            <family val="2"/>
          </rPr>
          <t xml:space="preserve">OCC </t>
        </r>
        <r>
          <rPr>
            <b/>
            <sz val="9"/>
            <color indexed="81"/>
            <rFont val="돋움"/>
            <family val="3"/>
            <charset val="129"/>
          </rPr>
          <t>대승객</t>
        </r>
        <r>
          <rPr>
            <b/>
            <sz val="9"/>
            <color indexed="81"/>
            <rFont val="Tahoma"/>
            <family val="2"/>
          </rPr>
          <t xml:space="preserve"> </t>
        </r>
        <r>
          <rPr>
            <b/>
            <sz val="9"/>
            <color indexed="81"/>
            <rFont val="돋움"/>
            <family val="3"/>
            <charset val="129"/>
          </rPr>
          <t>방송</t>
        </r>
        <r>
          <rPr>
            <b/>
            <sz val="9"/>
            <color indexed="81"/>
            <rFont val="Tahoma"/>
            <family val="2"/>
          </rPr>
          <t>.</t>
        </r>
      </text>
    </comment>
    <comment ref="I19" authorId="0" shape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자동</t>
        </r>
        <r>
          <rPr>
            <b/>
            <sz val="9"/>
            <color indexed="81"/>
            <rFont val="Tahoma"/>
            <family val="2"/>
          </rPr>
          <t xml:space="preserve"> </t>
        </r>
        <r>
          <rPr>
            <b/>
            <sz val="9"/>
            <color indexed="81"/>
            <rFont val="돋움"/>
            <family val="3"/>
            <charset val="129"/>
          </rPr>
          <t>방송을</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J19" authorId="0" shapeId="0">
      <text>
        <r>
          <rPr>
            <b/>
            <sz val="9"/>
            <color indexed="81"/>
            <rFont val="Tahoma"/>
            <family val="2"/>
          </rPr>
          <t>CNCS</t>
        </r>
        <r>
          <rPr>
            <b/>
            <sz val="9"/>
            <color indexed="81"/>
            <rFont val="돋움"/>
            <family val="3"/>
            <charset val="129"/>
          </rPr>
          <t>가</t>
        </r>
        <r>
          <rPr>
            <b/>
            <sz val="9"/>
            <color indexed="81"/>
            <rFont val="Tahoma"/>
            <family val="2"/>
          </rPr>
          <t xml:space="preserve"> </t>
        </r>
        <r>
          <rPr>
            <b/>
            <sz val="9"/>
            <color indexed="81"/>
            <rFont val="돋움"/>
            <family val="3"/>
            <charset val="129"/>
          </rPr>
          <t>방송준비가</t>
        </r>
        <r>
          <rPr>
            <b/>
            <sz val="9"/>
            <color indexed="81"/>
            <rFont val="Tahoma"/>
            <family val="2"/>
          </rPr>
          <t xml:space="preserve"> </t>
        </r>
        <r>
          <rPr>
            <b/>
            <sz val="9"/>
            <color indexed="81"/>
            <rFont val="돋움"/>
            <family val="3"/>
            <charset val="129"/>
          </rPr>
          <t>완료된</t>
        </r>
        <r>
          <rPr>
            <b/>
            <sz val="9"/>
            <color indexed="81"/>
            <rFont val="Tahoma"/>
            <family val="2"/>
          </rPr>
          <t xml:space="preserve"> </t>
        </r>
        <r>
          <rPr>
            <b/>
            <sz val="9"/>
            <color indexed="81"/>
            <rFont val="돋움"/>
            <family val="3"/>
            <charset val="129"/>
          </rPr>
          <t>경우</t>
        </r>
        <r>
          <rPr>
            <b/>
            <sz val="9"/>
            <color indexed="81"/>
            <rFont val="Tahoma"/>
            <family val="2"/>
          </rPr>
          <t xml:space="preserve"> 1, </t>
        </r>
        <r>
          <rPr>
            <b/>
            <sz val="9"/>
            <color indexed="81"/>
            <rFont val="돋움"/>
            <family val="3"/>
            <charset val="129"/>
          </rPr>
          <t>아닐</t>
        </r>
        <r>
          <rPr>
            <b/>
            <sz val="9"/>
            <color indexed="81"/>
            <rFont val="Tahoma"/>
            <family val="2"/>
          </rPr>
          <t xml:space="preserve"> </t>
        </r>
        <r>
          <rPr>
            <b/>
            <sz val="9"/>
            <color indexed="81"/>
            <rFont val="돋움"/>
            <family val="3"/>
            <charset val="129"/>
          </rPr>
          <t>경우</t>
        </r>
        <r>
          <rPr>
            <b/>
            <sz val="9"/>
            <color indexed="81"/>
            <rFont val="Tahoma"/>
            <family val="2"/>
          </rPr>
          <t xml:space="preserve"> 0.</t>
        </r>
      </text>
    </comment>
    <comment ref="C20" authorId="0" shapeId="0">
      <text>
        <r>
          <rPr>
            <b/>
            <sz val="9"/>
            <color indexed="81"/>
            <rFont val="Tahoma"/>
            <family val="2"/>
          </rPr>
          <t>FDI/SDI</t>
        </r>
        <r>
          <rPr>
            <b/>
            <sz val="9"/>
            <color indexed="81"/>
            <rFont val="돋움"/>
            <family val="3"/>
            <charset val="129"/>
          </rPr>
          <t>의</t>
        </r>
        <r>
          <rPr>
            <b/>
            <sz val="9"/>
            <color indexed="81"/>
            <rFont val="Tahoma"/>
            <family val="2"/>
          </rPr>
          <t xml:space="preserve"> LED Display</t>
        </r>
        <r>
          <rPr>
            <b/>
            <sz val="9"/>
            <color indexed="81"/>
            <rFont val="돋움"/>
            <family val="3"/>
            <charset val="129"/>
          </rPr>
          <t>의</t>
        </r>
        <r>
          <rPr>
            <b/>
            <sz val="9"/>
            <color indexed="81"/>
            <rFont val="Tahoma"/>
            <family val="2"/>
          </rPr>
          <t xml:space="preserve"> </t>
        </r>
        <r>
          <rPr>
            <b/>
            <sz val="9"/>
            <color indexed="81"/>
            <rFont val="돋움"/>
            <family val="3"/>
            <charset val="129"/>
          </rPr>
          <t>갱신</t>
        </r>
        <r>
          <rPr>
            <b/>
            <sz val="9"/>
            <color indexed="81"/>
            <rFont val="Tahoma"/>
            <family val="2"/>
          </rPr>
          <t xml:space="preserve"> </t>
        </r>
        <r>
          <rPr>
            <b/>
            <sz val="9"/>
            <color indexed="81"/>
            <rFont val="돋움"/>
            <family val="3"/>
            <charset val="129"/>
          </rPr>
          <t>시간</t>
        </r>
        <r>
          <rPr>
            <b/>
            <sz val="9"/>
            <color indexed="81"/>
            <rFont val="Tahoma"/>
            <family val="2"/>
          </rPr>
          <t>.(CCP</t>
        </r>
        <r>
          <rPr>
            <b/>
            <sz val="9"/>
            <color indexed="81"/>
            <rFont val="돋움"/>
            <family val="3"/>
            <charset val="129"/>
          </rPr>
          <t>에서</t>
        </r>
        <r>
          <rPr>
            <b/>
            <sz val="9"/>
            <color indexed="81"/>
            <rFont val="Tahoma"/>
            <family val="2"/>
          </rPr>
          <t xml:space="preserve"> </t>
        </r>
        <r>
          <rPr>
            <b/>
            <sz val="9"/>
            <color indexed="81"/>
            <rFont val="돋움"/>
            <family val="3"/>
            <charset val="129"/>
          </rPr>
          <t>사용</t>
        </r>
        <r>
          <rPr>
            <b/>
            <sz val="9"/>
            <color indexed="81"/>
            <rFont val="Tahoma"/>
            <family val="2"/>
          </rPr>
          <t>).</t>
        </r>
      </text>
    </comment>
    <comment ref="C41" authorId="0" shapeId="0">
      <text>
        <r>
          <rPr>
            <b/>
            <sz val="9"/>
            <color indexed="81"/>
            <rFont val="Tahoma"/>
            <family val="2"/>
          </rPr>
          <t xml:space="preserve">CNCS GPS </t>
        </r>
        <r>
          <rPr>
            <b/>
            <sz val="9"/>
            <color indexed="81"/>
            <rFont val="돋움"/>
            <family val="3"/>
            <charset val="129"/>
          </rPr>
          <t>수신</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정보</t>
        </r>
        <r>
          <rPr>
            <b/>
            <sz val="9"/>
            <color indexed="81"/>
            <rFont val="Tahoma"/>
            <family val="2"/>
          </rPr>
          <t xml:space="preserve">.
 - 1 : </t>
        </r>
        <r>
          <rPr>
            <b/>
            <sz val="9"/>
            <color indexed="81"/>
            <rFont val="돋움"/>
            <family val="3"/>
            <charset val="129"/>
          </rPr>
          <t>유효</t>
        </r>
        <r>
          <rPr>
            <b/>
            <sz val="9"/>
            <color indexed="81"/>
            <rFont val="Tahoma"/>
            <family val="2"/>
          </rPr>
          <t xml:space="preserve"> </t>
        </r>
        <r>
          <rPr>
            <b/>
            <sz val="9"/>
            <color indexed="81"/>
            <rFont val="돋움"/>
            <family val="3"/>
            <charset val="129"/>
          </rPr>
          <t>정보</t>
        </r>
        <r>
          <rPr>
            <b/>
            <sz val="9"/>
            <color indexed="81"/>
            <rFont val="Tahoma"/>
            <family val="2"/>
          </rPr>
          <t xml:space="preserve">.
 - 0 : GPS </t>
        </r>
        <r>
          <rPr>
            <b/>
            <sz val="9"/>
            <color indexed="81"/>
            <rFont val="돋움"/>
            <family val="3"/>
            <charset val="129"/>
          </rPr>
          <t>연결이</t>
        </r>
        <r>
          <rPr>
            <b/>
            <sz val="9"/>
            <color indexed="81"/>
            <rFont val="Tahoma"/>
            <family val="2"/>
          </rPr>
          <t xml:space="preserve"> </t>
        </r>
        <r>
          <rPr>
            <b/>
            <sz val="9"/>
            <color indexed="81"/>
            <rFont val="돋움"/>
            <family val="3"/>
            <charset val="129"/>
          </rPr>
          <t>비정상</t>
        </r>
        <r>
          <rPr>
            <b/>
            <sz val="9"/>
            <color indexed="81"/>
            <rFont val="Tahoma"/>
            <family val="2"/>
          </rPr>
          <t xml:space="preserve"> </t>
        </r>
        <r>
          <rPr>
            <b/>
            <sz val="9"/>
            <color indexed="81"/>
            <rFont val="돋움"/>
            <family val="3"/>
            <charset val="129"/>
          </rPr>
          <t>상태임</t>
        </r>
        <r>
          <rPr>
            <b/>
            <sz val="9"/>
            <color indexed="81"/>
            <rFont val="Tahoma"/>
            <family val="2"/>
          </rPr>
          <t>.</t>
        </r>
      </text>
    </comment>
    <comment ref="J41" authorId="0" shapeId="0">
      <text>
        <r>
          <rPr>
            <b/>
            <sz val="9"/>
            <color indexed="81"/>
            <rFont val="돋움"/>
            <family val="3"/>
            <charset val="129"/>
          </rPr>
          <t>시스템의</t>
        </r>
        <r>
          <rPr>
            <b/>
            <sz val="9"/>
            <color indexed="81"/>
            <rFont val="Tahoma"/>
            <family val="2"/>
          </rPr>
          <t xml:space="preserve"> DST </t>
        </r>
        <r>
          <rPr>
            <b/>
            <sz val="9"/>
            <color indexed="81"/>
            <rFont val="돋움"/>
            <family val="3"/>
            <charset val="129"/>
          </rPr>
          <t>활성</t>
        </r>
        <r>
          <rPr>
            <b/>
            <sz val="9"/>
            <color indexed="81"/>
            <rFont val="Tahoma"/>
            <family val="2"/>
          </rPr>
          <t xml:space="preserve"> </t>
        </r>
        <r>
          <rPr>
            <b/>
            <sz val="9"/>
            <color indexed="81"/>
            <rFont val="돋움"/>
            <family val="3"/>
            <charset val="129"/>
          </rPr>
          <t>상태</t>
        </r>
        <r>
          <rPr>
            <b/>
            <sz val="9"/>
            <color indexed="81"/>
            <rFont val="Tahoma"/>
            <family val="2"/>
          </rPr>
          <t xml:space="preserve">.
</t>
        </r>
        <r>
          <rPr>
            <b/>
            <sz val="9"/>
            <color indexed="81"/>
            <rFont val="돋움"/>
            <family val="3"/>
            <charset val="129"/>
          </rPr>
          <t>활성</t>
        </r>
        <r>
          <rPr>
            <b/>
            <sz val="9"/>
            <color indexed="81"/>
            <rFont val="Tahoma"/>
            <family val="2"/>
          </rPr>
          <t xml:space="preserve"> : 1
</t>
        </r>
        <r>
          <rPr>
            <b/>
            <sz val="9"/>
            <color indexed="81"/>
            <rFont val="돋움"/>
            <family val="3"/>
            <charset val="129"/>
          </rPr>
          <t>비활성</t>
        </r>
        <r>
          <rPr>
            <b/>
            <sz val="9"/>
            <color indexed="81"/>
            <rFont val="Tahoma"/>
            <family val="2"/>
          </rPr>
          <t xml:space="preserve"> : 0</t>
        </r>
      </text>
    </comment>
    <comment ref="B42" authorId="0" shapeId="0">
      <text>
        <r>
          <rPr>
            <b/>
            <sz val="9"/>
            <color indexed="81"/>
            <rFont val="Tahoma"/>
            <family val="2"/>
          </rPr>
          <t>GPS</t>
        </r>
        <r>
          <rPr>
            <b/>
            <sz val="9"/>
            <color indexed="81"/>
            <rFont val="돋움"/>
            <family val="3"/>
            <charset val="129"/>
          </rPr>
          <t>에서</t>
        </r>
        <r>
          <rPr>
            <b/>
            <sz val="9"/>
            <color indexed="81"/>
            <rFont val="Tahoma"/>
            <family val="2"/>
          </rPr>
          <t xml:space="preserve"> </t>
        </r>
        <r>
          <rPr>
            <b/>
            <sz val="9"/>
            <color indexed="81"/>
            <rFont val="돋움"/>
            <family val="3"/>
            <charset val="129"/>
          </rPr>
          <t>받은</t>
        </r>
        <r>
          <rPr>
            <b/>
            <sz val="9"/>
            <color indexed="81"/>
            <rFont val="Tahoma"/>
            <family val="2"/>
          </rPr>
          <t xml:space="preserve"> UTC</t>
        </r>
        <r>
          <rPr>
            <b/>
            <sz val="9"/>
            <color indexed="81"/>
            <rFont val="돋움"/>
            <family val="3"/>
            <charset val="129"/>
          </rPr>
          <t>시간을</t>
        </r>
        <r>
          <rPr>
            <b/>
            <sz val="9"/>
            <color indexed="81"/>
            <rFont val="Tahoma"/>
            <family val="2"/>
          </rPr>
          <t xml:space="preserve"> Local </t>
        </r>
        <r>
          <rPr>
            <b/>
            <sz val="9"/>
            <color indexed="81"/>
            <rFont val="돋움"/>
            <family val="3"/>
            <charset val="129"/>
          </rPr>
          <t>시간으로</t>
        </r>
        <r>
          <rPr>
            <b/>
            <sz val="9"/>
            <color indexed="81"/>
            <rFont val="Tahoma"/>
            <family val="2"/>
          </rPr>
          <t xml:space="preserve"> </t>
        </r>
        <r>
          <rPr>
            <b/>
            <sz val="9"/>
            <color indexed="81"/>
            <rFont val="돋움"/>
            <family val="3"/>
            <charset val="129"/>
          </rPr>
          <t>변경하여</t>
        </r>
        <r>
          <rPr>
            <b/>
            <sz val="9"/>
            <color indexed="81"/>
            <rFont val="Tahoma"/>
            <family val="2"/>
          </rPr>
          <t xml:space="preserve">, </t>
        </r>
        <r>
          <rPr>
            <b/>
            <sz val="9"/>
            <color indexed="81"/>
            <rFont val="돋움"/>
            <family val="3"/>
            <charset val="129"/>
          </rPr>
          <t>전송</t>
        </r>
        <r>
          <rPr>
            <b/>
            <sz val="9"/>
            <color indexed="81"/>
            <rFont val="Tahoma"/>
            <family val="2"/>
          </rPr>
          <t>.</t>
        </r>
      </text>
    </comment>
    <comment ref="B48" authorId="0" shapeId="0">
      <text>
        <r>
          <rPr>
            <b/>
            <sz val="9"/>
            <color indexed="81"/>
            <rFont val="Tahoma"/>
            <family val="2"/>
          </rPr>
          <t xml:space="preserve">GPS </t>
        </r>
        <r>
          <rPr>
            <b/>
            <sz val="9"/>
            <color indexed="81"/>
            <rFont val="돋움"/>
            <family val="3"/>
            <charset val="129"/>
          </rPr>
          <t>수신</t>
        </r>
        <r>
          <rPr>
            <b/>
            <sz val="9"/>
            <color indexed="81"/>
            <rFont val="Tahoma"/>
            <family val="2"/>
          </rPr>
          <t xml:space="preserve"> </t>
        </r>
        <r>
          <rPr>
            <b/>
            <sz val="9"/>
            <color indexed="81"/>
            <rFont val="돋움"/>
            <family val="3"/>
            <charset val="129"/>
          </rPr>
          <t>좌표</t>
        </r>
        <r>
          <rPr>
            <b/>
            <sz val="9"/>
            <color indexed="81"/>
            <rFont val="Tahoma"/>
            <family val="2"/>
          </rPr>
          <t xml:space="preserve"> </t>
        </r>
        <r>
          <rPr>
            <b/>
            <sz val="9"/>
            <color indexed="81"/>
            <rFont val="돋움"/>
            <family val="3"/>
            <charset val="129"/>
          </rPr>
          <t>정보</t>
        </r>
        <r>
          <rPr>
            <b/>
            <sz val="9"/>
            <color indexed="81"/>
            <rFont val="Tahoma"/>
            <family val="2"/>
          </rPr>
          <t>.</t>
        </r>
      </text>
    </comment>
    <comment ref="B54" authorId="0" shapeId="0">
      <text>
        <r>
          <rPr>
            <b/>
            <sz val="9"/>
            <color indexed="81"/>
            <rFont val="Tahoma"/>
            <family val="2"/>
          </rPr>
          <t xml:space="preserve">GPS </t>
        </r>
        <r>
          <rPr>
            <b/>
            <sz val="9"/>
            <color indexed="81"/>
            <rFont val="돋움"/>
            <family val="3"/>
            <charset val="129"/>
          </rPr>
          <t>수신</t>
        </r>
        <r>
          <rPr>
            <b/>
            <sz val="9"/>
            <color indexed="81"/>
            <rFont val="Tahoma"/>
            <family val="2"/>
          </rPr>
          <t xml:space="preserve"> </t>
        </r>
        <r>
          <rPr>
            <b/>
            <sz val="9"/>
            <color indexed="81"/>
            <rFont val="돋움"/>
            <family val="3"/>
            <charset val="129"/>
          </rPr>
          <t>좌표</t>
        </r>
        <r>
          <rPr>
            <b/>
            <sz val="9"/>
            <color indexed="81"/>
            <rFont val="Tahoma"/>
            <family val="2"/>
          </rPr>
          <t xml:space="preserve"> </t>
        </r>
        <r>
          <rPr>
            <b/>
            <sz val="9"/>
            <color indexed="81"/>
            <rFont val="돋움"/>
            <family val="3"/>
            <charset val="129"/>
          </rPr>
          <t>정보</t>
        </r>
        <r>
          <rPr>
            <b/>
            <sz val="9"/>
            <color indexed="81"/>
            <rFont val="Tahoma"/>
            <family val="2"/>
          </rPr>
          <t>.</t>
        </r>
      </text>
    </comment>
    <comment ref="D60" authorId="0" shapeId="0">
      <text>
        <r>
          <rPr>
            <b/>
            <sz val="9"/>
            <color indexed="81"/>
            <rFont val="Tahoma"/>
            <family val="2"/>
          </rPr>
          <t>OCC</t>
        </r>
        <r>
          <rPr>
            <b/>
            <sz val="9"/>
            <color indexed="81"/>
            <rFont val="돋움"/>
            <family val="3"/>
            <charset val="129"/>
          </rPr>
          <t>에서</t>
        </r>
        <r>
          <rPr>
            <b/>
            <sz val="9"/>
            <color indexed="81"/>
            <rFont val="Tahoma"/>
            <family val="2"/>
          </rPr>
          <t xml:space="preserve"> </t>
        </r>
        <r>
          <rPr>
            <b/>
            <sz val="9"/>
            <color indexed="81"/>
            <rFont val="돋움"/>
            <family val="3"/>
            <charset val="129"/>
          </rPr>
          <t>전달</t>
        </r>
        <r>
          <rPr>
            <b/>
            <sz val="9"/>
            <color indexed="81"/>
            <rFont val="Tahoma"/>
            <family val="2"/>
          </rPr>
          <t xml:space="preserve"> </t>
        </r>
        <r>
          <rPr>
            <b/>
            <sz val="9"/>
            <color indexed="81"/>
            <rFont val="돋움"/>
            <family val="3"/>
            <charset val="129"/>
          </rPr>
          <t>받은</t>
        </r>
        <r>
          <rPr>
            <b/>
            <sz val="9"/>
            <color indexed="81"/>
            <rFont val="Tahoma"/>
            <family val="2"/>
          </rPr>
          <t xml:space="preserve"> </t>
        </r>
        <r>
          <rPr>
            <b/>
            <sz val="9"/>
            <color indexed="81"/>
            <rFont val="돋움"/>
            <family val="3"/>
            <charset val="129"/>
          </rPr>
          <t>메시지</t>
        </r>
        <r>
          <rPr>
            <b/>
            <sz val="9"/>
            <color indexed="81"/>
            <rFont val="Tahoma"/>
            <family val="2"/>
          </rPr>
          <t xml:space="preserve"> </t>
        </r>
        <r>
          <rPr>
            <b/>
            <sz val="9"/>
            <color indexed="81"/>
            <rFont val="돋움"/>
            <family val="3"/>
            <charset val="129"/>
          </rPr>
          <t>종류</t>
        </r>
        <r>
          <rPr>
            <b/>
            <sz val="9"/>
            <color indexed="81"/>
            <rFont val="Tahoma"/>
            <family val="2"/>
          </rPr>
          <t>.
Normal : 0
Emergency : 1</t>
        </r>
      </text>
    </comment>
    <comment ref="C61" authorId="0" shapeId="0">
      <text>
        <r>
          <rPr>
            <b/>
            <sz val="9"/>
            <color indexed="81"/>
            <rFont val="Tahoma"/>
            <family val="2"/>
          </rPr>
          <t xml:space="preserve">OCC </t>
        </r>
        <r>
          <rPr>
            <b/>
            <sz val="9"/>
            <color indexed="81"/>
            <rFont val="돋움"/>
            <family val="3"/>
            <charset val="129"/>
          </rPr>
          <t>수신</t>
        </r>
        <r>
          <rPr>
            <b/>
            <sz val="9"/>
            <color indexed="81"/>
            <rFont val="Tahoma"/>
            <family val="2"/>
          </rPr>
          <t xml:space="preserve"> </t>
        </r>
        <r>
          <rPr>
            <b/>
            <sz val="9"/>
            <color indexed="81"/>
            <rFont val="돋움"/>
            <family val="3"/>
            <charset val="129"/>
          </rPr>
          <t>받은</t>
        </r>
        <r>
          <rPr>
            <b/>
            <sz val="9"/>
            <color indexed="81"/>
            <rFont val="Tahoma"/>
            <family val="2"/>
          </rPr>
          <t xml:space="preserve"> Message </t>
        </r>
        <r>
          <rPr>
            <b/>
            <sz val="9"/>
            <color indexed="81"/>
            <rFont val="돋움"/>
            <family val="3"/>
            <charset val="129"/>
          </rPr>
          <t>길이</t>
        </r>
      </text>
    </comment>
    <comment ref="C76" authorId="0" shapeId="0">
      <text>
        <r>
          <rPr>
            <b/>
            <sz val="9"/>
            <color indexed="81"/>
            <rFont val="Tahoma"/>
            <family val="2"/>
          </rPr>
          <t xml:space="preserve">PII </t>
        </r>
        <r>
          <rPr>
            <b/>
            <sz val="9"/>
            <color indexed="81"/>
            <rFont val="돋움"/>
            <family val="3"/>
            <charset val="129"/>
          </rPr>
          <t>표시기</t>
        </r>
        <r>
          <rPr>
            <b/>
            <sz val="9"/>
            <color indexed="81"/>
            <rFont val="Tahoma"/>
            <family val="2"/>
          </rPr>
          <t xml:space="preserve"> Scroll Speed.(Default : Level 3)
</t>
        </r>
        <r>
          <rPr>
            <b/>
            <sz val="9"/>
            <color indexed="81"/>
            <rFont val="돋움"/>
            <family val="3"/>
            <charset val="129"/>
          </rPr>
          <t>외의</t>
        </r>
        <r>
          <rPr>
            <b/>
            <sz val="9"/>
            <color indexed="81"/>
            <rFont val="Tahoma"/>
            <family val="2"/>
          </rPr>
          <t xml:space="preserve"> </t>
        </r>
        <r>
          <rPr>
            <b/>
            <sz val="9"/>
            <color indexed="81"/>
            <rFont val="돋움"/>
            <family val="3"/>
            <charset val="129"/>
          </rPr>
          <t>값은</t>
        </r>
        <r>
          <rPr>
            <b/>
            <sz val="9"/>
            <color indexed="81"/>
            <rFont val="Tahoma"/>
            <family val="2"/>
          </rPr>
          <t xml:space="preserve"> </t>
        </r>
        <r>
          <rPr>
            <b/>
            <sz val="9"/>
            <color indexed="81"/>
            <rFont val="돋움"/>
            <family val="3"/>
            <charset val="129"/>
          </rPr>
          <t>마지막</t>
        </r>
        <r>
          <rPr>
            <b/>
            <sz val="9"/>
            <color indexed="81"/>
            <rFont val="Tahoma"/>
            <family val="2"/>
          </rPr>
          <t xml:space="preserve"> </t>
        </r>
        <r>
          <rPr>
            <b/>
            <sz val="9"/>
            <color indexed="81"/>
            <rFont val="돋움"/>
            <family val="3"/>
            <charset val="129"/>
          </rPr>
          <t>값</t>
        </r>
        <r>
          <rPr>
            <b/>
            <sz val="9"/>
            <color indexed="81"/>
            <rFont val="Tahoma"/>
            <family val="2"/>
          </rPr>
          <t xml:space="preserve"> </t>
        </r>
        <r>
          <rPr>
            <b/>
            <sz val="9"/>
            <color indexed="81"/>
            <rFont val="돋움"/>
            <family val="3"/>
            <charset val="129"/>
          </rPr>
          <t>유지</t>
        </r>
        <r>
          <rPr>
            <b/>
            <sz val="9"/>
            <color indexed="81"/>
            <rFont val="Tahoma"/>
            <family val="2"/>
          </rPr>
          <t>.(PII</t>
        </r>
        <r>
          <rPr>
            <b/>
            <sz val="9"/>
            <color indexed="81"/>
            <rFont val="돋움"/>
            <family val="3"/>
            <charset val="129"/>
          </rPr>
          <t>가</t>
        </r>
        <r>
          <rPr>
            <b/>
            <sz val="9"/>
            <color indexed="81"/>
            <rFont val="Tahoma"/>
            <family val="2"/>
          </rPr>
          <t xml:space="preserve"> </t>
        </r>
        <r>
          <rPr>
            <b/>
            <sz val="9"/>
            <color indexed="81"/>
            <rFont val="돋움"/>
            <family val="3"/>
            <charset val="129"/>
          </rPr>
          <t>사용</t>
        </r>
        <r>
          <rPr>
            <b/>
            <sz val="9"/>
            <color indexed="81"/>
            <rFont val="Tahoma"/>
            <family val="2"/>
          </rPr>
          <t>)</t>
        </r>
      </text>
    </comment>
    <comment ref="B77" authorId="0" shapeId="0">
      <text>
        <r>
          <rPr>
            <b/>
            <sz val="9"/>
            <color indexed="81"/>
            <rFont val="돋움"/>
            <family val="3"/>
            <charset val="129"/>
          </rPr>
          <t>차량번호</t>
        </r>
      </text>
    </comment>
    <comment ref="I79" authorId="0" shapeId="0">
      <text>
        <r>
          <rPr>
            <b/>
            <sz val="9"/>
            <color indexed="81"/>
            <rFont val="Tahoma"/>
            <family val="2"/>
          </rPr>
          <t xml:space="preserve">CNCS&lt;-&gt;PTT </t>
        </r>
        <r>
          <rPr>
            <b/>
            <sz val="9"/>
            <color indexed="81"/>
            <rFont val="돋움"/>
            <family val="3"/>
            <charset val="129"/>
          </rPr>
          <t>버튼</t>
        </r>
        <r>
          <rPr>
            <b/>
            <sz val="9"/>
            <color indexed="81"/>
            <rFont val="Tahoma"/>
            <family val="2"/>
          </rPr>
          <t xml:space="preserve"> </t>
        </r>
        <r>
          <rPr>
            <b/>
            <sz val="9"/>
            <color indexed="81"/>
            <rFont val="돋움"/>
            <family val="3"/>
            <charset val="129"/>
          </rPr>
          <t>상태</t>
        </r>
      </text>
    </comment>
    <comment ref="J79" authorId="0" shapeId="0">
      <text>
        <r>
          <rPr>
            <b/>
            <sz val="9"/>
            <color indexed="81"/>
            <rFont val="Tahoma"/>
            <family val="2"/>
          </rPr>
          <t xml:space="preserve">CNCS&lt;-&gt;PTT </t>
        </r>
        <r>
          <rPr>
            <b/>
            <sz val="9"/>
            <color indexed="81"/>
            <rFont val="돋움"/>
            <family val="3"/>
            <charset val="129"/>
          </rPr>
          <t>버튼</t>
        </r>
        <r>
          <rPr>
            <b/>
            <sz val="9"/>
            <color indexed="81"/>
            <rFont val="Tahoma"/>
            <family val="2"/>
          </rPr>
          <t xml:space="preserve"> </t>
        </r>
        <r>
          <rPr>
            <b/>
            <sz val="9"/>
            <color indexed="81"/>
            <rFont val="돋움"/>
            <family val="3"/>
            <charset val="129"/>
          </rPr>
          <t>상태</t>
        </r>
      </text>
    </comment>
  </commentList>
</comments>
</file>

<file path=xl/comments6.xml><?xml version="1.0" encoding="utf-8"?>
<comments xmlns="http://schemas.openxmlformats.org/spreadsheetml/2006/main">
  <authors>
    <author>Hamsung98</author>
  </authors>
  <commentList>
    <comment ref="H14" authorId="0" shapeId="0">
      <text>
        <r>
          <rPr>
            <b/>
            <sz val="9"/>
            <color indexed="81"/>
            <rFont val="돋움"/>
            <family val="3"/>
            <charset val="129"/>
          </rPr>
          <t>전화를</t>
        </r>
        <r>
          <rPr>
            <b/>
            <sz val="9"/>
            <color indexed="81"/>
            <rFont val="Tahoma"/>
            <family val="2"/>
          </rPr>
          <t xml:space="preserve"> </t>
        </r>
        <r>
          <rPr>
            <b/>
            <sz val="9"/>
            <color indexed="81"/>
            <rFont val="돋움"/>
            <family val="3"/>
            <charset val="129"/>
          </rPr>
          <t>걸고자</t>
        </r>
        <r>
          <rPr>
            <b/>
            <sz val="9"/>
            <color indexed="81"/>
            <rFont val="Tahoma"/>
            <family val="2"/>
          </rPr>
          <t xml:space="preserve"> </t>
        </r>
        <r>
          <rPr>
            <b/>
            <sz val="9"/>
            <color indexed="81"/>
            <rFont val="돋움"/>
            <family val="3"/>
            <charset val="129"/>
          </rPr>
          <t>할</t>
        </r>
        <r>
          <rPr>
            <b/>
            <sz val="9"/>
            <color indexed="81"/>
            <rFont val="Tahoma"/>
            <family val="2"/>
          </rPr>
          <t xml:space="preserve"> </t>
        </r>
        <r>
          <rPr>
            <b/>
            <sz val="9"/>
            <color indexed="81"/>
            <rFont val="돋움"/>
            <family val="3"/>
            <charset val="129"/>
          </rPr>
          <t>경우</t>
        </r>
        <r>
          <rPr>
            <b/>
            <sz val="9"/>
            <color indexed="81"/>
            <rFont val="Tahoma"/>
            <family val="2"/>
          </rPr>
          <t>.</t>
        </r>
      </text>
    </comment>
    <comment ref="I14" authorId="0" shapeId="0">
      <text>
        <r>
          <rPr>
            <b/>
            <sz val="9"/>
            <color indexed="81"/>
            <rFont val="돋움"/>
            <family val="3"/>
            <charset val="129"/>
          </rPr>
          <t>전화가</t>
        </r>
        <r>
          <rPr>
            <b/>
            <sz val="9"/>
            <color indexed="81"/>
            <rFont val="Tahoma"/>
            <family val="2"/>
          </rPr>
          <t xml:space="preserve"> </t>
        </r>
        <r>
          <rPr>
            <b/>
            <sz val="9"/>
            <color indexed="81"/>
            <rFont val="돋움"/>
            <family val="3"/>
            <charset val="129"/>
          </rPr>
          <t>들어올</t>
        </r>
        <r>
          <rPr>
            <b/>
            <sz val="9"/>
            <color indexed="81"/>
            <rFont val="Tahoma"/>
            <family val="2"/>
          </rPr>
          <t xml:space="preserve"> </t>
        </r>
        <r>
          <rPr>
            <b/>
            <sz val="9"/>
            <color indexed="81"/>
            <rFont val="돋움"/>
            <family val="3"/>
            <charset val="129"/>
          </rPr>
          <t>경우</t>
        </r>
        <r>
          <rPr>
            <b/>
            <sz val="9"/>
            <color indexed="81"/>
            <rFont val="Tahoma"/>
            <family val="2"/>
          </rPr>
          <t xml:space="preserve">.
</t>
        </r>
      </text>
    </comment>
    <comment ref="C15" authorId="0" shapeId="0">
      <text>
        <r>
          <rPr>
            <b/>
            <sz val="9"/>
            <color indexed="81"/>
            <rFont val="Tahoma"/>
            <family val="2"/>
          </rPr>
          <t xml:space="preserve">OCC </t>
        </r>
        <r>
          <rPr>
            <b/>
            <sz val="9"/>
            <color indexed="81"/>
            <rFont val="돋움"/>
            <family val="3"/>
            <charset val="129"/>
          </rPr>
          <t>사령의</t>
        </r>
        <r>
          <rPr>
            <b/>
            <sz val="9"/>
            <color indexed="81"/>
            <rFont val="Tahoma"/>
            <family val="2"/>
          </rPr>
          <t xml:space="preserve"> </t>
        </r>
        <r>
          <rPr>
            <b/>
            <sz val="9"/>
            <color indexed="81"/>
            <rFont val="돋움"/>
            <family val="3"/>
            <charset val="129"/>
          </rPr>
          <t>전화번호</t>
        </r>
      </text>
    </comment>
    <comment ref="C19" authorId="0" shapeId="0">
      <text>
        <r>
          <rPr>
            <b/>
            <sz val="9"/>
            <color indexed="81"/>
            <rFont val="돋움"/>
            <family val="3"/>
            <charset val="129"/>
          </rPr>
          <t>차량의</t>
        </r>
        <r>
          <rPr>
            <b/>
            <sz val="9"/>
            <color indexed="81"/>
            <rFont val="Tahoma"/>
            <family val="2"/>
          </rPr>
          <t xml:space="preserve"> VOIP Call ID.</t>
        </r>
      </text>
    </comment>
  </commentList>
</comments>
</file>

<file path=xl/sharedStrings.xml><?xml version="1.0" encoding="utf-8"?>
<sst xmlns="http://schemas.openxmlformats.org/spreadsheetml/2006/main" count="4343" uniqueCount="1698">
  <si>
    <t>버전</t>
    <phoneticPr fontId="1" type="noConversion"/>
  </si>
  <si>
    <t>날짜</t>
    <phoneticPr fontId="1" type="noConversion"/>
  </si>
  <si>
    <t>대상</t>
    <phoneticPr fontId="1" type="noConversion"/>
  </si>
  <si>
    <t>변경내용</t>
    <phoneticPr fontId="1" type="noConversion"/>
  </si>
  <si>
    <t>전체</t>
    <phoneticPr fontId="1" type="noConversion"/>
  </si>
  <si>
    <t xml:space="preserve">1. </t>
    <phoneticPr fontId="1" type="noConversion"/>
  </si>
  <si>
    <t>신규 프로토콜 정의.</t>
    <phoneticPr fontId="1" type="noConversion"/>
  </si>
  <si>
    <t>1. 덴버 방송장치 프로토콜.</t>
    <phoneticPr fontId="1" type="noConversion"/>
  </si>
  <si>
    <t xml:space="preserve"> </t>
    <phoneticPr fontId="1" type="noConversion"/>
  </si>
  <si>
    <t>1.</t>
    <phoneticPr fontId="1" type="noConversion"/>
  </si>
  <si>
    <t xml:space="preserve">STX </t>
    <phoneticPr fontId="1" type="noConversion"/>
  </si>
  <si>
    <t>0x01</t>
    <phoneticPr fontId="1" type="noConversion"/>
  </si>
  <si>
    <t>0x04</t>
    <phoneticPr fontId="1" type="noConversion"/>
  </si>
  <si>
    <t>Definde Code.</t>
    <phoneticPr fontId="1" type="noConversion"/>
  </si>
  <si>
    <t>ETX</t>
    <phoneticPr fontId="1" type="noConversion"/>
  </si>
  <si>
    <t>1.1</t>
    <phoneticPr fontId="1" type="noConversion"/>
  </si>
  <si>
    <t>1.2</t>
    <phoneticPr fontId="1" type="noConversion"/>
  </si>
  <si>
    <t>2.</t>
    <phoneticPr fontId="1" type="noConversion"/>
  </si>
  <si>
    <t>1.3</t>
    <phoneticPr fontId="1" type="noConversion"/>
  </si>
  <si>
    <t>Check Sum</t>
    <phoneticPr fontId="1" type="noConversion"/>
  </si>
  <si>
    <t>CRC16.</t>
    <phoneticPr fontId="1" type="noConversion"/>
  </si>
  <si>
    <t>통신 규격</t>
    <phoneticPr fontId="1" type="noConversion"/>
  </si>
  <si>
    <t>2.1</t>
    <phoneticPr fontId="1" type="noConversion"/>
  </si>
  <si>
    <t>2.2</t>
    <phoneticPr fontId="1" type="noConversion"/>
  </si>
  <si>
    <t>2.3</t>
    <phoneticPr fontId="1" type="noConversion"/>
  </si>
  <si>
    <t>2.4</t>
    <phoneticPr fontId="1" type="noConversion"/>
  </si>
  <si>
    <t/>
  </si>
  <si>
    <t>Speed</t>
    <phoneticPr fontId="1" type="noConversion"/>
  </si>
  <si>
    <t>Databit</t>
    <phoneticPr fontId="1" type="noConversion"/>
  </si>
  <si>
    <t>Paritybit</t>
    <phoneticPr fontId="1" type="noConversion"/>
  </si>
  <si>
    <t>19200bps</t>
    <phoneticPr fontId="1" type="noConversion"/>
  </si>
  <si>
    <t>Stop bit</t>
    <phoneticPr fontId="1" type="noConversion"/>
  </si>
  <si>
    <t>1bit</t>
    <phoneticPr fontId="1" type="noConversion"/>
  </si>
  <si>
    <t>8bit</t>
    <phoneticPr fontId="1" type="noConversion"/>
  </si>
  <si>
    <t>None</t>
    <phoneticPr fontId="1" type="noConversion"/>
  </si>
  <si>
    <t>3.</t>
    <phoneticPr fontId="1" type="noConversion"/>
  </si>
  <si>
    <t>SID</t>
  </si>
  <si>
    <t>SOH</t>
  </si>
  <si>
    <t>SOH</t>
    <phoneticPr fontId="1" type="noConversion"/>
  </si>
  <si>
    <t>DID</t>
  </si>
  <si>
    <t>MC</t>
  </si>
  <si>
    <t>CMD</t>
  </si>
  <si>
    <t>LNG</t>
  </si>
  <si>
    <t>SID</t>
    <phoneticPr fontId="1" type="noConversion"/>
  </si>
  <si>
    <t>DID</t>
    <phoneticPr fontId="1" type="noConversion"/>
  </si>
  <si>
    <t>MC</t>
    <phoneticPr fontId="1" type="noConversion"/>
  </si>
  <si>
    <t>CMD</t>
    <phoneticPr fontId="1" type="noConversion"/>
  </si>
  <si>
    <t>LNG</t>
    <phoneticPr fontId="1" type="noConversion"/>
  </si>
  <si>
    <t>CHK</t>
  </si>
  <si>
    <t>CHK</t>
    <phoneticPr fontId="1" type="noConversion"/>
  </si>
  <si>
    <t>EOT</t>
  </si>
  <si>
    <t>0x01: Start Code</t>
  </si>
  <si>
    <t>Source Device (All Device)</t>
  </si>
  <si>
    <t>Destination Device (All Device)</t>
  </si>
  <si>
    <t>Message Count(0~99)</t>
  </si>
  <si>
    <t>Command Code</t>
  </si>
  <si>
    <t>Data Length Code</t>
  </si>
  <si>
    <t>EOT</t>
    <phoneticPr fontId="1" type="noConversion"/>
  </si>
  <si>
    <t>0x04: End Code</t>
  </si>
  <si>
    <t>CRC16</t>
    <phoneticPr fontId="1" type="noConversion"/>
  </si>
  <si>
    <t>장치별 프로토콜</t>
    <phoneticPr fontId="1" type="noConversion"/>
  </si>
  <si>
    <t>UNIT</t>
    <phoneticPr fontId="1" type="noConversion"/>
  </si>
  <si>
    <t>4.</t>
    <phoneticPr fontId="1" type="noConversion"/>
  </si>
  <si>
    <t xml:space="preserve">프로토콜 </t>
    <phoneticPr fontId="1" type="noConversion"/>
  </si>
  <si>
    <t>4.1</t>
    <phoneticPr fontId="1" type="noConversion"/>
  </si>
  <si>
    <t>장치간에 최소 필요한 데이터만을 이동시킴.</t>
    <phoneticPr fontId="1" type="noConversion"/>
  </si>
  <si>
    <t>4.2</t>
    <phoneticPr fontId="1" type="noConversion"/>
  </si>
  <si>
    <t>각 장치간의 필요한 데이터를 수집하여 사용하도록함.</t>
    <phoneticPr fontId="1" type="noConversion"/>
  </si>
  <si>
    <t xml:space="preserve">5. </t>
    <phoneticPr fontId="1" type="noConversion"/>
  </si>
  <si>
    <t>Command Code 정의</t>
    <phoneticPr fontId="1" type="noConversion"/>
  </si>
  <si>
    <t>5.1</t>
    <phoneticPr fontId="1" type="noConversion"/>
  </si>
  <si>
    <t>5.2</t>
    <phoneticPr fontId="1" type="noConversion"/>
  </si>
  <si>
    <t>5.3</t>
  </si>
  <si>
    <t>5.4</t>
  </si>
  <si>
    <t>Code</t>
    <phoneticPr fontId="1" type="noConversion"/>
  </si>
  <si>
    <t>No.</t>
  </si>
  <si>
    <t>No.</t>
    <phoneticPr fontId="1" type="noConversion"/>
  </si>
  <si>
    <t>CA_Info_Req</t>
    <phoneticPr fontId="1" type="noConversion"/>
  </si>
  <si>
    <t>CA_Info_Ack</t>
    <phoneticPr fontId="1" type="noConversion"/>
  </si>
  <si>
    <t>TL_Info_Req</t>
    <phoneticPr fontId="1" type="noConversion"/>
  </si>
  <si>
    <t>TL_Info_Ack</t>
    <phoneticPr fontId="1" type="noConversion"/>
  </si>
  <si>
    <t>TL_Inaug_Req</t>
    <phoneticPr fontId="1" type="noConversion"/>
  </si>
  <si>
    <t>TL_Inaug_Ack</t>
    <phoneticPr fontId="1" type="noConversion"/>
  </si>
  <si>
    <t>3.1</t>
    <phoneticPr fontId="1" type="noConversion"/>
  </si>
  <si>
    <t>3.2</t>
    <phoneticPr fontId="1" type="noConversion"/>
  </si>
  <si>
    <t>프로토콜 구조</t>
    <phoneticPr fontId="1" type="noConversion"/>
  </si>
  <si>
    <t>구조</t>
    <phoneticPr fontId="1" type="noConversion"/>
  </si>
  <si>
    <t>설명</t>
    <phoneticPr fontId="1" type="noConversion"/>
  </si>
  <si>
    <t>3.2.1</t>
    <phoneticPr fontId="1" type="noConversion"/>
  </si>
  <si>
    <t>3.2.2</t>
    <phoneticPr fontId="1" type="noConversion"/>
  </si>
  <si>
    <t>STX는 Start Code로 0x01을 사용.</t>
    <phoneticPr fontId="1" type="noConversion"/>
  </si>
  <si>
    <t>MC는 프로토콜을 요청 Count수, 응답의 경우, 요청 Count수와 동일한 Count수를 전송.</t>
    <phoneticPr fontId="1" type="noConversion"/>
  </si>
  <si>
    <t>3.2.3</t>
    <phoneticPr fontId="1" type="noConversion"/>
  </si>
  <si>
    <t>3.2.4</t>
    <phoneticPr fontId="1" type="noConversion"/>
  </si>
  <si>
    <t>CMD는 프로토콜의 Command Type으로 아래의 정의 Command Code Table참조.</t>
    <phoneticPr fontId="1" type="noConversion"/>
  </si>
  <si>
    <t>SID와 DID는 ID Table Sheet 참조.</t>
    <phoneticPr fontId="1" type="noConversion"/>
  </si>
  <si>
    <t>3.2.5</t>
    <phoneticPr fontId="1" type="noConversion"/>
  </si>
  <si>
    <t>Abb</t>
  </si>
  <si>
    <t>Abb</t>
    <phoneticPr fontId="1" type="noConversion"/>
  </si>
  <si>
    <t>Protocol</t>
    <phoneticPr fontId="1" type="noConversion"/>
  </si>
  <si>
    <t>3.2.5</t>
    <phoneticPr fontId="1" type="noConversion"/>
  </si>
  <si>
    <t>UINT은 각 장치별 프로토콜.</t>
    <phoneticPr fontId="1" type="noConversion"/>
  </si>
  <si>
    <t>3.2.6</t>
    <phoneticPr fontId="1" type="noConversion"/>
  </si>
  <si>
    <t>3.2.7</t>
    <phoneticPr fontId="1" type="noConversion"/>
  </si>
  <si>
    <t>EOT부분은 End Code로 0x04를 사용.</t>
    <phoneticPr fontId="1" type="noConversion"/>
  </si>
  <si>
    <t>Communication Protocol Code Table</t>
  </si>
  <si>
    <t>Project :</t>
  </si>
  <si>
    <t>Issue Date:</t>
  </si>
  <si>
    <t>Maker:</t>
  </si>
  <si>
    <t>Revision Date:</t>
  </si>
  <si>
    <t>Revision No.</t>
  </si>
  <si>
    <t>Bit7</t>
  </si>
  <si>
    <t>Bit6</t>
  </si>
  <si>
    <t>Bit5</t>
  </si>
  <si>
    <t>Bit4</t>
  </si>
  <si>
    <t>Bit3</t>
  </si>
  <si>
    <t>Bit2</t>
  </si>
  <si>
    <t>Bit1</t>
  </si>
  <si>
    <t>Bit0</t>
  </si>
  <si>
    <t>Size(Byte)</t>
  </si>
  <si>
    <t>CRC16 Code</t>
    <phoneticPr fontId="1" type="noConversion"/>
  </si>
  <si>
    <t>2012.01.05</t>
    <phoneticPr fontId="1" type="noConversion"/>
  </si>
  <si>
    <t>DANVER CS.</t>
    <phoneticPr fontId="1" type="noConversion"/>
  </si>
  <si>
    <t>Command Code(10)</t>
    <phoneticPr fontId="1" type="noConversion"/>
  </si>
  <si>
    <t>CCI</t>
  </si>
  <si>
    <t>CAR Consist Informaion(0x00~0xFF)</t>
  </si>
  <si>
    <t>WLR</t>
  </si>
  <si>
    <t>CNCS</t>
  </si>
  <si>
    <t>Spare</t>
  </si>
  <si>
    <t>Car Number Hundereds(BCD)</t>
  </si>
  <si>
    <t>Car Number Unit(BCD)</t>
  </si>
  <si>
    <t>PAC</t>
  </si>
  <si>
    <t>Septa Comm Internal 485 ID Table</t>
  </si>
  <si>
    <t>SEPTA SL-V CS.</t>
  </si>
  <si>
    <t>2008.10.27</t>
  </si>
  <si>
    <t>Number</t>
  </si>
  <si>
    <t>Item</t>
  </si>
  <si>
    <t>CRA</t>
  </si>
  <si>
    <t>0x11</t>
  </si>
  <si>
    <t>0x12</t>
  </si>
  <si>
    <t>0x13</t>
  </si>
  <si>
    <t>0x14</t>
  </si>
  <si>
    <t>0x16</t>
  </si>
  <si>
    <t>0x17</t>
  </si>
  <si>
    <t>0x21</t>
  </si>
  <si>
    <t>0x22</t>
  </si>
  <si>
    <t>0x31</t>
  </si>
  <si>
    <t>0x32</t>
  </si>
  <si>
    <t>0x41</t>
  </si>
  <si>
    <t>0x42</t>
  </si>
  <si>
    <t>0x51</t>
  </si>
  <si>
    <t>0x52</t>
  </si>
  <si>
    <t>0x53</t>
  </si>
  <si>
    <t>0x54</t>
  </si>
  <si>
    <t>0x61</t>
  </si>
  <si>
    <t>0x62</t>
  </si>
  <si>
    <t>0x72</t>
  </si>
  <si>
    <t>0x73</t>
  </si>
  <si>
    <t>0x74</t>
  </si>
  <si>
    <t>0x75</t>
  </si>
  <si>
    <t>0x76</t>
  </si>
  <si>
    <t>0x77</t>
  </si>
  <si>
    <t>0x78</t>
  </si>
  <si>
    <t>0x81</t>
  </si>
  <si>
    <t>0x82</t>
  </si>
  <si>
    <t>0x83</t>
  </si>
  <si>
    <t>0x84</t>
  </si>
  <si>
    <t>0x85</t>
  </si>
  <si>
    <t>0x86</t>
  </si>
  <si>
    <t>0x87</t>
  </si>
  <si>
    <t>0x88</t>
  </si>
  <si>
    <t>0x91</t>
  </si>
  <si>
    <t>0x92</t>
  </si>
  <si>
    <t>0x93</t>
  </si>
  <si>
    <t>0x94</t>
  </si>
  <si>
    <t>PTU</t>
  </si>
  <si>
    <t>Septa Comm Train line 485 ID Table</t>
  </si>
  <si>
    <t>TY. Kim</t>
  </si>
  <si>
    <t>R00</t>
  </si>
  <si>
    <t>Train Number</t>
  </si>
  <si>
    <t>Train line 485 ID</t>
  </si>
  <si>
    <t>Car1</t>
  </si>
  <si>
    <t>PAC1(CRA)</t>
  </si>
  <si>
    <t>0x1A</t>
  </si>
  <si>
    <t>PAC2(CRB)</t>
  </si>
  <si>
    <t>0x1B</t>
  </si>
  <si>
    <t>Car2</t>
  </si>
  <si>
    <t>0x2A</t>
  </si>
  <si>
    <t>0x2B</t>
  </si>
  <si>
    <t>Car3</t>
  </si>
  <si>
    <t>0x3A</t>
  </si>
  <si>
    <t>0x3B</t>
  </si>
  <si>
    <t>Car4</t>
  </si>
  <si>
    <t>0x4A</t>
  </si>
  <si>
    <t>0x4B</t>
  </si>
  <si>
    <t>Car5</t>
  </si>
  <si>
    <t>0x5A</t>
  </si>
  <si>
    <t>0x5B</t>
  </si>
  <si>
    <t>Car6</t>
  </si>
  <si>
    <t>0x6A</t>
  </si>
  <si>
    <t>0x6B</t>
  </si>
  <si>
    <t>Car7</t>
  </si>
  <si>
    <t>0x7A</t>
  </si>
  <si>
    <t>0x7B</t>
  </si>
  <si>
    <t>Car8</t>
  </si>
  <si>
    <t>0x8A</t>
  </si>
  <si>
    <t>0x8B</t>
  </si>
  <si>
    <t>Car9</t>
  </si>
  <si>
    <t>0x9A</t>
  </si>
  <si>
    <t>0x9B</t>
  </si>
  <si>
    <t>Car10</t>
  </si>
  <si>
    <t>0xAA</t>
  </si>
  <si>
    <t>0xAB</t>
  </si>
  <si>
    <t>Car11</t>
  </si>
  <si>
    <t>0xBA</t>
  </si>
  <si>
    <t>0xBB</t>
  </si>
  <si>
    <t>Car12</t>
  </si>
  <si>
    <t>0xCA</t>
  </si>
  <si>
    <t>0xCB</t>
  </si>
  <si>
    <t>FDI</t>
  </si>
  <si>
    <t>SDI</t>
  </si>
  <si>
    <t>PII</t>
  </si>
  <si>
    <t>PAC_T</t>
  </si>
  <si>
    <t>PAC_B</t>
  </si>
  <si>
    <t>PAC_A</t>
  </si>
  <si>
    <t>CA_Token</t>
  </si>
  <si>
    <t>T_Toss</t>
  </si>
  <si>
    <t>T_Req</t>
  </si>
  <si>
    <t>CNCS_T</t>
  </si>
  <si>
    <t>T_Oder</t>
  </si>
  <si>
    <t>D0</t>
  </si>
  <si>
    <t>D1</t>
  </si>
  <si>
    <t>Route Number(1~9)</t>
  </si>
  <si>
    <t>TRAN</t>
  </si>
  <si>
    <t>Train Number Hundred Thousand Digit(BCD)</t>
  </si>
  <si>
    <t>Train Number Ten Thousand Digit(BCD)</t>
  </si>
  <si>
    <t>Train Number Thousands Digit(BCD)</t>
  </si>
  <si>
    <t>Train Number Hundreds Digit(BCD)</t>
  </si>
  <si>
    <t>Train Number Tens Digit(BCD)</t>
  </si>
  <si>
    <t>Train Number Units Digit(BCD)</t>
  </si>
  <si>
    <t>Crew ID Number Hundred Thousand Digit(BCD)</t>
  </si>
  <si>
    <t>Crew ID Number Ten Thousand Digit(BCD)</t>
  </si>
  <si>
    <t>Crew ID Number Thousands Digit(BCD)</t>
  </si>
  <si>
    <t>Crew ID Number Hundreds Digit(BCD)</t>
  </si>
  <si>
    <t>Crew ID Number Tens Digit(BCD)</t>
  </si>
  <si>
    <t>Crew ID Number Units Digit(BCD)</t>
  </si>
  <si>
    <t>TRIP</t>
  </si>
  <si>
    <t>Trigger ID Number Hundred Thousands Digit(BCD)</t>
  </si>
  <si>
    <t>Trigger ID Number Ten Thousands Digit(BCD)</t>
  </si>
  <si>
    <t>Trigger ID Number Thousands Digit(BCD)</t>
  </si>
  <si>
    <t>Trigger ID Number Hundreds Digit(BCD)</t>
  </si>
  <si>
    <t>Trigger ID Number Tens Digit(BCD)</t>
  </si>
  <si>
    <t>Trigger ID Number Units Digit(BCD)</t>
  </si>
  <si>
    <t>STST</t>
  </si>
  <si>
    <t>NOST</t>
  </si>
  <si>
    <t>NEST</t>
  </si>
  <si>
    <t>DEST</t>
  </si>
  <si>
    <t>LED MARK</t>
  </si>
  <si>
    <t>D2</t>
  </si>
  <si>
    <t>PR</t>
  </si>
  <si>
    <t>PR Active</t>
  </si>
  <si>
    <t>B Cab On</t>
    <phoneticPr fontId="1" type="noConversion"/>
  </si>
  <si>
    <t>A Cab On</t>
    <phoneticPr fontId="1" type="noConversion"/>
  </si>
  <si>
    <t>Forward</t>
    <phoneticPr fontId="1" type="noConversion"/>
  </si>
  <si>
    <t>Reverse</t>
    <phoneticPr fontId="1" type="noConversion"/>
  </si>
  <si>
    <t>Spare</t>
    <phoneticPr fontId="1" type="noConversion"/>
  </si>
  <si>
    <t>LTD</t>
    <phoneticPr fontId="1" type="noConversion"/>
  </si>
  <si>
    <t>EXP</t>
    <phoneticPr fontId="1" type="noConversion"/>
  </si>
  <si>
    <t>Route</t>
    <phoneticPr fontId="1" type="noConversion"/>
  </si>
  <si>
    <t>STOP</t>
    <phoneticPr fontId="1" type="noConversion"/>
  </si>
  <si>
    <t>Station Type</t>
    <phoneticPr fontId="1" type="noConversion"/>
  </si>
  <si>
    <t>Display Type</t>
    <phoneticPr fontId="1" type="noConversion"/>
  </si>
  <si>
    <t>Simulation</t>
    <phoneticPr fontId="1" type="noConversion"/>
  </si>
  <si>
    <t>SKIP</t>
    <phoneticPr fontId="1" type="noConversion"/>
  </si>
  <si>
    <t>MARK</t>
    <phoneticPr fontId="1" type="noConversion"/>
  </si>
  <si>
    <t>LED ROUTE</t>
    <phoneticPr fontId="1" type="noConversion"/>
  </si>
  <si>
    <t>Spare</t>
    <phoneticPr fontId="1" type="noConversion"/>
  </si>
  <si>
    <t>FDI/SID 표출 메시지</t>
    <phoneticPr fontId="1" type="noConversion"/>
  </si>
  <si>
    <t>PII
Vector</t>
    <phoneticPr fontId="1" type="noConversion"/>
  </si>
  <si>
    <t>PR
Vector</t>
    <phoneticPr fontId="1" type="noConversion"/>
  </si>
  <si>
    <t>PAC
Vector</t>
    <phoneticPr fontId="1" type="noConversion"/>
  </si>
  <si>
    <t>PAC Audio Vector High(0x00)</t>
    <phoneticPr fontId="1" type="noConversion"/>
  </si>
  <si>
    <t>PAC Audio Vector LOW(0x00)</t>
    <phoneticPr fontId="1" type="noConversion"/>
  </si>
  <si>
    <t>PP
Vector</t>
    <phoneticPr fontId="1" type="noConversion"/>
  </si>
  <si>
    <t>SP
Vector</t>
    <phoneticPr fontId="1" type="noConversion"/>
  </si>
  <si>
    <t>PII Display Vector High(0x00)</t>
    <phoneticPr fontId="1" type="noConversion"/>
  </si>
  <si>
    <t>PII Display Vector Low(0x00)</t>
    <phoneticPr fontId="1" type="noConversion"/>
  </si>
  <si>
    <t>PP Display Vector High(0x00)</t>
    <phoneticPr fontId="1" type="noConversion"/>
  </si>
  <si>
    <t>PP Display Vector Low(0x00)</t>
    <phoneticPr fontId="1" type="noConversion"/>
  </si>
  <si>
    <t>SP Display Vector High(0x00)</t>
    <phoneticPr fontId="1" type="noConversion"/>
  </si>
  <si>
    <t>SP Display Vector Low(0x00)</t>
    <phoneticPr fontId="1" type="noConversion"/>
  </si>
  <si>
    <t>D3</t>
    <phoneticPr fontId="1" type="noConversion"/>
  </si>
  <si>
    <t>Pattern Test</t>
    <phoneticPr fontId="1" type="noConversion"/>
  </si>
  <si>
    <t>FDI/SDI Msg Type</t>
    <phoneticPr fontId="1" type="noConversion"/>
  </si>
  <si>
    <t>Start Code (0x01)</t>
    <phoneticPr fontId="1" type="noConversion"/>
  </si>
  <si>
    <t>Start Station Code High(0x00)</t>
    <phoneticPr fontId="1" type="noConversion"/>
  </si>
  <si>
    <t>Start Station Code Low(0x00)</t>
    <phoneticPr fontId="1" type="noConversion"/>
  </si>
  <si>
    <t>Now Station Code High(0x00)</t>
    <phoneticPr fontId="1" type="noConversion"/>
  </si>
  <si>
    <t>Now Station Code Low(0x00)</t>
    <phoneticPr fontId="1" type="noConversion"/>
  </si>
  <si>
    <t>Next Station Code High(0x00)</t>
    <phoneticPr fontId="1" type="noConversion"/>
  </si>
  <si>
    <t>Next Station Code Low(0x00)</t>
    <phoneticPr fontId="1" type="noConversion"/>
  </si>
  <si>
    <t>Destination Code High(0x00)</t>
    <phoneticPr fontId="1" type="noConversion"/>
  </si>
  <si>
    <t>Destination Code Low(0x00)</t>
    <phoneticPr fontId="1" type="noConversion"/>
  </si>
  <si>
    <t>CNCS_T</t>
    <phoneticPr fontId="1" type="noConversion"/>
  </si>
  <si>
    <t>Spare</t>
    <phoneticPr fontId="1" type="noConversion"/>
  </si>
  <si>
    <t>CARN</t>
  </si>
  <si>
    <t>Traction
Command</t>
  </si>
  <si>
    <t>EP mode
placeholder</t>
  </si>
  <si>
    <t>All Doors
Closed</t>
  </si>
  <si>
    <t>Skip7</t>
  </si>
  <si>
    <t>Skip 6</t>
  </si>
  <si>
    <t>Skip 5</t>
  </si>
  <si>
    <t>Skip 4</t>
  </si>
  <si>
    <t>Skip 3</t>
  </si>
  <si>
    <t>Skip 2</t>
  </si>
  <si>
    <t>Skip 1</t>
  </si>
  <si>
    <t>Skip 0</t>
  </si>
  <si>
    <t>Skip 14</t>
  </si>
  <si>
    <t>Skip13</t>
  </si>
  <si>
    <t>Skip12</t>
  </si>
  <si>
    <t>Skip11</t>
  </si>
  <si>
    <t>Skip10</t>
  </si>
  <si>
    <t>Skip9</t>
  </si>
  <si>
    <t>Skip8</t>
  </si>
  <si>
    <t>Skip23</t>
  </si>
  <si>
    <t>Skip 22</t>
  </si>
  <si>
    <t>Skip 21</t>
  </si>
  <si>
    <t>Skip 20</t>
  </si>
  <si>
    <t>Skip 19</t>
  </si>
  <si>
    <t>Skip 18</t>
  </si>
  <si>
    <t>Skip 17</t>
  </si>
  <si>
    <t>Skip 16</t>
  </si>
  <si>
    <t>Skip31</t>
  </si>
  <si>
    <t>Skip 30</t>
  </si>
  <si>
    <t>Skip 29</t>
  </si>
  <si>
    <t>Skip 28</t>
  </si>
  <si>
    <t>Skip 27</t>
  </si>
  <si>
    <t>Skip 26</t>
  </si>
  <si>
    <t>Skip 25</t>
  </si>
  <si>
    <t>Skip 24</t>
  </si>
  <si>
    <t>Skip39</t>
  </si>
  <si>
    <t>Skip 38</t>
  </si>
  <si>
    <t>Skip 37</t>
  </si>
  <si>
    <t>Skip 36</t>
  </si>
  <si>
    <t>Skip 35</t>
  </si>
  <si>
    <t>Skip 34</t>
  </si>
  <si>
    <t>Skip 33</t>
  </si>
  <si>
    <t>Skip 32</t>
  </si>
  <si>
    <t>Skip47</t>
  </si>
  <si>
    <t>Skip 46</t>
  </si>
  <si>
    <t>Skip 45</t>
  </si>
  <si>
    <t>Skip 44</t>
  </si>
  <si>
    <t>Skip 43</t>
  </si>
  <si>
    <t>Skip 42</t>
  </si>
  <si>
    <t>Skip 41</t>
  </si>
  <si>
    <t>Skip 40</t>
  </si>
  <si>
    <t>Skip55</t>
  </si>
  <si>
    <t>Skip 54</t>
  </si>
  <si>
    <t>Skip 53</t>
  </si>
  <si>
    <t>Skip 52</t>
  </si>
  <si>
    <t>Skip 51</t>
  </si>
  <si>
    <t>Skip 50</t>
  </si>
  <si>
    <t>Skip 49</t>
  </si>
  <si>
    <t>Skip 48</t>
  </si>
  <si>
    <t>Skip63</t>
  </si>
  <si>
    <t>Skip 62</t>
  </si>
  <si>
    <t>Skip 61</t>
  </si>
  <si>
    <t>Skip 60</t>
  </si>
  <si>
    <t>Skip 59</t>
  </si>
  <si>
    <t>Skip 58</t>
  </si>
  <si>
    <t>Skip 57</t>
  </si>
  <si>
    <t>Skip 56</t>
  </si>
  <si>
    <t>Skip71</t>
  </si>
  <si>
    <t>Skip 70</t>
  </si>
  <si>
    <t>Skip 69</t>
  </si>
  <si>
    <t>Skip 68</t>
  </si>
  <si>
    <t>Skip 67</t>
  </si>
  <si>
    <t>Skip 66</t>
  </si>
  <si>
    <t>Skip 65</t>
  </si>
  <si>
    <t>Skip 64</t>
  </si>
  <si>
    <t>Skip 78</t>
  </si>
  <si>
    <t>Skip 77</t>
  </si>
  <si>
    <t>Skip 76</t>
  </si>
  <si>
    <t>Skip 75</t>
  </si>
  <si>
    <t>Skip 74</t>
  </si>
  <si>
    <t>Skip 73</t>
  </si>
  <si>
    <t>Skip 72</t>
  </si>
  <si>
    <t>SPKV</t>
  </si>
  <si>
    <t>WLAN State</t>
  </si>
  <si>
    <t>CCP Clibration</t>
  </si>
  <si>
    <t>Up/Down</t>
  </si>
  <si>
    <t>Connect</t>
  </si>
  <si>
    <t>CCP2
Execute</t>
  </si>
  <si>
    <t>CCP2
Cancel</t>
  </si>
  <si>
    <t>CCP1
Cancel</t>
  </si>
  <si>
    <t>DST</t>
    <phoneticPr fontId="1" type="noConversion"/>
  </si>
  <si>
    <t>State</t>
    <phoneticPr fontId="1" type="noConversion"/>
  </si>
  <si>
    <t>LED_T</t>
    <phoneticPr fontId="1" type="noConversion"/>
  </si>
  <si>
    <t>2~3</t>
  </si>
  <si>
    <t>4~5</t>
  </si>
  <si>
    <t>6~7</t>
  </si>
  <si>
    <t>8~9</t>
  </si>
  <si>
    <t>10~11</t>
  </si>
  <si>
    <t>12~13</t>
  </si>
  <si>
    <t>12~13</t>
    <phoneticPr fontId="1" type="noConversion"/>
  </si>
  <si>
    <t>14~15</t>
  </si>
  <si>
    <t>14~15</t>
    <phoneticPr fontId="1" type="noConversion"/>
  </si>
  <si>
    <t>16~17</t>
  </si>
  <si>
    <t>18~19</t>
  </si>
  <si>
    <t>20~21</t>
  </si>
  <si>
    <t>22~23</t>
  </si>
  <si>
    <t>24~25</t>
  </si>
  <si>
    <t>26~27</t>
  </si>
  <si>
    <t>28~29</t>
  </si>
  <si>
    <t>30~31</t>
  </si>
  <si>
    <t>32~33</t>
  </si>
  <si>
    <t>34~35</t>
  </si>
  <si>
    <t>36~37</t>
  </si>
  <si>
    <t>38~39</t>
  </si>
  <si>
    <t>40~41</t>
  </si>
  <si>
    <t>42~43</t>
  </si>
  <si>
    <t>44~45</t>
  </si>
  <si>
    <t>46~47</t>
  </si>
  <si>
    <t>48~49</t>
  </si>
  <si>
    <t>56~57</t>
  </si>
  <si>
    <t>58~59</t>
  </si>
  <si>
    <t>60~61</t>
  </si>
  <si>
    <t>62~63</t>
  </si>
  <si>
    <t>64~65</t>
  </si>
  <si>
    <t>66~67</t>
  </si>
  <si>
    <t>68~69</t>
  </si>
  <si>
    <t>70~71</t>
  </si>
  <si>
    <t>72~73</t>
  </si>
  <si>
    <t>74~75</t>
  </si>
  <si>
    <t>76~77</t>
  </si>
  <si>
    <t>78~79</t>
  </si>
  <si>
    <t>80~81</t>
  </si>
  <si>
    <t>82~83</t>
  </si>
  <si>
    <t>84~85</t>
  </si>
  <si>
    <t>86~87</t>
  </si>
  <si>
    <t>88~89</t>
  </si>
  <si>
    <t>90~91</t>
  </si>
  <si>
    <t>94~95</t>
  </si>
  <si>
    <r>
      <t xml:space="preserve">LED </t>
    </r>
    <r>
      <rPr>
        <sz val="8"/>
        <rFont val="돋움"/>
        <family val="3"/>
        <charset val="129"/>
      </rPr>
      <t>교차</t>
    </r>
    <r>
      <rPr>
        <sz val="8"/>
        <rFont val="Arial"/>
        <family val="2"/>
      </rPr>
      <t xml:space="preserve"> </t>
    </r>
    <r>
      <rPr>
        <sz val="8"/>
        <rFont val="돋움"/>
        <family val="3"/>
        <charset val="129"/>
      </rPr>
      <t>출력시간</t>
    </r>
  </si>
  <si>
    <t>Maker:</t>
    <phoneticPr fontId="1" type="noConversion"/>
  </si>
  <si>
    <t>Bit7</t>
    <phoneticPr fontId="1" type="noConversion"/>
  </si>
  <si>
    <t>Train Number Hundreds Digit(BCD)</t>
    <phoneticPr fontId="1" type="noConversion"/>
  </si>
  <si>
    <t>CID</t>
    <phoneticPr fontId="1" type="noConversion"/>
  </si>
  <si>
    <t>Trigger ID Number Tens Digit(BCD)</t>
    <phoneticPr fontId="1" type="noConversion"/>
  </si>
  <si>
    <t>LED MARK</t>
    <phoneticPr fontId="1" type="noConversion"/>
  </si>
  <si>
    <t>Route</t>
    <phoneticPr fontId="1" type="noConversion"/>
  </si>
  <si>
    <t>PR MSG Code High("00H")</t>
    <phoneticPr fontId="1" type="noConversion"/>
  </si>
  <si>
    <t>PR MSG Code LOW("00H")</t>
    <phoneticPr fontId="1" type="noConversion"/>
  </si>
  <si>
    <t>PII
Vector</t>
    <phoneticPr fontId="1" type="noConversion"/>
  </si>
  <si>
    <t>Skip15</t>
    <phoneticPr fontId="1" type="noConversion"/>
  </si>
  <si>
    <t>Skip79</t>
    <phoneticPr fontId="1" type="noConversion"/>
  </si>
  <si>
    <t>Active 
Cab</t>
    <phoneticPr fontId="1" type="noConversion"/>
  </si>
  <si>
    <t>Maker:</t>
    <phoneticPr fontId="1" type="noConversion"/>
  </si>
  <si>
    <t>Bit7</t>
    <phoneticPr fontId="1" type="noConversion"/>
  </si>
  <si>
    <t>32~33</t>
    <phoneticPr fontId="1" type="noConversion"/>
  </si>
  <si>
    <t>34~35</t>
    <phoneticPr fontId="1" type="noConversion"/>
  </si>
  <si>
    <t>12~15</t>
    <phoneticPr fontId="1" type="noConversion"/>
  </si>
  <si>
    <r>
      <t>ROUTE
SKIP</t>
    </r>
    <r>
      <rPr>
        <sz val="8"/>
        <rFont val="돋움"/>
        <family val="3"/>
        <charset val="129"/>
      </rPr>
      <t>역
설정</t>
    </r>
    <r>
      <rPr>
        <sz val="8"/>
        <rFont val="Arial"/>
        <family val="2"/>
      </rPr>
      <t xml:space="preserve"> </t>
    </r>
    <r>
      <rPr>
        <sz val="8"/>
        <rFont val="돋움"/>
        <family val="3"/>
        <charset val="129"/>
      </rPr>
      <t>정보</t>
    </r>
    <phoneticPr fontId="1" type="noConversion"/>
  </si>
  <si>
    <t>104~105</t>
  </si>
  <si>
    <t>106~107</t>
  </si>
  <si>
    <t>108~109</t>
  </si>
  <si>
    <t>110~111</t>
  </si>
  <si>
    <t>112~113</t>
  </si>
  <si>
    <t>114~115</t>
  </si>
  <si>
    <t>116~117</t>
  </si>
  <si>
    <t>118~119</t>
  </si>
  <si>
    <t>D0</t>
    <phoneticPr fontId="1" type="noConversion"/>
  </si>
  <si>
    <t>ANS</t>
    <phoneticPr fontId="1" type="noConversion"/>
  </si>
  <si>
    <t>ANS Value</t>
    <phoneticPr fontId="1" type="noConversion"/>
  </si>
  <si>
    <t>Coupling ID</t>
    <phoneticPr fontId="1" type="noConversion"/>
  </si>
  <si>
    <t>C_ID</t>
    <phoneticPr fontId="1" type="noConversion"/>
  </si>
  <si>
    <t>CA_Version_Ack</t>
    <phoneticPr fontId="1" type="noConversion"/>
  </si>
  <si>
    <t>Car Line 정보 요청.</t>
    <phoneticPr fontId="1" type="noConversion"/>
  </si>
  <si>
    <t>Car Line 정보 응답.</t>
    <phoneticPr fontId="1" type="noConversion"/>
  </si>
  <si>
    <t>Car Line Version 요청.</t>
    <phoneticPr fontId="1" type="noConversion"/>
  </si>
  <si>
    <t>Car Line Version 응답.</t>
    <phoneticPr fontId="1" type="noConversion"/>
  </si>
  <si>
    <t>Train Line 정보 요청.</t>
    <phoneticPr fontId="1" type="noConversion"/>
  </si>
  <si>
    <t>Train Line 정보 응답.</t>
    <phoneticPr fontId="1" type="noConversion"/>
  </si>
  <si>
    <t>Train Line 중련 요청.</t>
    <phoneticPr fontId="1" type="noConversion"/>
  </si>
  <si>
    <t>Train Line 중련 응답.</t>
    <phoneticPr fontId="1" type="noConversion"/>
  </si>
  <si>
    <t>Information</t>
    <phoneticPr fontId="1" type="noConversion"/>
  </si>
  <si>
    <t>Mark</t>
    <phoneticPr fontId="1" type="noConversion"/>
  </si>
  <si>
    <t>Build
Date</t>
  </si>
  <si>
    <t>6.</t>
    <phoneticPr fontId="1" type="noConversion"/>
  </si>
  <si>
    <t>6.1</t>
    <phoneticPr fontId="1" type="noConversion"/>
  </si>
  <si>
    <t>6.2</t>
    <phoneticPr fontId="1" type="noConversion"/>
  </si>
  <si>
    <t>Major(2)</t>
    <phoneticPr fontId="1" type="noConversion"/>
  </si>
  <si>
    <t>Minor(2)</t>
    <phoneticPr fontId="1" type="noConversion"/>
  </si>
  <si>
    <t>※ GPS 데이터를 CNCS포멧에 포함하도록 하겠습니다.</t>
    <phoneticPr fontId="1" type="noConversion"/>
  </si>
  <si>
    <t>Denver에 관련된 자료를 요청하여 데이터가 오는 데로 프로토콜을 업데이트 하도록 하겠습니다.</t>
    <phoneticPr fontId="1" type="noConversion"/>
  </si>
  <si>
    <t>6.3</t>
    <phoneticPr fontId="1" type="noConversion"/>
  </si>
  <si>
    <t>펌웨어 및 버전별 표기방법.</t>
    <phoneticPr fontId="1" type="noConversion"/>
  </si>
  <si>
    <t>Revision(2)</t>
    <phoneticPr fontId="1" type="noConversion"/>
  </si>
  <si>
    <t>Project No.</t>
    <phoneticPr fontId="1" type="noConversion"/>
  </si>
  <si>
    <t>Project No.(2)</t>
    <phoneticPr fontId="1" type="noConversion"/>
  </si>
  <si>
    <t>-</t>
    <phoneticPr fontId="1" type="noConversion"/>
  </si>
  <si>
    <t>Denver CS : 2</t>
    <phoneticPr fontId="1" type="noConversion"/>
  </si>
  <si>
    <t>-</t>
    <phoneticPr fontId="1" type="noConversion"/>
  </si>
  <si>
    <t>Major</t>
    <phoneticPr fontId="1" type="noConversion"/>
  </si>
  <si>
    <t>Minor</t>
    <phoneticPr fontId="1" type="noConversion"/>
  </si>
  <si>
    <t>프로그램의 기능을 수정 또는 추가한 경우.</t>
    <phoneticPr fontId="1" type="noConversion"/>
  </si>
  <si>
    <t>프로그램의 버그등 작은 기능을 수정한 경우.</t>
    <phoneticPr fontId="1" type="noConversion"/>
  </si>
  <si>
    <t>Revision</t>
    <phoneticPr fontId="1" type="noConversion"/>
  </si>
  <si>
    <t>프로그램을 장치에 적용 시험시 시험버전관리. (Test Version 관리용)</t>
    <phoneticPr fontId="1" type="noConversion"/>
  </si>
  <si>
    <t>버전의 경우, 정식 버전 배포시 0으로 설정하여야함.</t>
    <phoneticPr fontId="1" type="noConversion"/>
  </si>
  <si>
    <t>개발 버전일 경우, Revision버전을 1에서 부터 시작함.</t>
    <phoneticPr fontId="1" type="noConversion"/>
  </si>
  <si>
    <t>버전 표기 및 적용방법.</t>
    <phoneticPr fontId="1" type="noConversion"/>
  </si>
  <si>
    <t>프로그램 및 펌웨어 Version은 2자리씩 4자리로 구분함.</t>
    <phoneticPr fontId="1" type="noConversion"/>
  </si>
  <si>
    <t>데이터 버전은 12자리로 관리.(예 : 120101000000)</t>
    <phoneticPr fontId="1" type="noConversion"/>
  </si>
  <si>
    <t>운용에 필요한 데이터는 모두 Version 정보를 관리하여야함.</t>
    <phoneticPr fontId="1" type="noConversion"/>
  </si>
  <si>
    <t>6.4</t>
    <phoneticPr fontId="1" type="noConversion"/>
  </si>
  <si>
    <t>Version은 기본 프로토콜과 분리하여 별도의 프로토콜로 조회됨.</t>
    <phoneticPr fontId="1" type="noConversion"/>
  </si>
  <si>
    <t>CNCS에서 장치 업데이트시 장비의 버전을 조회함.</t>
    <phoneticPr fontId="1" type="noConversion"/>
  </si>
  <si>
    <t>MAJOR</t>
    <phoneticPr fontId="1" type="noConversion"/>
  </si>
  <si>
    <t>MINOR</t>
    <phoneticPr fontId="1" type="noConversion"/>
  </si>
  <si>
    <t>RIVISON</t>
    <phoneticPr fontId="1" type="noConversion"/>
  </si>
  <si>
    <t>CRC16 Code</t>
    <phoneticPr fontId="1" type="noConversion"/>
  </si>
  <si>
    <r>
      <t xml:space="preserve">Firmware Major </t>
    </r>
    <r>
      <rPr>
        <sz val="8"/>
        <rFont val="돋움"/>
        <family val="3"/>
        <charset val="129"/>
      </rPr>
      <t>버전</t>
    </r>
    <r>
      <rPr>
        <sz val="8"/>
        <rFont val="Arial"/>
        <family val="2"/>
      </rPr>
      <t xml:space="preserve"> 2</t>
    </r>
    <phoneticPr fontId="1" type="noConversion"/>
  </si>
  <si>
    <r>
      <t xml:space="preserve">Firmware Minor </t>
    </r>
    <r>
      <rPr>
        <sz val="8"/>
        <rFont val="돋움"/>
        <family val="3"/>
        <charset val="129"/>
      </rPr>
      <t>버전</t>
    </r>
    <r>
      <rPr>
        <sz val="8"/>
        <rFont val="Arial"/>
        <family val="2"/>
      </rPr>
      <t xml:space="preserve"> 1</t>
    </r>
    <phoneticPr fontId="1" type="noConversion"/>
  </si>
  <si>
    <r>
      <t xml:space="preserve">Firmware Minor </t>
    </r>
    <r>
      <rPr>
        <sz val="8"/>
        <rFont val="돋움"/>
        <family val="3"/>
        <charset val="129"/>
      </rPr>
      <t>버전</t>
    </r>
    <r>
      <rPr>
        <sz val="8"/>
        <rFont val="Arial"/>
        <family val="2"/>
      </rPr>
      <t xml:space="preserve"> 2</t>
    </r>
    <phoneticPr fontId="1" type="noConversion"/>
  </si>
  <si>
    <r>
      <t xml:space="preserve">Firmware Revision </t>
    </r>
    <r>
      <rPr>
        <sz val="8"/>
        <rFont val="돋움"/>
        <family val="3"/>
        <charset val="129"/>
      </rPr>
      <t>버전</t>
    </r>
    <r>
      <rPr>
        <sz val="8"/>
        <rFont val="Arial"/>
        <family val="2"/>
      </rPr>
      <t xml:space="preserve"> 1</t>
    </r>
    <phoneticPr fontId="1" type="noConversion"/>
  </si>
  <si>
    <r>
      <t xml:space="preserve">Firmware Revision </t>
    </r>
    <r>
      <rPr>
        <sz val="8"/>
        <rFont val="돋움"/>
        <family val="3"/>
        <charset val="129"/>
      </rPr>
      <t>버전</t>
    </r>
    <r>
      <rPr>
        <sz val="8"/>
        <rFont val="Arial"/>
        <family val="2"/>
      </rPr>
      <t xml:space="preserve"> 2</t>
    </r>
    <phoneticPr fontId="1" type="noConversion"/>
  </si>
  <si>
    <t>LON-Firmware Major 버전 2</t>
  </si>
  <si>
    <t>LON-Firmware Minor 버전 1</t>
  </si>
  <si>
    <t>LON-Firmware Minor 버전 2</t>
  </si>
  <si>
    <t>LON-Firmware Revision 버전 1</t>
  </si>
  <si>
    <t>LON-Firmware Revision 버전 2</t>
  </si>
  <si>
    <t>MPU-Firmware Major 버전 2</t>
  </si>
  <si>
    <t>MPU-Firmware Minor 버전 1</t>
  </si>
  <si>
    <t>MPU-Firmware Minor 버전 2</t>
  </si>
  <si>
    <t>MPU-Firmware Revision 버전 1</t>
  </si>
  <si>
    <t>MPU-Firmware Revision 버전 2</t>
  </si>
  <si>
    <t>CCP-Main App Major 버전 2</t>
  </si>
  <si>
    <t>CCP-Main App Minor 버전 1</t>
  </si>
  <si>
    <t>CCP-Main App Minor 버전 2</t>
  </si>
  <si>
    <t>CCP-Main App Revision 버전 1</t>
  </si>
  <si>
    <t>CCP-Main App Revision 버전 2</t>
  </si>
  <si>
    <t>CCP-Agent App Major 버전 2</t>
  </si>
  <si>
    <t>CCP-Agent App Minor 버전 1</t>
  </si>
  <si>
    <t>CCP-Agent App Minor 버전 2</t>
  </si>
  <si>
    <t>CCP-Agent App Revision 버전 1</t>
  </si>
  <si>
    <t>CCP-Agent App Revision 버전 2</t>
  </si>
  <si>
    <t>DB</t>
    <phoneticPr fontId="1" type="noConversion"/>
  </si>
  <si>
    <t>Database Version</t>
    <phoneticPr fontId="1" type="noConversion"/>
  </si>
  <si>
    <r>
      <t xml:space="preserve">CCP-Main App Major </t>
    </r>
    <r>
      <rPr>
        <sz val="8"/>
        <rFont val="돋움"/>
        <family val="3"/>
        <charset val="129"/>
      </rPr>
      <t>버전</t>
    </r>
    <r>
      <rPr>
        <sz val="8"/>
        <rFont val="Arial"/>
        <family val="2"/>
      </rPr>
      <t xml:space="preserve"> 1</t>
    </r>
    <phoneticPr fontId="1" type="noConversion"/>
  </si>
  <si>
    <t>Firmware Major 버전 2</t>
  </si>
  <si>
    <t>Firmware Minor 버전 1</t>
  </si>
  <si>
    <t>Firmware Minor 버전 2</t>
  </si>
  <si>
    <t>Firmware Revision 버전 1</t>
  </si>
  <si>
    <t>Firmware Revision 버전 2</t>
  </si>
  <si>
    <r>
      <t xml:space="preserve">Firmware Major </t>
    </r>
    <r>
      <rPr>
        <sz val="8"/>
        <rFont val="돋움"/>
        <family val="3"/>
        <charset val="129"/>
      </rPr>
      <t>버전</t>
    </r>
    <r>
      <rPr>
        <sz val="8"/>
        <rFont val="Arial"/>
        <family val="2"/>
      </rPr>
      <t xml:space="preserve"> 1</t>
    </r>
    <phoneticPr fontId="1" type="noConversion"/>
  </si>
  <si>
    <t>Build
Date</t>
    <phoneticPr fontId="1" type="noConversion"/>
  </si>
  <si>
    <t>CCP-Main App Year</t>
    <phoneticPr fontId="1" type="noConversion"/>
  </si>
  <si>
    <t>CCP-Main App Month</t>
    <phoneticPr fontId="1" type="noConversion"/>
  </si>
  <si>
    <t>CCP-Main App Day</t>
    <phoneticPr fontId="1" type="noConversion"/>
  </si>
  <si>
    <r>
      <t xml:space="preserve">CCP-Agent App Major </t>
    </r>
    <r>
      <rPr>
        <sz val="8"/>
        <rFont val="돋움"/>
        <family val="3"/>
        <charset val="129"/>
      </rPr>
      <t>버전</t>
    </r>
    <r>
      <rPr>
        <sz val="8"/>
        <rFont val="Arial"/>
        <family val="2"/>
      </rPr>
      <t xml:space="preserve"> 1</t>
    </r>
    <phoneticPr fontId="1" type="noConversion"/>
  </si>
  <si>
    <t>CCP-Agent App Year</t>
    <phoneticPr fontId="1" type="noConversion"/>
  </si>
  <si>
    <t>CCP-Agent App Month</t>
    <phoneticPr fontId="1" type="noConversion"/>
  </si>
  <si>
    <t>CCP-Agent App Day</t>
    <phoneticPr fontId="1" type="noConversion"/>
  </si>
  <si>
    <r>
      <t xml:space="preserve">LON-Firmware Major </t>
    </r>
    <r>
      <rPr>
        <sz val="8"/>
        <rFont val="돋움"/>
        <family val="3"/>
        <charset val="129"/>
      </rPr>
      <t>버전</t>
    </r>
    <r>
      <rPr>
        <sz val="8"/>
        <rFont val="Arial"/>
        <family val="2"/>
      </rPr>
      <t xml:space="preserve"> 1</t>
    </r>
    <phoneticPr fontId="1" type="noConversion"/>
  </si>
  <si>
    <t>LON-Firmware Year</t>
    <phoneticPr fontId="1" type="noConversion"/>
  </si>
  <si>
    <t>LON-Firmware Month</t>
    <phoneticPr fontId="1" type="noConversion"/>
  </si>
  <si>
    <t>LON-Firmware Day</t>
    <phoneticPr fontId="1" type="noConversion"/>
  </si>
  <si>
    <r>
      <t xml:space="preserve">MPU-Firmware Major </t>
    </r>
    <r>
      <rPr>
        <sz val="8"/>
        <rFont val="돋움"/>
        <family val="3"/>
        <charset val="129"/>
      </rPr>
      <t>버전</t>
    </r>
    <r>
      <rPr>
        <sz val="8"/>
        <rFont val="Arial"/>
        <family val="2"/>
      </rPr>
      <t xml:space="preserve"> 1</t>
    </r>
    <phoneticPr fontId="1" type="noConversion"/>
  </si>
  <si>
    <t>MPU-Firmware Year</t>
    <phoneticPr fontId="1" type="noConversion"/>
  </si>
  <si>
    <t>MPU-Firmware Month</t>
    <phoneticPr fontId="1" type="noConversion"/>
  </si>
  <si>
    <t>MPU-Firmware Day</t>
    <phoneticPr fontId="1" type="noConversion"/>
  </si>
  <si>
    <r>
      <t xml:space="preserve">Firmware Major </t>
    </r>
    <r>
      <rPr>
        <sz val="8"/>
        <rFont val="돋움"/>
        <family val="3"/>
        <charset val="129"/>
      </rPr>
      <t>버전</t>
    </r>
    <r>
      <rPr>
        <sz val="8"/>
        <rFont val="Arial"/>
        <family val="2"/>
      </rPr>
      <t xml:space="preserve"> 1</t>
    </r>
    <phoneticPr fontId="1" type="noConversion"/>
  </si>
  <si>
    <t>Firmware Day</t>
    <phoneticPr fontId="1" type="noConversion"/>
  </si>
  <si>
    <t>Firmware Month</t>
    <phoneticPr fontId="1" type="noConversion"/>
  </si>
  <si>
    <t>Main Year</t>
  </si>
  <si>
    <t>Main Month</t>
  </si>
  <si>
    <t>Main Day</t>
  </si>
  <si>
    <t>Main Major 버전 1</t>
  </si>
  <si>
    <t>Main Major 버전 2</t>
  </si>
  <si>
    <t>Main Minor 버전 1</t>
  </si>
  <si>
    <t>Main Minor 버전 2</t>
  </si>
  <si>
    <t>Main Revision 버전 1</t>
  </si>
  <si>
    <t>Main Revision 버전 2</t>
  </si>
  <si>
    <t>Launcher Year</t>
  </si>
  <si>
    <t>Launcher Month</t>
  </si>
  <si>
    <t>Launcher Day</t>
  </si>
  <si>
    <t>Launcher Major 버전 1</t>
  </si>
  <si>
    <t>Launcher Major 버전 2</t>
  </si>
  <si>
    <t>Launcher Minor 버전 1</t>
  </si>
  <si>
    <t>Launcher Minor 버전 2</t>
  </si>
  <si>
    <t>Launcher Revision 버전 1</t>
  </si>
  <si>
    <t>Launcher Revision 버전 2</t>
  </si>
  <si>
    <t>PP Year</t>
  </si>
  <si>
    <t>PP Month</t>
  </si>
  <si>
    <t>PP Day</t>
  </si>
  <si>
    <t>PP Major 버전 1</t>
  </si>
  <si>
    <t>PP Major 버전 2</t>
  </si>
  <si>
    <t>PP Minor 버전 1</t>
  </si>
  <si>
    <t>PP Minor 버전 2</t>
  </si>
  <si>
    <t>PP Revision 버전 1</t>
  </si>
  <si>
    <t>PP Revision 버전 2</t>
  </si>
  <si>
    <t>SP Year</t>
  </si>
  <si>
    <t>SP Month</t>
  </si>
  <si>
    <t>SP Day</t>
  </si>
  <si>
    <t>SP Major 버전 1</t>
  </si>
  <si>
    <t>SP Major 버전 2</t>
  </si>
  <si>
    <t>SP Major 버전 3</t>
  </si>
  <si>
    <t>SP Major 버전 4</t>
  </si>
  <si>
    <t>SP Minor 버전 1</t>
  </si>
  <si>
    <t>SP Minor 버전 2</t>
  </si>
  <si>
    <t>SP Minor 버전 3</t>
  </si>
  <si>
    <t>SP Minor 버전 4</t>
  </si>
  <si>
    <t>SP Revision 버전 1</t>
  </si>
  <si>
    <t>SP Revision 버전 2</t>
  </si>
  <si>
    <t>SP Revision 버전 3</t>
  </si>
  <si>
    <t>SP Revision 버전 4</t>
  </si>
  <si>
    <t>FTPData Year</t>
  </si>
  <si>
    <t>FTPData Month</t>
  </si>
  <si>
    <t>FTPData Day</t>
  </si>
  <si>
    <t>FTPData Major 버전 1</t>
  </si>
  <si>
    <t>FTPData Major 버전 2</t>
  </si>
  <si>
    <t>FTPData Minor 버전 1</t>
  </si>
  <si>
    <t>FTPData Minor 버전 2</t>
  </si>
  <si>
    <t>FTPData Revision 버전 1</t>
  </si>
  <si>
    <t>FTPData Revision 버전 2</t>
  </si>
  <si>
    <t>CDTData Year</t>
  </si>
  <si>
    <t>CDTData Month</t>
  </si>
  <si>
    <t>CDTData Day</t>
  </si>
  <si>
    <t>CDTData Major 버전 1</t>
  </si>
  <si>
    <t>CDTData Major 버전 2</t>
  </si>
  <si>
    <t>CDTData Minor 버전 1</t>
  </si>
  <si>
    <t>CDTData Minor 버전 2</t>
  </si>
  <si>
    <t>CDTData Revision 버전 1</t>
  </si>
  <si>
    <t>CDTData Revision 버전 2</t>
  </si>
  <si>
    <t>DATA</t>
    <phoneticPr fontId="1" type="noConversion"/>
  </si>
  <si>
    <t>Audio Data Version</t>
    <phoneticPr fontId="1" type="noConversion"/>
  </si>
  <si>
    <t>PP Data Version</t>
    <phoneticPr fontId="1" type="noConversion"/>
  </si>
  <si>
    <t>SP Data Version</t>
    <phoneticPr fontId="1" type="noConversion"/>
  </si>
  <si>
    <t>Content Data Version</t>
    <phoneticPr fontId="1" type="noConversion"/>
  </si>
  <si>
    <t>Build
Date</t>
    <phoneticPr fontId="1" type="noConversion"/>
  </si>
  <si>
    <t>MAJOR</t>
    <phoneticPr fontId="1" type="noConversion"/>
  </si>
  <si>
    <t>MINOR</t>
    <phoneticPr fontId="1" type="noConversion"/>
  </si>
  <si>
    <t>RIVISON</t>
    <phoneticPr fontId="1" type="noConversion"/>
  </si>
  <si>
    <t>Build
Date</t>
    <phoneticPr fontId="1" type="noConversion"/>
  </si>
  <si>
    <t>MAJOR</t>
    <phoneticPr fontId="1" type="noConversion"/>
  </si>
  <si>
    <t>MINOR</t>
    <phoneticPr fontId="1" type="noConversion"/>
  </si>
  <si>
    <t>RIVISON</t>
    <phoneticPr fontId="1" type="noConversion"/>
  </si>
  <si>
    <t>Firmware Year</t>
    <phoneticPr fontId="1" type="noConversion"/>
  </si>
  <si>
    <t>D1</t>
    <phoneticPr fontId="1" type="noConversion"/>
  </si>
  <si>
    <t>D2</t>
    <phoneticPr fontId="1" type="noConversion"/>
  </si>
  <si>
    <t>D4</t>
    <phoneticPr fontId="1" type="noConversion"/>
  </si>
  <si>
    <t>No.</t>
    <phoneticPr fontId="1" type="noConversion"/>
  </si>
  <si>
    <t>Color Data Version</t>
    <phoneticPr fontId="1" type="noConversion"/>
  </si>
  <si>
    <t>Station Data Version</t>
    <phoneticPr fontId="1" type="noConversion"/>
  </si>
  <si>
    <t>PR MSG Vector High("00H")</t>
    <phoneticPr fontId="1" type="noConversion"/>
  </si>
  <si>
    <t>PR MSG Vector LOW("00H")</t>
    <phoneticPr fontId="1" type="noConversion"/>
  </si>
  <si>
    <t>GPS</t>
  </si>
  <si>
    <t>DPO2</t>
  </si>
  <si>
    <t>DPO1</t>
  </si>
  <si>
    <t>PEI2</t>
  </si>
  <si>
    <t>PEI1</t>
  </si>
  <si>
    <t>PEI2 Call</t>
  </si>
  <si>
    <t>LNG는 프로토콜 데이터의 길이를 의미하여, LNG다음부터 CRC16이전까지의 개수</t>
    <phoneticPr fontId="1" type="noConversion"/>
  </si>
  <si>
    <t>(위의 그림일 경우, UNIT부분의 Byte수를 의미.)</t>
  </si>
  <si>
    <t>state</t>
  </si>
  <si>
    <r>
      <t>VRX-Video in
1:No Signal
0:</t>
    </r>
    <r>
      <rPr>
        <sz val="8"/>
        <rFont val="돋움"/>
        <family val="3"/>
        <charset val="129"/>
      </rPr>
      <t>정상입력</t>
    </r>
  </si>
  <si>
    <t>VRX-Lock
1:NO Lock
0:Lock</t>
  </si>
  <si>
    <t>FPGA LOGIC Year</t>
    <phoneticPr fontId="1" type="noConversion"/>
  </si>
  <si>
    <t>FPGA LOGIC Month</t>
    <phoneticPr fontId="1" type="noConversion"/>
  </si>
  <si>
    <t>FPGA LOGIC Day</t>
    <phoneticPr fontId="1" type="noConversion"/>
  </si>
  <si>
    <t>12~13</t>
    <phoneticPr fontId="1" type="noConversion"/>
  </si>
  <si>
    <t>14~16</t>
    <phoneticPr fontId="1" type="noConversion"/>
  </si>
  <si>
    <t>14~15</t>
    <phoneticPr fontId="1" type="noConversion"/>
  </si>
  <si>
    <t>16~17</t>
    <phoneticPr fontId="1" type="noConversion"/>
  </si>
  <si>
    <t>18~19</t>
    <phoneticPr fontId="1" type="noConversion"/>
  </si>
  <si>
    <t>22~23</t>
    <phoneticPr fontId="1" type="noConversion"/>
  </si>
  <si>
    <t>26~27</t>
    <phoneticPr fontId="1" type="noConversion"/>
  </si>
  <si>
    <t>30~33</t>
    <phoneticPr fontId="1" type="noConversion"/>
  </si>
  <si>
    <t>34~35</t>
    <phoneticPr fontId="1" type="noConversion"/>
  </si>
  <si>
    <t>FDI/SDI
Color
Vector</t>
    <phoneticPr fontId="1" type="noConversion"/>
  </si>
  <si>
    <t>FDI/SDI Color Vector High(0x00)</t>
    <phoneticPr fontId="1" type="noConversion"/>
  </si>
  <si>
    <t>FDI/SDI Color Vector LOW(0x00)</t>
    <phoneticPr fontId="1" type="noConversion"/>
  </si>
  <si>
    <t>48~59</t>
  </si>
  <si>
    <t>CCP</t>
    <phoneticPr fontId="1" type="noConversion"/>
  </si>
  <si>
    <t>PAC</t>
    <phoneticPr fontId="1" type="noConversion"/>
  </si>
  <si>
    <t>7.</t>
    <phoneticPr fontId="1" type="noConversion"/>
  </si>
  <si>
    <t>문서 참고.</t>
    <phoneticPr fontId="1" type="noConversion"/>
  </si>
  <si>
    <t>7.1</t>
    <phoneticPr fontId="1" type="noConversion"/>
  </si>
  <si>
    <t>-</t>
    <phoneticPr fontId="1" type="noConversion"/>
  </si>
  <si>
    <t>2.</t>
    <phoneticPr fontId="1" type="noConversion"/>
  </si>
  <si>
    <t>MPAC</t>
    <phoneticPr fontId="1" type="noConversion"/>
  </si>
  <si>
    <t>1.</t>
    <phoneticPr fontId="1" type="noConversion"/>
  </si>
  <si>
    <t xml:space="preserve"> Color LED Vector 추가.</t>
  </si>
  <si>
    <t>VTX</t>
    <phoneticPr fontId="1" type="noConversion"/>
  </si>
  <si>
    <t>VRX</t>
    <phoneticPr fontId="1" type="noConversion"/>
  </si>
  <si>
    <t>VTX 상태 정보 포함.</t>
    <phoneticPr fontId="1" type="noConversion"/>
  </si>
  <si>
    <t>VRX 상태 정보 포함.</t>
    <phoneticPr fontId="1" type="noConversion"/>
  </si>
  <si>
    <t>Skip 정보가 추가됨.</t>
    <phoneticPr fontId="1" type="noConversion"/>
  </si>
  <si>
    <t>3.</t>
    <phoneticPr fontId="1" type="noConversion"/>
  </si>
  <si>
    <r>
      <t>ODOMETER</t>
    </r>
    <r>
      <rPr>
        <sz val="9"/>
        <color rgb="FF222222"/>
        <rFont val="돋움"/>
        <family val="3"/>
        <charset val="129"/>
      </rPr>
      <t>정보</t>
    </r>
    <r>
      <rPr>
        <sz val="9"/>
        <color rgb="FF222222"/>
        <rFont val="Arial"/>
        <family val="2"/>
      </rPr>
      <t xml:space="preserve"> </t>
    </r>
    <r>
      <rPr>
        <sz val="9"/>
        <color rgb="FF222222"/>
        <rFont val="돋움"/>
        <family val="3"/>
        <charset val="129"/>
      </rPr>
      <t>추가</t>
    </r>
    <r>
      <rPr>
        <sz val="9"/>
        <color rgb="FF222222"/>
        <rFont val="Arial"/>
        <family val="2"/>
      </rPr>
      <t>.</t>
    </r>
    <phoneticPr fontId="1" type="noConversion"/>
  </si>
  <si>
    <t>ODM</t>
    <phoneticPr fontId="1" type="noConversion"/>
  </si>
  <si>
    <t>0x18</t>
  </si>
  <si>
    <t>0x23</t>
  </si>
  <si>
    <t>0x24</t>
  </si>
  <si>
    <t>0x25</t>
  </si>
  <si>
    <t>0x26</t>
  </si>
  <si>
    <t>0x27</t>
  </si>
  <si>
    <t>0x28</t>
  </si>
  <si>
    <t>0x33</t>
  </si>
  <si>
    <t>0x34</t>
  </si>
  <si>
    <t>0x35</t>
  </si>
  <si>
    <t>0x36</t>
  </si>
  <si>
    <t>0x37</t>
  </si>
  <si>
    <t>0x38</t>
  </si>
  <si>
    <t>0x43</t>
  </si>
  <si>
    <t>0x44</t>
  </si>
  <si>
    <t>0x45</t>
  </si>
  <si>
    <t>0x46</t>
  </si>
  <si>
    <t>0x47</t>
  </si>
  <si>
    <t>0x48</t>
  </si>
  <si>
    <t>0x55</t>
  </si>
  <si>
    <t>0x56</t>
  </si>
  <si>
    <t>0x57</t>
  </si>
  <si>
    <t>0x58</t>
  </si>
  <si>
    <t>0x63</t>
  </si>
  <si>
    <t>0x64</t>
  </si>
  <si>
    <t>0x65</t>
  </si>
  <si>
    <t>0x66</t>
  </si>
  <si>
    <t>0x67</t>
  </si>
  <si>
    <t>0x68</t>
  </si>
  <si>
    <t>0x95</t>
  </si>
  <si>
    <t>0x96</t>
  </si>
  <si>
    <t>0x97</t>
  </si>
  <si>
    <t>0x98</t>
  </si>
  <si>
    <t>CCP1</t>
    <phoneticPr fontId="1" type="noConversion"/>
  </si>
  <si>
    <t>PAC</t>
    <phoneticPr fontId="1" type="noConversion"/>
  </si>
  <si>
    <t>LIC</t>
    <phoneticPr fontId="1" type="noConversion"/>
  </si>
  <si>
    <t>CNCS</t>
    <phoneticPr fontId="1" type="noConversion"/>
  </si>
  <si>
    <t>CNCS</t>
    <phoneticPr fontId="1" type="noConversion"/>
  </si>
  <si>
    <t>FDI</t>
    <phoneticPr fontId="1" type="noConversion"/>
  </si>
  <si>
    <t>SDI1</t>
    <phoneticPr fontId="1" type="noConversion"/>
  </si>
  <si>
    <t>SDI2</t>
    <phoneticPr fontId="1" type="noConversion"/>
  </si>
  <si>
    <t>SDI3</t>
    <phoneticPr fontId="1" type="noConversion"/>
  </si>
  <si>
    <t>SDI4</t>
    <phoneticPr fontId="1" type="noConversion"/>
  </si>
  <si>
    <t>SDI1</t>
    <phoneticPr fontId="1" type="noConversion"/>
  </si>
  <si>
    <t>SDI3</t>
    <phoneticPr fontId="1" type="noConversion"/>
  </si>
  <si>
    <t>SDI4</t>
    <phoneticPr fontId="1" type="noConversion"/>
  </si>
  <si>
    <t>PII1</t>
    <phoneticPr fontId="1" type="noConversion"/>
  </si>
  <si>
    <t>PII2</t>
    <phoneticPr fontId="1" type="noConversion"/>
  </si>
  <si>
    <t>PII1</t>
    <phoneticPr fontId="1" type="noConversion"/>
  </si>
  <si>
    <t>PII2</t>
    <phoneticPr fontId="1" type="noConversion"/>
  </si>
  <si>
    <t>PID1-1</t>
    <phoneticPr fontId="1" type="noConversion"/>
  </si>
  <si>
    <t>PID1-2</t>
    <phoneticPr fontId="1" type="noConversion"/>
  </si>
  <si>
    <t>PID1-3</t>
    <phoneticPr fontId="1" type="noConversion"/>
  </si>
  <si>
    <t>PID1-4</t>
    <phoneticPr fontId="1" type="noConversion"/>
  </si>
  <si>
    <t>PID1-4</t>
    <phoneticPr fontId="1" type="noConversion"/>
  </si>
  <si>
    <t>PID2-1</t>
    <phoneticPr fontId="1" type="noConversion"/>
  </si>
  <si>
    <t>0XA1</t>
    <phoneticPr fontId="1" type="noConversion"/>
  </si>
  <si>
    <t>CRA1</t>
    <phoneticPr fontId="1" type="noConversion"/>
  </si>
  <si>
    <t>CRA2</t>
    <phoneticPr fontId="1" type="noConversion"/>
  </si>
  <si>
    <t>Head Bit</t>
    <phoneticPr fontId="1" type="noConversion"/>
  </si>
  <si>
    <t>0x15</t>
    <phoneticPr fontId="1" type="noConversion"/>
  </si>
  <si>
    <t>Cab On</t>
    <phoneticPr fontId="1" type="noConversion"/>
  </si>
  <si>
    <t>SID~UNIT까지 부분의 CRC16값.</t>
    <phoneticPr fontId="1" type="noConversion"/>
  </si>
  <si>
    <t>0x71</t>
    <phoneticPr fontId="1" type="noConversion"/>
  </si>
  <si>
    <t>PID2-1</t>
  </si>
  <si>
    <t>CRB</t>
    <phoneticPr fontId="1" type="noConversion"/>
  </si>
  <si>
    <t>CRB</t>
    <phoneticPr fontId="1" type="noConversion"/>
  </si>
  <si>
    <t>FDI</t>
    <phoneticPr fontId="1" type="noConversion"/>
  </si>
  <si>
    <t>Auction</t>
  </si>
  <si>
    <t>PA</t>
    <phoneticPr fontId="1" type="noConversion"/>
  </si>
  <si>
    <t>ID Table</t>
    <phoneticPr fontId="1" type="noConversion"/>
  </si>
  <si>
    <t>1.</t>
    <phoneticPr fontId="1" type="noConversion"/>
  </si>
  <si>
    <t>장치 ID 코드 수정.</t>
    <phoneticPr fontId="1" type="noConversion"/>
  </si>
  <si>
    <t>CNCS</t>
    <phoneticPr fontId="1" type="noConversion"/>
  </si>
  <si>
    <t>방송 Ready 및 Acution 비트 추가.</t>
    <phoneticPr fontId="1" type="noConversion"/>
  </si>
  <si>
    <t>PAC</t>
    <phoneticPr fontId="1" type="noConversion"/>
  </si>
  <si>
    <t>1'</t>
    <phoneticPr fontId="1" type="noConversion"/>
  </si>
  <si>
    <t>CNCS 자동 방송 Auction 비트 추가.</t>
    <phoneticPr fontId="1" type="noConversion"/>
  </si>
  <si>
    <t>CRC16 Code</t>
    <phoneticPr fontId="1" type="noConversion"/>
  </si>
  <si>
    <t>0x04: End Code</t>
    <phoneticPr fontId="1" type="noConversion"/>
  </si>
  <si>
    <t>C/I
Index</t>
    <phoneticPr fontId="1" type="noConversion"/>
  </si>
  <si>
    <t>Car1 - C/I Index</t>
    <phoneticPr fontId="1" type="noConversion"/>
  </si>
  <si>
    <t>Car2 - C/I Index</t>
    <phoneticPr fontId="1" type="noConversion"/>
  </si>
  <si>
    <t>Car3 - C/I Index</t>
  </si>
  <si>
    <t>Car4 - C/I Index</t>
  </si>
  <si>
    <t>Car5 - C/I Index</t>
  </si>
  <si>
    <t>Car6 - C/I Index</t>
  </si>
  <si>
    <t>Car7 - C/I Index</t>
  </si>
  <si>
    <t>Car8 - C/I Index</t>
  </si>
  <si>
    <t>R03</t>
    <phoneticPr fontId="1" type="noConversion"/>
  </si>
  <si>
    <t>2012.03.12</t>
    <phoneticPr fontId="1" type="noConversion"/>
  </si>
  <si>
    <t>Car Number Thusand(BCD)</t>
    <phoneticPr fontId="1" type="noConversion"/>
  </si>
  <si>
    <t>Car Number Tens(BCD)</t>
    <phoneticPr fontId="1" type="noConversion"/>
  </si>
  <si>
    <t>DATE</t>
  </si>
  <si>
    <t>Year(00~99)</t>
  </si>
  <si>
    <t>Month(01~12)</t>
  </si>
  <si>
    <t>Day(01~31)</t>
  </si>
  <si>
    <t>Hour(00~23)</t>
  </si>
  <si>
    <t>Minute(00~59)</t>
  </si>
  <si>
    <t>Second(00~59)</t>
  </si>
  <si>
    <t>LAT</t>
  </si>
  <si>
    <t>GPRMC N Number Thousands Digit(BCD)</t>
  </si>
  <si>
    <t>GPRMC N Number Hundreds Digit(BCD)</t>
  </si>
  <si>
    <t>GPRMC N Number Units Digit(BCD)</t>
  </si>
  <si>
    <r>
      <t xml:space="preserve">GPRMC N Number </t>
    </r>
    <r>
      <rPr>
        <sz val="8"/>
        <rFont val="돋움"/>
        <family val="3"/>
        <charset val="129"/>
      </rPr>
      <t>소수점</t>
    </r>
    <r>
      <rPr>
        <sz val="8"/>
        <rFont val="Arial"/>
        <family val="2"/>
      </rPr>
      <t xml:space="preserve"> 1</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</si>
  <si>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2</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</si>
  <si>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3</t>
    </r>
    <r>
      <rPr>
        <sz val="8"/>
        <rFont val="돋움"/>
        <family val="3"/>
        <charset val="129"/>
      </rPr>
      <t>자리</t>
    </r>
    <r>
      <rPr>
        <sz val="8"/>
        <rFont val="Arial"/>
        <family val="2"/>
      </rPr>
      <t xml:space="preserve"> Digit(BCD)</t>
    </r>
  </si>
  <si>
    <r>
      <t xml:space="preserve">GPRMC N Number </t>
    </r>
    <r>
      <rPr>
        <sz val="8"/>
        <rFont val="돋움"/>
        <family val="3"/>
        <charset val="129"/>
      </rPr>
      <t>소수점</t>
    </r>
    <r>
      <rPr>
        <sz val="8"/>
        <rFont val="Arial"/>
        <family val="2"/>
      </rPr>
      <t xml:space="preserve"> 4</t>
    </r>
    <r>
      <rPr>
        <sz val="8"/>
        <rFont val="돋움"/>
        <family val="3"/>
        <charset val="129"/>
      </rPr>
      <t>자리</t>
    </r>
    <r>
      <rPr>
        <sz val="8"/>
        <rFont val="Arial"/>
        <family val="2"/>
      </rPr>
      <t xml:space="preserve"> Digit(BCD)</t>
    </r>
  </si>
  <si>
    <t>LON</t>
  </si>
  <si>
    <t>GPRMC E Number Hundreds Thousand Digit(BCD)</t>
  </si>
  <si>
    <t>GPRMC E Number Thousand Digit(BCD)</t>
  </si>
  <si>
    <t>GPRMC E Number Hundreds Digit(BCD)</t>
  </si>
  <si>
    <t>GPRMC E Number Tens Digit(BCD)</t>
  </si>
  <si>
    <t>GPRMC E Number Units Digit(BCD)</t>
  </si>
  <si>
    <r>
      <t xml:space="preserve">GPRMC E Number </t>
    </r>
    <r>
      <rPr>
        <sz val="8"/>
        <rFont val="돋움"/>
        <family val="3"/>
        <charset val="129"/>
      </rPr>
      <t>소수점</t>
    </r>
    <r>
      <rPr>
        <sz val="8"/>
        <rFont val="Arial"/>
        <family val="2"/>
      </rPr>
      <t xml:space="preserve"> 1</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</si>
  <si>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2</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</si>
  <si>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3</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</si>
  <si>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4</t>
    </r>
    <r>
      <rPr>
        <sz val="8"/>
        <rFont val="돋움"/>
        <family val="3"/>
        <charset val="129"/>
      </rPr>
      <t>자리</t>
    </r>
    <r>
      <rPr>
        <sz val="8"/>
        <rFont val="Arial"/>
        <family val="2"/>
      </rPr>
      <t xml:space="preserve"> Digit(BCD)</t>
    </r>
  </si>
  <si>
    <r>
      <t xml:space="preserve">GPRMC E Number </t>
    </r>
    <r>
      <rPr>
        <sz val="8"/>
        <rFont val="돋움"/>
        <family val="3"/>
        <charset val="129"/>
      </rPr>
      <t>소수점</t>
    </r>
    <r>
      <rPr>
        <sz val="8"/>
        <rFont val="Arial"/>
        <family val="2"/>
      </rPr>
      <t xml:space="preserve"> 5</t>
    </r>
    <r>
      <rPr>
        <sz val="8"/>
        <rFont val="돋움"/>
        <family val="3"/>
        <charset val="129"/>
      </rPr>
      <t>자리</t>
    </r>
    <r>
      <rPr>
        <sz val="8"/>
        <rFont val="Arial"/>
        <family val="2"/>
      </rPr>
      <t xml:space="preserve"> Digit(BCD)</t>
    </r>
  </si>
  <si>
    <t>DST</t>
  </si>
  <si>
    <t>GPS</t>
    <phoneticPr fontId="1" type="noConversion"/>
  </si>
  <si>
    <t>SPARE</t>
    <phoneticPr fontId="1" type="noConversion"/>
  </si>
  <si>
    <t>16~17</t>
    <phoneticPr fontId="1" type="noConversion"/>
  </si>
  <si>
    <t>CNCS</t>
    <phoneticPr fontId="1" type="noConversion"/>
  </si>
  <si>
    <t>GPS 정보 추가.</t>
  </si>
  <si>
    <t xml:space="preserve">1. </t>
    <phoneticPr fontId="1" type="noConversion"/>
  </si>
  <si>
    <t>1.</t>
    <phoneticPr fontId="1" type="noConversion"/>
  </si>
  <si>
    <t>PAC</t>
    <phoneticPr fontId="1" type="noConversion"/>
  </si>
  <si>
    <t>CCP</t>
    <phoneticPr fontId="1" type="noConversion"/>
  </si>
  <si>
    <t>C/I Index 정보 추가.</t>
    <phoneticPr fontId="1" type="noConversion"/>
  </si>
  <si>
    <t>PAC&lt;-&gt;PAC 통신의 차량정보에 C/I Index 정보를 추가.</t>
    <phoneticPr fontId="1" type="noConversion"/>
  </si>
  <si>
    <t>VOIPC</t>
    <phoneticPr fontId="1" type="noConversion"/>
  </si>
  <si>
    <t>DPH1</t>
    <phoneticPr fontId="1" type="noConversion"/>
  </si>
  <si>
    <t>DPH2</t>
    <phoneticPr fontId="1" type="noConversion"/>
  </si>
  <si>
    <t>PEI1</t>
    <phoneticPr fontId="1" type="noConversion"/>
  </si>
  <si>
    <t>PEI2</t>
    <phoneticPr fontId="1" type="noConversion"/>
  </si>
  <si>
    <t>PEI1 Call</t>
    <phoneticPr fontId="1" type="noConversion"/>
  </si>
  <si>
    <t>PEI2 Call</t>
    <phoneticPr fontId="1" type="noConversion"/>
  </si>
  <si>
    <t>VOIPC</t>
    <phoneticPr fontId="1" type="noConversion"/>
  </si>
  <si>
    <t>VOIPC</t>
    <phoneticPr fontId="1" type="noConversion"/>
  </si>
  <si>
    <t>A Uncouple</t>
    <phoneticPr fontId="1" type="noConversion"/>
  </si>
  <si>
    <t>B Uncouple</t>
    <phoneticPr fontId="1" type="noConversion"/>
  </si>
  <si>
    <r>
      <t>Odometer 00xx0000 (</t>
    </r>
    <r>
      <rPr>
        <sz val="8"/>
        <rFont val="돋움"/>
        <family val="3"/>
        <charset val="129"/>
      </rPr>
      <t>단위</t>
    </r>
    <r>
      <rPr>
        <sz val="8"/>
        <rFont val="Arial"/>
        <family val="2"/>
      </rPr>
      <t xml:space="preserve"> m)</t>
    </r>
    <phoneticPr fontId="1" type="noConversion"/>
  </si>
  <si>
    <r>
      <t>Odometer 0000xx00 (</t>
    </r>
    <r>
      <rPr>
        <sz val="8"/>
        <rFont val="돋움"/>
        <family val="3"/>
        <charset val="129"/>
      </rPr>
      <t>단위</t>
    </r>
    <r>
      <rPr>
        <sz val="8"/>
        <rFont val="Arial"/>
        <family val="2"/>
      </rPr>
      <t xml:space="preserve"> m)</t>
    </r>
    <phoneticPr fontId="1" type="noConversion"/>
  </si>
  <si>
    <r>
      <t>Odometer 000000xx (</t>
    </r>
    <r>
      <rPr>
        <sz val="8"/>
        <rFont val="돋움"/>
        <family val="3"/>
        <charset val="129"/>
      </rPr>
      <t>단위</t>
    </r>
    <r>
      <rPr>
        <sz val="8"/>
        <rFont val="Arial"/>
        <family val="2"/>
      </rPr>
      <t xml:space="preserve"> m)</t>
    </r>
    <phoneticPr fontId="1" type="noConversion"/>
  </si>
  <si>
    <t>-</t>
    <phoneticPr fontId="1" type="noConversion"/>
  </si>
  <si>
    <t>CAR1 ~ CAR2</t>
    <phoneticPr fontId="1" type="noConversion"/>
  </si>
  <si>
    <t>CAR3 ~ CAR4</t>
    <phoneticPr fontId="1" type="noConversion"/>
  </si>
  <si>
    <t>CAR5 ~ CAR6</t>
    <phoneticPr fontId="1" type="noConversion"/>
  </si>
  <si>
    <t>CAR7 ~ CAR8</t>
    <phoneticPr fontId="1" type="noConversion"/>
  </si>
  <si>
    <t>OCC_B</t>
    <phoneticPr fontId="1" type="noConversion"/>
  </si>
  <si>
    <t>DPO_B</t>
    <phoneticPr fontId="1" type="noConversion"/>
  </si>
  <si>
    <t>PEI_B</t>
    <phoneticPr fontId="1" type="noConversion"/>
  </si>
  <si>
    <t>AUTO_B</t>
    <phoneticPr fontId="1" type="noConversion"/>
  </si>
  <si>
    <t>OCC</t>
    <phoneticPr fontId="1" type="noConversion"/>
  </si>
  <si>
    <t>DPO</t>
    <phoneticPr fontId="1" type="noConversion"/>
  </si>
  <si>
    <t>PEI</t>
    <phoneticPr fontId="1" type="noConversion"/>
  </si>
  <si>
    <t>SPK</t>
    <phoneticPr fontId="5" type="noConversion"/>
  </si>
  <si>
    <t>SOFT</t>
    <phoneticPr fontId="5" type="noConversion"/>
  </si>
  <si>
    <t>NORMAL</t>
    <phoneticPr fontId="5" type="noConversion"/>
  </si>
  <si>
    <t>MUTE</t>
    <phoneticPr fontId="5" type="noConversion"/>
  </si>
  <si>
    <t>MUTE_L</t>
    <phoneticPr fontId="5" type="noConversion"/>
  </si>
  <si>
    <t>MUTE_R</t>
    <phoneticPr fontId="5" type="noConversion"/>
  </si>
  <si>
    <t>MPAC : 통신 권한을 가진 PAC를 의미.</t>
    <phoneticPr fontId="1" type="noConversion"/>
  </si>
  <si>
    <t>SPAC : 통신 권한을 가지고 있지 않은 PAC.</t>
    <phoneticPr fontId="1" type="noConversion"/>
  </si>
  <si>
    <t>OCC Input Volume Value (0-31 : 25)</t>
    <phoneticPr fontId="1" type="noConversion"/>
  </si>
  <si>
    <t>DPO Input Volume Value (0-31 : 25)</t>
    <phoneticPr fontId="1" type="noConversion"/>
  </si>
  <si>
    <t>PEI Input Volume Value (0-31 : 25)</t>
    <phoneticPr fontId="1" type="noConversion"/>
  </si>
  <si>
    <t>TrainLine Output Volume Value (0-31 : 29)</t>
    <phoneticPr fontId="1" type="noConversion"/>
  </si>
  <si>
    <t>TrainLine Input Vol Changeable Value (0-6 : 0)</t>
    <phoneticPr fontId="1" type="noConversion"/>
  </si>
  <si>
    <t>Ans MIC Switch (0~1) (0:off, 1:on)</t>
    <phoneticPr fontId="1" type="noConversion"/>
  </si>
  <si>
    <t xml:space="preserve">Ans Sampling Sec (1-5 : 5) </t>
    <phoneticPr fontId="1" type="noConversion"/>
  </si>
  <si>
    <t xml:space="preserve">Input Noise Level 70db High (0~0xFF : 0x90) </t>
    <phoneticPr fontId="1" type="noConversion"/>
  </si>
  <si>
    <t xml:space="preserve">Input Noise Level 70db Low (0~0xFF : 0x00) </t>
    <phoneticPr fontId="1" type="noConversion"/>
  </si>
  <si>
    <t xml:space="preserve">Input Noise Level 80db High (0~0xFF : 0xA0) </t>
    <phoneticPr fontId="1" type="noConversion"/>
  </si>
  <si>
    <t xml:space="preserve">Input Noise Level 80db Low (0~0xFF : 0x00) </t>
    <phoneticPr fontId="1" type="noConversion"/>
  </si>
  <si>
    <t xml:space="preserve">Output 80dbm Level (0~23 : 4) </t>
    <phoneticPr fontId="1" type="noConversion"/>
  </si>
  <si>
    <t xml:space="preserve">Output 85dbm Level (0~23 : 8) </t>
    <phoneticPr fontId="1" type="noConversion"/>
  </si>
  <si>
    <t>CA_Version_Req</t>
    <phoneticPr fontId="1" type="noConversion"/>
  </si>
  <si>
    <t>CNCS_Token_Ack</t>
    <phoneticPr fontId="1" type="noConversion"/>
  </si>
  <si>
    <t>CNCS Token 요청 응답.</t>
    <phoneticPr fontId="1" type="noConversion"/>
  </si>
  <si>
    <t>5.5</t>
    <phoneticPr fontId="1" type="noConversion"/>
  </si>
  <si>
    <t>5.6</t>
    <phoneticPr fontId="1" type="noConversion"/>
  </si>
  <si>
    <t>5.7</t>
    <phoneticPr fontId="1" type="noConversion"/>
  </si>
  <si>
    <t>5.8</t>
    <phoneticPr fontId="1" type="noConversion"/>
  </si>
  <si>
    <t>5.9</t>
    <phoneticPr fontId="1" type="noConversion"/>
  </si>
  <si>
    <t>AUTO Input Volume Value (0-31 : 25)</t>
    <phoneticPr fontId="1" type="noConversion"/>
  </si>
  <si>
    <t>PAC 폴링 패킷에 CNCS가 응답 커맨드를 14로 하면 주도권을 놓고 폴링 중단하겠습니다</t>
    <phoneticPr fontId="1" type="noConversion"/>
  </si>
  <si>
    <t>NEST</t>
    <phoneticPr fontId="1" type="noConversion"/>
  </si>
  <si>
    <t>R04</t>
    <phoneticPr fontId="1" type="noConversion"/>
  </si>
  <si>
    <t>R02</t>
    <phoneticPr fontId="1" type="noConversion"/>
  </si>
  <si>
    <t>R01</t>
    <phoneticPr fontId="1" type="noConversion"/>
  </si>
  <si>
    <t>PAC</t>
    <phoneticPr fontId="1" type="noConversion"/>
  </si>
  <si>
    <t>UNIT_I 삭제.</t>
    <phoneticPr fontId="1" type="noConversion"/>
  </si>
  <si>
    <t>2.</t>
    <phoneticPr fontId="1" type="noConversion"/>
  </si>
  <si>
    <t>D0 신호 정보 수정.</t>
    <phoneticPr fontId="1" type="noConversion"/>
  </si>
  <si>
    <t>3.</t>
    <phoneticPr fontId="1" type="noConversion"/>
  </si>
  <si>
    <t>SPK 정보 추가.</t>
    <phoneticPr fontId="1" type="noConversion"/>
  </si>
  <si>
    <t>SPAC</t>
    <phoneticPr fontId="1" type="noConversion"/>
  </si>
  <si>
    <t>1.</t>
    <phoneticPr fontId="1" type="noConversion"/>
  </si>
  <si>
    <t>프로토콜 추가</t>
    <phoneticPr fontId="1" type="noConversion"/>
  </si>
  <si>
    <t>4.</t>
    <phoneticPr fontId="1" type="noConversion"/>
  </si>
  <si>
    <t>C/S 장치의 상태 요청 프로토콜 변경.</t>
    <phoneticPr fontId="1" type="noConversion"/>
  </si>
  <si>
    <t>ESP</t>
    <phoneticPr fontId="5" type="noConversion"/>
  </si>
  <si>
    <r>
      <t xml:space="preserve">PAC </t>
    </r>
    <r>
      <rPr>
        <sz val="8"/>
        <rFont val="돋움"/>
        <family val="3"/>
        <charset val="129"/>
      </rPr>
      <t>제어</t>
    </r>
    <phoneticPr fontId="5"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</si>
  <si>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xx000000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</si>
  <si>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00xx0000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</si>
  <si>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0000xx00 (</t>
    </r>
    <r>
      <rPr>
        <sz val="8"/>
        <rFont val="돋움"/>
        <family val="3"/>
        <charset val="129"/>
      </rPr>
      <t>단위</t>
    </r>
    <r>
      <rPr>
        <sz val="8"/>
        <rFont val="Arial"/>
        <family val="2"/>
      </rPr>
      <t xml:space="preserve"> m)</t>
    </r>
    <phoneticPr fontId="1" type="noConversion"/>
  </si>
  <si>
    <r>
      <t xml:space="preserve">GPS </t>
    </r>
    <r>
      <rPr>
        <sz val="8"/>
        <rFont val="돋움"/>
        <family val="3"/>
        <charset val="129"/>
      </rPr>
      <t>이동</t>
    </r>
    <r>
      <rPr>
        <sz val="8"/>
        <rFont val="Arial"/>
        <family val="2"/>
      </rPr>
      <t xml:space="preserve"> </t>
    </r>
    <r>
      <rPr>
        <sz val="8"/>
        <rFont val="돋움"/>
        <family val="3"/>
        <charset val="129"/>
      </rPr>
      <t>거리</t>
    </r>
    <r>
      <rPr>
        <sz val="8"/>
        <rFont val="Arial"/>
        <family val="2"/>
      </rPr>
      <t xml:space="preserve"> 000000xx (</t>
    </r>
    <r>
      <rPr>
        <sz val="8"/>
        <rFont val="돋움"/>
        <family val="3"/>
        <charset val="129"/>
      </rPr>
      <t>단위</t>
    </r>
    <r>
      <rPr>
        <sz val="8"/>
        <rFont val="Arial"/>
        <family val="2"/>
      </rPr>
      <t xml:space="preserve"> m)</t>
    </r>
    <phoneticPr fontId="1" type="noConversion"/>
  </si>
  <si>
    <t>CCP</t>
    <phoneticPr fontId="1" type="noConversion"/>
  </si>
  <si>
    <t>1.</t>
    <phoneticPr fontId="1" type="noConversion"/>
  </si>
  <si>
    <t>SPEAK 제어 정보 추가.</t>
    <phoneticPr fontId="1" type="noConversion"/>
  </si>
  <si>
    <t>GPS 이동 거리 정보 추가.</t>
    <phoneticPr fontId="1" type="noConversion"/>
  </si>
  <si>
    <t>CNCS</t>
    <phoneticPr fontId="1" type="noConversion"/>
  </si>
  <si>
    <t>CNCS Volume 정보 수정.</t>
    <phoneticPr fontId="1" type="noConversion"/>
  </si>
  <si>
    <t>CRA_Token</t>
    <phoneticPr fontId="1" type="noConversion"/>
  </si>
  <si>
    <t>CBA_Token</t>
    <phoneticPr fontId="1" type="noConversion"/>
  </si>
  <si>
    <t>TRAN_NO</t>
    <phoneticPr fontId="1" type="noConversion"/>
  </si>
  <si>
    <t>CRAW_ID</t>
    <phoneticPr fontId="1" type="noConversion"/>
  </si>
  <si>
    <r>
      <t xml:space="preserve">FDI/SID </t>
    </r>
    <r>
      <rPr>
        <sz val="8"/>
        <rFont val="돋움"/>
        <family val="3"/>
        <charset val="129"/>
      </rPr>
      <t>표출</t>
    </r>
    <r>
      <rPr>
        <sz val="8"/>
        <rFont val="Arial"/>
        <family val="2"/>
      </rPr>
      <t xml:space="preserve"> </t>
    </r>
    <r>
      <rPr>
        <sz val="8"/>
        <rFont val="돋움"/>
        <family val="3"/>
        <charset val="129"/>
      </rPr>
      <t>메시지</t>
    </r>
    <phoneticPr fontId="1" type="noConversion"/>
  </si>
  <si>
    <t>CRA2</t>
    <phoneticPr fontId="1" type="noConversion"/>
  </si>
  <si>
    <t>CRAW_ID</t>
    <phoneticPr fontId="5" type="noConversion"/>
  </si>
  <si>
    <t>12~13</t>
    <phoneticPr fontId="1" type="noConversion"/>
  </si>
  <si>
    <t>D0</t>
    <phoneticPr fontId="1" type="noConversion"/>
  </si>
  <si>
    <r>
      <t xml:space="preserve">GPRMC N Number </t>
    </r>
    <r>
      <rPr>
        <sz val="8"/>
        <rFont val="돋움"/>
        <family val="3"/>
        <charset val="129"/>
      </rPr>
      <t>소수점</t>
    </r>
    <r>
      <rPr>
        <sz val="8"/>
        <rFont val="Arial"/>
        <family val="2"/>
      </rPr>
      <t xml:space="preserve"> 5</t>
    </r>
    <r>
      <rPr>
        <sz val="8"/>
        <rFont val="돋움"/>
        <family val="3"/>
        <charset val="129"/>
      </rPr>
      <t>자리</t>
    </r>
    <r>
      <rPr>
        <sz val="8"/>
        <rFont val="Arial"/>
        <family val="2"/>
      </rPr>
      <t xml:space="preserve"> Digit(BCD)</t>
    </r>
    <phoneticPr fontId="1" type="noConversion"/>
  </si>
  <si>
    <t>GPRMC N Number Tens Digit(BCD)</t>
    <phoneticPr fontId="1" type="noConversion"/>
  </si>
  <si>
    <t>Content Update Year</t>
  </si>
  <si>
    <t>Content Update Month</t>
  </si>
  <si>
    <t>Content Update Day</t>
  </si>
  <si>
    <t>Content Update Major 버전 1</t>
  </si>
  <si>
    <t>Content Update Major 버전 2</t>
  </si>
  <si>
    <t>Content Update Minor 버전 1</t>
  </si>
  <si>
    <t>Content Update Minor 버전 2</t>
  </si>
  <si>
    <t>Content Update Revision 버전 1</t>
  </si>
  <si>
    <t>Content Update Revision 버전 2</t>
  </si>
  <si>
    <t>FDI/SDI
Vector-1</t>
    <phoneticPr fontId="1" type="noConversion"/>
  </si>
  <si>
    <t>FDI/SDI
Vector-2</t>
    <phoneticPr fontId="1" type="noConversion"/>
  </si>
  <si>
    <t>Distination Display Vector-1 High(0x00)</t>
    <phoneticPr fontId="1" type="noConversion"/>
  </si>
  <si>
    <t>Distination Display Vector-1 Low(0x00)</t>
    <phoneticPr fontId="1" type="noConversion"/>
  </si>
  <si>
    <t>Distination Display Vector-2 High(0x00)</t>
    <phoneticPr fontId="1" type="noConversion"/>
  </si>
  <si>
    <t>Distination Display Vector-2 Low(0x00)</t>
    <phoneticPr fontId="1" type="noConversion"/>
  </si>
  <si>
    <t>92~93</t>
  </si>
  <si>
    <t>96~97</t>
  </si>
  <si>
    <t>98~99</t>
  </si>
  <si>
    <t>100~101</t>
  </si>
  <si>
    <t>102~103</t>
  </si>
  <si>
    <t>Distination Display-1 Vector High(0x00)</t>
    <phoneticPr fontId="1" type="noConversion"/>
  </si>
  <si>
    <t>Distination Display-1 Vector Low(0x00)</t>
    <phoneticPr fontId="1" type="noConversion"/>
  </si>
  <si>
    <t>Distination Display-2 Vector Low(0x00)</t>
    <phoneticPr fontId="1" type="noConversion"/>
  </si>
  <si>
    <t>Distination Display-2 Vector High(0x00)</t>
    <phoneticPr fontId="1" type="noConversion"/>
  </si>
  <si>
    <t>R05</t>
    <phoneticPr fontId="1" type="noConversion"/>
  </si>
  <si>
    <t>0x5F</t>
    <phoneticPr fontId="1" type="noConversion"/>
  </si>
  <si>
    <t>Group
Code</t>
    <phoneticPr fontId="1" type="noConversion"/>
  </si>
  <si>
    <t>R05</t>
    <phoneticPr fontId="1" type="noConversion"/>
  </si>
  <si>
    <t>ID Table</t>
    <phoneticPr fontId="1" type="noConversion"/>
  </si>
  <si>
    <t>장치 Group code 정의</t>
    <phoneticPr fontId="1" type="noConversion"/>
  </si>
  <si>
    <t>PII</t>
    <phoneticPr fontId="1" type="noConversion"/>
  </si>
  <si>
    <t>SDI</t>
    <phoneticPr fontId="1" type="noConversion"/>
  </si>
  <si>
    <t>FDI</t>
    <phoneticPr fontId="1" type="noConversion"/>
  </si>
  <si>
    <t>0x3F</t>
    <phoneticPr fontId="1" type="noConversion"/>
  </si>
  <si>
    <t>0x4F</t>
    <phoneticPr fontId="1" type="noConversion"/>
  </si>
  <si>
    <t>CCP</t>
    <phoneticPr fontId="1" type="noConversion"/>
  </si>
  <si>
    <t>0x1F</t>
    <phoneticPr fontId="1" type="noConversion"/>
  </si>
  <si>
    <r>
      <t>VRX-Video in
1:Err 
0:</t>
    </r>
    <r>
      <rPr>
        <sz val="8"/>
        <rFont val="돋움"/>
        <family val="3"/>
        <charset val="129"/>
      </rPr>
      <t>정상입력</t>
    </r>
  </si>
  <si>
    <r>
      <t>VRX-Video out
1:NO Out Sig
0:</t>
    </r>
    <r>
      <rPr>
        <sz val="8"/>
        <rFont val="돋움"/>
        <family val="3"/>
        <charset val="129"/>
      </rPr>
      <t>정상출력</t>
    </r>
  </si>
  <si>
    <t>2.</t>
    <phoneticPr fontId="1" type="noConversion"/>
  </si>
  <si>
    <t>3.</t>
    <phoneticPr fontId="1" type="noConversion"/>
  </si>
  <si>
    <t>PAC의 FDI/SDI Vector 정보 추가</t>
    <phoneticPr fontId="1" type="noConversion"/>
  </si>
  <si>
    <t>CCP의 FDI/SDI Vector 정보 추가</t>
    <phoneticPr fontId="1" type="noConversion"/>
  </si>
  <si>
    <t>MPAC</t>
    <phoneticPr fontId="1" type="noConversion"/>
  </si>
  <si>
    <t>CCP</t>
    <phoneticPr fontId="1" type="noConversion"/>
  </si>
  <si>
    <t>PP Line
Vector</t>
    <phoneticPr fontId="1" type="noConversion"/>
  </si>
  <si>
    <t>PP Line Vector High(0x00)</t>
    <phoneticPr fontId="1" type="noConversion"/>
  </si>
  <si>
    <t>PP Line Vector Low(0x00)</t>
    <phoneticPr fontId="1" type="noConversion"/>
  </si>
  <si>
    <t>PP Line Vector High(0x00)</t>
    <phoneticPr fontId="1" type="noConversion"/>
  </si>
  <si>
    <t>PP Line Vector Low(0x00)</t>
    <phoneticPr fontId="1" type="noConversion"/>
  </si>
  <si>
    <t>R06</t>
    <phoneticPr fontId="1" type="noConversion"/>
  </si>
  <si>
    <t>MPAC</t>
    <phoneticPr fontId="1" type="noConversion"/>
  </si>
  <si>
    <t>1.</t>
    <phoneticPr fontId="1" type="noConversion"/>
  </si>
  <si>
    <t>Vector Table의 PP Line 정보 추가.</t>
    <phoneticPr fontId="1" type="noConversion"/>
  </si>
  <si>
    <t>CCP</t>
    <phoneticPr fontId="1" type="noConversion"/>
  </si>
  <si>
    <t>50~51</t>
  </si>
  <si>
    <t>52~53</t>
  </si>
  <si>
    <t>54~55</t>
  </si>
  <si>
    <t>ISP</t>
    <phoneticPr fontId="5" type="noConversion"/>
  </si>
  <si>
    <t>spare</t>
    <phoneticPr fontId="1" type="noConversion"/>
  </si>
  <si>
    <t>CSP</t>
    <phoneticPr fontId="5" type="noConversion"/>
  </si>
  <si>
    <t>spare</t>
    <phoneticPr fontId="5" type="noConversion"/>
  </si>
  <si>
    <t>SOFT</t>
    <phoneticPr fontId="5" type="noConversion"/>
  </si>
  <si>
    <t>CCP
DATE</t>
    <phoneticPr fontId="1" type="noConversion"/>
  </si>
  <si>
    <t>120~121</t>
  </si>
  <si>
    <t>122~123</t>
  </si>
  <si>
    <t>124~125</t>
  </si>
  <si>
    <t>126~127</t>
  </si>
  <si>
    <t>128~129</t>
  </si>
  <si>
    <t>130~131</t>
  </si>
  <si>
    <t>132~133</t>
  </si>
  <si>
    <t>134~135</t>
  </si>
  <si>
    <t>136~137</t>
  </si>
  <si>
    <t>138~139</t>
  </si>
  <si>
    <t>140~141</t>
  </si>
  <si>
    <t>142~143</t>
  </si>
  <si>
    <t>144~145</t>
  </si>
  <si>
    <t>146~147</t>
  </si>
  <si>
    <t>148~149</t>
  </si>
  <si>
    <t>150~151</t>
  </si>
  <si>
    <t>152~153</t>
  </si>
  <si>
    <t>52~53</t>
    <phoneticPr fontId="1" type="noConversion"/>
  </si>
  <si>
    <t>54~55</t>
    <phoneticPr fontId="1" type="noConversion"/>
  </si>
  <si>
    <t>50~51</t>
    <phoneticPr fontId="1" type="noConversion"/>
  </si>
  <si>
    <t>62~63</t>
    <phoneticPr fontId="1" type="noConversion"/>
  </si>
  <si>
    <t>64~65</t>
    <phoneticPr fontId="1" type="noConversion"/>
  </si>
  <si>
    <t>138~139</t>
    <phoneticPr fontId="1" type="noConversion"/>
  </si>
  <si>
    <t>152~155</t>
    <phoneticPr fontId="1" type="noConversion"/>
  </si>
  <si>
    <t>CNCS</t>
    <phoneticPr fontId="1" type="noConversion"/>
  </si>
  <si>
    <t>1.</t>
    <phoneticPr fontId="1" type="noConversion"/>
  </si>
  <si>
    <t>PII의 메시지 길이를 128에서 64자로 조정.</t>
    <phoneticPr fontId="1" type="noConversion"/>
  </si>
  <si>
    <t>2.</t>
    <phoneticPr fontId="1" type="noConversion"/>
  </si>
  <si>
    <t>CSP 스피커 제어 정보 추가.</t>
    <phoneticPr fontId="1" type="noConversion"/>
  </si>
  <si>
    <t>72~73</t>
    <phoneticPr fontId="5" type="noConversion"/>
  </si>
  <si>
    <t>12~13</t>
    <phoneticPr fontId="5" type="noConversion"/>
  </si>
  <si>
    <t>14~15</t>
    <phoneticPr fontId="5" type="noConversion"/>
  </si>
  <si>
    <t>16~17</t>
    <phoneticPr fontId="5" type="noConversion"/>
  </si>
  <si>
    <t>18~19</t>
    <phoneticPr fontId="5" type="noConversion"/>
  </si>
  <si>
    <t>20~21</t>
    <phoneticPr fontId="5" type="noConversion"/>
  </si>
  <si>
    <t>22~23</t>
    <phoneticPr fontId="5" type="noConversion"/>
  </si>
  <si>
    <t>24~25</t>
    <phoneticPr fontId="5" type="noConversion"/>
  </si>
  <si>
    <t>26~27</t>
    <phoneticPr fontId="5" type="noConversion"/>
  </si>
  <si>
    <t>12~13</t>
    <phoneticPr fontId="1" type="noConversion"/>
  </si>
  <si>
    <t>12~13</t>
    <phoneticPr fontId="1" type="noConversion"/>
  </si>
  <si>
    <t>14~15</t>
    <phoneticPr fontId="1" type="noConversion"/>
  </si>
  <si>
    <t>16~17</t>
    <phoneticPr fontId="1" type="noConversion"/>
  </si>
  <si>
    <t>18~19</t>
    <phoneticPr fontId="1" type="noConversion"/>
  </si>
  <si>
    <t>20~21</t>
    <phoneticPr fontId="1" type="noConversion"/>
  </si>
  <si>
    <t>22~23</t>
    <phoneticPr fontId="1" type="noConversion"/>
  </si>
  <si>
    <t>24~25</t>
    <phoneticPr fontId="1" type="noConversion"/>
  </si>
  <si>
    <t>26~27</t>
    <phoneticPr fontId="1" type="noConversion"/>
  </si>
  <si>
    <t>14~17</t>
    <phoneticPr fontId="1" type="noConversion"/>
  </si>
  <si>
    <t>16~17</t>
    <phoneticPr fontId="1" type="noConversion"/>
  </si>
  <si>
    <t>22~23</t>
    <phoneticPr fontId="1" type="noConversion"/>
  </si>
  <si>
    <t>24~34</t>
    <phoneticPr fontId="1" type="noConversion"/>
  </si>
  <si>
    <t>35~46</t>
    <phoneticPr fontId="1" type="noConversion"/>
  </si>
  <si>
    <t>47~50</t>
    <phoneticPr fontId="1" type="noConversion"/>
  </si>
  <si>
    <t>12~13</t>
    <phoneticPr fontId="1" type="noConversion"/>
  </si>
  <si>
    <t>16~17</t>
    <phoneticPr fontId="1" type="noConversion"/>
  </si>
  <si>
    <t>18~19</t>
    <phoneticPr fontId="1" type="noConversion"/>
  </si>
  <si>
    <t>28~29</t>
    <phoneticPr fontId="1" type="noConversion"/>
  </si>
  <si>
    <t>30~31</t>
    <phoneticPr fontId="1" type="noConversion"/>
  </si>
  <si>
    <t>32~33</t>
    <phoneticPr fontId="1" type="noConversion"/>
  </si>
  <si>
    <t>34~35</t>
    <phoneticPr fontId="1" type="noConversion"/>
  </si>
  <si>
    <t>36~39</t>
    <phoneticPr fontId="1" type="noConversion"/>
  </si>
  <si>
    <t>102~113</t>
    <phoneticPr fontId="1" type="noConversion"/>
  </si>
  <si>
    <t>114~125</t>
    <phoneticPr fontId="1" type="noConversion"/>
  </si>
  <si>
    <t>126~137</t>
    <phoneticPr fontId="1" type="noConversion"/>
  </si>
  <si>
    <t>138~149</t>
    <phoneticPr fontId="1" type="noConversion"/>
  </si>
  <si>
    <t>150~153</t>
    <phoneticPr fontId="1" type="noConversion"/>
  </si>
  <si>
    <t xml:space="preserve">ISP Normal Value (0~31 : 17) </t>
    <phoneticPr fontId="1" type="noConversion"/>
  </si>
  <si>
    <t xml:space="preserve">ESP Normal Value (0~31 : 17) </t>
    <phoneticPr fontId="1" type="noConversion"/>
  </si>
  <si>
    <t xml:space="preserve">ISP Soft Value (0~31 : 13) </t>
    <phoneticPr fontId="1" type="noConversion"/>
  </si>
  <si>
    <t xml:space="preserve">ESP Soft Value (0-31 : 13) </t>
    <phoneticPr fontId="1" type="noConversion"/>
  </si>
  <si>
    <t xml:space="preserve">CSP Normal Value (0~31 : 17) </t>
    <phoneticPr fontId="1" type="noConversion"/>
  </si>
  <si>
    <t>DST</t>
    <phoneticPr fontId="1" type="noConversion"/>
  </si>
  <si>
    <t>C/I
FAULT</t>
    <phoneticPr fontId="1" type="noConversion"/>
  </si>
  <si>
    <t>CI Index</t>
    <phoneticPr fontId="1" type="noConversion"/>
  </si>
  <si>
    <t>14~15</t>
    <phoneticPr fontId="1" type="noConversion"/>
  </si>
  <si>
    <t>20~23</t>
    <phoneticPr fontId="1" type="noConversion"/>
  </si>
  <si>
    <t>C/I
Fault</t>
    <phoneticPr fontId="5" type="noConversion"/>
  </si>
  <si>
    <t>148~149</t>
    <phoneticPr fontId="5" type="noConversion"/>
  </si>
  <si>
    <t>Car1</t>
    <phoneticPr fontId="5" type="noConversion"/>
  </si>
  <si>
    <t>Car2</t>
    <phoneticPr fontId="5" type="noConversion"/>
  </si>
  <si>
    <t>Car3</t>
    <phoneticPr fontId="5" type="noConversion"/>
  </si>
  <si>
    <t>Car4</t>
    <phoneticPr fontId="5" type="noConversion"/>
  </si>
  <si>
    <t>Car5</t>
    <phoneticPr fontId="5" type="noConversion"/>
  </si>
  <si>
    <t>Car6</t>
    <phoneticPr fontId="5" type="noConversion"/>
  </si>
  <si>
    <t>Car7</t>
    <phoneticPr fontId="5" type="noConversion"/>
  </si>
  <si>
    <t>Car8</t>
    <phoneticPr fontId="5" type="noConversion"/>
  </si>
  <si>
    <t>R07</t>
    <phoneticPr fontId="1" type="noConversion"/>
  </si>
  <si>
    <t>MPAC</t>
    <phoneticPr fontId="1" type="noConversion"/>
  </si>
  <si>
    <t>1.</t>
    <phoneticPr fontId="1" type="noConversion"/>
  </si>
  <si>
    <t>MPAC의 C/I 고장 정보 추가.</t>
    <phoneticPr fontId="1" type="noConversion"/>
  </si>
  <si>
    <t xml:space="preserve">2. </t>
    <phoneticPr fontId="1" type="noConversion"/>
  </si>
  <si>
    <t>LIC C/I Index 추가</t>
    <phoneticPr fontId="1" type="noConversion"/>
  </si>
  <si>
    <t>LIC C/I 고장 Bit 추가.</t>
    <phoneticPr fontId="1" type="noConversion"/>
  </si>
  <si>
    <r>
      <t>VRX-Video in
1:No Cable
0:</t>
    </r>
    <r>
      <rPr>
        <sz val="8"/>
        <rFont val="돋움"/>
        <family val="3"/>
        <charset val="129"/>
      </rPr>
      <t>정상입력</t>
    </r>
    <phoneticPr fontId="1" type="noConversion"/>
  </si>
  <si>
    <t>VTX-ADD
1: ADD2 High
0: ADD2 Low</t>
  </si>
  <si>
    <t>VTX-ADD
1: ADD1 High
0: ADD1 Low</t>
  </si>
  <si>
    <r>
      <t>VTX-Video Back in
1:No Sigal 
0:</t>
    </r>
    <r>
      <rPr>
        <sz val="8"/>
        <rFont val="돋움"/>
        <family val="3"/>
        <charset val="129"/>
      </rPr>
      <t>정상입력</t>
    </r>
  </si>
  <si>
    <r>
      <t>VTX-Video Front in
1:Err 
0:</t>
    </r>
    <r>
      <rPr>
        <sz val="8"/>
        <rFont val="돋움"/>
        <family val="3"/>
        <charset val="129"/>
      </rPr>
      <t>정상입력</t>
    </r>
  </si>
  <si>
    <r>
      <t>VTX-Video Front in
1:No Signal
0:</t>
    </r>
    <r>
      <rPr>
        <sz val="8"/>
        <rFont val="돋움"/>
        <family val="3"/>
        <charset val="129"/>
      </rPr>
      <t>정상입력</t>
    </r>
  </si>
  <si>
    <r>
      <t>VTX-Video out
1:NO Out
0:</t>
    </r>
    <r>
      <rPr>
        <sz val="8"/>
        <rFont val="돋움"/>
        <family val="3"/>
        <charset val="129"/>
      </rPr>
      <t>정상출력</t>
    </r>
  </si>
  <si>
    <t>VTX-Relay
1:Bypass on
0:Bypass off</t>
  </si>
  <si>
    <r>
      <t>VTX-Video Front in
1:No Cable
0:</t>
    </r>
    <r>
      <rPr>
        <sz val="8"/>
        <rFont val="돋움"/>
        <family val="3"/>
        <charset val="129"/>
      </rPr>
      <t>정상입력</t>
    </r>
    <phoneticPr fontId="1" type="noConversion"/>
  </si>
  <si>
    <t>R08</t>
    <phoneticPr fontId="1" type="noConversion"/>
  </si>
  <si>
    <t>VTX</t>
    <phoneticPr fontId="1" type="noConversion"/>
  </si>
  <si>
    <t>1.</t>
    <phoneticPr fontId="1" type="noConversion"/>
  </si>
  <si>
    <t>VTX 상태 정보 변경.</t>
    <phoneticPr fontId="1" type="noConversion"/>
  </si>
  <si>
    <t>116~117</t>
    <phoneticPr fontId="5" type="noConversion"/>
  </si>
  <si>
    <t>118~119</t>
    <phoneticPr fontId="5" type="noConversion"/>
  </si>
  <si>
    <t>154~155</t>
  </si>
  <si>
    <t>156~157</t>
    <phoneticPr fontId="5" type="noConversion"/>
  </si>
  <si>
    <t>158~159</t>
    <phoneticPr fontId="5" type="noConversion"/>
  </si>
  <si>
    <t>160~161</t>
    <phoneticPr fontId="5" type="noConversion"/>
  </si>
  <si>
    <t>※ VTX의 상태에 관련하여 다음과 같이 동작한다.</t>
    <phoneticPr fontId="5" type="noConversion"/>
  </si>
  <si>
    <t>PAC_A</t>
    <phoneticPr fontId="5" type="noConversion"/>
  </si>
  <si>
    <t>PAC_B</t>
    <phoneticPr fontId="5" type="noConversion"/>
  </si>
  <si>
    <t>정상</t>
    <phoneticPr fontId="5" type="noConversion"/>
  </si>
  <si>
    <t>비정상</t>
    <phoneticPr fontId="5" type="noConversion"/>
  </si>
  <si>
    <t>출력</t>
    <phoneticPr fontId="5" type="noConversion"/>
  </si>
  <si>
    <t>PAC_A</t>
    <phoneticPr fontId="5" type="noConversion"/>
  </si>
  <si>
    <t>PAC_B</t>
    <phoneticPr fontId="5" type="noConversion"/>
  </si>
  <si>
    <t>마지막 출력 유지</t>
    <phoneticPr fontId="5" type="noConversion"/>
  </si>
  <si>
    <t>R09</t>
    <phoneticPr fontId="1" type="noConversion"/>
  </si>
  <si>
    <t>PII Scroll Speed (1~5)</t>
    <phoneticPr fontId="1" type="noConversion"/>
  </si>
  <si>
    <t>PII_SPD</t>
    <phoneticPr fontId="1" type="noConversion"/>
  </si>
  <si>
    <r>
      <rPr>
        <sz val="8"/>
        <rFont val="돋움"/>
        <family val="3"/>
        <charset val="129"/>
      </rPr>
      <t>조도</t>
    </r>
    <r>
      <rPr>
        <sz val="8"/>
        <rFont val="Arial"/>
        <family val="2"/>
      </rPr>
      <t xml:space="preserve"> </t>
    </r>
    <r>
      <rPr>
        <sz val="8"/>
        <rFont val="돋움"/>
        <family val="3"/>
        <charset val="129"/>
      </rPr>
      <t>센서</t>
    </r>
    <r>
      <rPr>
        <sz val="8"/>
        <rFont val="Arial"/>
        <family val="2"/>
      </rPr>
      <t xml:space="preserve"> Level(1~10)</t>
    </r>
    <phoneticPr fontId="1" type="noConversion"/>
  </si>
  <si>
    <t>12~13</t>
    <phoneticPr fontId="1" type="noConversion"/>
  </si>
  <si>
    <t>14~17</t>
    <phoneticPr fontId="1" type="noConversion"/>
  </si>
  <si>
    <t>Spare</t>
    <phoneticPr fontId="1" type="noConversion"/>
  </si>
  <si>
    <t>AVOIPCM</t>
  </si>
  <si>
    <t>BVOIPCM</t>
  </si>
  <si>
    <t>AUTOM</t>
  </si>
  <si>
    <t>VOIPCM</t>
  </si>
  <si>
    <t>TL_LEN</t>
  </si>
  <si>
    <t>Train Length</t>
  </si>
  <si>
    <t>R09</t>
    <phoneticPr fontId="1" type="noConversion"/>
  </si>
  <si>
    <t>CNCS</t>
    <phoneticPr fontId="1" type="noConversion"/>
  </si>
  <si>
    <t>1.</t>
    <phoneticPr fontId="1" type="noConversion"/>
  </si>
  <si>
    <t>CNCS Video 출력 상태 정보 추가.</t>
    <phoneticPr fontId="1" type="noConversion"/>
  </si>
  <si>
    <t>2.</t>
    <phoneticPr fontId="1" type="noConversion"/>
  </si>
  <si>
    <t>CCP Simulation 방향 Bit 추가.</t>
    <phoneticPr fontId="1" type="noConversion"/>
  </si>
  <si>
    <t>PII Scroll Time 관련 Protocol 추가.</t>
    <phoneticPr fontId="1" type="noConversion"/>
  </si>
  <si>
    <t xml:space="preserve">3. </t>
    <phoneticPr fontId="1" type="noConversion"/>
  </si>
  <si>
    <t>PIS FDI/SDI에 조도 센서 Level값 추가.</t>
    <phoneticPr fontId="1" type="noConversion"/>
  </si>
  <si>
    <t>SLV</t>
    <phoneticPr fontId="1" type="noConversion"/>
  </si>
  <si>
    <r>
      <rPr>
        <sz val="8"/>
        <rFont val="돋움"/>
        <family val="3"/>
        <charset val="129"/>
      </rPr>
      <t>열차</t>
    </r>
    <r>
      <rPr>
        <sz val="8"/>
        <rFont val="Arial"/>
        <family val="2"/>
      </rPr>
      <t xml:space="preserve"> 
</t>
    </r>
    <r>
      <rPr>
        <sz val="8"/>
        <rFont val="돋움"/>
        <family val="3"/>
        <charset val="129"/>
      </rPr>
      <t xml:space="preserve">진행방향
</t>
    </r>
    <r>
      <rPr>
        <sz val="8"/>
        <rFont val="Arial"/>
        <family val="2"/>
      </rPr>
      <t>Up:1, Down:0</t>
    </r>
    <phoneticPr fontId="1" type="noConversion"/>
  </si>
  <si>
    <r>
      <t xml:space="preserve">A Cab On
</t>
    </r>
    <r>
      <rPr>
        <sz val="8"/>
        <rFont val="Arial"/>
        <family val="2"/>
      </rPr>
      <t>Cab ON</t>
    </r>
    <phoneticPr fontId="1" type="noConversion"/>
  </si>
  <si>
    <r>
      <t xml:space="preserve">B Cab On
</t>
    </r>
    <r>
      <rPr>
        <sz val="8"/>
        <rFont val="Arial"/>
        <family val="2"/>
      </rPr>
      <t>Cond Key</t>
    </r>
    <phoneticPr fontId="1" type="noConversion"/>
  </si>
  <si>
    <r>
      <t xml:space="preserve">A Cond Key
</t>
    </r>
    <r>
      <rPr>
        <sz val="8"/>
        <rFont val="Arial"/>
        <family val="2"/>
      </rPr>
      <t>SPARE</t>
    </r>
    <phoneticPr fontId="1" type="noConversion"/>
  </si>
  <si>
    <r>
      <t xml:space="preserve">B Cond Key
</t>
    </r>
    <r>
      <rPr>
        <sz val="8"/>
        <rFont val="Arial"/>
        <family val="2"/>
      </rPr>
      <t>SPARE</t>
    </r>
    <phoneticPr fontId="1" type="noConversion"/>
  </si>
  <si>
    <r>
      <t>CCP</t>
    </r>
    <r>
      <rPr>
        <sz val="8"/>
        <rFont val="돋움"/>
        <family val="3"/>
        <charset val="129"/>
      </rPr>
      <t>에서는</t>
    </r>
    <r>
      <rPr>
        <sz val="8"/>
        <rFont val="Arial"/>
        <family val="2"/>
      </rPr>
      <t xml:space="preserve"> </t>
    </r>
    <r>
      <rPr>
        <sz val="8"/>
        <rFont val="돋움"/>
        <family val="3"/>
        <charset val="129"/>
      </rPr>
      <t>현재</t>
    </r>
    <r>
      <rPr>
        <sz val="8"/>
        <rFont val="Arial"/>
        <family val="2"/>
      </rPr>
      <t xml:space="preserve"> </t>
    </r>
    <r>
      <rPr>
        <sz val="8"/>
        <rFont val="돋움"/>
        <family val="3"/>
        <charset val="129"/>
      </rPr>
      <t>장치의</t>
    </r>
    <r>
      <rPr>
        <sz val="8"/>
        <rFont val="Arial"/>
        <family val="2"/>
      </rPr>
      <t xml:space="preserve"> Cab </t>
    </r>
    <r>
      <rPr>
        <sz val="8"/>
        <rFont val="돋움"/>
        <family val="3"/>
        <charset val="129"/>
      </rPr>
      <t>및</t>
    </r>
    <r>
      <rPr>
        <sz val="8"/>
        <rFont val="Arial"/>
        <family val="2"/>
      </rPr>
      <t xml:space="preserve"> Cond Key </t>
    </r>
    <r>
      <rPr>
        <sz val="8"/>
        <rFont val="돋움"/>
        <family val="3"/>
        <charset val="129"/>
      </rPr>
      <t>상태만을</t>
    </r>
    <r>
      <rPr>
        <sz val="8"/>
        <rFont val="Arial"/>
        <family val="2"/>
      </rPr>
      <t xml:space="preserve"> </t>
    </r>
    <r>
      <rPr>
        <sz val="8"/>
        <rFont val="돋움"/>
        <family val="3"/>
        <charset val="129"/>
      </rPr>
      <t>표기함</t>
    </r>
    <r>
      <rPr>
        <sz val="8"/>
        <rFont val="Arial"/>
        <family val="2"/>
      </rPr>
      <t>.</t>
    </r>
    <phoneticPr fontId="1" type="noConversion"/>
  </si>
  <si>
    <t>Key 상태 정보 표시 Bit 수정.</t>
    <phoneticPr fontId="1" type="noConversion"/>
  </si>
  <si>
    <t>4.</t>
    <phoneticPr fontId="1" type="noConversion"/>
  </si>
  <si>
    <t>AUTOM, VOIP관련 Bit 추가.</t>
    <phoneticPr fontId="1" type="noConversion"/>
  </si>
  <si>
    <t>Data Length Code High</t>
    <phoneticPr fontId="5" type="noConversion"/>
  </si>
  <si>
    <t>Data Length Code Low</t>
    <phoneticPr fontId="5" type="noConversion"/>
  </si>
  <si>
    <t>D2</t>
    <phoneticPr fontId="5" type="noConversion"/>
  </si>
  <si>
    <t>Spare</t>
    <phoneticPr fontId="5" type="noConversion"/>
  </si>
  <si>
    <t>CNCS
Auction</t>
    <phoneticPr fontId="5" type="noConversion"/>
  </si>
  <si>
    <r>
      <t>Odometer xx000000 (</t>
    </r>
    <r>
      <rPr>
        <sz val="8"/>
        <rFont val="돋움"/>
        <family val="3"/>
        <charset val="129"/>
      </rPr>
      <t>단위</t>
    </r>
    <r>
      <rPr>
        <sz val="8"/>
        <rFont val="Arial"/>
        <family val="2"/>
      </rPr>
      <t xml:space="preserve"> m)</t>
    </r>
    <phoneticPr fontId="1" type="noConversion"/>
  </si>
  <si>
    <t>D5</t>
    <phoneticPr fontId="1" type="noConversion"/>
  </si>
  <si>
    <t>12~13</t>
    <phoneticPr fontId="5" type="noConversion"/>
  </si>
  <si>
    <t>14~15</t>
    <phoneticPr fontId="5" type="noConversion"/>
  </si>
  <si>
    <t>16~17</t>
    <phoneticPr fontId="5" type="noConversion"/>
  </si>
  <si>
    <t>18~19</t>
    <phoneticPr fontId="5" type="noConversion"/>
  </si>
  <si>
    <t>20~21</t>
    <phoneticPr fontId="5" type="noConversion"/>
  </si>
  <si>
    <t>Command Code(13)</t>
    <phoneticPr fontId="1" type="noConversion"/>
  </si>
  <si>
    <t>Command Code(13)</t>
    <phoneticPr fontId="1" type="noConversion"/>
  </si>
  <si>
    <t>Command Code(11)</t>
    <phoneticPr fontId="1" type="noConversion"/>
  </si>
  <si>
    <t>Command Code(12)</t>
    <phoneticPr fontId="1" type="noConversion"/>
  </si>
  <si>
    <t>Command Code(11)</t>
    <phoneticPr fontId="1" type="noConversion"/>
  </si>
  <si>
    <t>2012.10.30</t>
    <phoneticPr fontId="1" type="noConversion"/>
  </si>
  <si>
    <t>R09</t>
    <phoneticPr fontId="1" type="noConversion"/>
  </si>
  <si>
    <t>전체</t>
    <phoneticPr fontId="1" type="noConversion"/>
  </si>
  <si>
    <t>1.</t>
    <phoneticPr fontId="1" type="noConversion"/>
  </si>
  <si>
    <t>데이터 길이를 1Byte에서 2Byte로 증설.(Update와 동일한 Header정보를 사용하기 위함.)</t>
    <phoneticPr fontId="1" type="noConversion"/>
  </si>
  <si>
    <t>그럼으로 중련시에 사령에서 중련된 차량에 각각 메시지를 전송하여, 수신받은 상태를 모니터링하여, PAC가 방송을 제어해 주어야 함.</t>
    <phoneticPr fontId="1" type="noConversion"/>
  </si>
  <si>
    <t>1.</t>
    <phoneticPr fontId="1" type="noConversion"/>
  </si>
  <si>
    <t>PAC</t>
    <phoneticPr fontId="1" type="noConversion"/>
  </si>
  <si>
    <t>현재 PAC Bypass기능 구현 완료.</t>
    <phoneticPr fontId="1" type="noConversion"/>
  </si>
  <si>
    <t>VTX</t>
    <phoneticPr fontId="1" type="noConversion"/>
  </si>
  <si>
    <t>2.</t>
    <phoneticPr fontId="1" type="noConversion"/>
  </si>
  <si>
    <t>2-1.</t>
    <phoneticPr fontId="1" type="noConversion"/>
  </si>
  <si>
    <t>H/W우선으로 Bypass를 진행함.</t>
    <phoneticPr fontId="1" type="noConversion"/>
  </si>
  <si>
    <t>Rack A</t>
    <phoneticPr fontId="1" type="noConversion"/>
  </si>
  <si>
    <t>Rack B</t>
    <phoneticPr fontId="1" type="noConversion"/>
  </si>
  <si>
    <t>정상</t>
    <phoneticPr fontId="1" type="noConversion"/>
  </si>
  <si>
    <t>비정상</t>
    <phoneticPr fontId="1" type="noConversion"/>
  </si>
  <si>
    <t>Bypass 상태</t>
    <phoneticPr fontId="1" type="noConversion"/>
  </si>
  <si>
    <t>마지막 상태 유지</t>
    <phoneticPr fontId="1" type="noConversion"/>
  </si>
  <si>
    <t>Rack A 출력</t>
    <phoneticPr fontId="1" type="noConversion"/>
  </si>
  <si>
    <t>Rack B 출력</t>
    <phoneticPr fontId="1" type="noConversion"/>
  </si>
  <si>
    <t>마지막 상태 유지.</t>
    <phoneticPr fontId="1" type="noConversion"/>
  </si>
  <si>
    <t>※ 초기 기동시 CNCS가 부팅이 완료될까지 A, B가 비정상 상태이다가, 가장 먼저 정상으로 인식되는 장치를 출력으로 변경.</t>
    <phoneticPr fontId="1" type="noConversion"/>
  </si>
  <si>
    <t>※ 반대측 Rack의 H/W적 영상신호가 상시 모니터링 되지 않음으로, S/W적 으로 변경할 경우, 반대 측의 영상이 존재하지 않을 경우, 다시 원래 영상으로 돌아옴.(화면 전환 상태가 나타날 수 있음.)</t>
    <phoneticPr fontId="1" type="noConversion"/>
  </si>
  <si>
    <t>※ H/W와 S/W는 한쪽이 불량이 상태에서, 운용중 불량이 쪽이 복귀되어 둘다 정상으로 되어도, 화면 전환을 이루지 않음.</t>
    <phoneticPr fontId="1" type="noConversion"/>
  </si>
  <si>
    <t>S/W bypass (CNCS에서 프로토콜로 상태 제어)</t>
    <phoneticPr fontId="1" type="noConversion"/>
  </si>
  <si>
    <t>※ 만약 현재 H/W의 영상 신호 문제로 인하여, 반대측 H/W 영상으로 Bypass 되었으나, Bypass된 H/W의 영상 신호도 불량일 경우, 다시 복귀하지 않고, 그 상태 유지.</t>
    <phoneticPr fontId="1" type="noConversion"/>
  </si>
  <si>
    <t>3.</t>
    <phoneticPr fontId="1" type="noConversion"/>
  </si>
  <si>
    <t>CCP</t>
    <phoneticPr fontId="1" type="noConversion"/>
  </si>
  <si>
    <t>CCP의 경우, bypass의 우선 순위는 아래와 같음.</t>
    <phoneticPr fontId="1" type="noConversion"/>
  </si>
  <si>
    <t>3-1.</t>
    <phoneticPr fontId="1" type="noConversion"/>
  </si>
  <si>
    <t>Cab On.</t>
    <phoneticPr fontId="1" type="noConversion"/>
  </si>
  <si>
    <t>Simulation</t>
    <phoneticPr fontId="1" type="noConversion"/>
  </si>
  <si>
    <t>GPS</t>
    <phoneticPr fontId="1" type="noConversion"/>
  </si>
  <si>
    <t>차량에 Cab On 신호가 존재하지 않을 경우, 방송 TP는 0으로 셋팅하여 전송, TP정보를 전송하지 않음.</t>
    <phoneticPr fontId="1" type="noConversion"/>
  </si>
  <si>
    <t xml:space="preserve">차량의 Cab On된 상태이며, 차량의 GPS가 이동시는 각 CCP에서 TP정보를 PAC로 전송하여야함. </t>
    <phoneticPr fontId="1" type="noConversion"/>
  </si>
  <si>
    <t>GPS가 동일함으로 CCP가 동일한 위치의 TP를 보낼 것으로 판단됨.</t>
    <phoneticPr fontId="1" type="noConversion"/>
  </si>
  <si>
    <t>Cab On 신호가 존재하고, CCP의 상태가 Simulation Mode일 경우, CCP는 Cab On이 유지된 상태에서는 CCP이 데이터를 동기화 하여 동작하여야함. Bypass 기능도 유지 되어야함.</t>
    <phoneticPr fontId="1" type="noConversion"/>
  </si>
  <si>
    <t>4.</t>
    <phoneticPr fontId="1" type="noConversion"/>
  </si>
  <si>
    <t>CNCS</t>
    <phoneticPr fontId="1" type="noConversion"/>
  </si>
  <si>
    <t>5.</t>
    <phoneticPr fontId="1" type="noConversion"/>
  </si>
  <si>
    <t>VOIP</t>
    <phoneticPr fontId="1" type="noConversion"/>
  </si>
  <si>
    <t>각 장치가 개별동작 하고, Bypass의 경우, PAC와 VTX가 제어해줌.</t>
    <phoneticPr fontId="1" type="noConversion"/>
  </si>
  <si>
    <t>각 장치가 개별동작.</t>
    <phoneticPr fontId="1" type="noConversion"/>
  </si>
  <si>
    <t>※ OCC Message Action의 경우, 중련된 차량의 모두 수신하였을 경우, 전체 표출을하는 기준 신호로 사용.</t>
    <phoneticPr fontId="5" type="noConversion"/>
  </si>
  <si>
    <t>spare</t>
    <phoneticPr fontId="1" type="noConversion"/>
  </si>
  <si>
    <t>2012.11.20</t>
    <phoneticPr fontId="1" type="noConversion"/>
  </si>
  <si>
    <t>PP
Active</t>
    <phoneticPr fontId="1" type="noConversion"/>
  </si>
  <si>
    <t>SP
Active</t>
    <phoneticPr fontId="1" type="noConversion"/>
  </si>
  <si>
    <t>Command Code(12)</t>
    <phoneticPr fontId="1" type="noConversion"/>
  </si>
  <si>
    <t>Car Line</t>
    <phoneticPr fontId="1" type="noConversion"/>
  </si>
  <si>
    <r>
      <t>2.1.  Slave PAC</t>
    </r>
    <r>
      <rPr>
        <b/>
        <sz val="8"/>
        <rFont val="돋움"/>
        <family val="3"/>
        <charset val="129"/>
      </rPr>
      <t>의</t>
    </r>
    <r>
      <rPr>
        <b/>
        <sz val="8"/>
        <rFont val="Arial"/>
        <family val="2"/>
      </rPr>
      <t xml:space="preserve"> </t>
    </r>
    <r>
      <rPr>
        <b/>
        <sz val="8"/>
        <rFont val="돋움"/>
        <family val="3"/>
        <charset val="129"/>
      </rPr>
      <t>응답</t>
    </r>
    <r>
      <rPr>
        <b/>
        <sz val="8"/>
        <rFont val="Arial"/>
        <family val="2"/>
      </rPr>
      <t>( Slave PAC =&gt;  Master PAC)</t>
    </r>
    <phoneticPr fontId="1" type="noConversion"/>
  </si>
  <si>
    <t>Car Line</t>
    <phoneticPr fontId="1" type="noConversion"/>
  </si>
  <si>
    <r>
      <t xml:space="preserve">1.1.  </t>
    </r>
    <r>
      <rPr>
        <b/>
        <sz val="8"/>
        <rFont val="돋움"/>
        <family val="3"/>
        <charset val="129"/>
      </rPr>
      <t>자동</t>
    </r>
    <r>
      <rPr>
        <b/>
        <sz val="8"/>
        <rFont val="Arial"/>
        <family val="2"/>
      </rPr>
      <t xml:space="preserve"> </t>
    </r>
    <r>
      <rPr>
        <b/>
        <sz val="8"/>
        <rFont val="돋움"/>
        <family val="3"/>
        <charset val="129"/>
      </rPr>
      <t>방송</t>
    </r>
    <r>
      <rPr>
        <b/>
        <sz val="8"/>
        <rFont val="Arial"/>
        <family val="2"/>
      </rPr>
      <t xml:space="preserve"> </t>
    </r>
    <r>
      <rPr>
        <b/>
        <sz val="8"/>
        <rFont val="돋움"/>
        <family val="3"/>
        <charset val="129"/>
      </rPr>
      <t>정보</t>
    </r>
    <r>
      <rPr>
        <b/>
        <sz val="8"/>
        <rFont val="Arial"/>
        <family val="2"/>
      </rPr>
      <t>( Master PAC =&gt; Master PAC, Main PAC =&gt; Main PAC)</t>
    </r>
    <phoneticPr fontId="1" type="noConversion"/>
  </si>
  <si>
    <t>Train Line</t>
    <phoneticPr fontId="1" type="noConversion"/>
  </si>
  <si>
    <r>
      <t xml:space="preserve">1.2. </t>
    </r>
    <r>
      <rPr>
        <b/>
        <sz val="8"/>
        <rFont val="돋움"/>
        <family val="3"/>
        <charset val="129"/>
      </rPr>
      <t>방송장치</t>
    </r>
    <r>
      <rPr>
        <b/>
        <sz val="8"/>
        <rFont val="Arial"/>
        <family val="2"/>
      </rPr>
      <t xml:space="preserve"> </t>
    </r>
    <r>
      <rPr>
        <b/>
        <sz val="8"/>
        <rFont val="돋움"/>
        <family val="3"/>
        <charset val="129"/>
      </rPr>
      <t>정보를</t>
    </r>
    <r>
      <rPr>
        <b/>
        <sz val="8"/>
        <rFont val="Arial"/>
        <family val="2"/>
      </rPr>
      <t xml:space="preserve"> </t>
    </r>
    <r>
      <rPr>
        <b/>
        <sz val="8"/>
        <rFont val="돋움"/>
        <family val="3"/>
        <charset val="129"/>
      </rPr>
      <t>요청</t>
    </r>
    <r>
      <rPr>
        <b/>
        <sz val="8"/>
        <rFont val="Arial"/>
        <family val="2"/>
      </rPr>
      <t>.(Main PAC =&gt; All Device)</t>
    </r>
    <phoneticPr fontId="1" type="noConversion"/>
  </si>
  <si>
    <r>
      <t xml:space="preserve">1.3.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(PAC=&gt;PIS)</t>
    </r>
    <phoneticPr fontId="1" type="noConversion"/>
  </si>
  <si>
    <r>
      <t xml:space="preserve">1.4. </t>
    </r>
    <r>
      <rPr>
        <b/>
        <sz val="8"/>
        <rFont val="돋움"/>
        <family val="3"/>
        <charset val="129"/>
      </rPr>
      <t>다른</t>
    </r>
    <r>
      <rPr>
        <b/>
        <sz val="8"/>
        <rFont val="Arial"/>
        <family val="2"/>
      </rPr>
      <t xml:space="preserve"> </t>
    </r>
    <r>
      <rPr>
        <b/>
        <sz val="8"/>
        <rFont val="돋움"/>
        <family val="3"/>
        <charset val="129"/>
      </rPr>
      <t>차량에</t>
    </r>
    <r>
      <rPr>
        <b/>
        <sz val="8"/>
        <rFont val="Arial"/>
        <family val="2"/>
      </rPr>
      <t xml:space="preserve"> </t>
    </r>
    <r>
      <rPr>
        <b/>
        <sz val="8"/>
        <rFont val="돋움"/>
        <family val="3"/>
        <charset val="129"/>
      </rPr>
      <t>방송</t>
    </r>
    <r>
      <rPr>
        <b/>
        <sz val="8"/>
        <rFont val="Arial"/>
        <family val="2"/>
      </rPr>
      <t xml:space="preserve"> </t>
    </r>
    <r>
      <rPr>
        <b/>
        <sz val="8"/>
        <rFont val="돋움"/>
        <family val="3"/>
        <charset val="129"/>
      </rPr>
      <t>정보를</t>
    </r>
    <r>
      <rPr>
        <b/>
        <sz val="8"/>
        <rFont val="Arial"/>
        <family val="2"/>
      </rPr>
      <t xml:space="preserve"> </t>
    </r>
    <r>
      <rPr>
        <b/>
        <sz val="8"/>
        <rFont val="돋움"/>
        <family val="3"/>
        <charset val="129"/>
      </rPr>
      <t>전송</t>
    </r>
    <r>
      <rPr>
        <b/>
        <sz val="8"/>
        <rFont val="Arial"/>
        <family val="2"/>
      </rPr>
      <t>.(Master PAC =&gt; Slave PAC)</t>
    </r>
    <phoneticPr fontId="1" type="noConversion"/>
  </si>
  <si>
    <r>
      <t xml:space="preserve">2.2.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(Slave PAC=&gt;PIS)</t>
    </r>
    <phoneticPr fontId="1" type="noConversion"/>
  </si>
  <si>
    <r>
      <t xml:space="preserve">3.1.  </t>
    </r>
    <r>
      <rPr>
        <b/>
        <sz val="8"/>
        <rFont val="돋움"/>
        <family val="3"/>
        <charset val="129"/>
      </rPr>
      <t>방송장치에</t>
    </r>
    <r>
      <rPr>
        <b/>
        <sz val="8"/>
        <rFont val="Arial"/>
        <family val="2"/>
      </rPr>
      <t xml:space="preserve"> Version </t>
    </r>
    <r>
      <rPr>
        <b/>
        <sz val="8"/>
        <rFont val="돋움"/>
        <family val="3"/>
        <charset val="129"/>
      </rPr>
      <t>정보를</t>
    </r>
    <r>
      <rPr>
        <b/>
        <sz val="8"/>
        <rFont val="Arial"/>
        <family val="2"/>
      </rPr>
      <t xml:space="preserve"> </t>
    </r>
    <r>
      <rPr>
        <b/>
        <sz val="8"/>
        <rFont val="돋움"/>
        <family val="3"/>
        <charset val="129"/>
      </rPr>
      <t>요청</t>
    </r>
    <r>
      <rPr>
        <b/>
        <sz val="8"/>
        <rFont val="Arial"/>
        <family val="2"/>
      </rPr>
      <t>(PIS =&gt;  PIS)</t>
    </r>
    <phoneticPr fontId="1" type="noConversion"/>
  </si>
  <si>
    <r>
      <t xml:space="preserve">3.2.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(FID/SDI/PII =&gt;PIS)</t>
    </r>
    <phoneticPr fontId="1" type="noConversion"/>
  </si>
  <si>
    <t>R10</t>
    <phoneticPr fontId="1" type="noConversion"/>
  </si>
  <si>
    <t xml:space="preserve">2. </t>
    <phoneticPr fontId="1" type="noConversion"/>
  </si>
  <si>
    <t>Protocol Title 정리.</t>
    <phoneticPr fontId="1" type="noConversion"/>
  </si>
  <si>
    <t>PIS(Version)</t>
    <phoneticPr fontId="1" type="noConversion"/>
  </si>
  <si>
    <t>1.</t>
    <phoneticPr fontId="1" type="noConversion"/>
  </si>
  <si>
    <t>Version 정보 요청시 불필요한 데이터 삭제.</t>
    <phoneticPr fontId="1" type="noConversion"/>
  </si>
  <si>
    <t>Abb</t>
    <phoneticPr fontId="1" type="noConversion"/>
  </si>
  <si>
    <r>
      <t>4.1.  LIC</t>
    </r>
    <r>
      <rPr>
        <b/>
        <sz val="8"/>
        <rFont val="돋움"/>
        <family val="3"/>
        <charset val="129"/>
      </rPr>
      <t>의</t>
    </r>
    <r>
      <rPr>
        <b/>
        <sz val="8"/>
        <rFont val="Arial"/>
        <family val="2"/>
      </rPr>
      <t xml:space="preserve"> </t>
    </r>
    <r>
      <rPr>
        <b/>
        <sz val="8"/>
        <rFont val="돋움"/>
        <family val="3"/>
        <charset val="129"/>
      </rPr>
      <t>응답</t>
    </r>
    <r>
      <rPr>
        <b/>
        <sz val="8"/>
        <rFont val="Arial"/>
        <family val="2"/>
      </rPr>
      <t>( LIC =&gt;  Master PAC)</t>
    </r>
    <phoneticPr fontId="1" type="noConversion"/>
  </si>
  <si>
    <r>
      <t xml:space="preserve">4.2.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(LIC=&gt;PIS)</t>
    </r>
    <phoneticPr fontId="1" type="noConversion"/>
  </si>
  <si>
    <r>
      <t>5.1.  CCP</t>
    </r>
    <r>
      <rPr>
        <b/>
        <sz val="8"/>
        <rFont val="돋움"/>
        <family val="3"/>
        <charset val="129"/>
      </rPr>
      <t>의</t>
    </r>
    <r>
      <rPr>
        <b/>
        <sz val="8"/>
        <rFont val="Arial"/>
        <family val="2"/>
      </rPr>
      <t xml:space="preserve"> </t>
    </r>
    <r>
      <rPr>
        <b/>
        <sz val="8"/>
        <rFont val="돋움"/>
        <family val="3"/>
        <charset val="129"/>
      </rPr>
      <t>응답</t>
    </r>
    <r>
      <rPr>
        <b/>
        <sz val="8"/>
        <rFont val="Arial"/>
        <family val="2"/>
      </rPr>
      <t>( CCP =&gt;  Master PAC)</t>
    </r>
    <phoneticPr fontId="1" type="noConversion"/>
  </si>
  <si>
    <r>
      <t xml:space="preserve">5.2.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(CCP=&gt;PIS)</t>
    </r>
    <phoneticPr fontId="1" type="noConversion"/>
  </si>
  <si>
    <r>
      <t xml:space="preserve">7.2.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(VRX=&gt;PIS)</t>
    </r>
    <phoneticPr fontId="1" type="noConversion"/>
  </si>
  <si>
    <r>
      <t xml:space="preserve">6.2.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(VTX=&gt;PIS)</t>
    </r>
    <phoneticPr fontId="1" type="noConversion"/>
  </si>
  <si>
    <r>
      <t>6.1.  VRX</t>
    </r>
    <r>
      <rPr>
        <b/>
        <sz val="8"/>
        <rFont val="돋움"/>
        <family val="3"/>
        <charset val="129"/>
      </rPr>
      <t>의</t>
    </r>
    <r>
      <rPr>
        <b/>
        <sz val="8"/>
        <rFont val="Arial"/>
        <family val="2"/>
      </rPr>
      <t xml:space="preserve"> </t>
    </r>
    <r>
      <rPr>
        <b/>
        <sz val="8"/>
        <rFont val="돋움"/>
        <family val="3"/>
        <charset val="129"/>
      </rPr>
      <t>응답</t>
    </r>
    <r>
      <rPr>
        <b/>
        <sz val="8"/>
        <rFont val="Arial"/>
        <family val="2"/>
      </rPr>
      <t>( VTX =&gt;  Master PAC)</t>
    </r>
    <phoneticPr fontId="1" type="noConversion"/>
  </si>
  <si>
    <r>
      <t>7.1.  VRX</t>
    </r>
    <r>
      <rPr>
        <b/>
        <sz val="8"/>
        <rFont val="돋움"/>
        <family val="3"/>
        <charset val="129"/>
      </rPr>
      <t>의</t>
    </r>
    <r>
      <rPr>
        <b/>
        <sz val="8"/>
        <rFont val="Arial"/>
        <family val="2"/>
      </rPr>
      <t xml:space="preserve"> </t>
    </r>
    <r>
      <rPr>
        <b/>
        <sz val="8"/>
        <rFont val="돋움"/>
        <family val="3"/>
        <charset val="129"/>
      </rPr>
      <t>응답</t>
    </r>
    <r>
      <rPr>
        <b/>
        <sz val="8"/>
        <rFont val="Arial"/>
        <family val="2"/>
      </rPr>
      <t>( VRX =&gt;  Master PAC)</t>
    </r>
    <phoneticPr fontId="1" type="noConversion"/>
  </si>
  <si>
    <r>
      <t xml:space="preserve">8.2.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(CNCS=&gt;PIS)</t>
    </r>
    <phoneticPr fontId="1" type="noConversion"/>
  </si>
  <si>
    <r>
      <t>8.1.  CNCS</t>
    </r>
    <r>
      <rPr>
        <b/>
        <sz val="8"/>
        <rFont val="돋움"/>
        <family val="3"/>
        <charset val="129"/>
      </rPr>
      <t>의</t>
    </r>
    <r>
      <rPr>
        <b/>
        <sz val="8"/>
        <rFont val="Arial"/>
        <family val="2"/>
      </rPr>
      <t xml:space="preserve"> </t>
    </r>
    <r>
      <rPr>
        <b/>
        <sz val="8"/>
        <rFont val="돋움"/>
        <family val="3"/>
        <charset val="129"/>
      </rPr>
      <t>응답</t>
    </r>
    <r>
      <rPr>
        <b/>
        <sz val="8"/>
        <rFont val="Arial"/>
        <family val="2"/>
      </rPr>
      <t>( CNCS =&gt;  Master PAC)</t>
    </r>
    <phoneticPr fontId="1" type="noConversion"/>
  </si>
  <si>
    <t>Command Code(10)</t>
    <phoneticPr fontId="1" type="noConversion"/>
  </si>
  <si>
    <t>CRC16 Code</t>
    <phoneticPr fontId="1" type="noConversion"/>
  </si>
  <si>
    <t>17~20</t>
    <phoneticPr fontId="1" type="noConversion"/>
  </si>
  <si>
    <t>Build date</t>
    <phoneticPr fontId="1" type="noConversion"/>
  </si>
  <si>
    <t>Data Length Code Low</t>
    <phoneticPr fontId="5" type="noConversion"/>
  </si>
  <si>
    <t>12~13</t>
    <phoneticPr fontId="5" type="noConversion"/>
  </si>
  <si>
    <t>Data Length Code High</t>
    <phoneticPr fontId="5" type="noConversion"/>
  </si>
  <si>
    <t>Command Code(13)</t>
    <phoneticPr fontId="1" type="noConversion"/>
  </si>
  <si>
    <t>Destination Device (0x21 or 0x26)</t>
  </si>
  <si>
    <t>Source Device (0x13 or 0x14)</t>
  </si>
  <si>
    <t>Start Code (0x01)</t>
    <phoneticPr fontId="1" type="noConversion"/>
  </si>
  <si>
    <t>Bit7</t>
    <phoneticPr fontId="1" type="noConversion"/>
  </si>
  <si>
    <t>CRC16 Code</t>
    <phoneticPr fontId="1" type="noConversion"/>
  </si>
  <si>
    <t>14~17</t>
    <phoneticPr fontId="1" type="noConversion"/>
  </si>
  <si>
    <t>SIP ID</t>
    <phoneticPr fontId="1" type="noConversion"/>
  </si>
  <si>
    <t>31~34</t>
    <phoneticPr fontId="1" type="noConversion"/>
  </si>
  <si>
    <t xml:space="preserve">SIP Proxy Server -&gt; SIP 기반 VoIP에서의 프락시 서버는 콜(call) 설정, 취소, 종료 등 UA로부터 수신된 콜(call) 관리 요청 메시지를 저장하였다가 여기저기 등록된 동일 사용자의 SIP 주소들로 동시에 보내주는 역할을 하게 된다. 또한 사용자의 응답이 오는 경우, UA에게는 최선의 응답만 전달해 주고, 동시에 발생된 다른 메시지 요구에 대해서는 취소 등의 처리를 담당하는 기능을 한다. </t>
    <phoneticPr fontId="1" type="noConversion"/>
  </si>
  <si>
    <t>SIP Proxy</t>
    <phoneticPr fontId="1" type="noConversion"/>
  </si>
  <si>
    <t>27~30</t>
    <phoneticPr fontId="1" type="noConversion"/>
  </si>
  <si>
    <t>SIP Reg info</t>
    <phoneticPr fontId="1" type="noConversion"/>
  </si>
  <si>
    <t>23~26</t>
    <phoneticPr fontId="1" type="noConversion"/>
  </si>
  <si>
    <t>IP Information</t>
    <phoneticPr fontId="1" type="noConversion"/>
  </si>
  <si>
    <t>19~22</t>
    <phoneticPr fontId="1" type="noConversion"/>
  </si>
  <si>
    <t>전화 요청한 사람의 ID Number 값 : 4자리 기준으로 작성함.</t>
    <phoneticPr fontId="1" type="noConversion"/>
  </si>
  <si>
    <t>Caller ID</t>
    <phoneticPr fontId="1" type="noConversion"/>
  </si>
  <si>
    <t>15~18</t>
    <phoneticPr fontId="1" type="noConversion"/>
  </si>
  <si>
    <t>Hook ON/OFF
(ON:1/OFF:0)</t>
    <phoneticPr fontId="1" type="noConversion"/>
  </si>
  <si>
    <t>Incomming Call</t>
    <phoneticPr fontId="1" type="noConversion"/>
  </si>
  <si>
    <t>Out going Call</t>
    <phoneticPr fontId="1" type="noConversion"/>
  </si>
  <si>
    <t>Line info</t>
    <phoneticPr fontId="1" type="noConversion"/>
  </si>
  <si>
    <t>Data Length Code Low</t>
    <phoneticPr fontId="5" type="noConversion"/>
  </si>
  <si>
    <t>12~13</t>
    <phoneticPr fontId="5" type="noConversion"/>
  </si>
  <si>
    <t>Data Length Code High</t>
    <phoneticPr fontId="5" type="noConversion"/>
  </si>
  <si>
    <t>Command Code(11)</t>
    <phoneticPr fontId="1" type="noConversion"/>
  </si>
  <si>
    <t>Start Code (0x01)</t>
    <phoneticPr fontId="1" type="noConversion"/>
  </si>
  <si>
    <t>Bit7</t>
    <phoneticPr fontId="1" type="noConversion"/>
  </si>
  <si>
    <t>2013.6.28</t>
    <phoneticPr fontId="1" type="noConversion"/>
  </si>
  <si>
    <t>Maker:</t>
    <phoneticPr fontId="1" type="noConversion"/>
  </si>
  <si>
    <t>2013.6.28</t>
    <phoneticPr fontId="1" type="noConversion"/>
  </si>
  <si>
    <t>DANVER CS.</t>
    <phoneticPr fontId="1" type="noConversion"/>
  </si>
  <si>
    <t>VoIP IP Address Information</t>
    <phoneticPr fontId="1" type="noConversion"/>
  </si>
  <si>
    <t>SIP Proxy Server Information</t>
    <phoneticPr fontId="1" type="noConversion"/>
  </si>
  <si>
    <t>SIP Registrar Server information</t>
    <phoneticPr fontId="1" type="noConversion"/>
  </si>
  <si>
    <t>SIP ID</t>
    <phoneticPr fontId="1" type="noConversion"/>
  </si>
  <si>
    <t>Caller ID</t>
    <phoneticPr fontId="1" type="noConversion"/>
  </si>
  <si>
    <t>S/W Version Information  Year</t>
    <phoneticPr fontId="1" type="noConversion"/>
  </si>
  <si>
    <t>S/W Version Information Month</t>
    <phoneticPr fontId="1" type="noConversion"/>
  </si>
  <si>
    <t xml:space="preserve">S/W Version Information day </t>
    <phoneticPr fontId="1" type="noConversion"/>
  </si>
  <si>
    <r>
      <t>9.1.  VOIP</t>
    </r>
    <r>
      <rPr>
        <b/>
        <sz val="8"/>
        <rFont val="돋움"/>
        <family val="3"/>
        <charset val="129"/>
      </rPr>
      <t>의</t>
    </r>
    <r>
      <rPr>
        <b/>
        <sz val="8"/>
        <rFont val="Arial"/>
        <family val="2"/>
      </rPr>
      <t xml:space="preserve"> </t>
    </r>
    <r>
      <rPr>
        <b/>
        <sz val="8"/>
        <rFont val="돋움"/>
        <family val="3"/>
        <charset val="129"/>
      </rPr>
      <t>응답</t>
    </r>
    <r>
      <rPr>
        <b/>
        <sz val="8"/>
        <rFont val="Arial"/>
        <family val="2"/>
      </rPr>
      <t>( VOIP =&gt;  Master PAC)</t>
    </r>
    <phoneticPr fontId="1" type="noConversion"/>
  </si>
  <si>
    <r>
      <t xml:space="preserve">10.2. Version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(CNCS=&gt;PIS)</t>
    </r>
    <phoneticPr fontId="1" type="noConversion"/>
  </si>
  <si>
    <t>R10</t>
    <phoneticPr fontId="1" type="noConversion"/>
  </si>
  <si>
    <t>VOIP</t>
    <phoneticPr fontId="1" type="noConversion"/>
  </si>
  <si>
    <t>VOIP 프로토콜 정의.</t>
    <phoneticPr fontId="1" type="noConversion"/>
  </si>
  <si>
    <t>~</t>
    <phoneticPr fontId="1" type="noConversion"/>
  </si>
  <si>
    <t>108~109</t>
    <phoneticPr fontId="1" type="noConversion"/>
  </si>
  <si>
    <t>PII</t>
    <phoneticPr fontId="1" type="noConversion"/>
  </si>
  <si>
    <t>Display Type</t>
    <phoneticPr fontId="1" type="noConversion"/>
  </si>
  <si>
    <t>OCC의 표출 메시지의 경우, CNCS를 통하여, 입력 받으나, 데이터량의 문제로 인하여, 중련시 다른 차량으로 전송하지 않음.</t>
    <phoneticPr fontId="1" type="noConversion"/>
  </si>
  <si>
    <t xml:space="preserve">CSP Soft Value (0~31 : 13) </t>
    <phoneticPr fontId="1" type="noConversion"/>
  </si>
  <si>
    <t>PA</t>
    <phoneticPr fontId="1" type="noConversion"/>
  </si>
  <si>
    <t>Ready</t>
    <phoneticPr fontId="1" type="noConversion"/>
  </si>
  <si>
    <t>Auction</t>
    <phoneticPr fontId="1" type="noConversion"/>
  </si>
  <si>
    <t>CNCS</t>
    <phoneticPr fontId="1" type="noConversion"/>
  </si>
  <si>
    <t>1.</t>
    <phoneticPr fontId="1" type="noConversion"/>
  </si>
  <si>
    <t>OCC 대승객 방송 정보 추가</t>
    <phoneticPr fontId="1" type="noConversion"/>
  </si>
  <si>
    <t>2.</t>
    <phoneticPr fontId="1" type="noConversion"/>
  </si>
  <si>
    <t>OCC PII 사용자 메시지 길이를 256자로 수정.</t>
    <phoneticPr fontId="1" type="noConversion"/>
  </si>
  <si>
    <r>
      <t>9.1.  PIS</t>
    </r>
    <r>
      <rPr>
        <b/>
        <sz val="8"/>
        <rFont val="돋움"/>
        <family val="3"/>
        <charset val="129"/>
      </rPr>
      <t>의</t>
    </r>
    <r>
      <rPr>
        <b/>
        <sz val="8"/>
        <rFont val="Arial"/>
        <family val="2"/>
      </rPr>
      <t xml:space="preserve"> </t>
    </r>
    <r>
      <rPr>
        <b/>
        <sz val="8"/>
        <rFont val="돋움"/>
        <family val="3"/>
        <charset val="129"/>
      </rPr>
      <t>응답</t>
    </r>
    <r>
      <rPr>
        <b/>
        <sz val="8"/>
        <rFont val="Arial"/>
        <family val="2"/>
      </rPr>
      <t>( PIS =&gt; Master PAC)</t>
    </r>
    <phoneticPr fontId="1" type="noConversion"/>
  </si>
  <si>
    <r>
      <t xml:space="preserve">9.2. FDI/SDI </t>
    </r>
    <r>
      <rPr>
        <b/>
        <sz val="8"/>
        <rFont val="돋움"/>
        <family val="3"/>
        <charset val="129"/>
      </rPr>
      <t>정보</t>
    </r>
    <r>
      <rPr>
        <b/>
        <sz val="8"/>
        <rFont val="Arial"/>
        <family val="2"/>
      </rPr>
      <t xml:space="preserve"> </t>
    </r>
    <r>
      <rPr>
        <b/>
        <sz val="8"/>
        <rFont val="돋움"/>
        <family val="3"/>
        <charset val="129"/>
      </rPr>
      <t>요청에</t>
    </r>
    <r>
      <rPr>
        <b/>
        <sz val="8"/>
        <rFont val="Arial"/>
        <family val="2"/>
      </rPr>
      <t xml:space="preserve"> </t>
    </r>
    <r>
      <rPr>
        <b/>
        <sz val="8"/>
        <rFont val="돋움"/>
        <family val="3"/>
        <charset val="129"/>
      </rPr>
      <t>대한</t>
    </r>
    <r>
      <rPr>
        <b/>
        <sz val="8"/>
        <rFont val="Arial"/>
        <family val="2"/>
      </rPr>
      <t xml:space="preserve"> </t>
    </r>
    <r>
      <rPr>
        <b/>
        <sz val="8"/>
        <rFont val="돋움"/>
        <family val="3"/>
        <charset val="129"/>
      </rPr>
      <t>응답</t>
    </r>
    <r>
      <rPr>
        <b/>
        <sz val="8"/>
        <rFont val="Arial"/>
        <family val="2"/>
      </rPr>
      <t>(FDI/SDI=&gt;Master PAC)</t>
    </r>
    <phoneticPr fontId="1" type="noConversion"/>
  </si>
  <si>
    <t>R11</t>
    <phoneticPr fontId="1" type="noConversion"/>
  </si>
  <si>
    <t>OCC</t>
    <phoneticPr fontId="1" type="noConversion"/>
  </si>
  <si>
    <t>PP</t>
    <phoneticPr fontId="1" type="noConversion"/>
  </si>
  <si>
    <t>Sp Active</t>
    <phoneticPr fontId="1" type="noConversion"/>
  </si>
  <si>
    <t>Pp Active</t>
    <phoneticPr fontId="1" type="noConversion"/>
  </si>
  <si>
    <t>Message</t>
    <phoneticPr fontId="1" type="noConversion"/>
  </si>
  <si>
    <t>SP</t>
    <phoneticPr fontId="1" type="noConversion"/>
  </si>
  <si>
    <t>Message 
Type</t>
    <phoneticPr fontId="1" type="noConversion"/>
  </si>
  <si>
    <t>Emergency</t>
    <phoneticPr fontId="1" type="noConversion"/>
  </si>
  <si>
    <r>
      <t xml:space="preserve">OCC Message </t>
    </r>
    <r>
      <rPr>
        <sz val="8"/>
        <rFont val="돋움"/>
        <family val="3"/>
        <charset val="129"/>
      </rPr>
      <t>길이</t>
    </r>
    <r>
      <rPr>
        <sz val="8"/>
        <rFont val="Arial"/>
        <family val="2"/>
      </rPr>
      <t>(0x00~0xFF)</t>
    </r>
    <phoneticPr fontId="1" type="noConversion"/>
  </si>
  <si>
    <r>
      <t xml:space="preserve">
OCC Text Data
PA_L</t>
    </r>
    <r>
      <rPr>
        <sz val="8"/>
        <rFont val="돋움"/>
        <family val="3"/>
        <charset val="129"/>
      </rPr>
      <t>의</t>
    </r>
    <r>
      <rPr>
        <sz val="8"/>
        <rFont val="Arial"/>
        <family val="2"/>
      </rPr>
      <t xml:space="preserve"> </t>
    </r>
    <r>
      <rPr>
        <sz val="8"/>
        <rFont val="돋움"/>
        <family val="3"/>
        <charset val="129"/>
      </rPr>
      <t>길이만큼</t>
    </r>
    <r>
      <rPr>
        <sz val="8"/>
        <rFont val="Arial"/>
        <family val="2"/>
      </rPr>
      <t xml:space="preserve"> </t>
    </r>
    <r>
      <rPr>
        <sz val="8"/>
        <rFont val="돋움"/>
        <family val="3"/>
        <charset val="129"/>
      </rPr>
      <t>가변</t>
    </r>
    <r>
      <rPr>
        <sz val="8"/>
        <rFont val="Arial"/>
        <family val="2"/>
      </rPr>
      <t>(</t>
    </r>
    <r>
      <rPr>
        <sz val="8"/>
        <rFont val="돋움"/>
        <family val="3"/>
        <charset val="129"/>
      </rPr>
      <t>최대</t>
    </r>
    <r>
      <rPr>
        <sz val="8"/>
        <rFont val="Arial"/>
        <family val="2"/>
      </rPr>
      <t xml:space="preserve"> 256)</t>
    </r>
    <phoneticPr fontId="1" type="noConversion"/>
  </si>
  <si>
    <t>Car Position Index</t>
    <phoneticPr fontId="5" type="noConversion"/>
  </si>
  <si>
    <t>Car1 - C/I Index</t>
    <phoneticPr fontId="1" type="noConversion"/>
  </si>
  <si>
    <t>Route Number(0~9)</t>
    <phoneticPr fontId="5" type="noConversion"/>
  </si>
  <si>
    <t>PR</t>
    <phoneticPr fontId="5" type="noConversion"/>
  </si>
  <si>
    <r>
      <rPr>
        <sz val="8"/>
        <rFont val="돋움"/>
        <family val="3"/>
        <charset val="129"/>
      </rPr>
      <t xml:space="preserve">진행방향
</t>
    </r>
    <r>
      <rPr>
        <sz val="8"/>
        <rFont val="Arial"/>
        <family val="2"/>
      </rPr>
      <t>Up:1, Down:0</t>
    </r>
    <phoneticPr fontId="5" type="noConversion"/>
  </si>
  <si>
    <t>14~15</t>
    <phoneticPr fontId="5" type="noConversion"/>
  </si>
  <si>
    <t>OCC
ACTIVE</t>
    <phoneticPr fontId="1" type="noConversion"/>
  </si>
  <si>
    <t>OCC
MSG</t>
    <phoneticPr fontId="1" type="noConversion"/>
  </si>
  <si>
    <t>MSG_L</t>
    <phoneticPr fontId="1" type="noConversion"/>
  </si>
  <si>
    <t>MSG_D</t>
    <phoneticPr fontId="1" type="noConversion"/>
  </si>
  <si>
    <t xml:space="preserve">SIP Registrar Server  -&gt;SIP에서 모든 사용자는 e-mail 형태의 SIP 주소로 구분된다. 
Registrar는 각 SIP 주소에 대하여 현재 사용자의 위치 정보(IP 주소)를 우선 순위 정보와 함께 지정된 시간만큼 저장, 관리하며, 인증과정을 통해 인증된 사용자의 요구에 따라 사용자 정보를 제공해 준다. </t>
    <phoneticPr fontId="1" type="noConversion"/>
  </si>
  <si>
    <t xml:space="preserve">VoIP 설정된 SIP 사용자 ID Number 값 : 4자리 기준으로 작성함. </t>
    <phoneticPr fontId="1" type="noConversion"/>
  </si>
  <si>
    <t>CCP1
Execute</t>
    <phoneticPr fontId="1" type="noConversion"/>
  </si>
  <si>
    <r>
      <t xml:space="preserve">CNCS
VTX </t>
    </r>
    <r>
      <rPr>
        <sz val="8"/>
        <rFont val="돋움"/>
        <family val="3"/>
        <charset val="129"/>
      </rPr>
      <t>제어</t>
    </r>
    <phoneticPr fontId="1" type="noConversion"/>
  </si>
  <si>
    <t>PTU
Active</t>
    <phoneticPr fontId="1" type="noConversion"/>
  </si>
  <si>
    <t>R11</t>
    <phoneticPr fontId="1" type="noConversion"/>
  </si>
  <si>
    <t xml:space="preserve">1. </t>
    <phoneticPr fontId="1" type="noConversion"/>
  </si>
  <si>
    <t>장치 전체 프로토콜 맞춤.</t>
    <phoneticPr fontId="1" type="noConversion"/>
  </si>
  <si>
    <t>R12</t>
    <phoneticPr fontId="1" type="noConversion"/>
  </si>
  <si>
    <t>1.</t>
    <phoneticPr fontId="1" type="noConversion"/>
  </si>
  <si>
    <t>CNCS PTU 비트 추가</t>
    <phoneticPr fontId="1" type="noConversion"/>
  </si>
  <si>
    <t>CNCS</t>
    <phoneticPr fontId="1" type="noConversion"/>
  </si>
  <si>
    <t xml:space="preserve">2. </t>
    <phoneticPr fontId="1" type="noConversion"/>
  </si>
  <si>
    <t>CCP Calibration cancel bit 삭제.</t>
    <phoneticPr fontId="1" type="noConversion"/>
  </si>
  <si>
    <t>0B</t>
  </si>
  <si>
    <t>2F</t>
  </si>
  <si>
    <t>1D</t>
  </si>
  <si>
    <t>1F</t>
  </si>
  <si>
    <t>0D</t>
  </si>
  <si>
    <t>0F</t>
  </si>
  <si>
    <t>0A</t>
  </si>
  <si>
    <t>2D</t>
  </si>
  <si>
    <t>FF</t>
  </si>
  <si>
    <t>8A</t>
  </si>
  <si>
    <t>BB</t>
  </si>
  <si>
    <t>4E</t>
  </si>
  <si>
    <t>F8</t>
  </si>
  <si>
    <t>CCP
C/I
Index</t>
    <phoneticPr fontId="1" type="noConversion"/>
  </si>
  <si>
    <t>LIC
C/I
Index</t>
    <phoneticPr fontId="1" type="noConversion"/>
  </si>
  <si>
    <t>CNCS</t>
    <phoneticPr fontId="1" type="noConversion"/>
  </si>
  <si>
    <t>1.</t>
    <phoneticPr fontId="1" type="noConversion"/>
  </si>
  <si>
    <t>MPAC 2 MPAC의 C/I Inex 정보 관련 프로토콜 추가.</t>
    <phoneticPr fontId="1" type="noConversion"/>
  </si>
  <si>
    <r>
      <t>4.3  LIC</t>
    </r>
    <r>
      <rPr>
        <b/>
        <sz val="8"/>
        <rFont val="돋움"/>
        <family val="3"/>
        <charset val="129"/>
      </rPr>
      <t>의</t>
    </r>
    <r>
      <rPr>
        <b/>
        <sz val="8"/>
        <rFont val="Arial"/>
        <family val="2"/>
      </rPr>
      <t xml:space="preserve"> </t>
    </r>
    <r>
      <rPr>
        <b/>
        <sz val="8"/>
        <rFont val="돋움"/>
        <family val="3"/>
        <charset val="129"/>
      </rPr>
      <t>요청</t>
    </r>
    <r>
      <rPr>
        <b/>
        <sz val="8"/>
        <rFont val="Arial"/>
        <family val="2"/>
      </rPr>
      <t>( LIC =&gt; CNCS )</t>
    </r>
    <phoneticPr fontId="1" type="noConversion"/>
  </si>
  <si>
    <t>//CCP</t>
  </si>
  <si>
    <t>CCP</t>
  </si>
  <si>
    <t xml:space="preserve">1.0.00 </t>
  </si>
  <si>
    <t>//LIC-LON</t>
  </si>
  <si>
    <t>CRA-LIC</t>
  </si>
  <si>
    <t xml:space="preserve">1.1.02 </t>
  </si>
  <si>
    <t>//VTX</t>
  </si>
  <si>
    <t>CRA-VTX</t>
  </si>
  <si>
    <t>//PA-VOIP</t>
  </si>
  <si>
    <t>CRA-VOIP</t>
  </si>
  <si>
    <t>//PAC-MCU</t>
  </si>
  <si>
    <t>CRA-PAC</t>
  </si>
  <si>
    <t>//LIC-MP</t>
  </si>
  <si>
    <t>CRA-LICM</t>
  </si>
  <si>
    <t xml:space="preserve">1.0.35 </t>
  </si>
  <si>
    <t>//FDI 1</t>
  </si>
  <si>
    <t>FDI 1</t>
  </si>
  <si>
    <t>//SDI 1</t>
  </si>
  <si>
    <t>SDI 1</t>
  </si>
  <si>
    <t>//SDI 2</t>
  </si>
  <si>
    <t>SDI 2</t>
  </si>
  <si>
    <t>//SDI 3</t>
  </si>
  <si>
    <t>SDI 3</t>
  </si>
  <si>
    <t>//SDI 4</t>
  </si>
  <si>
    <t>SDI 4</t>
  </si>
  <si>
    <t>//PII 1</t>
  </si>
  <si>
    <t>PII 1</t>
  </si>
  <si>
    <t>//PII 2</t>
  </si>
  <si>
    <t>PII 2</t>
  </si>
  <si>
    <t>//VRX 1</t>
  </si>
  <si>
    <t>VRX 1</t>
  </si>
  <si>
    <t>//VRX 2</t>
  </si>
  <si>
    <t>VRX 2</t>
  </si>
  <si>
    <t>//VRX 3</t>
  </si>
  <si>
    <t>VRX 3</t>
  </si>
  <si>
    <t>//VRX 4</t>
  </si>
  <si>
    <t>VRX 4</t>
  </si>
  <si>
    <t>//VRX 5</t>
  </si>
  <si>
    <t>VRX 5</t>
  </si>
  <si>
    <t>//CN-MAIN</t>
  </si>
  <si>
    <t>CRA-MAIN</t>
  </si>
  <si>
    <t>//CN-LAUN</t>
  </si>
  <si>
    <t>CRA-LAUN</t>
  </si>
  <si>
    <t>//CN-UP</t>
  </si>
  <si>
    <t>CRA-UP</t>
  </si>
  <si>
    <t>//CN-PPLAY</t>
  </si>
  <si>
    <t>CRA-PP</t>
  </si>
  <si>
    <t>//CN-SPLAY</t>
  </si>
  <si>
    <t>CRA-SP</t>
  </si>
  <si>
    <t>//CN-FTPDATA</t>
  </si>
  <si>
    <t>CRA-FTP</t>
  </si>
  <si>
    <t>//CN-CDTDATA</t>
  </si>
  <si>
    <t>CRA-CDT</t>
  </si>
  <si>
    <t xml:space="preserve"> </t>
  </si>
  <si>
    <t xml:space="preserve">1. 통신방식 : </t>
    <phoneticPr fontId="5" type="noConversion"/>
  </si>
  <si>
    <t>RS-232C</t>
    <phoneticPr fontId="5" type="noConversion"/>
  </si>
  <si>
    <t xml:space="preserve">2. 통신속도 : </t>
    <phoneticPr fontId="5" type="noConversion"/>
  </si>
  <si>
    <t>38400bps</t>
    <phoneticPr fontId="5" type="noConversion"/>
  </si>
  <si>
    <t>50ms</t>
    <phoneticPr fontId="5" type="noConversion"/>
  </si>
  <si>
    <t>4. 통신주체 :</t>
    <phoneticPr fontId="5" type="noConversion"/>
  </si>
  <si>
    <t>Communication Protocol Code Table</t>
    <phoneticPr fontId="5" type="noConversion"/>
  </si>
  <si>
    <t>Project :</t>
    <phoneticPr fontId="5" type="noConversion"/>
  </si>
  <si>
    <t>SEPTA SL-V CS.</t>
    <phoneticPr fontId="5" type="noConversion"/>
  </si>
  <si>
    <t>Maker:</t>
    <phoneticPr fontId="5" type="noConversion"/>
  </si>
  <si>
    <t>Revision Date:</t>
    <phoneticPr fontId="5" type="noConversion"/>
  </si>
  <si>
    <t>Revision No.</t>
    <phoneticPr fontId="5" type="noConversion"/>
  </si>
  <si>
    <t>Basic Protocol</t>
    <phoneticPr fontId="5" type="noConversion"/>
  </si>
  <si>
    <t>No.</t>
    <phoneticPr fontId="5" type="noConversion"/>
  </si>
  <si>
    <t>Abb</t>
    <phoneticPr fontId="5" type="noConversion"/>
  </si>
  <si>
    <t>Bit7</t>
    <phoneticPr fontId="5" type="noConversion"/>
  </si>
  <si>
    <t>Bit6</t>
    <phoneticPr fontId="5" type="noConversion"/>
  </si>
  <si>
    <t>Bit5</t>
    <phoneticPr fontId="5" type="noConversion"/>
  </si>
  <si>
    <t>Bit4</t>
    <phoneticPr fontId="5" type="noConversion"/>
  </si>
  <si>
    <t>Bit3</t>
    <phoneticPr fontId="5" type="noConversion"/>
  </si>
  <si>
    <t>Bit2</t>
    <phoneticPr fontId="5" type="noConversion"/>
  </si>
  <si>
    <t>Bit1</t>
    <phoneticPr fontId="5" type="noConversion"/>
  </si>
  <si>
    <t>Bit0</t>
    <phoneticPr fontId="5" type="noConversion"/>
  </si>
  <si>
    <t>Size(Byte)</t>
    <phoneticPr fontId="5" type="noConversion"/>
  </si>
  <si>
    <t>SOH</t>
    <phoneticPr fontId="5" type="noConversion"/>
  </si>
  <si>
    <t>0x01: Start Code</t>
    <phoneticPr fontId="5" type="noConversion"/>
  </si>
  <si>
    <t>1~2</t>
    <phoneticPr fontId="5" type="noConversion"/>
  </si>
  <si>
    <t>SID</t>
    <phoneticPr fontId="5" type="noConversion"/>
  </si>
  <si>
    <t>Source Device (All Device)</t>
    <phoneticPr fontId="5" type="noConversion"/>
  </si>
  <si>
    <t>3~4</t>
    <phoneticPr fontId="5" type="noConversion"/>
  </si>
  <si>
    <t>DID</t>
    <phoneticPr fontId="5" type="noConversion"/>
  </si>
  <si>
    <t>Destination Device (All Device)</t>
    <phoneticPr fontId="5" type="noConversion"/>
  </si>
  <si>
    <t>5~8</t>
    <phoneticPr fontId="5" type="noConversion"/>
  </si>
  <si>
    <t>MC</t>
    <phoneticPr fontId="5" type="noConversion"/>
  </si>
  <si>
    <t>Message Count(0~9999)</t>
    <phoneticPr fontId="5" type="noConversion"/>
  </si>
  <si>
    <t>9~10</t>
    <phoneticPr fontId="5" type="noConversion"/>
  </si>
  <si>
    <t>CMD</t>
    <phoneticPr fontId="5" type="noConversion"/>
  </si>
  <si>
    <t>Command Code</t>
    <phoneticPr fontId="5" type="noConversion"/>
  </si>
  <si>
    <t>11~12</t>
    <phoneticPr fontId="5" type="noConversion"/>
  </si>
  <si>
    <t>LNG</t>
    <phoneticPr fontId="5" type="noConversion"/>
  </si>
  <si>
    <t>Data Length Code(H)</t>
    <phoneticPr fontId="5" type="noConversion"/>
  </si>
  <si>
    <t>13~14</t>
    <phoneticPr fontId="5" type="noConversion"/>
  </si>
  <si>
    <t>Data Length Code(L)</t>
    <phoneticPr fontId="5" type="noConversion"/>
  </si>
  <si>
    <t>15~16</t>
    <phoneticPr fontId="5" type="noConversion"/>
  </si>
  <si>
    <t>Conent CMD</t>
    <phoneticPr fontId="5" type="noConversion"/>
  </si>
  <si>
    <t>17~18</t>
    <phoneticPr fontId="5" type="noConversion"/>
  </si>
  <si>
    <t>TEXT</t>
    <phoneticPr fontId="5" type="noConversion"/>
  </si>
  <si>
    <t>Content</t>
    <phoneticPr fontId="5" type="noConversion"/>
  </si>
  <si>
    <t>n+1~n+2</t>
    <phoneticPr fontId="5" type="noConversion"/>
  </si>
  <si>
    <t>n+3~n+4</t>
    <phoneticPr fontId="5" type="noConversion"/>
  </si>
  <si>
    <t>EOT</t>
    <phoneticPr fontId="5" type="noConversion"/>
  </si>
  <si>
    <t>0x04: End Code</t>
    <phoneticPr fontId="5" type="noConversion"/>
  </si>
  <si>
    <t>시간 정보 요청(LIC -&gt; CNCS)</t>
    <phoneticPr fontId="5" type="noConversion"/>
  </si>
  <si>
    <t>Conent CMD(08)</t>
    <phoneticPr fontId="5" type="noConversion"/>
  </si>
  <si>
    <t>19~20</t>
    <phoneticPr fontId="5" type="noConversion"/>
  </si>
  <si>
    <t>21~22</t>
    <phoneticPr fontId="5" type="noConversion"/>
  </si>
  <si>
    <t>D0</t>
    <phoneticPr fontId="5" type="noConversion"/>
  </si>
  <si>
    <t>Active 
Cab</t>
    <phoneticPr fontId="5" type="noConversion"/>
  </si>
  <si>
    <t>Traction
Command</t>
    <phoneticPr fontId="5" type="noConversion"/>
  </si>
  <si>
    <t>EP mode
placeholder</t>
    <phoneticPr fontId="5" type="noConversion"/>
  </si>
  <si>
    <t>All Doors
Closed</t>
    <phoneticPr fontId="5" type="noConversion"/>
  </si>
  <si>
    <t>23~24</t>
    <phoneticPr fontId="5" type="noConversion"/>
  </si>
  <si>
    <t>25~26</t>
    <phoneticPr fontId="5" type="noConversion"/>
  </si>
  <si>
    <t>시간 정보 응답(CNCS -&gt; LIC)</t>
    <phoneticPr fontId="5" type="noConversion"/>
  </si>
  <si>
    <t>15~16</t>
  </si>
  <si>
    <t>Conent CMD(09)</t>
    <phoneticPr fontId="5" type="noConversion"/>
  </si>
  <si>
    <t>17~18</t>
  </si>
  <si>
    <t>SYSTEM
TIME</t>
    <phoneticPr fontId="5" type="noConversion"/>
  </si>
  <si>
    <t>년</t>
    <phoneticPr fontId="5" type="noConversion"/>
  </si>
  <si>
    <t>19~20</t>
  </si>
  <si>
    <t>월</t>
    <phoneticPr fontId="5" type="noConversion"/>
  </si>
  <si>
    <t>21~22</t>
  </si>
  <si>
    <t>일</t>
    <phoneticPr fontId="5" type="noConversion"/>
  </si>
  <si>
    <t>23~24</t>
  </si>
  <si>
    <t>시</t>
    <phoneticPr fontId="5" type="noConversion"/>
  </si>
  <si>
    <t>25~26</t>
  </si>
  <si>
    <t>분</t>
    <phoneticPr fontId="5" type="noConversion"/>
  </si>
  <si>
    <t>27~28</t>
  </si>
  <si>
    <t>초</t>
    <phoneticPr fontId="5" type="noConversion"/>
  </si>
  <si>
    <t>29~30</t>
  </si>
  <si>
    <t>Wayside</t>
    <phoneticPr fontId="5" type="noConversion"/>
  </si>
  <si>
    <t>Wayside State</t>
    <phoneticPr fontId="5" type="noConversion"/>
  </si>
  <si>
    <t>31~32</t>
  </si>
  <si>
    <t>LIC Data</t>
    <phoneticPr fontId="5" type="noConversion"/>
  </si>
  <si>
    <t>LIC Data Type</t>
    <phoneticPr fontId="5" type="noConversion"/>
  </si>
  <si>
    <t>33~34</t>
  </si>
  <si>
    <t>Fault
Request 
Time</t>
    <phoneticPr fontId="5" type="noConversion"/>
  </si>
  <si>
    <t>Request Time</t>
    <phoneticPr fontId="5" type="noConversion"/>
  </si>
  <si>
    <t>8
MSB
|
LSB</t>
    <phoneticPr fontId="5" type="noConversion"/>
  </si>
  <si>
    <t>35~36</t>
  </si>
  <si>
    <t>37~38</t>
  </si>
  <si>
    <t>39~40</t>
  </si>
  <si>
    <t>41~44</t>
  </si>
  <si>
    <t>Version</t>
    <phoneticPr fontId="5" type="noConversion"/>
  </si>
  <si>
    <t>45~50</t>
  </si>
  <si>
    <t>Build Date</t>
    <phoneticPr fontId="5" type="noConversion"/>
  </si>
  <si>
    <t>51~54</t>
  </si>
  <si>
    <t>55~60</t>
  </si>
  <si>
    <t>61~64</t>
  </si>
  <si>
    <t>65~70</t>
  </si>
  <si>
    <t>71~74</t>
  </si>
  <si>
    <t>75~80</t>
  </si>
  <si>
    <t>81~84</t>
  </si>
  <si>
    <t>85~90</t>
  </si>
  <si>
    <t>91~94</t>
  </si>
  <si>
    <t>95~100</t>
  </si>
  <si>
    <t>101~104</t>
  </si>
  <si>
    <t>105~110</t>
  </si>
  <si>
    <t>111~114</t>
  </si>
  <si>
    <t>115~120</t>
  </si>
  <si>
    <t>121~124</t>
  </si>
  <si>
    <t>125~130</t>
  </si>
  <si>
    <t>131~134</t>
  </si>
  <si>
    <t>135~140</t>
  </si>
  <si>
    <t>141~144</t>
  </si>
  <si>
    <t>145~150</t>
  </si>
  <si>
    <t>151~154</t>
  </si>
  <si>
    <t>155~160</t>
  </si>
  <si>
    <t>161~164</t>
  </si>
  <si>
    <t>165~170</t>
  </si>
  <si>
    <t>171~174</t>
  </si>
  <si>
    <t>175~180</t>
  </si>
  <si>
    <t>181~184</t>
  </si>
  <si>
    <t>185~190</t>
  </si>
  <si>
    <t>191~194</t>
  </si>
  <si>
    <t>195~200</t>
  </si>
  <si>
    <t>201~204</t>
  </si>
  <si>
    <t>205~210</t>
  </si>
  <si>
    <t>211~214</t>
  </si>
  <si>
    <t>215~220</t>
  </si>
  <si>
    <t>221~224</t>
  </si>
  <si>
    <t>225~230</t>
  </si>
  <si>
    <t>231~234</t>
  </si>
  <si>
    <t>PII1</t>
    <phoneticPr fontId="5" type="noConversion"/>
  </si>
  <si>
    <t>235~240</t>
  </si>
  <si>
    <t>241~244</t>
  </si>
  <si>
    <t>245~250</t>
  </si>
  <si>
    <t>251~254</t>
  </si>
  <si>
    <t>255~260</t>
  </si>
  <si>
    <t>261~264</t>
  </si>
  <si>
    <t>265~270</t>
  </si>
  <si>
    <t>271~274</t>
  </si>
  <si>
    <t>275~280</t>
  </si>
  <si>
    <t>281~284</t>
  </si>
  <si>
    <t>285~290</t>
  </si>
  <si>
    <t>291~294</t>
  </si>
  <si>
    <t>295~300</t>
  </si>
  <si>
    <t>CNCS
MAIN</t>
    <phoneticPr fontId="5" type="noConversion"/>
  </si>
  <si>
    <t>CNCS
LAUNCHER</t>
    <phoneticPr fontId="5" type="noConversion"/>
  </si>
  <si>
    <t>CNCS
UPDATE</t>
    <phoneticPr fontId="5" type="noConversion"/>
  </si>
  <si>
    <t>CNCS
PP</t>
    <phoneticPr fontId="5" type="noConversion"/>
  </si>
  <si>
    <t>CNCS
SP</t>
    <phoneticPr fontId="5" type="noConversion"/>
  </si>
  <si>
    <t>CNCS
FTPDATA</t>
    <phoneticPr fontId="5" type="noConversion"/>
  </si>
  <si>
    <t>CNCS
CDTDATA</t>
    <phoneticPr fontId="5" type="noConversion"/>
  </si>
  <si>
    <t>461~462</t>
  </si>
  <si>
    <t>고장 정보 전송(LIC -&gt; CNCS)</t>
    <phoneticPr fontId="5" type="noConversion"/>
  </si>
  <si>
    <t>Conent CMD(04)</t>
    <phoneticPr fontId="5" type="noConversion"/>
  </si>
  <si>
    <t>CDT Type</t>
    <phoneticPr fontId="5" type="noConversion"/>
  </si>
  <si>
    <t>A' Or 'B'</t>
    <phoneticPr fontId="5" type="noConversion"/>
  </si>
  <si>
    <t>15~272</t>
    <phoneticPr fontId="5" type="noConversion"/>
  </si>
  <si>
    <t>CDT Data</t>
    <phoneticPr fontId="5" type="noConversion"/>
  </si>
  <si>
    <t>273~274</t>
    <phoneticPr fontId="5" type="noConversion"/>
  </si>
  <si>
    <t>고장 정보 응답(CNCS -&gt; LIC)</t>
    <phoneticPr fontId="5" type="noConversion"/>
  </si>
  <si>
    <r>
      <rPr>
        <sz val="8"/>
        <rFont val="돋움"/>
        <family val="3"/>
        <charset val="129"/>
      </rPr>
      <t>고장</t>
    </r>
    <r>
      <rPr>
        <sz val="8"/>
        <rFont val="Arial"/>
        <family val="2"/>
      </rPr>
      <t xml:space="preserve"> </t>
    </r>
    <r>
      <rPr>
        <sz val="8"/>
        <rFont val="돋움"/>
        <family val="3"/>
        <charset val="129"/>
      </rPr>
      <t>정보</t>
    </r>
    <r>
      <rPr>
        <sz val="8"/>
        <rFont val="Arial"/>
        <family val="2"/>
      </rPr>
      <t xml:space="preserve"> </t>
    </r>
    <r>
      <rPr>
        <sz val="8"/>
        <rFont val="돋움"/>
        <family val="3"/>
        <charset val="129"/>
      </rPr>
      <t>응답</t>
    </r>
    <r>
      <rPr>
        <sz val="8"/>
        <rFont val="Arial"/>
        <family val="2"/>
      </rPr>
      <t xml:space="preserve"> </t>
    </r>
    <r>
      <rPr>
        <sz val="8"/>
        <rFont val="돋움"/>
        <family val="3"/>
        <charset val="129"/>
      </rPr>
      <t>없음</t>
    </r>
    <r>
      <rPr>
        <sz val="8"/>
        <rFont val="Arial"/>
        <family val="2"/>
      </rPr>
      <t>.</t>
    </r>
    <phoneticPr fontId="5" type="noConversion"/>
  </si>
  <si>
    <t>고장 정보 전송 완료(LIC -&gt; CNCS)</t>
    <phoneticPr fontId="5" type="noConversion"/>
  </si>
  <si>
    <t>Conent CMD(06)</t>
    <phoneticPr fontId="5" type="noConversion"/>
  </si>
  <si>
    <t>고장 정보 전송 완료 응답(CNCS -&gt; LIC)</t>
    <phoneticPr fontId="5" type="noConversion"/>
  </si>
  <si>
    <t>Conent CMD(07)</t>
    <phoneticPr fontId="5" type="noConversion"/>
  </si>
  <si>
    <t>13~16</t>
    <phoneticPr fontId="5" type="noConversion"/>
  </si>
  <si>
    <t>Fault 
Packet
Number</t>
    <phoneticPr fontId="5" type="noConversion"/>
  </si>
  <si>
    <t>손실 패킷 번호</t>
    <phoneticPr fontId="5" type="noConversion"/>
  </si>
  <si>
    <t>4
MSB
|
LSB</t>
    <phoneticPr fontId="5" type="noConversion"/>
  </si>
  <si>
    <t>2015.10.25</t>
    <phoneticPr fontId="5" type="noConversion"/>
  </si>
  <si>
    <t>R13</t>
    <phoneticPr fontId="5" type="noConversion"/>
  </si>
  <si>
    <t>CCP</t>
    <phoneticPr fontId="5" type="noConversion"/>
  </si>
  <si>
    <t>SDI3</t>
    <phoneticPr fontId="5" type="noConversion"/>
  </si>
  <si>
    <t>SDI4</t>
    <phoneticPr fontId="5" type="noConversion"/>
  </si>
  <si>
    <t>LIC
LON</t>
    <phoneticPr fontId="5" type="noConversion"/>
  </si>
  <si>
    <t>Version</t>
    <phoneticPr fontId="5" type="noConversion"/>
  </si>
  <si>
    <t>VTX</t>
    <phoneticPr fontId="5" type="noConversion"/>
  </si>
  <si>
    <t>VOIP</t>
    <phoneticPr fontId="5" type="noConversion"/>
  </si>
  <si>
    <t>PAC</t>
    <phoneticPr fontId="5" type="noConversion"/>
  </si>
  <si>
    <t>LIC
MCU</t>
    <phoneticPr fontId="5" type="noConversion"/>
  </si>
  <si>
    <t>FID</t>
    <phoneticPr fontId="5" type="noConversion"/>
  </si>
  <si>
    <t>SDI1</t>
    <phoneticPr fontId="5" type="noConversion"/>
  </si>
  <si>
    <t>SDI2</t>
    <phoneticPr fontId="5" type="noConversion"/>
  </si>
  <si>
    <t>PII2</t>
    <phoneticPr fontId="5" type="noConversion"/>
  </si>
  <si>
    <t>PID1</t>
    <phoneticPr fontId="5" type="noConversion"/>
  </si>
  <si>
    <t>PID2</t>
    <phoneticPr fontId="5" type="noConversion"/>
  </si>
  <si>
    <t>PID3</t>
    <phoneticPr fontId="5" type="noConversion"/>
  </si>
  <si>
    <t>PID4</t>
    <phoneticPr fontId="5" type="noConversion"/>
  </si>
  <si>
    <t>PID5</t>
    <phoneticPr fontId="5" type="noConversion"/>
  </si>
  <si>
    <t>1B</t>
  </si>
  <si>
    <t>2A</t>
  </si>
  <si>
    <t>5F</t>
  </si>
  <si>
    <t>E8</t>
  </si>
  <si>
    <t xml:space="preserve">3. 통신주기 : </t>
    <phoneticPr fontId="5" type="noConversion"/>
  </si>
  <si>
    <t>LIC</t>
    <phoneticPr fontId="5" type="noConversion"/>
  </si>
  <si>
    <t>CC</t>
  </si>
  <si>
    <t>B8</t>
  </si>
  <si>
    <t>2E</t>
  </si>
  <si>
    <t>3D</t>
  </si>
  <si>
    <t>7F</t>
  </si>
  <si>
    <t>E0</t>
  </si>
  <si>
    <t>E1</t>
  </si>
  <si>
    <t>3A</t>
  </si>
  <si>
    <t>E4</t>
  </si>
  <si>
    <t>D4</t>
  </si>
  <si>
    <t>2C</t>
  </si>
  <si>
    <t>6F</t>
  </si>
  <si>
    <t>D6</t>
  </si>
  <si>
    <t>6C</t>
  </si>
  <si>
    <t>17~18</t>
    <phoneticPr fontId="1" type="noConversion"/>
  </si>
  <si>
    <t>19~20</t>
    <phoneticPr fontId="1" type="noConversion"/>
  </si>
  <si>
    <t>7D</t>
  </si>
  <si>
    <t>PEI_B</t>
    <phoneticPr fontId="1" type="noConversion"/>
  </si>
  <si>
    <t>OCC
Message
Auction</t>
    <phoneticPr fontId="5" type="noConversion"/>
  </si>
  <si>
    <t xml:space="preserve">8C </t>
  </si>
  <si>
    <t xml:space="preserve">0F </t>
  </si>
  <si>
    <t xml:space="preserve">0A </t>
  </si>
  <si>
    <t xml:space="preserve">1F </t>
  </si>
  <si>
    <t xml:space="preserve">00 00 </t>
  </si>
  <si>
    <t xml:space="preserve">00 00 00 00 </t>
  </si>
  <si>
    <t xml:space="preserve">00 10 </t>
  </si>
  <si>
    <t xml:space="preserve">13 10 11 </t>
  </si>
  <si>
    <t xml:space="preserve">02 11 </t>
  </si>
  <si>
    <t xml:space="preserve">35 10 </t>
  </si>
  <si>
    <t xml:space="preserve">14 15 </t>
  </si>
  <si>
    <t xml:space="preserve">10 02 10 </t>
  </si>
  <si>
    <t xml:space="preserve">36 15 </t>
  </si>
  <si>
    <t xml:space="preserve">10 31 10 </t>
  </si>
  <si>
    <t xml:space="preserve">00 13 </t>
  </si>
  <si>
    <t xml:space="preserve">10 11 10 </t>
  </si>
  <si>
    <t xml:space="preserve">40 20 5D 51 </t>
  </si>
  <si>
    <t xml:space="preserve">2F </t>
  </si>
  <si>
    <t xml:space="preserve">13 11 01 </t>
  </si>
  <si>
    <t xml:space="preserve">13 10 02 </t>
  </si>
  <si>
    <t xml:space="preserve">13 11 03 </t>
  </si>
  <si>
    <t xml:space="preserve">13 11 04 </t>
  </si>
  <si>
    <t xml:space="preserve">13 11 05 </t>
  </si>
  <si>
    <t xml:space="preserve">13 11 06 </t>
  </si>
  <si>
    <t xml:space="preserve">13 11 07 </t>
  </si>
  <si>
    <t xml:space="preserve">13 11 08 </t>
  </si>
  <si>
    <t xml:space="preserve">13 11 09 </t>
  </si>
  <si>
    <t xml:space="preserve">13 11 10 </t>
  </si>
  <si>
    <t xml:space="preserve">36 10 </t>
  </si>
  <si>
    <t xml:space="preserve">15 10 31 </t>
  </si>
  <si>
    <t xml:space="preserve">14 10 </t>
  </si>
  <si>
    <t xml:space="preserve">15 10 02 </t>
  </si>
  <si>
    <t xml:space="preserve">27 10 </t>
  </si>
  <si>
    <t xml:space="preserve">12 02 21 </t>
  </si>
  <si>
    <t xml:space="preserve">30 10 </t>
  </si>
  <si>
    <t xml:space="preserve">12 06 24 </t>
  </si>
  <si>
    <t xml:space="preserve">11 10 </t>
  </si>
  <si>
    <t xml:space="preserve">17 10 </t>
  </si>
  <si>
    <t xml:space="preserve">11 10 12 </t>
  </si>
  <si>
    <t xml:space="preserve">21 10 </t>
  </si>
  <si>
    <t xml:space="preserve">40 20 </t>
  </si>
  <si>
    <t>02 54</t>
  </si>
  <si>
    <t>A0</t>
  </si>
  <si>
    <t>0C</t>
  </si>
  <si>
    <t>8C</t>
  </si>
  <si>
    <t>All
Door Close</t>
    <phoneticPr fontId="1" type="noConversion"/>
  </si>
  <si>
    <t xml:space="preserve">FF </t>
  </si>
  <si>
    <t>i</t>
    <phoneticPr fontId="1" type="noConversion"/>
  </si>
  <si>
    <t xml:space="preserve">1D </t>
  </si>
  <si>
    <t xml:space="preserve">0D </t>
  </si>
  <si>
    <t xml:space="preserve">A0 </t>
  </si>
  <si>
    <t xml:space="preserve">0C </t>
  </si>
  <si>
    <t xml:space="preserve">DD </t>
  </si>
  <si>
    <t>ED</t>
  </si>
  <si>
    <r>
      <t>PTT</t>
    </r>
    <r>
      <rPr>
        <sz val="8"/>
        <rFont val="돋움"/>
        <family val="3"/>
        <charset val="129"/>
      </rPr>
      <t>가</t>
    </r>
    <r>
      <rPr>
        <sz val="8"/>
        <rFont val="Arial"/>
        <family val="2"/>
      </rPr>
      <t xml:space="preserve"> 
ON </t>
    </r>
    <r>
      <rPr>
        <sz val="8"/>
        <rFont val="돋움"/>
        <family val="3"/>
        <charset val="129"/>
      </rPr>
      <t>인식</t>
    </r>
    <phoneticPr fontId="5" type="noConversion"/>
  </si>
  <si>
    <r>
      <t>OCC</t>
    </r>
    <r>
      <rPr>
        <sz val="8"/>
        <rFont val="돋움"/>
        <family val="3"/>
        <charset val="129"/>
      </rPr>
      <t>의</t>
    </r>
    <r>
      <rPr>
        <sz val="8"/>
        <rFont val="Arial"/>
        <family val="2"/>
      </rPr>
      <t xml:space="preserve"> 
VOIP</t>
    </r>
    <r>
      <rPr>
        <sz val="8"/>
        <rFont val="돋움"/>
        <family val="3"/>
        <charset val="129"/>
      </rPr>
      <t>가</t>
    </r>
    <r>
      <rPr>
        <sz val="8"/>
        <rFont val="Arial"/>
        <family val="2"/>
      </rPr>
      <t xml:space="preserve"> </t>
    </r>
    <r>
      <rPr>
        <sz val="8"/>
        <rFont val="돋움"/>
        <family val="3"/>
        <charset val="129"/>
      </rPr>
      <t>연결됨</t>
    </r>
    <phoneticPr fontId="5" type="noConversion"/>
  </si>
  <si>
    <t>PTT</t>
    <phoneticPr fontId="1" type="noConversion"/>
  </si>
  <si>
    <r>
      <t>OCC</t>
    </r>
    <r>
      <rPr>
        <sz val="8"/>
        <color theme="1"/>
        <rFont val="ari"/>
        <family val="3"/>
        <charset val="129"/>
      </rPr>
      <t>연결됨</t>
    </r>
    <phoneticPr fontId="1" type="noConversion"/>
  </si>
  <si>
    <r>
      <t xml:space="preserve">OCC </t>
    </r>
    <r>
      <rPr>
        <sz val="8"/>
        <color theme="1"/>
        <rFont val="돋움"/>
        <family val="3"/>
        <charset val="129"/>
      </rPr>
      <t>연결</t>
    </r>
    <r>
      <rPr>
        <sz val="8"/>
        <color theme="1"/>
        <rFont val="Arial"/>
        <family val="2"/>
      </rPr>
      <t xml:space="preserve"> </t>
    </r>
    <r>
      <rPr>
        <sz val="8"/>
        <color theme="1"/>
        <rFont val="돋움"/>
        <family val="3"/>
        <charset val="129"/>
      </rPr>
      <t>요청</t>
    </r>
    <phoneticPr fontId="1" type="noConversion"/>
  </si>
  <si>
    <t>PTT ON</t>
    <phoneticPr fontId="1" type="noConversion"/>
  </si>
  <si>
    <t>R14</t>
    <phoneticPr fontId="1" type="noConversion"/>
  </si>
  <si>
    <t>OCC
Message
Action</t>
    <phoneticPr fontId="5" type="noConversion"/>
  </si>
  <si>
    <t>CNCS
Auction</t>
    <phoneticPr fontId="5" type="noConversion"/>
  </si>
  <si>
    <r>
      <t xml:space="preserve">VOIP-OCC
Call </t>
    </r>
    <r>
      <rPr>
        <sz val="8"/>
        <color rgb="FFFF0000"/>
        <rFont val="돋움"/>
        <family val="3"/>
        <charset val="129"/>
      </rPr>
      <t>요청</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</si>
</sst>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2" formatCode="_-&quot;₩&quot;* #,##0_-;\-&quot;₩&quot;* #,##0_-;_-&quot;₩&quot;* &quot;-&quot;_-;_-@_-"/>
  </numFmts>
  <fonts count="50">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
      <sz val="11"/>
      <name val="돋움"/>
      <family val="3"/>
      <charset val="129"/>
    </font>
    <font>
      <sz val="8"/>
      <name val="돋움"/>
      <family val="3"/>
      <charset val="129"/>
    </font>
    <font>
      <sz val="8"/>
      <name val="Arial"/>
      <family val="2"/>
    </font>
    <font>
      <sz val="8"/>
      <color indexed="10"/>
      <name val="Arial"/>
      <family val="2"/>
    </font>
    <font>
      <b/>
      <sz val="8"/>
      <name val="Arial"/>
      <family val="2"/>
    </font>
    <font>
      <b/>
      <u/>
      <sz val="8"/>
      <name val="Arial"/>
      <family val="2"/>
    </font>
    <font>
      <sz val="11"/>
      <color theme="1"/>
      <name val="맑은 고딕"/>
      <family val="3"/>
      <charset val="129"/>
      <scheme val="minor"/>
    </font>
    <font>
      <sz val="11"/>
      <color rgb="FF9C0006"/>
      <name val="맑은 고딕"/>
      <family val="2"/>
      <charset val="129"/>
      <scheme val="minor"/>
    </font>
    <font>
      <b/>
      <sz val="10"/>
      <name val="Arial"/>
      <family val="2"/>
    </font>
    <font>
      <sz val="10"/>
      <name val="Arial"/>
      <family val="2"/>
    </font>
    <font>
      <b/>
      <u/>
      <sz val="10"/>
      <name val="Arial"/>
      <family val="2"/>
    </font>
    <font>
      <sz val="9"/>
      <color indexed="81"/>
      <name val="Tahoma"/>
      <family val="2"/>
    </font>
    <font>
      <b/>
      <sz val="9"/>
      <color indexed="81"/>
      <name val="Tahoma"/>
      <family val="2"/>
    </font>
    <font>
      <b/>
      <sz val="9"/>
      <color indexed="81"/>
      <name val="돋움"/>
      <family val="3"/>
      <charset val="129"/>
    </font>
    <font>
      <sz val="8"/>
      <name val="맑은 고딕"/>
      <family val="3"/>
      <charset val="129"/>
      <scheme val="minor"/>
    </font>
    <font>
      <sz val="8"/>
      <color theme="1"/>
      <name val="Arial"/>
      <family val="2"/>
    </font>
    <font>
      <sz val="8"/>
      <color theme="1"/>
      <name val="맑은 고딕"/>
      <family val="2"/>
      <charset val="129"/>
      <scheme val="minor"/>
    </font>
    <font>
      <sz val="8"/>
      <name val="돋움체"/>
      <family val="3"/>
      <charset val="129"/>
    </font>
    <font>
      <sz val="8"/>
      <color theme="1"/>
      <name val="맑은 고딕"/>
      <family val="3"/>
      <charset val="129"/>
      <scheme val="minor"/>
    </font>
    <font>
      <sz val="9"/>
      <color rgb="FF222222"/>
      <name val="Arial"/>
      <family val="2"/>
    </font>
    <font>
      <sz val="9"/>
      <color rgb="FF222222"/>
      <name val="돋움"/>
      <family val="3"/>
      <charset val="129"/>
    </font>
    <font>
      <sz val="8"/>
      <color theme="0" tint="-0.34998626667073579"/>
      <name val="맑은 고딕"/>
      <family val="2"/>
      <charset val="129"/>
      <scheme val="minor"/>
    </font>
    <font>
      <sz val="10"/>
      <color rgb="FFFF0000"/>
      <name val="맑은 고딕"/>
      <family val="2"/>
      <charset val="129"/>
      <scheme val="minor"/>
    </font>
    <font>
      <sz val="10"/>
      <color rgb="FFFF0000"/>
      <name val="맑은 고딕"/>
      <family val="3"/>
      <charset val="129"/>
      <scheme val="minor"/>
    </font>
    <font>
      <sz val="8"/>
      <color theme="1"/>
      <name val="Arial Unicode MS"/>
      <family val="3"/>
      <charset val="129"/>
    </font>
    <font>
      <b/>
      <sz val="8"/>
      <name val="맑은 고딕"/>
      <family val="3"/>
      <charset val="129"/>
      <scheme val="minor"/>
    </font>
    <font>
      <strike/>
      <sz val="8"/>
      <color rgb="FFFF0000"/>
      <name val="Arial"/>
      <family val="2"/>
    </font>
    <font>
      <sz val="11"/>
      <name val="맑은 고딕"/>
      <family val="2"/>
      <charset val="129"/>
      <scheme val="minor"/>
    </font>
    <font>
      <sz val="9"/>
      <color indexed="81"/>
      <name val="돋움"/>
      <family val="3"/>
      <charset val="129"/>
    </font>
    <font>
      <sz val="8"/>
      <color theme="2"/>
      <name val="Arial"/>
      <family val="2"/>
    </font>
    <font>
      <sz val="8"/>
      <color rgb="FFFF0000"/>
      <name val="Arial"/>
      <family val="2"/>
    </font>
    <font>
      <b/>
      <sz val="8"/>
      <name val="돋움"/>
      <family val="3"/>
      <charset val="129"/>
    </font>
    <font>
      <strike/>
      <sz val="8"/>
      <name val="Arial"/>
      <family val="2"/>
    </font>
    <font>
      <strike/>
      <sz val="8"/>
      <name val="맑은 고딕"/>
      <family val="3"/>
      <charset val="129"/>
    </font>
    <font>
      <sz val="11"/>
      <color rgb="FFFFFF00"/>
      <name val="굴림"/>
      <family val="3"/>
      <charset val="129"/>
    </font>
    <font>
      <sz val="8"/>
      <color rgb="FFFFFF00"/>
      <name val="굴림"/>
      <family val="3"/>
      <charset val="129"/>
    </font>
    <font>
      <sz val="11"/>
      <name val="굴림"/>
      <family val="3"/>
      <charset val="129"/>
    </font>
    <font>
      <sz val="8"/>
      <name val="굴림"/>
      <family val="3"/>
      <charset val="129"/>
    </font>
    <font>
      <b/>
      <u/>
      <sz val="8"/>
      <name val="굴림"/>
      <family val="3"/>
      <charset val="129"/>
    </font>
    <font>
      <b/>
      <sz val="10"/>
      <color indexed="8"/>
      <name val="굴림"/>
      <family val="3"/>
      <charset val="129"/>
    </font>
    <font>
      <sz val="8"/>
      <name val="Arial Unicode MS"/>
      <family val="3"/>
      <charset val="129"/>
    </font>
    <font>
      <b/>
      <sz val="9"/>
      <color indexed="10"/>
      <name val="굴림"/>
      <family val="3"/>
      <charset val="129"/>
    </font>
    <font>
      <b/>
      <sz val="9"/>
      <color indexed="81"/>
      <name val="굴림"/>
      <family val="3"/>
      <charset val="129"/>
    </font>
    <font>
      <sz val="8"/>
      <color rgb="FFFF0000"/>
      <name val="돋움"/>
      <family val="3"/>
      <charset val="129"/>
    </font>
    <font>
      <sz val="8"/>
      <color theme="1"/>
      <name val="ari"/>
      <family val="3"/>
      <charset val="129"/>
    </font>
    <font>
      <sz val="8"/>
      <color theme="1"/>
      <name val="돋움"/>
      <family val="3"/>
      <charset val="129"/>
    </font>
  </fonts>
  <fills count="17">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indexed="42"/>
        <bgColor indexed="64"/>
      </patternFill>
    </fill>
    <fill>
      <patternFill patternType="solid">
        <fgColor rgb="FFFFC7CE"/>
      </patternFill>
    </fill>
    <fill>
      <patternFill patternType="solid">
        <fgColor theme="7" tint="0.59999389629810485"/>
        <bgColor indexed="64"/>
      </patternFill>
    </fill>
    <fill>
      <patternFill patternType="solid">
        <fgColor theme="0"/>
        <bgColor indexed="64"/>
      </patternFill>
    </fill>
    <fill>
      <patternFill patternType="solid">
        <fgColor rgb="FFCCFFCC"/>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CC99FF"/>
        <bgColor indexed="64"/>
      </patternFill>
    </fill>
    <fill>
      <patternFill patternType="solid">
        <fgColor rgb="FF92D05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7" tint="0.39997558519241921"/>
        <bgColor indexed="64"/>
      </patternFill>
    </fill>
  </fills>
  <borders count="248">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55"/>
      </left>
      <right style="medium">
        <color indexed="64"/>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right style="thin">
        <color indexed="55"/>
      </right>
      <top style="thin">
        <color indexed="55"/>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55"/>
      </left>
      <right style="thin">
        <color indexed="55"/>
      </right>
      <top style="thin">
        <color indexed="55"/>
      </top>
      <bottom style="medium">
        <color indexed="64"/>
      </bottom>
      <diagonal/>
    </border>
    <border>
      <left style="thin">
        <color indexed="55"/>
      </left>
      <right style="medium">
        <color indexed="64"/>
      </right>
      <top style="thin">
        <color indexed="55"/>
      </top>
      <bottom style="medium">
        <color indexed="64"/>
      </bottom>
      <diagonal/>
    </border>
    <border>
      <left style="medium">
        <color indexed="64"/>
      </left>
      <right/>
      <top/>
      <bottom/>
      <diagonal/>
    </border>
    <border>
      <left/>
      <right style="thin">
        <color indexed="55"/>
      </right>
      <top style="thin">
        <color indexed="55"/>
      </top>
      <bottom style="thin">
        <color indexed="55"/>
      </bottom>
      <diagonal/>
    </border>
    <border>
      <left style="medium">
        <color indexed="64"/>
      </left>
      <right style="medium">
        <color indexed="64"/>
      </right>
      <top/>
      <bottom style="thin">
        <color indexed="55"/>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55"/>
      </top>
      <bottom style="thin">
        <color indexed="55"/>
      </bottom>
      <diagonal/>
    </border>
    <border>
      <left style="medium">
        <color indexed="64"/>
      </left>
      <right style="medium">
        <color indexed="64"/>
      </right>
      <top style="thin">
        <color indexed="55"/>
      </top>
      <bottom/>
      <diagonal/>
    </border>
    <border>
      <left style="medium">
        <color indexed="64"/>
      </left>
      <right style="medium">
        <color indexed="64"/>
      </right>
      <top/>
      <bottom/>
      <diagonal/>
    </border>
    <border>
      <left style="medium">
        <color indexed="64"/>
      </left>
      <right style="medium">
        <color indexed="64"/>
      </right>
      <top style="thin">
        <color indexed="55"/>
      </top>
      <bottom style="medium">
        <color indexed="64"/>
      </bottom>
      <diagonal/>
    </border>
    <border>
      <left style="thin">
        <color indexed="55"/>
      </left>
      <right style="thin">
        <color indexed="55"/>
      </right>
      <top style="medium">
        <color indexed="64"/>
      </top>
      <bottom style="thin">
        <color indexed="55"/>
      </bottom>
      <diagonal/>
    </border>
    <border>
      <left style="medium">
        <color indexed="64"/>
      </left>
      <right style="thin">
        <color indexed="64"/>
      </right>
      <top/>
      <bottom style="thin">
        <color indexed="64"/>
      </bottom>
      <diagonal/>
    </border>
    <border>
      <left/>
      <right style="thin">
        <color indexed="55"/>
      </right>
      <top style="medium">
        <color indexed="64"/>
      </top>
      <bottom/>
      <diagonal/>
    </border>
    <border>
      <left style="thin">
        <color indexed="55"/>
      </left>
      <right style="thin">
        <color indexed="55"/>
      </right>
      <top style="medium">
        <color indexed="64"/>
      </top>
      <bottom/>
      <diagonal/>
    </border>
    <border>
      <left style="thin">
        <color indexed="55"/>
      </left>
      <right style="medium">
        <color indexed="64"/>
      </right>
      <top style="medium">
        <color indexed="64"/>
      </top>
      <bottom/>
      <diagonal/>
    </border>
    <border>
      <left/>
      <right/>
      <top style="medium">
        <color indexed="64"/>
      </top>
      <bottom style="medium">
        <color indexed="64"/>
      </bottom>
      <diagonal/>
    </border>
    <border>
      <left/>
      <right/>
      <top style="thin">
        <color indexed="55"/>
      </top>
      <bottom style="thin">
        <color indexed="55"/>
      </bottom>
      <diagonal/>
    </border>
    <border>
      <left/>
      <right style="medium">
        <color indexed="64"/>
      </right>
      <top style="thin">
        <color indexed="55"/>
      </top>
      <bottom style="thin">
        <color indexed="55"/>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55"/>
      </top>
      <bottom style="medium">
        <color indexed="64"/>
      </bottom>
      <diagonal/>
    </border>
    <border>
      <left/>
      <right style="thin">
        <color indexed="64"/>
      </right>
      <top style="thin">
        <color indexed="64"/>
      </top>
      <bottom/>
      <diagonal/>
    </border>
    <border>
      <left/>
      <right style="medium">
        <color indexed="64"/>
      </right>
      <top style="thin">
        <color indexed="55"/>
      </top>
      <bottom style="medium">
        <color indexed="64"/>
      </bottom>
      <diagonal/>
    </border>
    <border>
      <left style="thin">
        <color indexed="55"/>
      </left>
      <right style="medium">
        <color indexed="64"/>
      </right>
      <top style="medium">
        <color indexed="64"/>
      </top>
      <bottom style="thin">
        <color indexed="55"/>
      </bottom>
      <diagonal/>
    </border>
    <border>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55"/>
      </top>
      <bottom style="medium">
        <color indexed="64"/>
      </bottom>
      <diagonal/>
    </border>
    <border>
      <left/>
      <right/>
      <top style="medium">
        <color indexed="64"/>
      </top>
      <bottom style="thin">
        <color indexed="55"/>
      </bottom>
      <diagonal/>
    </border>
    <border>
      <left/>
      <right style="medium">
        <color indexed="64"/>
      </right>
      <top style="medium">
        <color indexed="64"/>
      </top>
      <bottom style="thin">
        <color indexed="55"/>
      </bottom>
      <diagonal/>
    </border>
    <border>
      <left/>
      <right style="thin">
        <color indexed="55"/>
      </right>
      <top style="medium">
        <color indexed="64"/>
      </top>
      <bottom style="thin">
        <color indexed="55"/>
      </bottom>
      <diagonal/>
    </border>
    <border>
      <left style="medium">
        <color indexed="64"/>
      </left>
      <right/>
      <top style="medium">
        <color indexed="64"/>
      </top>
      <bottom style="thin">
        <color indexed="55"/>
      </bottom>
      <diagonal/>
    </border>
    <border>
      <left/>
      <right style="medium">
        <color indexed="64"/>
      </right>
      <top style="medium">
        <color indexed="64"/>
      </top>
      <bottom style="medium">
        <color indexed="64"/>
      </bottom>
      <diagonal/>
    </border>
    <border>
      <left style="thin">
        <color indexed="55"/>
      </left>
      <right/>
      <top style="medium">
        <color indexed="64"/>
      </top>
      <bottom style="thin">
        <color indexed="55"/>
      </bottom>
      <diagonal/>
    </border>
    <border>
      <left/>
      <right/>
      <top style="thin">
        <color indexed="55"/>
      </top>
      <bottom/>
      <diagonal/>
    </border>
    <border>
      <left/>
      <right style="medium">
        <color indexed="64"/>
      </right>
      <top style="thin">
        <color indexed="55"/>
      </top>
      <bottom/>
      <diagonal/>
    </border>
    <border>
      <left style="thin">
        <color indexed="55"/>
      </left>
      <right/>
      <top style="thin">
        <color indexed="55"/>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55"/>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thin">
        <color indexed="64"/>
      </right>
      <top style="medium">
        <color indexed="64"/>
      </top>
      <bottom/>
      <diagonal/>
    </border>
    <border>
      <left/>
      <right style="thin">
        <color theme="0" tint="-0.34998626667073579"/>
      </right>
      <top style="medium">
        <color indexed="64"/>
      </top>
      <bottom/>
      <diagonal/>
    </border>
    <border>
      <left/>
      <right style="thin">
        <color theme="0" tint="-0.34998626667073579"/>
      </right>
      <top/>
      <bottom style="medium">
        <color indexed="64"/>
      </bottom>
      <diagonal/>
    </border>
    <border>
      <left style="thin">
        <color theme="0" tint="-0.34998626667073579"/>
      </left>
      <right/>
      <top style="medium">
        <color indexed="64"/>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style="thin">
        <color theme="0" tint="-0.34998626667073579"/>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top style="medium">
        <color indexed="64"/>
      </top>
      <bottom/>
      <diagonal/>
    </border>
    <border>
      <left/>
      <right style="medium">
        <color indexed="64"/>
      </right>
      <top style="medium">
        <color indexed="64"/>
      </top>
      <bottom style="thin">
        <color theme="0" tint="-0.34998626667073579"/>
      </bottom>
      <diagonal/>
    </border>
    <border>
      <left style="thin">
        <color theme="0" tint="-0.34998626667073579"/>
      </left>
      <right/>
      <top/>
      <bottom style="medium">
        <color indexed="64"/>
      </bottom>
      <diagonal/>
    </border>
    <border>
      <left style="medium">
        <color indexed="64"/>
      </left>
      <right/>
      <top style="medium">
        <color indexed="64"/>
      </top>
      <bottom style="thin">
        <color theme="0" tint="-0.34998626667073579"/>
      </bottom>
      <diagonal/>
    </border>
    <border>
      <left/>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medium">
        <color indexed="64"/>
      </bottom>
      <diagonal/>
    </border>
    <border>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thin">
        <color theme="0" tint="-0.34998626667073579"/>
      </left>
      <right style="medium">
        <color indexed="64"/>
      </right>
      <top style="thin">
        <color theme="0" tint="-0.34998626667073579"/>
      </top>
      <bottom style="medium">
        <color indexed="64"/>
      </bottom>
      <diagonal/>
    </border>
    <border>
      <left/>
      <right style="medium">
        <color indexed="64"/>
      </right>
      <top style="thin">
        <color theme="0" tint="-0.34998626667073579"/>
      </top>
      <bottom style="medium">
        <color indexed="64"/>
      </bottom>
      <diagonal/>
    </border>
    <border>
      <left style="medium">
        <color indexed="64"/>
      </left>
      <right style="thin">
        <color theme="0" tint="-0.34998626667073579"/>
      </right>
      <top style="thin">
        <color theme="0" tint="-0.34998626667073579"/>
      </top>
      <bottom style="medium">
        <color indexed="64"/>
      </bottom>
      <diagonal/>
    </border>
    <border>
      <left style="medium">
        <color indexed="64"/>
      </left>
      <right/>
      <top style="thin">
        <color theme="0" tint="-0.34998626667073579"/>
      </top>
      <bottom style="medium">
        <color indexed="64"/>
      </bottom>
      <diagonal/>
    </border>
    <border>
      <left/>
      <right style="thin">
        <color theme="0" tint="-0.34998626667073579"/>
      </right>
      <top style="medium">
        <color indexed="64"/>
      </top>
      <bottom style="thin">
        <color theme="0" tint="-0.34998626667073579"/>
      </bottom>
      <diagonal/>
    </border>
    <border>
      <left style="thin">
        <color theme="0" tint="-0.34998626667073579"/>
      </left>
      <right/>
      <top style="thin">
        <color theme="0" tint="-0.34998626667073579"/>
      </top>
      <bottom style="medium">
        <color indexed="64"/>
      </bottom>
      <diagonal/>
    </border>
    <border>
      <left style="thin">
        <color theme="0" tint="-0.34998626667073579"/>
      </left>
      <right style="thin">
        <color theme="0" tint="-0.34998626667073579"/>
      </right>
      <top style="thin">
        <color theme="0" tint="-0.34998626667073579"/>
      </top>
      <bottom/>
      <diagonal/>
    </border>
    <border>
      <left style="medium">
        <color indexed="64"/>
      </left>
      <right style="thin">
        <color theme="0" tint="-0.34998626667073579"/>
      </right>
      <top style="medium">
        <color indexed="64"/>
      </top>
      <bottom style="medium">
        <color indexed="64"/>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medium">
        <color indexed="64"/>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top style="thin">
        <color theme="0" tint="-0.34998626667073579"/>
      </top>
      <bottom style="medium">
        <color indexed="64"/>
      </bottom>
      <diagonal/>
    </border>
    <border>
      <left style="medium">
        <color indexed="64"/>
      </left>
      <right/>
      <top style="thin">
        <color theme="0" tint="-0.34998626667073579"/>
      </top>
      <bottom style="thin">
        <color theme="0" tint="-0.34998626667073579"/>
      </bottom>
      <diagonal/>
    </border>
    <border>
      <left style="medium">
        <color indexed="64"/>
      </left>
      <right/>
      <top style="thin">
        <color theme="0" tint="-0.34998626667073579"/>
      </top>
      <bottom/>
      <diagonal/>
    </border>
    <border>
      <left style="medium">
        <color indexed="64"/>
      </left>
      <right/>
      <top/>
      <bottom style="thin">
        <color theme="0" tint="-0.34998626667073579"/>
      </bottom>
      <diagonal/>
    </border>
    <border>
      <left style="medium">
        <color indexed="64"/>
      </left>
      <right style="medium">
        <color indexed="64"/>
      </right>
      <top style="medium">
        <color indexed="64"/>
      </top>
      <bottom style="thin">
        <color theme="0" tint="-0.34998626667073579"/>
      </bottom>
      <diagonal/>
    </border>
    <border>
      <left style="medium">
        <color indexed="64"/>
      </left>
      <right style="medium">
        <color indexed="64"/>
      </right>
      <top style="thin">
        <color theme="0" tint="-0.34998626667073579"/>
      </top>
      <bottom style="thin">
        <color theme="0" tint="-0.34998626667073579"/>
      </bottom>
      <diagonal/>
    </border>
    <border>
      <left style="medium">
        <color indexed="64"/>
      </left>
      <right style="medium">
        <color indexed="64"/>
      </right>
      <top style="thin">
        <color theme="0" tint="-0.34998626667073579"/>
      </top>
      <bottom/>
      <diagonal/>
    </border>
    <border>
      <left style="medium">
        <color indexed="64"/>
      </left>
      <right style="medium">
        <color indexed="64"/>
      </right>
      <top/>
      <bottom style="thin">
        <color theme="0" tint="-0.34998626667073579"/>
      </bottom>
      <diagonal/>
    </border>
    <border>
      <left style="medium">
        <color indexed="64"/>
      </left>
      <right style="medium">
        <color indexed="64"/>
      </right>
      <top style="thin">
        <color theme="0" tint="-0.34998626667073579"/>
      </top>
      <bottom style="medium">
        <color indexed="64"/>
      </bottom>
      <diagonal/>
    </border>
    <border>
      <left/>
      <right style="medium">
        <color indexed="64"/>
      </right>
      <top/>
      <bottom style="thin">
        <color theme="0" tint="-0.34998626667073579"/>
      </bottom>
      <diagonal/>
    </border>
    <border>
      <left style="thin">
        <color theme="0" tint="-0.34998626667073579"/>
      </left>
      <right style="medium">
        <color indexed="64"/>
      </right>
      <top style="medium">
        <color indexed="64"/>
      </top>
      <bottom style="medium">
        <color indexed="64"/>
      </bottom>
      <diagonal/>
    </border>
    <border>
      <left style="thin">
        <color theme="0" tint="-0.34998626667073579"/>
      </left>
      <right style="thin">
        <color theme="0" tint="-0.34998626667073579"/>
      </right>
      <top/>
      <bottom style="medium">
        <color indexed="64"/>
      </bottom>
      <diagonal/>
    </border>
    <border>
      <left style="thin">
        <color theme="0" tint="-0.34998626667073579"/>
      </left>
      <right/>
      <top style="medium">
        <color indexed="64"/>
      </top>
      <bottom style="medium">
        <color indexed="64"/>
      </bottom>
      <diagonal/>
    </border>
    <border>
      <left/>
      <right style="thin">
        <color theme="0" tint="-0.34998626667073579"/>
      </right>
      <top style="medium">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style="thin">
        <color indexed="55"/>
      </left>
      <right style="thin">
        <color indexed="55"/>
      </right>
      <top style="medium">
        <color indexed="64"/>
      </top>
      <bottom style="medium">
        <color indexed="64"/>
      </bottom>
      <diagonal/>
    </border>
    <border>
      <left style="thin">
        <color indexed="55"/>
      </left>
      <right style="medium">
        <color indexed="64"/>
      </right>
      <top style="medium">
        <color indexed="64"/>
      </top>
      <bottom style="medium">
        <color indexed="64"/>
      </bottom>
      <diagonal/>
    </border>
    <border>
      <left/>
      <right style="thin">
        <color indexed="55"/>
      </right>
      <top style="thin">
        <color indexed="55"/>
      </top>
      <bottom/>
      <diagonal/>
    </border>
    <border>
      <left style="thin">
        <color indexed="55"/>
      </left>
      <right/>
      <top style="thin">
        <color indexed="55"/>
      </top>
      <bottom/>
      <diagonal/>
    </border>
    <border>
      <left/>
      <right style="thin">
        <color indexed="55"/>
      </right>
      <top/>
      <bottom style="thin">
        <color indexed="55"/>
      </bottom>
      <diagonal/>
    </border>
    <border>
      <left style="medium">
        <color indexed="64"/>
      </left>
      <right/>
      <top/>
      <bottom style="thin">
        <color indexed="55"/>
      </bottom>
      <diagonal/>
    </border>
    <border>
      <left/>
      <right style="medium">
        <color indexed="64"/>
      </right>
      <top/>
      <bottom style="thin">
        <color indexed="55"/>
      </bottom>
      <diagonal/>
    </border>
    <border>
      <left/>
      <right/>
      <top/>
      <bottom style="thin">
        <color indexed="55"/>
      </bottom>
      <diagonal/>
    </border>
    <border>
      <left style="thin">
        <color indexed="55"/>
      </left>
      <right/>
      <top/>
      <bottom style="thin">
        <color indexed="55"/>
      </bottom>
      <diagonal/>
    </border>
    <border>
      <left style="medium">
        <color indexed="64"/>
      </left>
      <right/>
      <top style="thin">
        <color theme="0" tint="-0.34998626667073579"/>
      </top>
      <bottom style="thin">
        <color indexed="55"/>
      </bottom>
      <diagonal/>
    </border>
    <border>
      <left/>
      <right/>
      <top style="thin">
        <color theme="0" tint="-0.34998626667073579"/>
      </top>
      <bottom style="thin">
        <color indexed="55"/>
      </bottom>
      <diagonal/>
    </border>
    <border>
      <left/>
      <right style="thin">
        <color indexed="55"/>
      </right>
      <top style="thin">
        <color theme="0" tint="-0.34998626667073579"/>
      </top>
      <bottom style="thin">
        <color indexed="55"/>
      </bottom>
      <diagonal/>
    </border>
    <border>
      <left style="thin">
        <color indexed="55"/>
      </left>
      <right/>
      <top style="thin">
        <color theme="0" tint="-0.34998626667073579"/>
      </top>
      <bottom style="thin">
        <color indexed="55"/>
      </bottom>
      <diagonal/>
    </border>
    <border>
      <left/>
      <right style="medium">
        <color indexed="64"/>
      </right>
      <top style="thin">
        <color theme="0" tint="-0.34998626667073579"/>
      </top>
      <bottom style="thin">
        <color indexed="55"/>
      </bottom>
      <diagonal/>
    </border>
    <border>
      <left style="medium">
        <color indexed="64"/>
      </left>
      <right/>
      <top style="thin">
        <color indexed="55"/>
      </top>
      <bottom style="thin">
        <color theme="0" tint="-0.34998626667073579"/>
      </bottom>
      <diagonal/>
    </border>
    <border>
      <left/>
      <right/>
      <top style="thin">
        <color indexed="55"/>
      </top>
      <bottom style="thin">
        <color theme="0" tint="-0.34998626667073579"/>
      </bottom>
      <diagonal/>
    </border>
    <border>
      <left/>
      <right style="thin">
        <color indexed="55"/>
      </right>
      <top style="thin">
        <color indexed="55"/>
      </top>
      <bottom style="thin">
        <color theme="0" tint="-0.34998626667073579"/>
      </bottom>
      <diagonal/>
    </border>
    <border>
      <left style="thin">
        <color indexed="55"/>
      </left>
      <right/>
      <top style="thin">
        <color indexed="55"/>
      </top>
      <bottom style="thin">
        <color theme="0" tint="-0.34998626667073579"/>
      </bottom>
      <diagonal/>
    </border>
    <border>
      <left/>
      <right style="medium">
        <color indexed="64"/>
      </right>
      <top style="thin">
        <color indexed="55"/>
      </top>
      <bottom style="thin">
        <color theme="0" tint="-0.34998626667073579"/>
      </bottom>
      <diagonal/>
    </border>
    <border>
      <left style="medium">
        <color indexed="64"/>
      </left>
      <right style="medium">
        <color indexed="64"/>
      </right>
      <top style="hair">
        <color indexed="64"/>
      </top>
      <bottom style="thin">
        <color theme="0" tint="-0.34998626667073579"/>
      </bottom>
      <diagonal/>
    </border>
    <border>
      <left style="medium">
        <color indexed="64"/>
      </left>
      <right/>
      <top style="hair">
        <color indexed="64"/>
      </top>
      <bottom style="thin">
        <color theme="0" tint="-0.34998626667073579"/>
      </bottom>
      <diagonal/>
    </border>
    <border>
      <left/>
      <right/>
      <top style="hair">
        <color indexed="64"/>
      </top>
      <bottom style="thin">
        <color theme="0" tint="-0.34998626667073579"/>
      </bottom>
      <diagonal/>
    </border>
    <border>
      <left/>
      <right style="medium">
        <color indexed="64"/>
      </right>
      <top style="hair">
        <color indexed="64"/>
      </top>
      <bottom style="thin">
        <color theme="0" tint="-0.34998626667073579"/>
      </bottom>
      <diagonal/>
    </border>
    <border>
      <left/>
      <right style="thin">
        <color indexed="55"/>
      </right>
      <top style="medium">
        <color indexed="64"/>
      </top>
      <bottom style="medium">
        <color indexed="64"/>
      </bottom>
      <diagonal/>
    </border>
    <border>
      <left style="medium">
        <color indexed="64"/>
      </left>
      <right style="thin">
        <color theme="0" tint="-0.34998626667073579"/>
      </right>
      <top/>
      <bottom style="medium">
        <color indexed="64"/>
      </bottom>
      <diagonal/>
    </border>
    <border>
      <left/>
      <right/>
      <top style="medium">
        <color indexed="64"/>
      </top>
      <bottom style="thin">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style="thin">
        <color theme="0" tint="-0.34998626667073579"/>
      </right>
      <top style="thin">
        <color theme="0" tint="-0.34998626667073579"/>
      </top>
      <bottom/>
      <diagonal/>
    </border>
    <border>
      <left style="thin">
        <color theme="0" tint="-0.34998626667073579"/>
      </left>
      <right style="medium">
        <color indexed="64"/>
      </right>
      <top style="thin">
        <color theme="0" tint="-0.34998626667073579"/>
      </top>
      <bottom/>
      <diagonal/>
    </border>
    <border>
      <left style="thin">
        <color theme="0" tint="-0.34998626667073579"/>
      </left>
      <right style="medium">
        <color indexed="64"/>
      </right>
      <top/>
      <bottom style="medium">
        <color indexed="64"/>
      </bottom>
      <diagonal/>
    </border>
    <border>
      <left style="thin">
        <color theme="0" tint="-0.34998626667073579"/>
      </left>
      <right style="medium">
        <color indexed="64"/>
      </right>
      <top style="medium">
        <color indexed="64"/>
      </top>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style="thin">
        <color indexed="55"/>
      </left>
      <right style="medium">
        <color indexed="64"/>
      </right>
      <top style="thin">
        <color indexed="55"/>
      </top>
      <bottom/>
      <diagonal/>
    </border>
    <border>
      <left style="thin">
        <color indexed="55"/>
      </left>
      <right style="medium">
        <color indexed="64"/>
      </right>
      <top/>
      <bottom style="thin">
        <color indexed="55"/>
      </bottom>
      <diagonal/>
    </border>
    <border>
      <left style="thin">
        <color indexed="55"/>
      </left>
      <right/>
      <top style="thin">
        <color indexed="55"/>
      </top>
      <bottom style="thin">
        <color indexed="55"/>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medium">
        <color indexed="64"/>
      </left>
      <right style="medium">
        <color indexed="64"/>
      </right>
      <top/>
      <bottom style="thin">
        <color indexed="64"/>
      </bottom>
      <diagonal/>
    </border>
    <border>
      <left style="thin">
        <color indexed="55"/>
      </left>
      <right/>
      <top style="medium">
        <color indexed="64"/>
      </top>
      <bottom/>
      <diagonal/>
    </border>
    <border>
      <left style="medium">
        <color indexed="64"/>
      </left>
      <right style="thin">
        <color indexed="55"/>
      </right>
      <top style="thin">
        <color indexed="55"/>
      </top>
      <bottom style="medium">
        <color indexed="64"/>
      </bottom>
      <diagonal/>
    </border>
    <border>
      <left style="thin">
        <color indexed="55"/>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hair">
        <color indexed="64"/>
      </right>
      <top style="medium">
        <color indexed="64"/>
      </top>
      <bottom style="medium">
        <color indexed="64"/>
      </bottom>
      <diagonal/>
    </border>
    <border>
      <left style="medium">
        <color indexed="64"/>
      </left>
      <right style="thin">
        <color theme="0" tint="-0.34998626667073579"/>
      </right>
      <top style="medium">
        <color indexed="64"/>
      </top>
      <bottom/>
      <diagonal/>
    </border>
    <border>
      <left style="thin">
        <color theme="0" tint="-0.34998626667073579"/>
      </left>
      <right style="medium">
        <color indexed="64"/>
      </right>
      <top style="medium">
        <color indexed="64"/>
      </top>
      <bottom style="thin">
        <color theme="0" tint="-0.34998626667073579"/>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theme="0" tint="-0.34998626667073579"/>
      </right>
      <top/>
      <bottom style="thin">
        <color theme="0" tint="-0.34998626667073579"/>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medium">
        <color indexed="64"/>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style="medium">
        <color indexed="64"/>
      </right>
      <top style="thin">
        <color theme="0" tint="-0.24994659260841701"/>
      </top>
      <bottom style="medium">
        <color indexed="64"/>
      </bottom>
      <diagonal/>
    </border>
    <border>
      <left style="medium">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medium">
        <color indexed="64"/>
      </right>
      <top style="hair">
        <color indexed="64"/>
      </top>
      <bottom/>
      <diagonal/>
    </border>
    <border>
      <left style="thin">
        <color theme="0" tint="-0.24994659260841701"/>
      </left>
      <right/>
      <top style="medium">
        <color indexed="64"/>
      </top>
      <bottom style="thin">
        <color theme="0" tint="-0.24994659260841701"/>
      </bottom>
      <diagonal/>
    </border>
    <border>
      <left/>
      <right/>
      <top style="medium">
        <color indexed="64"/>
      </top>
      <bottom style="thin">
        <color theme="0" tint="-0.24994659260841701"/>
      </bottom>
      <diagonal/>
    </border>
    <border>
      <left/>
      <right style="medium">
        <color indexed="64"/>
      </right>
      <top style="medium">
        <color indexed="64"/>
      </top>
      <bottom style="thin">
        <color theme="0" tint="-0.24994659260841701"/>
      </bottom>
      <diagonal/>
    </border>
    <border>
      <left style="medium">
        <color indexed="64"/>
      </left>
      <right style="thin">
        <color theme="0" tint="-0.34998626667073579"/>
      </right>
      <top/>
      <bottom/>
      <diagonal/>
    </border>
    <border>
      <left style="thin">
        <color theme="0" tint="-0.34998626667073579"/>
      </left>
      <right style="medium">
        <color indexed="64"/>
      </right>
      <top/>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medium">
        <color indexed="64"/>
      </right>
      <top style="medium">
        <color indexed="64"/>
      </top>
      <bottom style="medium">
        <color indexed="64"/>
      </bottom>
      <diagonal/>
    </border>
    <border>
      <left style="medium">
        <color indexed="64"/>
      </left>
      <right style="thin">
        <color theme="0" tint="-0.24994659260841701"/>
      </right>
      <top style="medium">
        <color indexed="64"/>
      </top>
      <bottom/>
      <diagonal/>
    </border>
    <border>
      <left style="medium">
        <color indexed="64"/>
      </left>
      <right style="thin">
        <color theme="0" tint="-0.24994659260841701"/>
      </right>
      <top/>
      <bottom style="medium">
        <color indexed="64"/>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theme="0" tint="-0.24994659260841701"/>
      </right>
      <top/>
      <bottom style="medium">
        <color indexed="64"/>
      </bottom>
      <diagonal/>
    </border>
    <border>
      <left style="medium">
        <color indexed="10"/>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55"/>
      </bottom>
      <diagonal/>
    </border>
    <border>
      <left/>
      <right style="thin">
        <color indexed="55"/>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55"/>
      </left>
      <right style="medium">
        <color indexed="64"/>
      </right>
      <top style="thin">
        <color indexed="55"/>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theme="0" tint="-0.24994659260841701"/>
      </bottom>
      <diagonal/>
    </border>
    <border>
      <left style="medium">
        <color indexed="64"/>
      </left>
      <right style="thin">
        <color indexed="64"/>
      </right>
      <top style="medium">
        <color indexed="64"/>
      </top>
      <bottom style="thin">
        <color theme="0" tint="-0.24994659260841701"/>
      </bottom>
      <diagonal/>
    </border>
    <border>
      <left style="thin">
        <color indexed="64"/>
      </left>
      <right style="thin">
        <color indexed="64"/>
      </right>
      <top style="medium">
        <color indexed="64"/>
      </top>
      <bottom style="thin">
        <color theme="0" tint="-0.24994659260841701"/>
      </bottom>
      <diagonal/>
    </border>
    <border>
      <left style="thin">
        <color indexed="64"/>
      </left>
      <right style="medium">
        <color indexed="64"/>
      </right>
      <top style="medium">
        <color indexed="64"/>
      </top>
      <bottom style="thin">
        <color theme="0" tint="-0.24994659260841701"/>
      </bottom>
      <diagonal/>
    </border>
    <border>
      <left style="medium">
        <color indexed="64"/>
      </left>
      <right style="medium">
        <color indexed="64"/>
      </right>
      <top style="thin">
        <color theme="0" tint="-0.24994659260841701"/>
      </top>
      <bottom style="medium">
        <color indexed="64"/>
      </bottom>
      <diagonal/>
    </border>
    <border>
      <left style="medium">
        <color indexed="64"/>
      </left>
      <right style="thin">
        <color indexed="64"/>
      </right>
      <top style="thin">
        <color theme="0" tint="-0.24994659260841701"/>
      </top>
      <bottom style="medium">
        <color indexed="64"/>
      </bottom>
      <diagonal/>
    </border>
    <border>
      <left style="thin">
        <color indexed="64"/>
      </left>
      <right style="thin">
        <color indexed="64"/>
      </right>
      <top style="thin">
        <color theme="0" tint="-0.24994659260841701"/>
      </top>
      <bottom style="medium">
        <color indexed="64"/>
      </bottom>
      <diagonal/>
    </border>
    <border>
      <left style="thin">
        <color indexed="64"/>
      </left>
      <right style="medium">
        <color indexed="64"/>
      </right>
      <top style="thin">
        <color theme="0" tint="-0.24994659260841701"/>
      </top>
      <bottom style="medium">
        <color indexed="64"/>
      </bottom>
      <diagonal/>
    </border>
    <border>
      <left style="medium">
        <color indexed="64"/>
      </left>
      <right/>
      <top style="thin">
        <color theme="0" tint="-0.24994659260841701"/>
      </top>
      <bottom style="medium">
        <color indexed="64"/>
      </bottom>
      <diagonal/>
    </border>
    <border>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
      <left style="medium">
        <color indexed="64"/>
      </left>
      <right style="thin">
        <color theme="0" tint="-0.24994659260841701"/>
      </right>
      <top style="medium">
        <color indexed="64"/>
      </top>
      <bottom style="medium">
        <color indexed="64"/>
      </bottom>
      <diagonal/>
    </border>
  </borders>
  <cellStyleXfs count="7">
    <xf numFmtId="0" fontId="0" fillId="0" borderId="0">
      <alignment vertical="center"/>
    </xf>
    <xf numFmtId="0" fontId="4" fillId="0" borderId="0">
      <alignment vertical="center"/>
    </xf>
    <xf numFmtId="0" fontId="10" fillId="0" borderId="0">
      <alignment vertical="center"/>
    </xf>
    <xf numFmtId="0" fontId="4" fillId="0" borderId="0">
      <alignment vertical="center"/>
    </xf>
    <xf numFmtId="0" fontId="4" fillId="0" borderId="0">
      <alignment vertical="center"/>
    </xf>
    <xf numFmtId="0" fontId="4" fillId="0" borderId="0">
      <alignment vertical="center"/>
    </xf>
    <xf numFmtId="0" fontId="11" fillId="5" borderId="0" applyNumberFormat="0" applyBorder="0" applyAlignment="0" applyProtection="0">
      <alignment vertical="center"/>
    </xf>
  </cellStyleXfs>
  <cellXfs count="1355">
    <xf numFmtId="0" fontId="0" fillId="0" borderId="0" xfId="0">
      <alignment vertical="center"/>
    </xf>
    <xf numFmtId="0" fontId="2" fillId="0" borderId="0" xfId="0" applyFont="1">
      <alignment vertical="center"/>
    </xf>
    <xf numFmtId="14" fontId="3" fillId="0" borderId="0" xfId="0" applyNumberFormat="1" applyFont="1">
      <alignment vertical="center"/>
    </xf>
    <xf numFmtId="0" fontId="3" fillId="0" borderId="0" xfId="0" quotePrefix="1" applyFont="1">
      <alignment vertical="center"/>
    </xf>
    <xf numFmtId="0" fontId="2" fillId="0" borderId="0" xfId="0" quotePrefix="1" applyFont="1">
      <alignment vertical="center"/>
    </xf>
    <xf numFmtId="0" fontId="4" fillId="0" borderId="0" xfId="5">
      <alignment vertical="center"/>
    </xf>
    <xf numFmtId="0" fontId="13" fillId="0" borderId="0" xfId="5" applyFont="1" applyBorder="1" applyAlignment="1">
      <alignment vertical="center"/>
    </xf>
    <xf numFmtId="0" fontId="13" fillId="0" borderId="1" xfId="5" applyFont="1" applyBorder="1" applyAlignment="1">
      <alignment horizontal="left" vertical="center"/>
    </xf>
    <xf numFmtId="0" fontId="13" fillId="0" borderId="2" xfId="5" applyFont="1" applyBorder="1" applyAlignment="1">
      <alignment horizontal="left" vertical="center"/>
    </xf>
    <xf numFmtId="0" fontId="13" fillId="0" borderId="2" xfId="5" applyFont="1" applyBorder="1" applyAlignment="1">
      <alignment horizontal="center" vertical="center"/>
    </xf>
    <xf numFmtId="0" fontId="13" fillId="0" borderId="3" xfId="5" applyFont="1" applyBorder="1" applyAlignment="1">
      <alignment horizontal="left" vertical="center"/>
    </xf>
    <xf numFmtId="0" fontId="13" fillId="0" borderId="5" xfId="5" applyFont="1" applyBorder="1" applyAlignment="1">
      <alignment horizontal="center" vertical="center"/>
    </xf>
    <xf numFmtId="0" fontId="13" fillId="0" borderId="6" xfId="5" applyFont="1" applyBorder="1" applyAlignment="1">
      <alignment horizontal="center" vertical="center"/>
    </xf>
    <xf numFmtId="0" fontId="13" fillId="0" borderId="58" xfId="5" applyFont="1" applyBorder="1" applyAlignment="1">
      <alignment horizontal="left" vertical="center"/>
    </xf>
    <xf numFmtId="0" fontId="12" fillId="0" borderId="59"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8" xfId="5" applyFont="1" applyBorder="1" applyAlignment="1">
      <alignment horizontal="center" vertical="center"/>
    </xf>
    <xf numFmtId="0" fontId="13" fillId="0" borderId="62" xfId="5" applyFont="1" applyBorder="1" applyAlignment="1">
      <alignment vertical="center"/>
    </xf>
    <xf numFmtId="0" fontId="13" fillId="0" borderId="63" xfId="5" applyFont="1" applyBorder="1" applyAlignment="1">
      <alignment vertical="center"/>
    </xf>
    <xf numFmtId="0" fontId="6" fillId="0" borderId="9" xfId="5" applyFont="1" applyBorder="1" applyAlignment="1">
      <alignment horizontal="center" vertical="center"/>
    </xf>
    <xf numFmtId="0" fontId="6" fillId="4" borderId="86" xfId="5" applyFont="1" applyFill="1" applyBorder="1" applyAlignment="1">
      <alignment horizontal="center" vertical="center" shrinkToFit="1"/>
    </xf>
    <xf numFmtId="0" fontId="6" fillId="4" borderId="91" xfId="5" applyFont="1" applyFill="1" applyBorder="1" applyAlignment="1">
      <alignment horizontal="center" vertical="center" shrinkToFit="1"/>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5" fillId="0" borderId="95" xfId="5" applyFont="1" applyBorder="1" applyAlignment="1">
      <alignment horizontal="center" vertical="center"/>
    </xf>
    <xf numFmtId="0" fontId="5" fillId="0" borderId="104" xfId="5" applyFont="1" applyBorder="1" applyAlignment="1">
      <alignment horizontal="center" vertical="center"/>
    </xf>
    <xf numFmtId="0" fontId="6" fillId="0" borderId="97" xfId="5" applyFont="1" applyBorder="1" applyAlignment="1">
      <alignment horizontal="center" vertical="center"/>
    </xf>
    <xf numFmtId="0" fontId="6" fillId="6" borderId="86" xfId="5" applyFont="1" applyFill="1" applyBorder="1" applyAlignment="1">
      <alignment horizontal="center" vertical="center" wrapText="1"/>
    </xf>
    <xf numFmtId="0" fontId="6" fillId="4" borderId="88" xfId="5" applyFont="1" applyFill="1" applyBorder="1" applyAlignment="1">
      <alignment horizontal="center" vertical="center" shrinkToFit="1"/>
    </xf>
    <xf numFmtId="0" fontId="6" fillId="4" borderId="109" xfId="5" applyFont="1" applyFill="1" applyBorder="1" applyAlignment="1">
      <alignment horizontal="center" vertical="center" shrinkToFit="1"/>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29" xfId="5" applyFont="1" applyBorder="1" applyAlignment="1">
      <alignment horizontal="center" vertical="center"/>
    </xf>
    <xf numFmtId="0" fontId="6" fillId="0" borderId="30" xfId="5" applyFont="1" applyBorder="1" applyAlignment="1">
      <alignment horizontal="center" vertical="center"/>
    </xf>
    <xf numFmtId="0" fontId="6" fillId="0" borderId="31"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20" xfId="5" applyFont="1" applyBorder="1" applyAlignment="1">
      <alignment horizontal="center" vertical="center"/>
    </xf>
    <xf numFmtId="0" fontId="6" fillId="0" borderId="22" xfId="5" applyFont="1" applyBorder="1" applyAlignment="1">
      <alignment horizontal="center" vertical="center"/>
    </xf>
    <xf numFmtId="0" fontId="6" fillId="0" borderId="25" xfId="5" applyFont="1" applyBorder="1" applyAlignment="1">
      <alignment horizontal="center" vertical="center"/>
    </xf>
    <xf numFmtId="0" fontId="6" fillId="0" borderId="26" xfId="5" applyFont="1" applyBorder="1" applyAlignment="1">
      <alignment horizontal="center" vertical="center"/>
    </xf>
    <xf numFmtId="0" fontId="6" fillId="0" borderId="22" xfId="5" applyFont="1" applyFill="1" applyBorder="1" applyAlignment="1">
      <alignment horizontal="center" vertical="center"/>
    </xf>
    <xf numFmtId="0" fontId="5" fillId="0" borderId="25"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36" xfId="5" applyFont="1" applyBorder="1" applyAlignment="1">
      <alignment horizontal="center" vertical="center"/>
    </xf>
    <xf numFmtId="0" fontId="6" fillId="0" borderId="13" xfId="5" applyFont="1" applyBorder="1" applyAlignment="1">
      <alignment horizontal="center" vertical="center"/>
    </xf>
    <xf numFmtId="0" fontId="6" fillId="0" borderId="20" xfId="5" applyFont="1" applyFill="1" applyBorder="1" applyAlignment="1">
      <alignment horizontal="center" vertical="center"/>
    </xf>
    <xf numFmtId="0" fontId="5" fillId="0" borderId="22" xfId="5" applyFont="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127" xfId="5" applyFont="1" applyBorder="1" applyAlignment="1">
      <alignment horizontal="center" vertical="center"/>
    </xf>
    <xf numFmtId="0" fontId="5" fillId="0" borderId="115" xfId="5" applyFont="1" applyBorder="1" applyAlignment="1">
      <alignment horizontal="center" vertical="center"/>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5" fillId="0" borderId="128" xfId="5" applyFont="1" applyBorder="1" applyAlignment="1">
      <alignment horizontal="center" vertical="center"/>
    </xf>
    <xf numFmtId="0" fontId="6" fillId="0" borderId="110" xfId="5" applyFont="1" applyBorder="1" applyAlignment="1">
      <alignment horizontal="center" vertical="center"/>
    </xf>
    <xf numFmtId="0" fontId="6" fillId="0" borderId="99" xfId="5" applyFont="1" applyBorder="1" applyAlignment="1">
      <alignment horizontal="center" vertical="center"/>
    </xf>
    <xf numFmtId="0" fontId="6" fillId="0" borderId="129" xfId="5" applyFont="1" applyBorder="1" applyAlignment="1">
      <alignment horizontal="center" vertical="center"/>
    </xf>
    <xf numFmtId="0" fontId="6" fillId="0" borderId="51" xfId="5" applyFont="1" applyFill="1" applyBorder="1" applyAlignment="1">
      <alignment horizontal="center" vertical="center"/>
    </xf>
    <xf numFmtId="0" fontId="6" fillId="4" borderId="86" xfId="5" applyFont="1" applyFill="1" applyBorder="1" applyAlignment="1">
      <alignment horizontal="center" vertical="center"/>
    </xf>
    <xf numFmtId="0" fontId="6" fillId="4" borderId="103" xfId="5" applyFont="1" applyFill="1" applyBorder="1" applyAlignment="1">
      <alignment horizontal="center" vertical="center" shrinkToFit="1"/>
    </xf>
    <xf numFmtId="0" fontId="5" fillId="0" borderId="42" xfId="5" applyFont="1" applyBorder="1" applyAlignment="1">
      <alignment horizontal="center" vertical="center"/>
    </xf>
    <xf numFmtId="0" fontId="6" fillId="0" borderId="112" xfId="5" applyFont="1" applyBorder="1" applyAlignment="1">
      <alignment horizontal="center" vertical="center"/>
    </xf>
    <xf numFmtId="0" fontId="1" fillId="0" borderId="97" xfId="0" applyFont="1" applyBorder="1" applyAlignment="1">
      <alignment horizontal="center" vertical="center"/>
    </xf>
    <xf numFmtId="0" fontId="1" fillId="0" borderId="120" xfId="0" applyFont="1" applyBorder="1" applyAlignment="1">
      <alignment horizontal="center" vertical="center"/>
    </xf>
    <xf numFmtId="0" fontId="1" fillId="0" borderId="106" xfId="0" applyFont="1" applyBorder="1" applyAlignment="1">
      <alignment horizontal="center" vertical="center"/>
    </xf>
    <xf numFmtId="0" fontId="1" fillId="0" borderId="17" xfId="0" applyFont="1" applyBorder="1" applyAlignment="1">
      <alignment horizontal="center" vertical="center"/>
    </xf>
    <xf numFmtId="0" fontId="1" fillId="0" borderId="122" xfId="0" applyFont="1" applyBorder="1" applyAlignment="1">
      <alignment horizontal="center" vertical="center"/>
    </xf>
    <xf numFmtId="0" fontId="1" fillId="0" borderId="121" xfId="0" applyFont="1" applyBorder="1" applyAlignment="1">
      <alignment horizontal="center" vertical="center"/>
    </xf>
    <xf numFmtId="0" fontId="6" fillId="0" borderId="83" xfId="5" applyFont="1" applyBorder="1" applyAlignment="1">
      <alignment horizontal="center" vertical="center"/>
    </xf>
    <xf numFmtId="0" fontId="6" fillId="6" borderId="100" xfId="5" applyFont="1" applyFill="1" applyBorder="1" applyAlignment="1">
      <alignment horizontal="center" vertical="center" wrapText="1"/>
    </xf>
    <xf numFmtId="0" fontId="6" fillId="0" borderId="94" xfId="5" applyFont="1" applyBorder="1" applyAlignment="1">
      <alignment horizontal="center" vertical="center"/>
    </xf>
    <xf numFmtId="0" fontId="5" fillId="0" borderId="123" xfId="5" applyFont="1" applyBorder="1" applyAlignment="1">
      <alignment horizontal="center" vertical="center"/>
    </xf>
    <xf numFmtId="0" fontId="5" fillId="0" borderId="124"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18" fillId="7" borderId="123" xfId="6" applyFont="1" applyFill="1" applyBorder="1" applyAlignment="1">
      <alignment horizontal="center" vertical="center"/>
    </xf>
    <xf numFmtId="0" fontId="18" fillId="7" borderId="127" xfId="6" applyFont="1" applyFill="1" applyBorder="1" applyAlignment="1">
      <alignment horizontal="center" vertical="center"/>
    </xf>
    <xf numFmtId="0" fontId="21" fillId="6" borderId="107" xfId="5" applyFont="1" applyFill="1" applyBorder="1" applyAlignment="1">
      <alignment horizontal="center" vertical="center"/>
    </xf>
    <xf numFmtId="0" fontId="21" fillId="6" borderId="102" xfId="5" applyFont="1" applyFill="1" applyBorder="1" applyAlignment="1">
      <alignment horizontal="center" vertical="center"/>
    </xf>
    <xf numFmtId="0" fontId="21" fillId="6" borderId="85" xfId="5" applyFont="1" applyFill="1" applyBorder="1" applyAlignment="1">
      <alignment horizontal="center" vertical="center"/>
    </xf>
    <xf numFmtId="0" fontId="21" fillId="6" borderId="116" xfId="5" applyFont="1" applyFill="1" applyBorder="1" applyAlignment="1">
      <alignment horizontal="center" vertical="center"/>
    </xf>
    <xf numFmtId="0" fontId="21" fillId="6" borderId="87" xfId="5" applyFont="1" applyFill="1" applyBorder="1" applyAlignment="1">
      <alignment horizontal="center" vertical="center"/>
    </xf>
    <xf numFmtId="0" fontId="21" fillId="6" borderId="113" xfId="5" applyFont="1" applyFill="1" applyBorder="1" applyAlignment="1">
      <alignment horizontal="center" vertical="center"/>
    </xf>
    <xf numFmtId="0" fontId="21" fillId="6" borderId="100" xfId="5" applyFont="1" applyFill="1" applyBorder="1" applyAlignment="1">
      <alignment horizontal="center" vertical="center"/>
    </xf>
    <xf numFmtId="0" fontId="21" fillId="6" borderId="86" xfId="5" applyFont="1" applyFill="1" applyBorder="1" applyAlignment="1">
      <alignment horizontal="center" vertical="center"/>
    </xf>
    <xf numFmtId="0" fontId="21" fillId="6" borderId="108" xfId="5" applyFont="1" applyFill="1" applyBorder="1" applyAlignment="1">
      <alignment horizontal="center" vertical="center"/>
    </xf>
    <xf numFmtId="0" fontId="6" fillId="8" borderId="82" xfId="5" applyFont="1" applyFill="1" applyBorder="1" applyAlignment="1">
      <alignment horizontal="center" vertical="center"/>
    </xf>
    <xf numFmtId="0" fontId="6" fillId="8" borderId="72" xfId="5" applyFont="1" applyFill="1" applyBorder="1" applyAlignment="1">
      <alignment horizontal="center" vertical="center"/>
    </xf>
    <xf numFmtId="0" fontId="6" fillId="8" borderId="72" xfId="5" applyFont="1" applyFill="1" applyBorder="1" applyAlignment="1">
      <alignment horizontal="center" vertical="center" wrapText="1"/>
    </xf>
    <xf numFmtId="0" fontId="6" fillId="8" borderId="71" xfId="5" applyFont="1" applyFill="1" applyBorder="1" applyAlignment="1">
      <alignment horizontal="center" vertical="center" wrapText="1"/>
    </xf>
    <xf numFmtId="0" fontId="6" fillId="0" borderId="13" xfId="5" applyFont="1" applyFill="1" applyBorder="1" applyAlignment="1">
      <alignment horizontal="center" vertical="center"/>
    </xf>
    <xf numFmtId="0" fontId="6" fillId="0" borderId="44" xfId="5" applyFont="1" applyFill="1" applyBorder="1" applyAlignment="1">
      <alignment horizontal="center" vertical="center"/>
    </xf>
    <xf numFmtId="0" fontId="20" fillId="0" borderId="106" xfId="0" applyFont="1" applyBorder="1" applyAlignment="1">
      <alignment horizontal="center" vertical="center"/>
    </xf>
    <xf numFmtId="0" fontId="6" fillId="0" borderId="132" xfId="5" applyFont="1" applyBorder="1" applyAlignment="1">
      <alignment horizontal="center" vertical="center"/>
    </xf>
    <xf numFmtId="0" fontId="6" fillId="0" borderId="131" xfId="5" applyFont="1" applyBorder="1" applyAlignment="1">
      <alignment horizontal="center" vertical="center"/>
    </xf>
    <xf numFmtId="0" fontId="19" fillId="0" borderId="22" xfId="0" applyFont="1" applyBorder="1" applyAlignment="1">
      <alignment horizontal="center" vertical="center"/>
    </xf>
    <xf numFmtId="0" fontId="20" fillId="0" borderId="36" xfId="0" applyFont="1" applyBorder="1">
      <alignment vertical="center"/>
    </xf>
    <xf numFmtId="0" fontId="22" fillId="0" borderId="17" xfId="0" quotePrefix="1" applyFont="1" applyBorder="1">
      <alignment vertical="center"/>
    </xf>
    <xf numFmtId="0" fontId="22" fillId="0" borderId="14" xfId="0" quotePrefix="1" applyFont="1" applyBorder="1">
      <alignment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9" xfId="5" applyFont="1" applyBorder="1" applyAlignment="1">
      <alignment horizontal="center" vertical="center"/>
    </xf>
    <xf numFmtId="0" fontId="6" fillId="0" borderId="22" xfId="5" applyFont="1" applyBorder="1" applyAlignment="1">
      <alignment horizontal="center" vertical="center"/>
    </xf>
    <xf numFmtId="0" fontId="6" fillId="0" borderId="22" xfId="5" applyFont="1" applyFill="1" applyBorder="1" applyAlignment="1">
      <alignment horizontal="center" vertical="center"/>
    </xf>
    <xf numFmtId="0" fontId="6" fillId="0" borderId="36" xfId="5" applyFont="1" applyBorder="1" applyAlignment="1">
      <alignment horizontal="center" vertical="center"/>
    </xf>
    <xf numFmtId="0" fontId="6" fillId="0" borderId="36" xfId="5" applyFont="1" applyFill="1" applyBorder="1" applyAlignment="1">
      <alignment horizontal="center" vertical="center"/>
    </xf>
    <xf numFmtId="0" fontId="6" fillId="0" borderId="132" xfId="5" applyFont="1" applyFill="1" applyBorder="1" applyAlignment="1">
      <alignment horizontal="center" vertical="center"/>
    </xf>
    <xf numFmtId="0" fontId="6" fillId="0" borderId="99" xfId="5" applyFont="1" applyFill="1" applyBorder="1" applyAlignment="1">
      <alignment horizontal="center" vertical="center"/>
    </xf>
    <xf numFmtId="0" fontId="6" fillId="0" borderId="131" xfId="5" applyFont="1" applyFill="1" applyBorder="1" applyAlignment="1">
      <alignment horizontal="center" vertical="center"/>
    </xf>
    <xf numFmtId="0" fontId="6" fillId="0" borderId="122" xfId="5" applyFont="1" applyFill="1" applyBorder="1" applyAlignment="1">
      <alignment horizontal="center" vertical="center"/>
    </xf>
    <xf numFmtId="0" fontId="6" fillId="0" borderId="126" xfId="5" applyFont="1" applyFill="1" applyBorder="1" applyAlignment="1">
      <alignment horizontal="center" vertical="center"/>
    </xf>
    <xf numFmtId="0" fontId="5" fillId="0" borderId="126" xfId="5" applyFont="1" applyFill="1" applyBorder="1" applyAlignment="1">
      <alignment horizontal="center" vertical="center"/>
    </xf>
    <xf numFmtId="0" fontId="6" fillId="0" borderId="125" xfId="5" applyFont="1" applyFill="1" applyBorder="1" applyAlignment="1">
      <alignment horizontal="center" vertical="center"/>
    </xf>
    <xf numFmtId="0" fontId="5" fillId="0" borderId="125" xfId="5" applyFont="1" applyFill="1" applyBorder="1" applyAlignment="1">
      <alignment horizontal="center" vertical="center"/>
    </xf>
    <xf numFmtId="0" fontId="6" fillId="0" borderId="2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127" xfId="5" applyFont="1" applyFill="1" applyBorder="1" applyAlignment="1">
      <alignment horizontal="center" vertical="center"/>
    </xf>
    <xf numFmtId="0" fontId="5" fillId="0" borderId="127" xfId="5" applyFont="1" applyFill="1" applyBorder="1" applyAlignment="1">
      <alignment horizontal="center" vertical="center"/>
    </xf>
    <xf numFmtId="0" fontId="6" fillId="0" borderId="134" xfId="5" applyFont="1" applyFill="1" applyBorder="1" applyAlignment="1">
      <alignment horizontal="center" vertical="center"/>
    </xf>
    <xf numFmtId="0" fontId="6" fillId="0" borderId="135" xfId="5" applyFont="1" applyFill="1" applyBorder="1" applyAlignment="1">
      <alignment horizontal="center" vertical="center"/>
    </xf>
    <xf numFmtId="0" fontId="6" fillId="0" borderId="136" xfId="5" applyFont="1" applyFill="1" applyBorder="1" applyAlignment="1">
      <alignment horizontal="center" vertical="center"/>
    </xf>
    <xf numFmtId="0" fontId="1" fillId="0" borderId="106" xfId="0" applyFont="1" applyFill="1" applyBorder="1" applyAlignment="1">
      <alignment horizontal="center" vertical="center"/>
    </xf>
    <xf numFmtId="0" fontId="5" fillId="0" borderId="22" xfId="5" applyFont="1" applyFill="1" applyBorder="1" applyAlignment="1">
      <alignment horizontal="center" vertical="center"/>
    </xf>
    <xf numFmtId="0" fontId="20" fillId="0" borderId="22" xfId="0" applyFont="1" applyBorder="1" applyAlignment="1">
      <alignment horizontal="center" vertical="center"/>
    </xf>
    <xf numFmtId="0" fontId="6" fillId="0" borderId="1" xfId="5" applyFont="1" applyBorder="1" applyAlignment="1">
      <alignment horizontal="left" vertical="center"/>
    </xf>
    <xf numFmtId="0" fontId="5" fillId="0" borderId="5" xfId="5" applyFont="1" applyBorder="1" applyAlignment="1">
      <alignment horizontal="center" vertical="center"/>
    </xf>
    <xf numFmtId="0" fontId="6" fillId="0" borderId="6" xfId="5" applyFont="1" applyBorder="1" applyAlignment="1">
      <alignment vertical="center"/>
    </xf>
    <xf numFmtId="0" fontId="6" fillId="0" borderId="4" xfId="5" applyFont="1" applyBorder="1" applyAlignment="1">
      <alignment horizontal="center" vertical="center"/>
    </xf>
    <xf numFmtId="0" fontId="6" fillId="0" borderId="28" xfId="5" applyFont="1" applyBorder="1" applyAlignment="1">
      <alignment horizontal="left" vertical="center"/>
    </xf>
    <xf numFmtId="0" fontId="6" fillId="0" borderId="7" xfId="5" applyFont="1" applyBorder="1" applyAlignment="1">
      <alignment horizontal="left" vertical="center"/>
    </xf>
    <xf numFmtId="0" fontId="6" fillId="0" borderId="7" xfId="5" applyFont="1" applyBorder="1" applyAlignment="1">
      <alignment horizontal="center" vertical="center"/>
    </xf>
    <xf numFmtId="0" fontId="6" fillId="0" borderId="7" xfId="5" applyFont="1" applyBorder="1" applyAlignment="1">
      <alignment vertical="center"/>
    </xf>
    <xf numFmtId="0" fontId="6" fillId="0" borderId="8" xfId="5" applyFont="1" applyBorder="1" applyAlignment="1">
      <alignment horizontal="center" vertical="center"/>
    </xf>
    <xf numFmtId="0" fontId="6" fillId="0" borderId="35" xfId="5" applyFont="1" applyBorder="1" applyAlignment="1">
      <alignment horizontal="left" vertical="center"/>
    </xf>
    <xf numFmtId="0" fontId="5" fillId="0" borderId="38" xfId="5" applyFont="1" applyBorder="1" applyAlignment="1">
      <alignment horizontal="center" vertical="center"/>
    </xf>
    <xf numFmtId="0" fontId="6" fillId="0" borderId="2" xfId="5" applyFont="1" applyBorder="1" applyAlignment="1">
      <alignment horizontal="left" vertical="center"/>
    </xf>
    <xf numFmtId="0" fontId="6" fillId="0" borderId="2" xfId="5" applyFont="1" applyBorder="1" applyAlignment="1">
      <alignment horizontal="center" vertical="center"/>
    </xf>
    <xf numFmtId="0" fontId="6" fillId="0" borderId="2" xfId="5" applyFont="1" applyBorder="1" applyAlignment="1">
      <alignment vertical="center"/>
    </xf>
    <xf numFmtId="0" fontId="6" fillId="0" borderId="4" xfId="5" applyFont="1" applyBorder="1" applyAlignment="1">
      <alignment vertical="center"/>
    </xf>
    <xf numFmtId="0" fontId="6" fillId="0" borderId="9" xfId="5" applyFont="1" applyBorder="1" applyAlignment="1">
      <alignment horizontal="center" vertical="center"/>
    </xf>
    <xf numFmtId="0" fontId="6" fillId="0" borderId="156" xfId="5" applyFont="1" applyFill="1" applyBorder="1" applyAlignment="1">
      <alignment horizontal="center" vertical="center"/>
    </xf>
    <xf numFmtId="0" fontId="6" fillId="0" borderId="25" xfId="5" applyFont="1" applyFill="1" applyBorder="1" applyAlignment="1">
      <alignment horizontal="center" vertical="center"/>
    </xf>
    <xf numFmtId="0" fontId="6" fillId="0" borderId="22" xfId="5" applyFont="1" applyFill="1" applyBorder="1" applyAlignment="1">
      <alignment horizontal="center" vertical="center"/>
    </xf>
    <xf numFmtId="0" fontId="5" fillId="0" borderId="21" xfId="5" applyFont="1" applyFill="1" applyBorder="1" applyAlignment="1">
      <alignment horizontal="center" vertical="center"/>
    </xf>
    <xf numFmtId="0" fontId="5" fillId="0" borderId="25" xfId="5" applyFont="1" applyFill="1" applyBorder="1" applyAlignment="1">
      <alignment horizontal="center" vertical="center"/>
    </xf>
    <xf numFmtId="0" fontId="6"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39" xfId="5" applyFont="1" applyBorder="1" applyAlignment="1">
      <alignment horizontal="center" vertical="center"/>
    </xf>
    <xf numFmtId="0" fontId="5" fillId="0" borderId="34" xfId="5" applyFont="1" applyBorder="1" applyAlignment="1">
      <alignment horizontal="center" vertical="center"/>
    </xf>
    <xf numFmtId="0" fontId="6" fillId="8" borderId="2" xfId="5" applyFont="1" applyFill="1" applyBorder="1" applyAlignment="1">
      <alignment vertical="center" wrapText="1"/>
    </xf>
    <xf numFmtId="0" fontId="6" fillId="8" borderId="35" xfId="5" applyFont="1" applyFill="1" applyBorder="1" applyAlignment="1">
      <alignment horizontal="left" vertical="center" wrapText="1"/>
    </xf>
    <xf numFmtId="0" fontId="0" fillId="0" borderId="0" xfId="0">
      <alignment vertical="center"/>
    </xf>
    <xf numFmtId="0" fontId="2" fillId="0" borderId="0" xfId="0" quotePrefix="1" applyFont="1">
      <alignment vertical="center"/>
    </xf>
    <xf numFmtId="0" fontId="6" fillId="0" borderId="29" xfId="5" applyFont="1" applyBorder="1" applyAlignment="1">
      <alignment horizontal="center" vertical="center"/>
    </xf>
    <xf numFmtId="0" fontId="6" fillId="0" borderId="30" xfId="5" applyFont="1" applyBorder="1" applyAlignment="1">
      <alignment horizontal="center" vertical="center"/>
    </xf>
    <xf numFmtId="0" fontId="6" fillId="0" borderId="31" xfId="5" applyFont="1" applyBorder="1" applyAlignment="1">
      <alignment horizontal="center" vertical="center"/>
    </xf>
    <xf numFmtId="0" fontId="6" fillId="0" borderId="20" xfId="5" applyFont="1" applyBorder="1" applyAlignment="1">
      <alignment horizontal="center" vertical="center"/>
    </xf>
    <xf numFmtId="0" fontId="6" fillId="0" borderId="22" xfId="5" applyFont="1" applyBorder="1" applyAlignment="1">
      <alignment horizontal="center" vertical="center"/>
    </xf>
    <xf numFmtId="0" fontId="6" fillId="0" borderId="23" xfId="5" applyFont="1" applyBorder="1" applyAlignment="1">
      <alignment horizontal="center" vertical="center"/>
    </xf>
    <xf numFmtId="0" fontId="6" fillId="0" borderId="24" xfId="5" applyFont="1" applyBorder="1" applyAlignment="1">
      <alignment horizontal="center" vertical="center"/>
    </xf>
    <xf numFmtId="0" fontId="6" fillId="0" borderId="26" xfId="5" applyFont="1" applyBorder="1" applyAlignment="1">
      <alignment horizontal="center" vertical="center"/>
    </xf>
    <xf numFmtId="0" fontId="6" fillId="0" borderId="22" xfId="5" applyFont="1" applyFill="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36" xfId="5" applyFont="1" applyBorder="1" applyAlignment="1">
      <alignment horizontal="center" vertical="center"/>
    </xf>
    <xf numFmtId="0" fontId="6" fillId="0" borderId="20" xfId="5" applyFont="1" applyFill="1" applyBorder="1" applyAlignment="1">
      <alignment horizontal="center" vertical="center"/>
    </xf>
    <xf numFmtId="0" fontId="6" fillId="0" borderId="120" xfId="5" applyFont="1" applyBorder="1" applyAlignment="1">
      <alignment horizontal="center" vertical="center"/>
    </xf>
    <xf numFmtId="0" fontId="1" fillId="0" borderId="97" xfId="0" applyFont="1" applyBorder="1" applyAlignment="1">
      <alignment horizontal="center" vertical="center"/>
    </xf>
    <xf numFmtId="0" fontId="1" fillId="0" borderId="120" xfId="0" applyFont="1" applyBorder="1" applyAlignment="1">
      <alignment horizontal="center" vertical="center"/>
    </xf>
    <xf numFmtId="0" fontId="1" fillId="0" borderId="122" xfId="0" applyFont="1" applyBorder="1" applyAlignment="1">
      <alignment horizontal="center" vertical="center"/>
    </xf>
    <xf numFmtId="0" fontId="1" fillId="0" borderId="121" xfId="0" applyFont="1" applyBorder="1" applyAlignment="1">
      <alignment horizontal="center" vertical="center"/>
    </xf>
    <xf numFmtId="0" fontId="5" fillId="0" borderId="124" xfId="5" applyFont="1" applyBorder="1" applyAlignment="1">
      <alignment horizontal="center" vertical="center"/>
    </xf>
    <xf numFmtId="0" fontId="5" fillId="0" borderId="126" xfId="5" applyFont="1" applyBorder="1" applyAlignment="1">
      <alignment horizontal="center" vertical="center"/>
    </xf>
    <xf numFmtId="0" fontId="18" fillId="7" borderId="123" xfId="6" applyFont="1" applyFill="1" applyBorder="1" applyAlignment="1">
      <alignment horizontal="center" vertical="center"/>
    </xf>
    <xf numFmtId="0" fontId="6" fillId="0" borderId="120" xfId="5" applyFont="1" applyFill="1" applyBorder="1" applyAlignment="1">
      <alignment horizontal="center" vertical="center"/>
    </xf>
    <xf numFmtId="0" fontId="18" fillId="7" borderId="124" xfId="6" applyFont="1" applyFill="1" applyBorder="1" applyAlignment="1">
      <alignment horizontal="center" vertical="center"/>
    </xf>
    <xf numFmtId="0" fontId="1" fillId="7" borderId="123" xfId="6" applyFont="1" applyFill="1" applyBorder="1" applyAlignment="1">
      <alignment horizontal="center" vertical="center"/>
    </xf>
    <xf numFmtId="0" fontId="6" fillId="0" borderId="36" xfId="5" applyFont="1" applyFill="1" applyBorder="1" applyAlignment="1">
      <alignment horizontal="center" vertical="center"/>
    </xf>
    <xf numFmtId="0" fontId="6" fillId="0" borderId="132" xfId="5" applyFont="1" applyFill="1" applyBorder="1" applyAlignment="1">
      <alignment horizontal="center" vertical="center"/>
    </xf>
    <xf numFmtId="0" fontId="6" fillId="0" borderId="99" xfId="5" applyFont="1" applyFill="1" applyBorder="1" applyAlignment="1">
      <alignment horizontal="center" vertical="center"/>
    </xf>
    <xf numFmtId="0" fontId="6" fillId="0" borderId="131" xfId="5" applyFont="1" applyFill="1" applyBorder="1" applyAlignment="1">
      <alignment horizontal="center" vertical="center"/>
    </xf>
    <xf numFmtId="0" fontId="6" fillId="0" borderId="122" xfId="5" applyFont="1" applyFill="1" applyBorder="1" applyAlignment="1">
      <alignment horizontal="center" vertical="center"/>
    </xf>
    <xf numFmtId="0" fontId="6" fillId="0" borderId="126" xfId="5" applyFont="1" applyFill="1" applyBorder="1" applyAlignment="1">
      <alignment horizontal="center" vertical="center"/>
    </xf>
    <xf numFmtId="0" fontId="5" fillId="0" borderId="126" xfId="5" applyFont="1" applyFill="1" applyBorder="1" applyAlignment="1">
      <alignment horizontal="center" vertical="center"/>
    </xf>
    <xf numFmtId="0" fontId="6" fillId="0" borderId="2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21" xfId="5" applyFont="1" applyFill="1" applyBorder="1" applyAlignment="1">
      <alignment horizontal="center" vertical="center"/>
    </xf>
    <xf numFmtId="0" fontId="6" fillId="0" borderId="127" xfId="5" applyFont="1" applyFill="1" applyBorder="1" applyAlignment="1">
      <alignment horizontal="center" vertical="center"/>
    </xf>
    <xf numFmtId="0" fontId="5" fillId="0" borderId="127" xfId="5" applyFont="1" applyFill="1" applyBorder="1" applyAlignment="1">
      <alignment horizontal="center" vertical="center"/>
    </xf>
    <xf numFmtId="0" fontId="6" fillId="0" borderId="134" xfId="5" applyFont="1" applyFill="1" applyBorder="1" applyAlignment="1">
      <alignment horizontal="center" vertical="center"/>
    </xf>
    <xf numFmtId="0" fontId="6" fillId="0" borderId="135" xfId="5" applyFont="1" applyFill="1" applyBorder="1" applyAlignment="1">
      <alignment horizontal="center" vertical="center"/>
    </xf>
    <xf numFmtId="0" fontId="6" fillId="0" borderId="136" xfId="5" applyFont="1" applyFill="1" applyBorder="1" applyAlignment="1">
      <alignment horizontal="center" vertical="center"/>
    </xf>
    <xf numFmtId="0" fontId="1" fillId="0" borderId="106" xfId="0" applyFont="1" applyFill="1" applyBorder="1" applyAlignment="1">
      <alignment horizontal="center" vertical="center"/>
    </xf>
    <xf numFmtId="0" fontId="18" fillId="8" borderId="107" xfId="6" applyFont="1" applyFill="1" applyBorder="1" applyAlignment="1">
      <alignment horizontal="center" vertical="center"/>
    </xf>
    <xf numFmtId="0" fontId="18" fillId="8" borderId="102" xfId="6" applyFont="1" applyFill="1" applyBorder="1" applyAlignment="1">
      <alignment horizontal="center" vertical="center" wrapText="1"/>
    </xf>
    <xf numFmtId="0" fontId="18" fillId="8" borderId="102" xfId="6" applyFont="1" applyFill="1" applyBorder="1" applyAlignment="1">
      <alignment horizontal="center" vertical="center"/>
    </xf>
    <xf numFmtId="0" fontId="18" fillId="8" borderId="85" xfId="6" applyFont="1" applyFill="1" applyBorder="1" applyAlignment="1">
      <alignment horizontal="center" vertical="center"/>
    </xf>
    <xf numFmtId="0" fontId="6" fillId="8" borderId="62" xfId="5" applyFont="1" applyFill="1" applyBorder="1" applyAlignment="1">
      <alignment vertical="center" wrapText="1"/>
    </xf>
    <xf numFmtId="0" fontId="6" fillId="7" borderId="22" xfId="5" applyFont="1" applyFill="1" applyBorder="1" applyAlignment="1">
      <alignment horizontal="center" vertical="center"/>
    </xf>
    <xf numFmtId="0" fontId="5" fillId="7" borderId="22" xfId="5" applyFont="1" applyFill="1" applyBorder="1" applyAlignment="1">
      <alignment horizontal="center" vertical="center"/>
    </xf>
    <xf numFmtId="0" fontId="19" fillId="0" borderId="36" xfId="0" applyFont="1" applyBorder="1" applyAlignment="1">
      <alignment horizontal="center" vertical="center"/>
    </xf>
    <xf numFmtId="14" fontId="2" fillId="0" borderId="0" xfId="0" applyNumberFormat="1" applyFont="1">
      <alignment vertical="center"/>
    </xf>
    <xf numFmtId="0" fontId="23" fillId="0" borderId="0" xfId="0" applyFont="1">
      <alignment vertical="center"/>
    </xf>
    <xf numFmtId="0" fontId="20" fillId="8" borderId="163" xfId="0" applyFont="1" applyFill="1" applyBorder="1">
      <alignment vertical="center"/>
    </xf>
    <xf numFmtId="0" fontId="20" fillId="8" borderId="164" xfId="0" applyFont="1" applyFill="1" applyBorder="1">
      <alignment vertical="center"/>
    </xf>
    <xf numFmtId="0" fontId="6" fillId="8" borderId="164" xfId="5" applyFont="1" applyFill="1" applyBorder="1" applyAlignment="1">
      <alignment horizontal="center" vertical="center" wrapText="1"/>
    </xf>
    <xf numFmtId="0" fontId="6" fillId="8" borderId="165" xfId="5" applyFont="1" applyFill="1" applyBorder="1" applyAlignment="1">
      <alignment horizontal="center" vertical="center" wrapText="1"/>
    </xf>
    <xf numFmtId="0" fontId="25" fillId="8" borderId="164" xfId="0" applyFont="1" applyFill="1" applyBorder="1" applyAlignment="1">
      <alignment horizontal="center" vertical="center"/>
    </xf>
    <xf numFmtId="0" fontId="2" fillId="0" borderId="0" xfId="0" applyFont="1" applyAlignment="1">
      <alignment horizontal="center" vertical="center"/>
    </xf>
    <xf numFmtId="0" fontId="13" fillId="7" borderId="3" xfId="5" applyFont="1" applyFill="1" applyBorder="1" applyAlignment="1">
      <alignment horizontal="center" vertical="center"/>
    </xf>
    <xf numFmtId="0" fontId="13" fillId="9" borderId="169" xfId="5" applyFont="1" applyFill="1" applyBorder="1" applyAlignment="1">
      <alignment horizontal="center" vertical="center"/>
    </xf>
    <xf numFmtId="0" fontId="13" fillId="9" borderId="56" xfId="5" applyFont="1" applyFill="1" applyBorder="1" applyAlignment="1">
      <alignment horizontal="center" vertical="center"/>
    </xf>
    <xf numFmtId="0" fontId="13" fillId="9" borderId="35" xfId="5" applyFont="1" applyFill="1" applyBorder="1" applyAlignment="1">
      <alignment horizontal="center" vertical="center"/>
    </xf>
    <xf numFmtId="0" fontId="13" fillId="9" borderId="2" xfId="5" applyFont="1" applyFill="1" applyBorder="1" applyAlignment="1">
      <alignment horizontal="center" vertical="center"/>
    </xf>
    <xf numFmtId="0" fontId="13" fillId="9" borderId="38" xfId="5" applyFont="1" applyFill="1" applyBorder="1" applyAlignment="1">
      <alignment horizontal="center" vertical="center"/>
    </xf>
    <xf numFmtId="0" fontId="13" fillId="9" borderId="6" xfId="5" applyFont="1" applyFill="1" applyBorder="1" applyAlignment="1">
      <alignment horizontal="center" vertical="center"/>
    </xf>
    <xf numFmtId="0" fontId="13" fillId="9" borderId="170" xfId="5" applyFont="1" applyFill="1" applyBorder="1" applyAlignment="1">
      <alignment horizontal="center" vertical="center"/>
    </xf>
    <xf numFmtId="0" fontId="13" fillId="9" borderId="4" xfId="5" applyFont="1" applyFill="1" applyBorder="1" applyAlignment="1">
      <alignment horizontal="center" vertical="center"/>
    </xf>
    <xf numFmtId="0" fontId="13" fillId="9" borderId="169" xfId="5" applyFont="1" applyFill="1" applyBorder="1" applyAlignment="1">
      <alignment vertical="center"/>
    </xf>
    <xf numFmtId="0" fontId="2" fillId="9" borderId="56" xfId="0" applyFont="1" applyFill="1" applyBorder="1">
      <alignment vertical="center"/>
    </xf>
    <xf numFmtId="0" fontId="13" fillId="9" borderId="168" xfId="5" applyFont="1" applyFill="1" applyBorder="1" applyAlignment="1">
      <alignment horizontal="center" vertical="center"/>
    </xf>
    <xf numFmtId="0" fontId="13" fillId="9" borderId="7" xfId="5" applyFont="1" applyFill="1" applyBorder="1" applyAlignment="1">
      <alignment horizontal="center" vertical="center"/>
    </xf>
    <xf numFmtId="0" fontId="13" fillId="9" borderId="62" xfId="5" applyFont="1" applyFill="1" applyBorder="1" applyAlignment="1">
      <alignment horizontal="center" vertical="center"/>
    </xf>
    <xf numFmtId="0" fontId="13" fillId="9" borderId="63" xfId="5" applyFont="1" applyFill="1" applyBorder="1" applyAlignment="1">
      <alignment horizontal="center" vertical="center"/>
    </xf>
    <xf numFmtId="0" fontId="13" fillId="9" borderId="65" xfId="5" applyFont="1" applyFill="1" applyBorder="1" applyAlignment="1">
      <alignment horizontal="center" vertical="center"/>
    </xf>
    <xf numFmtId="0" fontId="13" fillId="7" borderId="171" xfId="5" applyFont="1" applyFill="1" applyBorder="1" applyAlignment="1">
      <alignment horizontal="center" vertical="center"/>
    </xf>
    <xf numFmtId="0" fontId="13" fillId="7" borderId="172" xfId="5" applyFont="1" applyFill="1" applyBorder="1" applyAlignment="1">
      <alignment horizontal="center" vertical="center"/>
    </xf>
    <xf numFmtId="0" fontId="13" fillId="7" borderId="1" xfId="5" applyFont="1" applyFill="1" applyBorder="1" applyAlignment="1">
      <alignment horizontal="center" vertical="center"/>
    </xf>
    <xf numFmtId="0" fontId="13" fillId="7" borderId="2" xfId="5" applyFont="1" applyFill="1" applyBorder="1" applyAlignment="1">
      <alignment horizontal="center" vertical="center"/>
    </xf>
    <xf numFmtId="0" fontId="13" fillId="7" borderId="35" xfId="5" applyFont="1" applyFill="1" applyBorder="1" applyAlignment="1">
      <alignment horizontal="center" vertical="center"/>
    </xf>
    <xf numFmtId="0" fontId="13" fillId="7" borderId="62" xfId="5" applyFont="1" applyFill="1" applyBorder="1" applyAlignment="1">
      <alignment horizontal="center" vertical="center"/>
    </xf>
    <xf numFmtId="0" fontId="13" fillId="10" borderId="174" xfId="5" applyFont="1" applyFill="1" applyBorder="1" applyAlignment="1">
      <alignment horizontal="center" vertical="center"/>
    </xf>
    <xf numFmtId="0" fontId="13" fillId="10" borderId="60" xfId="5" applyFont="1" applyFill="1" applyBorder="1" applyAlignment="1">
      <alignment horizontal="center" vertical="center"/>
    </xf>
    <xf numFmtId="0" fontId="13" fillId="10" borderId="4" xfId="5" applyFont="1" applyFill="1" applyBorder="1" applyAlignment="1">
      <alignment horizontal="center" vertical="center"/>
    </xf>
    <xf numFmtId="0" fontId="13" fillId="10" borderId="9" xfId="5" applyFont="1" applyFill="1" applyBorder="1" applyAlignment="1">
      <alignment horizontal="center" vertical="center"/>
    </xf>
    <xf numFmtId="0" fontId="13" fillId="10" borderId="170" xfId="5" applyFont="1" applyFill="1" applyBorder="1" applyAlignment="1">
      <alignment horizontal="center" vertical="center"/>
    </xf>
    <xf numFmtId="0" fontId="13" fillId="10" borderId="63" xfId="5" applyFont="1" applyFill="1" applyBorder="1" applyAlignment="1">
      <alignment horizontal="center" vertical="center"/>
    </xf>
    <xf numFmtId="0" fontId="13" fillId="3" borderId="171" xfId="5" applyFont="1" applyFill="1" applyBorder="1" applyAlignment="1">
      <alignment horizontal="center" vertical="center"/>
    </xf>
    <xf numFmtId="42" fontId="6" fillId="6" borderId="177" xfId="5" applyNumberFormat="1" applyFont="1" applyFill="1" applyBorder="1" applyAlignment="1">
      <alignment horizontal="center" vertical="center" wrapText="1"/>
    </xf>
    <xf numFmtId="42" fontId="6" fillId="6" borderId="109" xfId="5" applyNumberFormat="1" applyFont="1" applyFill="1" applyBorder="1" applyAlignment="1">
      <alignment horizontal="center" vertical="center" wrapText="1"/>
    </xf>
    <xf numFmtId="42" fontId="5" fillId="6" borderId="109" xfId="5" applyNumberFormat="1" applyFont="1" applyFill="1" applyBorder="1" applyAlignment="1">
      <alignment horizontal="center" vertical="center"/>
    </xf>
    <xf numFmtId="42" fontId="6" fillId="6" borderId="178" xfId="5" applyNumberFormat="1" applyFont="1" applyFill="1" applyBorder="1" applyAlignment="1">
      <alignment horizontal="center" vertical="center" wrapText="1"/>
    </xf>
    <xf numFmtId="0" fontId="6" fillId="8" borderId="105" xfId="5" applyFont="1" applyFill="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0" borderId="126" xfId="5" applyFont="1" applyBorder="1" applyAlignment="1">
      <alignment horizontal="center" vertical="center"/>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5" fillId="0" borderId="126" xfId="5" applyFont="1" applyBorder="1" applyAlignment="1">
      <alignment horizontal="center" vertical="center"/>
    </xf>
    <xf numFmtId="0" fontId="6" fillId="0" borderId="17" xfId="5" applyFont="1" applyBorder="1" applyAlignment="1">
      <alignment horizontal="center" vertical="center"/>
    </xf>
    <xf numFmtId="0" fontId="6" fillId="8" borderId="36" xfId="5" applyFont="1" applyFill="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5" fillId="0" borderId="25" xfId="5" applyFont="1" applyBorder="1" applyAlignment="1">
      <alignment horizontal="center" vertical="center"/>
    </xf>
    <xf numFmtId="0" fontId="6" fillId="8" borderId="31" xfId="5" applyFont="1" applyFill="1" applyBorder="1" applyAlignment="1">
      <alignment vertical="center"/>
    </xf>
    <xf numFmtId="0" fontId="1" fillId="8" borderId="164" xfId="0" applyFont="1" applyFill="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8" borderId="100" xfId="5" applyFont="1" applyFill="1" applyBorder="1" applyAlignment="1">
      <alignment horizontal="center" vertical="center"/>
    </xf>
    <xf numFmtId="0" fontId="6" fillId="8" borderId="86" xfId="5" applyFont="1" applyFill="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6" fillId="0" borderId="124" xfId="5" applyFont="1" applyBorder="1" applyAlignment="1">
      <alignment horizontal="center" vertical="center"/>
    </xf>
    <xf numFmtId="0" fontId="6" fillId="0" borderId="25" xfId="5" applyFont="1" applyBorder="1" applyAlignment="1">
      <alignment horizontal="center" vertical="center"/>
    </xf>
    <xf numFmtId="0" fontId="18" fillId="7" borderId="127" xfId="6" applyFont="1" applyFill="1" applyBorder="1" applyAlignment="1">
      <alignment horizontal="center" vertical="center"/>
    </xf>
    <xf numFmtId="0" fontId="6" fillId="8" borderId="163" xfId="5" applyFont="1" applyFill="1" applyBorder="1" applyAlignment="1">
      <alignment horizontal="center" vertical="center"/>
    </xf>
    <xf numFmtId="0" fontId="6" fillId="8" borderId="164" xfId="5" applyFont="1" applyFill="1" applyBorder="1" applyAlignment="1">
      <alignment horizontal="center" vertical="center"/>
    </xf>
    <xf numFmtId="0" fontId="6" fillId="8" borderId="165" xfId="5" applyFont="1" applyFill="1" applyBorder="1" applyAlignment="1">
      <alignment horizontal="center" vertical="center"/>
    </xf>
    <xf numFmtId="0" fontId="5" fillId="0" borderId="20" xfId="5" applyFont="1" applyFill="1" applyBorder="1" applyAlignment="1">
      <alignment horizontal="center" vertical="center"/>
    </xf>
    <xf numFmtId="0" fontId="6" fillId="0" borderId="126" xfId="5" applyFont="1" applyBorder="1" applyAlignment="1">
      <alignment horizontal="center" vertical="center"/>
    </xf>
    <xf numFmtId="0" fontId="6" fillId="8" borderId="97" xfId="5" applyFont="1" applyFill="1" applyBorder="1" applyAlignment="1">
      <alignment horizontal="center" vertical="center" shrinkToFit="1"/>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5" fillId="0" borderId="126" xfId="5" applyFont="1" applyFill="1" applyBorder="1" applyAlignment="1">
      <alignment horizontal="center" vertical="center"/>
    </xf>
    <xf numFmtId="0" fontId="1" fillId="0" borderId="123" xfId="0" applyFont="1" applyBorder="1" applyAlignment="1">
      <alignment horizontal="center" vertical="center"/>
    </xf>
    <xf numFmtId="0" fontId="6" fillId="0" borderId="97" xfId="5" applyFont="1" applyFill="1" applyBorder="1" applyAlignment="1">
      <alignment horizontal="center" vertical="center"/>
    </xf>
    <xf numFmtId="0" fontId="6" fillId="0" borderId="123" xfId="5" applyFont="1" applyFill="1" applyBorder="1" applyAlignment="1">
      <alignment horizontal="center" vertical="center"/>
    </xf>
    <xf numFmtId="0" fontId="5" fillId="0" borderId="123" xfId="5" applyFont="1" applyFill="1" applyBorder="1" applyAlignment="1">
      <alignment horizontal="center" vertical="center"/>
    </xf>
    <xf numFmtId="0" fontId="5" fillId="0" borderId="60" xfId="5" applyFont="1" applyBorder="1" applyAlignment="1">
      <alignment horizontal="center" vertical="center"/>
    </xf>
    <xf numFmtId="0" fontId="5" fillId="0" borderId="170"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4" borderId="15" xfId="0" applyFont="1" applyFill="1" applyBorder="1" applyAlignment="1">
      <alignment horizontal="center" vertical="center"/>
    </xf>
    <xf numFmtId="0" fontId="6" fillId="4" borderId="16" xfId="0" applyFont="1" applyFill="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6" fillId="0" borderId="25" xfId="5" applyFont="1" applyBorder="1" applyAlignment="1">
      <alignment horizontal="center" vertical="center"/>
    </xf>
    <xf numFmtId="0" fontId="6" fillId="0" borderId="124" xfId="5" applyFont="1" applyBorder="1" applyAlignment="1">
      <alignment horizontal="center" vertical="center"/>
    </xf>
    <xf numFmtId="0" fontId="6" fillId="8" borderId="86" xfId="5" applyFont="1" applyFill="1" applyBorder="1" applyAlignment="1">
      <alignment horizontal="center" vertical="center" shrinkToFit="1"/>
    </xf>
    <xf numFmtId="0" fontId="6" fillId="8" borderId="108" xfId="5" applyFont="1" applyFill="1" applyBorder="1" applyAlignment="1">
      <alignment horizontal="center" vertical="center" shrinkToFit="1"/>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18" fillId="7" borderId="127" xfId="6" applyFont="1" applyFill="1" applyBorder="1" applyAlignment="1">
      <alignment horizontal="center" vertical="center"/>
    </xf>
    <xf numFmtId="0" fontId="5" fillId="0" borderId="126" xfId="5" applyFont="1" applyBorder="1" applyAlignment="1">
      <alignment horizontal="center" vertical="center"/>
    </xf>
    <xf numFmtId="0" fontId="6" fillId="0" borderId="126"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8" borderId="112" xfId="5" applyFont="1" applyFill="1" applyBorder="1" applyAlignment="1">
      <alignment horizontal="center" vertical="center" shrinkToFit="1"/>
    </xf>
    <xf numFmtId="0" fontId="22" fillId="3" borderId="17" xfId="0" quotePrefix="1" applyFont="1" applyFill="1" applyBorder="1">
      <alignment vertical="center"/>
    </xf>
    <xf numFmtId="0" fontId="6" fillId="0" borderId="20" xfId="5" applyFont="1" applyBorder="1" applyAlignment="1">
      <alignment horizontal="center" vertical="center"/>
    </xf>
    <xf numFmtId="0" fontId="6" fillId="0" borderId="21" xfId="5" applyFont="1" applyBorder="1" applyAlignment="1">
      <alignment horizontal="center" vertical="center"/>
    </xf>
    <xf numFmtId="0" fontId="6" fillId="0" borderId="25" xfId="5" applyFont="1" applyBorder="1" applyAlignment="1">
      <alignment horizontal="center" vertical="center"/>
    </xf>
    <xf numFmtId="0" fontId="5" fillId="0" borderId="20" xfId="5" applyFont="1" applyFill="1" applyBorder="1" applyAlignment="1">
      <alignment horizontal="center" vertical="center"/>
    </xf>
    <xf numFmtId="0" fontId="6" fillId="8" borderId="94" xfId="5" applyFont="1" applyFill="1" applyBorder="1" applyAlignment="1">
      <alignment horizontal="center" vertical="center" shrinkToFit="1"/>
    </xf>
    <xf numFmtId="0" fontId="21" fillId="8" borderId="107" xfId="5" applyFont="1" applyFill="1" applyBorder="1" applyAlignment="1">
      <alignment horizontal="center" vertical="center"/>
    </xf>
    <xf numFmtId="0" fontId="21" fillId="8" borderId="102" xfId="5" applyFont="1" applyFill="1" applyBorder="1" applyAlignment="1">
      <alignment horizontal="center" vertical="center"/>
    </xf>
    <xf numFmtId="0" fontId="21" fillId="8" borderId="85" xfId="5" applyFont="1" applyFill="1" applyBorder="1" applyAlignment="1">
      <alignment horizontal="center" vertical="center"/>
    </xf>
    <xf numFmtId="0" fontId="21" fillId="8" borderId="116" xfId="5" applyFont="1" applyFill="1" applyBorder="1" applyAlignment="1">
      <alignment horizontal="center" vertical="center"/>
    </xf>
    <xf numFmtId="0" fontId="21" fillId="8" borderId="87" xfId="5" applyFont="1" applyFill="1" applyBorder="1" applyAlignment="1">
      <alignment horizontal="center" vertical="center"/>
    </xf>
    <xf numFmtId="0" fontId="21" fillId="8" borderId="113" xfId="5" applyFont="1" applyFill="1" applyBorder="1" applyAlignment="1">
      <alignment horizontal="center" vertical="center"/>
    </xf>
    <xf numFmtId="0" fontId="21" fillId="8" borderId="100" xfId="5" applyFont="1" applyFill="1" applyBorder="1" applyAlignment="1">
      <alignment horizontal="center" vertical="center"/>
    </xf>
    <xf numFmtId="0" fontId="21" fillId="8" borderId="86" xfId="5" applyFont="1" applyFill="1" applyBorder="1" applyAlignment="1">
      <alignment horizontal="center" vertical="center"/>
    </xf>
    <xf numFmtId="0" fontId="21" fillId="8" borderId="108" xfId="5" applyFont="1" applyFill="1" applyBorder="1" applyAlignment="1">
      <alignment horizontal="center" vertical="center"/>
    </xf>
    <xf numFmtId="0" fontId="6" fillId="6" borderId="86" xfId="5" applyFont="1" applyFill="1" applyBorder="1" applyAlignment="1">
      <alignment horizontal="center" vertical="center" shrinkToFit="1"/>
    </xf>
    <xf numFmtId="0" fontId="6" fillId="6" borderId="108" xfId="5" applyFont="1" applyFill="1" applyBorder="1" applyAlignment="1">
      <alignment horizontal="center" vertical="center" shrinkToFit="1"/>
    </xf>
    <xf numFmtId="0" fontId="26" fillId="3" borderId="0" xfId="0" quotePrefix="1" applyFont="1" applyFill="1">
      <alignment vertical="center"/>
    </xf>
    <xf numFmtId="0" fontId="27" fillId="3" borderId="0" xfId="0" applyFont="1" applyFill="1">
      <alignment vertical="center"/>
    </xf>
    <xf numFmtId="0" fontId="6" fillId="4" borderId="12" xfId="0" applyFont="1" applyFill="1" applyBorder="1" applyAlignment="1">
      <alignment horizontal="center" vertical="center"/>
    </xf>
    <xf numFmtId="0" fontId="6" fillId="4" borderId="194" xfId="0" applyFont="1" applyFill="1" applyBorder="1" applyAlignment="1">
      <alignment horizontal="center" vertical="center"/>
    </xf>
    <xf numFmtId="0" fontId="5" fillId="4" borderId="16" xfId="0" applyFont="1" applyFill="1" applyBorder="1" applyAlignment="1">
      <alignment horizontal="center" vertical="center"/>
    </xf>
    <xf numFmtId="0" fontId="6" fillId="8" borderId="194" xfId="0" applyFont="1" applyFill="1" applyBorder="1" applyAlignment="1">
      <alignment horizontal="center" vertical="center"/>
    </xf>
    <xf numFmtId="0" fontId="6" fillId="8" borderId="15" xfId="0" applyFont="1" applyFill="1" applyBorder="1" applyAlignment="1">
      <alignment horizontal="center" vertical="center"/>
    </xf>
    <xf numFmtId="0" fontId="5" fillId="8" borderId="16" xfId="0" applyFont="1" applyFill="1" applyBorder="1" applyAlignment="1">
      <alignment horizontal="center" vertical="center"/>
    </xf>
    <xf numFmtId="0" fontId="6" fillId="8" borderId="12" xfId="0" applyFont="1" applyFill="1" applyBorder="1" applyAlignment="1">
      <alignment horizontal="center" vertical="center"/>
    </xf>
    <xf numFmtId="0" fontId="6" fillId="8" borderId="16" xfId="0" applyFont="1" applyFill="1" applyBorder="1" applyAlignment="1">
      <alignment horizontal="center" vertical="center"/>
    </xf>
    <xf numFmtId="0" fontId="13" fillId="3" borderId="167" xfId="5" applyFont="1" applyFill="1" applyBorder="1" applyAlignment="1">
      <alignment horizontal="center" vertical="center"/>
    </xf>
    <xf numFmtId="0" fontId="5" fillId="0" borderId="25" xfId="5" applyFont="1" applyFill="1" applyBorder="1" applyAlignment="1">
      <alignment horizontal="center" vertical="center"/>
    </xf>
    <xf numFmtId="0" fontId="5" fillId="0" borderId="125" xfId="5" applyFont="1" applyFill="1" applyBorder="1" applyAlignment="1">
      <alignment horizontal="center" vertical="center"/>
    </xf>
    <xf numFmtId="0" fontId="13" fillId="9" borderId="68" xfId="5" applyFont="1" applyFill="1" applyBorder="1" applyAlignment="1">
      <alignment horizontal="center" vertical="center"/>
    </xf>
    <xf numFmtId="0" fontId="13" fillId="7" borderId="196" xfId="5" applyFont="1" applyFill="1" applyBorder="1" applyAlignment="1">
      <alignment horizontal="center" vertical="center"/>
    </xf>
    <xf numFmtId="0" fontId="13" fillId="10" borderId="176" xfId="5" applyFont="1" applyFill="1" applyBorder="1" applyAlignment="1">
      <alignment horizontal="center" vertical="center"/>
    </xf>
    <xf numFmtId="0" fontId="13" fillId="9" borderId="67" xfId="5" applyFont="1" applyFill="1" applyBorder="1" applyAlignment="1">
      <alignment horizontal="center" vertical="center"/>
    </xf>
    <xf numFmtId="0" fontId="13" fillId="0" borderId="36" xfId="5" applyFont="1" applyBorder="1" applyAlignment="1">
      <alignment horizontal="center" vertical="center"/>
    </xf>
    <xf numFmtId="0" fontId="13" fillId="3" borderId="192" xfId="5" applyFont="1" applyFill="1" applyBorder="1" applyAlignment="1">
      <alignment horizontal="center" vertical="center"/>
    </xf>
    <xf numFmtId="0" fontId="13" fillId="9" borderId="7" xfId="5" applyFont="1" applyFill="1" applyBorder="1" applyAlignment="1">
      <alignment vertical="center"/>
    </xf>
    <xf numFmtId="0" fontId="13" fillId="9" borderId="67" xfId="5" applyFont="1" applyFill="1" applyBorder="1" applyAlignment="1">
      <alignment vertical="center"/>
    </xf>
    <xf numFmtId="0" fontId="2" fillId="0" borderId="20" xfId="0" applyFont="1" applyBorder="1">
      <alignment vertical="center"/>
    </xf>
    <xf numFmtId="0" fontId="2" fillId="0" borderId="25" xfId="0" applyFont="1" applyBorder="1">
      <alignment vertical="center"/>
    </xf>
    <xf numFmtId="0" fontId="2" fillId="0" borderId="21" xfId="0" applyFont="1" applyBorder="1">
      <alignment vertical="center"/>
    </xf>
    <xf numFmtId="0" fontId="2" fillId="12" borderId="20" xfId="0" applyFont="1" applyFill="1" applyBorder="1" applyAlignment="1">
      <alignment horizontal="center" vertical="center" wrapText="1"/>
    </xf>
    <xf numFmtId="0" fontId="2" fillId="12" borderId="174" xfId="0" applyFont="1" applyFill="1" applyBorder="1" applyAlignment="1">
      <alignment horizontal="center" vertical="center"/>
    </xf>
    <xf numFmtId="0" fontId="2" fillId="0" borderId="0" xfId="0" quotePrefix="1" applyFont="1">
      <alignment vertical="center"/>
    </xf>
    <xf numFmtId="0" fontId="6" fillId="0" borderId="8" xfId="5" applyFont="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21" xfId="5" applyFont="1" applyBorder="1" applyAlignment="1">
      <alignment horizontal="center" vertical="center"/>
    </xf>
    <xf numFmtId="0" fontId="6" fillId="8" borderId="86" xfId="5" applyFont="1" applyFill="1" applyBorder="1" applyAlignment="1">
      <alignment horizontal="center" vertical="center" shrinkToFit="1"/>
    </xf>
    <xf numFmtId="0" fontId="6" fillId="8" borderId="100" xfId="5" applyFont="1" applyFill="1" applyBorder="1" applyAlignment="1">
      <alignment horizontal="center" vertical="center" shrinkToFit="1"/>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6" fillId="0" borderId="17" xfId="5" applyFont="1" applyBorder="1" applyAlignment="1">
      <alignment horizontal="center" vertical="center"/>
    </xf>
    <xf numFmtId="0" fontId="6" fillId="0" borderId="21" xfId="5" applyFont="1" applyBorder="1" applyAlignment="1">
      <alignment horizontal="center" vertical="center" wrapText="1"/>
    </xf>
    <xf numFmtId="0" fontId="6" fillId="0" borderId="20" xfId="5" applyFont="1" applyBorder="1" applyAlignment="1">
      <alignment horizontal="center" vertical="center"/>
    </xf>
    <xf numFmtId="0" fontId="5" fillId="0" borderId="21"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6" fillId="11" borderId="194" xfId="0" applyFont="1" applyFill="1" applyBorder="1" applyAlignment="1">
      <alignment horizontal="center" vertical="center"/>
    </xf>
    <xf numFmtId="0" fontId="6" fillId="11" borderId="15" xfId="0" applyFont="1" applyFill="1" applyBorder="1" applyAlignment="1">
      <alignment horizontal="center" vertical="center"/>
    </xf>
    <xf numFmtId="0" fontId="6" fillId="11" borderId="16" xfId="0" applyFont="1" applyFill="1" applyBorder="1" applyAlignment="1">
      <alignment horizontal="center" vertical="center"/>
    </xf>
    <xf numFmtId="0" fontId="6" fillId="11" borderId="12" xfId="0" applyFont="1" applyFill="1" applyBorder="1" applyAlignment="1">
      <alignment horizontal="center" vertical="center"/>
    </xf>
    <xf numFmtId="0" fontId="5" fillId="11" borderId="16" xfId="0" applyFont="1" applyFill="1" applyBorder="1" applyAlignment="1">
      <alignment horizontal="center" vertical="center"/>
    </xf>
    <xf numFmtId="0" fontId="6" fillId="11" borderId="100" xfId="5" applyFont="1" applyFill="1" applyBorder="1" applyAlignment="1">
      <alignment horizontal="center" vertical="center" shrinkToFit="1"/>
    </xf>
    <xf numFmtId="0" fontId="6" fillId="11" borderId="100" xfId="5" applyFont="1" applyFill="1" applyBorder="1" applyAlignment="1">
      <alignment horizontal="center" vertical="center" wrapText="1"/>
    </xf>
    <xf numFmtId="0" fontId="6" fillId="11" borderId="86" xfId="5" applyFont="1" applyFill="1" applyBorder="1" applyAlignment="1">
      <alignment horizontal="center" vertical="center" wrapText="1"/>
    </xf>
    <xf numFmtId="0" fontId="18" fillId="11" borderId="107" xfId="6" applyFont="1" applyFill="1" applyBorder="1" applyAlignment="1">
      <alignment horizontal="center" vertical="center"/>
    </xf>
    <xf numFmtId="0" fontId="18" fillId="11" borderId="102" xfId="6" applyFont="1" applyFill="1" applyBorder="1" applyAlignment="1">
      <alignment horizontal="center" vertical="center" wrapText="1"/>
    </xf>
    <xf numFmtId="0" fontId="18" fillId="11" borderId="102" xfId="6" applyFont="1" applyFill="1" applyBorder="1" applyAlignment="1">
      <alignment horizontal="center" vertical="center"/>
    </xf>
    <xf numFmtId="0" fontId="18" fillId="11" borderId="85" xfId="6" applyFont="1" applyFill="1" applyBorder="1" applyAlignment="1">
      <alignment horizontal="center" vertical="center"/>
    </xf>
    <xf numFmtId="0" fontId="21" fillId="11" borderId="107" xfId="5" applyFont="1" applyFill="1" applyBorder="1" applyAlignment="1">
      <alignment horizontal="center" vertical="center"/>
    </xf>
    <xf numFmtId="0" fontId="21" fillId="11" borderId="102" xfId="5" applyFont="1" applyFill="1" applyBorder="1" applyAlignment="1">
      <alignment horizontal="center" vertical="center"/>
    </xf>
    <xf numFmtId="0" fontId="21" fillId="11" borderId="85" xfId="5" applyFont="1" applyFill="1" applyBorder="1" applyAlignment="1">
      <alignment horizontal="center" vertical="center"/>
    </xf>
    <xf numFmtId="0" fontId="21" fillId="11" borderId="116" xfId="5" applyFont="1" applyFill="1" applyBorder="1" applyAlignment="1">
      <alignment horizontal="center" vertical="center"/>
    </xf>
    <xf numFmtId="0" fontId="21" fillId="11" borderId="87" xfId="5" applyFont="1" applyFill="1" applyBorder="1" applyAlignment="1">
      <alignment horizontal="center" vertical="center"/>
    </xf>
    <xf numFmtId="0" fontId="21" fillId="11" borderId="113" xfId="5" applyFont="1" applyFill="1" applyBorder="1" applyAlignment="1">
      <alignment horizontal="center" vertical="center"/>
    </xf>
    <xf numFmtId="0" fontId="21" fillId="11" borderId="100" xfId="5" applyFont="1" applyFill="1" applyBorder="1" applyAlignment="1">
      <alignment horizontal="center" vertical="center"/>
    </xf>
    <xf numFmtId="0" fontId="21" fillId="11" borderId="86" xfId="5" applyFont="1" applyFill="1" applyBorder="1" applyAlignment="1">
      <alignment horizontal="center" vertical="center"/>
    </xf>
    <xf numFmtId="0" fontId="21" fillId="11" borderId="108" xfId="5" applyFont="1" applyFill="1" applyBorder="1" applyAlignment="1">
      <alignment horizontal="center" vertical="center"/>
    </xf>
    <xf numFmtId="0" fontId="20" fillId="11" borderId="163" xfId="0" applyFont="1" applyFill="1" applyBorder="1">
      <alignment vertical="center"/>
    </xf>
    <xf numFmtId="0" fontId="25" fillId="11" borderId="164" xfId="0" applyFont="1" applyFill="1" applyBorder="1" applyAlignment="1">
      <alignment horizontal="center" vertical="center"/>
    </xf>
    <xf numFmtId="0" fontId="6" fillId="11" borderId="164" xfId="5" applyFont="1" applyFill="1" applyBorder="1" applyAlignment="1">
      <alignment horizontal="center" vertical="center" wrapText="1"/>
    </xf>
    <xf numFmtId="0" fontId="20" fillId="11" borderId="164" xfId="0" applyFont="1" applyFill="1" applyBorder="1">
      <alignment vertical="center"/>
    </xf>
    <xf numFmtId="0" fontId="6" fillId="11" borderId="165" xfId="5" applyFont="1" applyFill="1" applyBorder="1" applyAlignment="1">
      <alignment horizontal="center" vertical="center" wrapText="1"/>
    </xf>
    <xf numFmtId="0" fontId="6" fillId="11" borderId="163" xfId="5" applyFont="1" applyFill="1" applyBorder="1" applyAlignment="1">
      <alignment horizontal="center" vertical="center"/>
    </xf>
    <xf numFmtId="0" fontId="1" fillId="11" borderId="164" xfId="0" applyFont="1" applyFill="1" applyBorder="1" applyAlignment="1">
      <alignment horizontal="center" vertical="center"/>
    </xf>
    <xf numFmtId="0" fontId="6" fillId="11" borderId="164" xfId="5" applyFont="1" applyFill="1" applyBorder="1" applyAlignment="1">
      <alignment horizontal="center" vertical="center"/>
    </xf>
    <xf numFmtId="0" fontId="6" fillId="11" borderId="165" xfId="5" applyFont="1" applyFill="1" applyBorder="1" applyAlignment="1">
      <alignment horizontal="center" vertical="center"/>
    </xf>
    <xf numFmtId="0" fontId="6" fillId="8" borderId="100" xfId="5" applyFont="1" applyFill="1" applyBorder="1" applyAlignment="1">
      <alignment horizontal="center" vertical="center" wrapText="1"/>
    </xf>
    <xf numFmtId="0" fontId="6" fillId="8" borderId="86" xfId="5" applyFont="1" applyFill="1" applyBorder="1" applyAlignment="1">
      <alignment horizontal="center" vertical="center" wrapText="1"/>
    </xf>
    <xf numFmtId="0" fontId="28" fillId="0" borderId="36" xfId="0" applyFont="1" applyBorder="1" applyAlignment="1">
      <alignment horizontal="center" vertical="center"/>
    </xf>
    <xf numFmtId="0" fontId="21" fillId="8" borderId="84" xfId="5" applyFont="1" applyFill="1" applyBorder="1" applyAlignment="1">
      <alignment horizontal="center" vertical="center"/>
    </xf>
    <xf numFmtId="0" fontId="21" fillId="8" borderId="130" xfId="5" applyFont="1" applyFill="1" applyBorder="1" applyAlignment="1">
      <alignment horizontal="center" vertical="center"/>
    </xf>
    <xf numFmtId="0" fontId="21" fillId="8" borderId="96" xfId="5" applyFont="1" applyFill="1" applyBorder="1" applyAlignment="1">
      <alignment horizontal="center" vertical="center"/>
    </xf>
    <xf numFmtId="0" fontId="2" fillId="0" borderId="0" xfId="0" quotePrefix="1" applyFont="1">
      <alignment vertical="center"/>
    </xf>
    <xf numFmtId="14" fontId="2" fillId="0" borderId="0" xfId="0" applyNumberFormat="1" applyFont="1">
      <alignment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25" xfId="5" applyFont="1" applyBorder="1" applyAlignment="1">
      <alignment horizontal="center" vertical="center"/>
    </xf>
    <xf numFmtId="0" fontId="6" fillId="0" borderId="97" xfId="5" applyFont="1" applyBorder="1" applyAlignment="1">
      <alignment horizontal="center" vertical="center"/>
    </xf>
    <xf numFmtId="0" fontId="6" fillId="0" borderId="51" xfId="5" applyFont="1" applyBorder="1" applyAlignment="1">
      <alignment horizontal="center" vertical="center"/>
    </xf>
    <xf numFmtId="0" fontId="6" fillId="13" borderId="197" xfId="5" applyFont="1" applyFill="1" applyBorder="1" applyAlignment="1">
      <alignment horizontal="center" vertical="center" wrapText="1" shrinkToFit="1"/>
    </xf>
    <xf numFmtId="0" fontId="6" fillId="13" borderId="112" xfId="5" applyFont="1" applyFill="1" applyBorder="1" applyAlignment="1">
      <alignment horizontal="center" vertical="center" wrapText="1" shrinkToFit="1"/>
    </xf>
    <xf numFmtId="0" fontId="6" fillId="3" borderId="86" xfId="5" applyFont="1" applyFill="1" applyBorder="1" applyAlignment="1">
      <alignment horizontal="center" vertical="center"/>
    </xf>
    <xf numFmtId="0" fontId="6" fillId="3" borderId="86" xfId="5" applyFont="1" applyFill="1" applyBorder="1" applyAlignment="1">
      <alignment horizontal="center" vertical="center"/>
    </xf>
    <xf numFmtId="0" fontId="20" fillId="3" borderId="164" xfId="0" applyFont="1" applyFill="1" applyBorder="1" applyAlignment="1">
      <alignment horizontal="center" vertical="center"/>
    </xf>
    <xf numFmtId="0" fontId="20"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1" fillId="3" borderId="164" xfId="0" applyFont="1" applyFill="1" applyBorder="1" applyAlignment="1">
      <alignment horizontal="center" vertical="center"/>
    </xf>
    <xf numFmtId="0" fontId="0" fillId="0" borderId="0" xfId="0">
      <alignment vertical="center"/>
    </xf>
    <xf numFmtId="0" fontId="6" fillId="0" borderId="20" xfId="5" applyFont="1" applyBorder="1" applyAlignment="1">
      <alignment horizontal="center" vertical="center"/>
    </xf>
    <xf numFmtId="0" fontId="1" fillId="3" borderId="164" xfId="0" applyFont="1" applyFill="1" applyBorder="1" applyAlignment="1">
      <alignment horizontal="center" vertical="center"/>
    </xf>
    <xf numFmtId="0" fontId="5" fillId="3" borderId="22" xfId="5" applyFont="1" applyFill="1" applyBorder="1" applyAlignment="1">
      <alignment horizontal="center" vertical="center"/>
    </xf>
    <xf numFmtId="0" fontId="6" fillId="0" borderId="20" xfId="5" applyFont="1" applyBorder="1" applyAlignment="1">
      <alignment horizontal="center" vertical="center"/>
    </xf>
    <xf numFmtId="0" fontId="6" fillId="0" borderId="123"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0" borderId="124" xfId="5" applyFont="1" applyBorder="1" applyAlignment="1">
      <alignment horizontal="center" vertical="center"/>
    </xf>
    <xf numFmtId="0" fontId="6" fillId="0" borderId="25" xfId="5" applyFont="1" applyBorder="1" applyAlignment="1">
      <alignment horizontal="center" vertical="center"/>
    </xf>
    <xf numFmtId="0" fontId="5" fillId="0" borderId="25" xfId="5" applyFont="1" applyBorder="1" applyAlignment="1">
      <alignment horizontal="center" vertical="center"/>
    </xf>
    <xf numFmtId="0" fontId="6" fillId="0" borderId="126" xfId="5" applyFont="1" applyBorder="1" applyAlignment="1">
      <alignment horizontal="center" vertical="center"/>
    </xf>
    <xf numFmtId="0" fontId="6" fillId="0" borderId="122" xfId="5" applyFont="1" applyBorder="1" applyAlignment="1">
      <alignment horizontal="center" vertical="center"/>
    </xf>
    <xf numFmtId="0" fontId="6" fillId="0" borderId="97" xfId="5"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29" fillId="13" borderId="164" xfId="0" applyFont="1" applyFill="1" applyBorder="1" applyAlignment="1">
      <alignment horizontal="center" vertical="center" wrapText="1"/>
    </xf>
    <xf numFmtId="0" fontId="30" fillId="3" borderId="117" xfId="5" applyFont="1" applyFill="1" applyBorder="1" applyAlignment="1">
      <alignment horizontal="center" vertical="center" wrapText="1" shrinkToFit="1"/>
    </xf>
    <xf numFmtId="0" fontId="30" fillId="3" borderId="118" xfId="5" applyFont="1" applyFill="1" applyBorder="1" applyAlignment="1">
      <alignment horizontal="center" vertical="center" wrapText="1" shrinkToFit="1"/>
    </xf>
    <xf numFmtId="0" fontId="31" fillId="0" borderId="0" xfId="0" applyFont="1">
      <alignment vertical="center"/>
    </xf>
    <xf numFmtId="0" fontId="5" fillId="0" borderId="17" xfId="5" applyFont="1" applyBorder="1" applyAlignment="1">
      <alignment horizontal="center" vertical="center"/>
    </xf>
    <xf numFmtId="0" fontId="6" fillId="13" borderId="22" xfId="5" applyFont="1" applyFill="1" applyBorder="1" applyAlignment="1">
      <alignment horizontal="center" vertical="center" wrapText="1"/>
    </xf>
    <xf numFmtId="0" fontId="0" fillId="0" borderId="0" xfId="0" quotePrefix="1">
      <alignment vertical="center"/>
    </xf>
    <xf numFmtId="0" fontId="6" fillId="7" borderId="36" xfId="5" applyFont="1" applyFill="1" applyBorder="1" applyAlignment="1">
      <alignment horizontal="center" vertical="center"/>
    </xf>
    <xf numFmtId="0" fontId="6" fillId="0" borderId="125" xfId="5" applyFont="1" applyBorder="1" applyAlignment="1">
      <alignment horizontal="center" vertical="center"/>
    </xf>
    <xf numFmtId="0" fontId="6" fillId="0" borderId="124" xfId="5" applyFont="1" applyBorder="1" applyAlignment="1">
      <alignment horizontal="center" vertical="center"/>
    </xf>
    <xf numFmtId="0" fontId="6" fillId="11" borderId="108" xfId="5" applyFont="1" applyFill="1" applyBorder="1" applyAlignment="1">
      <alignment horizontal="center" vertical="center" shrinkToFit="1"/>
    </xf>
    <xf numFmtId="0" fontId="8" fillId="3" borderId="36" xfId="5" applyFont="1" applyFill="1" applyBorder="1" applyAlignment="1">
      <alignment horizontal="center" vertical="center"/>
    </xf>
    <xf numFmtId="0" fontId="8" fillId="12" borderId="36" xfId="5" applyFont="1" applyFill="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127" xfId="5"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25" xfId="5" applyFont="1" applyBorder="1" applyAlignment="1">
      <alignment horizontal="center" vertical="center"/>
    </xf>
    <xf numFmtId="0" fontId="6" fillId="0" borderId="97" xfId="5" applyFont="1" applyBorder="1" applyAlignment="1">
      <alignment horizontal="center" vertical="center"/>
    </xf>
    <xf numFmtId="0" fontId="5" fillId="0" borderId="125" xfId="5" applyFont="1" applyBorder="1" applyAlignment="1">
      <alignment horizontal="center" vertical="center"/>
    </xf>
    <xf numFmtId="0" fontId="6" fillId="0" borderId="17" xfId="5" applyFont="1" applyBorder="1" applyAlignment="1">
      <alignment horizontal="center" vertical="center"/>
    </xf>
    <xf numFmtId="0" fontId="5" fillId="0" borderId="172" xfId="5" applyFont="1" applyBorder="1" applyAlignment="1">
      <alignment horizontal="center" vertical="center"/>
    </xf>
    <xf numFmtId="0" fontId="5" fillId="0" borderId="171" xfId="5" applyFont="1" applyBorder="1" applyAlignment="1">
      <alignment horizontal="center" vertical="center"/>
    </xf>
    <xf numFmtId="0" fontId="20" fillId="0" borderId="174" xfId="0" applyFont="1" applyBorder="1" applyAlignment="1">
      <alignment horizontal="center" vertical="center"/>
    </xf>
    <xf numFmtId="0" fontId="22" fillId="0" borderId="176" xfId="0" applyFont="1" applyBorder="1" applyAlignment="1">
      <alignment horizontal="center" vertical="center"/>
    </xf>
    <xf numFmtId="0" fontId="20" fillId="0" borderId="172" xfId="0" applyFont="1" applyBorder="1" applyAlignment="1">
      <alignment horizontal="center" vertical="center"/>
    </xf>
    <xf numFmtId="0" fontId="22" fillId="0" borderId="196" xfId="0" applyFont="1" applyBorder="1" applyAlignment="1">
      <alignment horizontal="center" vertical="center"/>
    </xf>
    <xf numFmtId="0" fontId="6" fillId="0" borderId="172" xfId="5" applyFont="1" applyBorder="1" applyAlignment="1">
      <alignment horizontal="center" vertical="center"/>
    </xf>
    <xf numFmtId="0" fontId="6" fillId="0" borderId="196" xfId="5" applyFont="1" applyBorder="1" applyAlignment="1">
      <alignment horizontal="center" vertical="center"/>
    </xf>
    <xf numFmtId="0" fontId="5" fillId="0" borderId="166" xfId="5" applyFont="1" applyBorder="1" applyAlignment="1">
      <alignment horizontal="center" vertical="center"/>
    </xf>
    <xf numFmtId="0" fontId="6" fillId="14" borderId="57" xfId="5" applyFont="1" applyFill="1" applyBorder="1" applyAlignment="1">
      <alignment horizontal="center" vertical="center" wrapText="1"/>
    </xf>
    <xf numFmtId="0" fontId="6" fillId="14" borderId="56" xfId="5" applyFont="1" applyFill="1" applyBorder="1" applyAlignment="1">
      <alignment horizontal="center" vertical="center"/>
    </xf>
    <xf numFmtId="0" fontId="6" fillId="14" borderId="64" xfId="5" applyFont="1" applyFill="1" applyBorder="1" applyAlignment="1">
      <alignment horizontal="center" vertical="center"/>
    </xf>
    <xf numFmtId="0" fontId="6" fillId="0" borderId="171" xfId="5" applyFont="1" applyBorder="1" applyAlignment="1">
      <alignment horizontal="center" vertical="center"/>
    </xf>
    <xf numFmtId="0" fontId="6" fillId="0" borderId="167" xfId="5" applyFont="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127" xfId="5" applyFont="1" applyBorder="1" applyAlignment="1">
      <alignment horizontal="center" vertical="center"/>
    </xf>
    <xf numFmtId="0" fontId="6" fillId="0" borderId="123" xfId="5" applyFont="1" applyBorder="1" applyAlignment="1">
      <alignment horizontal="center" vertical="center"/>
    </xf>
    <xf numFmtId="0" fontId="6" fillId="0" borderId="106" xfId="5" applyFont="1" applyBorder="1" applyAlignment="1">
      <alignment horizontal="center" vertical="center"/>
    </xf>
    <xf numFmtId="0" fontId="6" fillId="8" borderId="205" xfId="5" applyFont="1" applyFill="1" applyBorder="1" applyAlignment="1">
      <alignment vertical="center"/>
    </xf>
    <xf numFmtId="0" fontId="6" fillId="8" borderId="205" xfId="5" applyFont="1" applyFill="1" applyBorder="1" applyAlignment="1">
      <alignment vertical="center" wrapText="1"/>
    </xf>
    <xf numFmtId="0" fontId="6" fillId="8" borderId="208" xfId="5" applyFont="1" applyFill="1" applyBorder="1" applyAlignment="1">
      <alignment vertical="center"/>
    </xf>
    <xf numFmtId="0" fontId="6" fillId="8" borderId="209" xfId="5" applyFont="1" applyFill="1" applyBorder="1" applyAlignment="1">
      <alignment horizontal="center" vertical="center"/>
    </xf>
    <xf numFmtId="14" fontId="6" fillId="0" borderId="8" xfId="5" applyNumberFormat="1" applyFont="1" applyBorder="1" applyAlignment="1">
      <alignment horizontal="center" vertical="center"/>
    </xf>
    <xf numFmtId="0" fontId="6" fillId="3" borderId="208" xfId="5" applyFont="1" applyFill="1" applyBorder="1" applyAlignment="1">
      <alignment horizontal="center" vertical="center"/>
    </xf>
    <xf numFmtId="0" fontId="6" fillId="6" borderId="208" xfId="5" applyFont="1" applyFill="1" applyBorder="1" applyAlignment="1">
      <alignment horizontal="center" vertical="center"/>
    </xf>
    <xf numFmtId="0" fontId="6" fillId="6" borderId="209" xfId="5" applyFont="1" applyFill="1" applyBorder="1" applyAlignment="1">
      <alignment horizontal="center" vertical="center"/>
    </xf>
    <xf numFmtId="0" fontId="6" fillId="3" borderId="203" xfId="5" applyFont="1" applyFill="1" applyBorder="1" applyAlignment="1">
      <alignment horizontal="center" vertical="center"/>
    </xf>
    <xf numFmtId="0" fontId="6" fillId="3" borderId="111" xfId="5" applyFont="1" applyFill="1" applyBorder="1" applyAlignment="1">
      <alignment horizontal="center" vertical="center"/>
    </xf>
    <xf numFmtId="0" fontId="6" fillId="3" borderId="105" xfId="5" applyFont="1" applyFill="1" applyBorder="1" applyAlignment="1">
      <alignment horizontal="center" vertical="center"/>
    </xf>
    <xf numFmtId="0" fontId="6" fillId="3" borderId="205" xfId="5" applyFont="1" applyFill="1" applyBorder="1" applyAlignment="1">
      <alignment vertical="center" wrapText="1"/>
    </xf>
    <xf numFmtId="0" fontId="36" fillId="3" borderId="205" xfId="5" applyFont="1" applyFill="1" applyBorder="1" applyAlignment="1">
      <alignment vertical="center" wrapText="1"/>
    </xf>
    <xf numFmtId="0" fontId="36" fillId="3" borderId="208" xfId="5" applyFont="1" applyFill="1" applyBorder="1" applyAlignment="1">
      <alignment vertical="center" wrapText="1"/>
    </xf>
    <xf numFmtId="0" fontId="6" fillId="3" borderId="20" xfId="5" applyFont="1" applyFill="1" applyBorder="1" applyAlignment="1">
      <alignment horizontal="center" vertical="center"/>
    </xf>
    <xf numFmtId="0" fontId="5" fillId="3" borderId="36" xfId="5" applyFont="1" applyFill="1" applyBorder="1" applyAlignment="1">
      <alignment horizontal="center" vertical="center"/>
    </xf>
    <xf numFmtId="0" fontId="37" fillId="3" borderId="97" xfId="5" applyFont="1" applyFill="1" applyBorder="1" applyAlignment="1">
      <alignment horizontal="center" vertical="center"/>
    </xf>
    <xf numFmtId="0" fontId="37" fillId="3" borderId="20" xfId="5" applyFont="1" applyFill="1" applyBorder="1" applyAlignment="1">
      <alignment horizontal="center" vertical="center"/>
    </xf>
    <xf numFmtId="0" fontId="37" fillId="3" borderId="120" xfId="5" applyFont="1" applyFill="1" applyBorder="1" applyAlignment="1">
      <alignment horizontal="center" vertical="center"/>
    </xf>
    <xf numFmtId="0" fontId="37" fillId="3" borderId="25" xfId="5" applyFont="1" applyFill="1" applyBorder="1" applyAlignment="1">
      <alignment horizontal="center" vertical="center"/>
    </xf>
    <xf numFmtId="0" fontId="37" fillId="3" borderId="106" xfId="5" applyFont="1" applyFill="1" applyBorder="1" applyAlignment="1">
      <alignment horizontal="center" vertical="center"/>
    </xf>
    <xf numFmtId="0" fontId="37" fillId="3" borderId="21" xfId="5" applyFont="1" applyFill="1" applyBorder="1" applyAlignment="1">
      <alignment horizontal="center" vertical="center"/>
    </xf>
    <xf numFmtId="0" fontId="0" fillId="0" borderId="0" xfId="0" applyAlignment="1">
      <alignment horizontal="left" vertical="center"/>
    </xf>
    <xf numFmtId="42" fontId="30" fillId="6" borderId="109" xfId="5" applyNumberFormat="1" applyFont="1" applyFill="1" applyBorder="1" applyAlignment="1">
      <alignment horizontal="center" vertical="center" wrapText="1"/>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126" xfId="5" applyFont="1" applyBorder="1" applyAlignment="1">
      <alignment horizontal="center" vertical="center"/>
    </xf>
    <xf numFmtId="0" fontId="38" fillId="15" borderId="0" xfId="0" applyFont="1" applyFill="1" applyAlignment="1">
      <alignment horizontal="center" vertical="center"/>
    </xf>
    <xf numFmtId="0" fontId="38" fillId="15" borderId="0" xfId="0" applyFont="1" applyFill="1">
      <alignment vertical="center"/>
    </xf>
    <xf numFmtId="0" fontId="39" fillId="15" borderId="0" xfId="0" applyFont="1" applyFill="1" applyAlignment="1">
      <alignment horizontal="center" vertical="center"/>
    </xf>
    <xf numFmtId="0" fontId="40" fillId="0" borderId="0" xfId="0" applyFont="1" applyAlignment="1">
      <alignment horizontal="center" vertical="center"/>
    </xf>
    <xf numFmtId="0" fontId="40" fillId="0" borderId="0" xfId="0" applyFont="1">
      <alignment vertical="center"/>
    </xf>
    <xf numFmtId="0" fontId="41" fillId="0" borderId="0" xfId="0" applyFont="1" applyAlignment="1">
      <alignment horizontal="center" vertical="center"/>
    </xf>
    <xf numFmtId="0" fontId="41" fillId="0" borderId="7" xfId="0" applyFont="1" applyBorder="1" applyAlignment="1">
      <alignment horizontal="left" vertical="center"/>
    </xf>
    <xf numFmtId="0" fontId="41" fillId="0" borderId="7" xfId="0" applyFont="1" applyBorder="1" applyAlignment="1">
      <alignment horizontal="center" vertical="center"/>
    </xf>
    <xf numFmtId="0" fontId="41" fillId="0" borderId="7" xfId="0" applyFont="1" applyBorder="1" applyAlignment="1">
      <alignment vertical="center"/>
    </xf>
    <xf numFmtId="0" fontId="41" fillId="0" borderId="56" xfId="0" applyFont="1" applyBorder="1" applyAlignment="1">
      <alignment horizontal="right" vertical="center"/>
    </xf>
    <xf numFmtId="0" fontId="41" fillId="0" borderId="7" xfId="0" applyFont="1" applyBorder="1" applyAlignment="1">
      <alignment horizontal="right" vertical="center"/>
    </xf>
    <xf numFmtId="0" fontId="6" fillId="0" borderId="2" xfId="0" applyFont="1" applyBorder="1" applyAlignment="1">
      <alignment horizontal="left" vertical="center"/>
    </xf>
    <xf numFmtId="0" fontId="41" fillId="0" borderId="2" xfId="0" applyFont="1" applyBorder="1" applyAlignment="1">
      <alignment vertical="center"/>
    </xf>
    <xf numFmtId="0" fontId="6" fillId="0" borderId="3" xfId="0" applyFont="1" applyBorder="1" applyAlignment="1">
      <alignment horizontal="center" vertical="center"/>
    </xf>
    <xf numFmtId="0" fontId="41" fillId="0" borderId="60" xfId="0" applyFont="1" applyBorder="1" applyAlignment="1">
      <alignment horizontal="center" vertical="center"/>
    </xf>
    <xf numFmtId="0" fontId="41" fillId="0" borderId="170" xfId="0" applyFont="1" applyBorder="1" applyAlignment="1">
      <alignment horizontal="center" vertical="center"/>
    </xf>
    <xf numFmtId="0" fontId="41" fillId="0" borderId="4" xfId="0" applyFont="1" applyBorder="1" applyAlignment="1">
      <alignment vertical="center"/>
    </xf>
    <xf numFmtId="0" fontId="41" fillId="0" borderId="4" xfId="0" applyFont="1" applyBorder="1" applyAlignment="1">
      <alignment horizontal="right" vertical="center"/>
    </xf>
    <xf numFmtId="0" fontId="6" fillId="0" borderId="4" xfId="0" applyFont="1" applyBorder="1" applyAlignment="1">
      <alignment horizontal="right" vertical="center"/>
    </xf>
    <xf numFmtId="0" fontId="6" fillId="0" borderId="9" xfId="0" applyFont="1" applyBorder="1" applyAlignment="1">
      <alignment horizontal="center" vertical="center"/>
    </xf>
    <xf numFmtId="0" fontId="40" fillId="0" borderId="0" xfId="0" applyFont="1" applyAlignment="1">
      <alignment horizontal="left" vertical="center"/>
    </xf>
    <xf numFmtId="0" fontId="41" fillId="0" borderId="226" xfId="0" applyFont="1" applyBorder="1" applyAlignment="1">
      <alignment horizontal="center" vertical="center"/>
    </xf>
    <xf numFmtId="0" fontId="41" fillId="0" borderId="4" xfId="0" applyFont="1" applyBorder="1" applyAlignment="1">
      <alignment horizontal="center" vertical="center"/>
    </xf>
    <xf numFmtId="0" fontId="41" fillId="0" borderId="9" xfId="0" applyFont="1" applyFill="1" applyBorder="1" applyAlignment="1">
      <alignment horizontal="center" vertical="center"/>
    </xf>
    <xf numFmtId="0" fontId="6" fillId="0" borderId="227" xfId="0" applyFont="1" applyBorder="1" applyAlignment="1">
      <alignment horizontal="center" vertical="center"/>
    </xf>
    <xf numFmtId="0" fontId="6" fillId="0" borderId="23" xfId="0" applyFont="1" applyBorder="1" applyAlignment="1">
      <alignment horizontal="center" vertical="center"/>
    </xf>
    <xf numFmtId="0" fontId="6" fillId="0" borderId="25" xfId="0" applyFont="1" applyFill="1" applyBorder="1" applyAlignment="1">
      <alignment horizontal="center" vertical="center"/>
    </xf>
    <xf numFmtId="0" fontId="6" fillId="0" borderId="26" xfId="0" applyFont="1" applyBorder="1" applyAlignment="1">
      <alignment horizontal="center" vertical="center"/>
    </xf>
    <xf numFmtId="0" fontId="6" fillId="0" borderId="19" xfId="0" applyFont="1" applyBorder="1" applyAlignment="1">
      <alignment horizontal="center" vertical="center"/>
    </xf>
    <xf numFmtId="0" fontId="6" fillId="3" borderId="20"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59" xfId="0" applyFont="1" applyFill="1" applyBorder="1" applyAlignment="1">
      <alignment vertical="center"/>
    </xf>
    <xf numFmtId="0" fontId="6" fillId="3" borderId="66" xfId="0" applyFont="1" applyFill="1" applyBorder="1" applyAlignment="1">
      <alignment vertical="center"/>
    </xf>
    <xf numFmtId="0" fontId="6" fillId="3" borderId="66" xfId="0" applyFont="1" applyFill="1" applyBorder="1" applyAlignment="1">
      <alignment vertical="center" wrapText="1"/>
    </xf>
    <xf numFmtId="0" fontId="6" fillId="3" borderId="70" xfId="0" applyFont="1" applyFill="1" applyBorder="1" applyAlignment="1">
      <alignment vertical="center" wrapText="1"/>
    </xf>
    <xf numFmtId="0" fontId="6" fillId="3" borderId="44" xfId="0" applyFont="1" applyFill="1" applyBorder="1" applyAlignment="1">
      <alignment horizontal="center" vertical="center"/>
    </xf>
    <xf numFmtId="0" fontId="44" fillId="0" borderId="0" xfId="0" applyFont="1" applyAlignment="1">
      <alignment horizontal="center" vertical="center"/>
    </xf>
    <xf numFmtId="0" fontId="6" fillId="0" borderId="22" xfId="0" applyFont="1" applyBorder="1" applyAlignment="1">
      <alignment horizontal="center" vertical="center"/>
    </xf>
    <xf numFmtId="0" fontId="6" fillId="0" borderId="173" xfId="0" applyFont="1" applyBorder="1" applyAlignment="1">
      <alignment horizontal="center" vertical="center"/>
    </xf>
    <xf numFmtId="0" fontId="6" fillId="0" borderId="172" xfId="0" applyFont="1" applyBorder="1" applyAlignment="1">
      <alignment horizontal="center" vertical="center"/>
    </xf>
    <xf numFmtId="0" fontId="6" fillId="3" borderId="236" xfId="0" applyFont="1" applyFill="1" applyBorder="1" applyAlignment="1">
      <alignment horizontal="center" vertical="center"/>
    </xf>
    <xf numFmtId="0" fontId="6" fillId="3" borderId="240" xfId="0" applyFont="1" applyFill="1" applyBorder="1" applyAlignment="1">
      <alignment horizontal="center" vertical="center"/>
    </xf>
    <xf numFmtId="0" fontId="6" fillId="7" borderId="240" xfId="0" applyFont="1" applyFill="1" applyBorder="1" applyAlignment="1">
      <alignment horizontal="center" vertical="center"/>
    </xf>
    <xf numFmtId="0" fontId="6" fillId="7" borderId="236" xfId="0" applyFont="1" applyFill="1"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6" fillId="0" borderId="25" xfId="0" applyFont="1" applyBorder="1" applyAlignment="1">
      <alignment horizontal="center" vertical="center"/>
    </xf>
    <xf numFmtId="0" fontId="6" fillId="0" borderId="21" xfId="0" applyFont="1" applyBorder="1" applyAlignment="1">
      <alignment horizontal="center" vertical="center"/>
    </xf>
    <xf numFmtId="0" fontId="6" fillId="0" borderId="127" xfId="5" applyFont="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0" borderId="20" xfId="0" applyFont="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0" borderId="174" xfId="0" applyFont="1" applyBorder="1" applyAlignment="1">
      <alignment horizontal="center" vertical="center"/>
    </xf>
    <xf numFmtId="0" fontId="6" fillId="0" borderId="192" xfId="0" applyFont="1" applyBorder="1" applyAlignment="1">
      <alignment horizontal="center" vertical="center"/>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6" fillId="0" borderId="97" xfId="5" applyFont="1" applyBorder="1" applyAlignment="1">
      <alignment horizontal="center" vertical="center"/>
    </xf>
    <xf numFmtId="0" fontId="6" fillId="0" borderId="122" xfId="5" applyFont="1" applyBorder="1" applyAlignment="1">
      <alignment horizontal="center" vertical="center"/>
    </xf>
    <xf numFmtId="0" fontId="6" fillId="0" borderId="126" xfId="5" applyFont="1" applyBorder="1" applyAlignment="1">
      <alignment horizontal="center" vertical="center"/>
    </xf>
    <xf numFmtId="0" fontId="5" fillId="0" borderId="126" xfId="5" applyFont="1" applyFill="1" applyBorder="1" applyAlignment="1">
      <alignment horizontal="center" vertical="center"/>
    </xf>
    <xf numFmtId="0" fontId="0" fillId="0" borderId="17" xfId="0" applyBorder="1" applyAlignment="1">
      <alignment horizontal="center" vertical="center"/>
    </xf>
    <xf numFmtId="0" fontId="6" fillId="0" borderId="20" xfId="5" applyFont="1" applyBorder="1" applyAlignment="1">
      <alignment horizontal="center" vertical="center"/>
    </xf>
    <xf numFmtId="0" fontId="6" fillId="0" borderId="25" xfId="5" applyFont="1" applyBorder="1" applyAlignment="1">
      <alignment horizontal="center" vertical="center"/>
    </xf>
    <xf numFmtId="0" fontId="0" fillId="0" borderId="0" xfId="0" applyAlignment="1">
      <alignment horizontal="center" vertical="center"/>
    </xf>
    <xf numFmtId="0" fontId="0" fillId="0" borderId="0" xfId="0" applyFill="1" applyBorder="1">
      <alignment vertical="center"/>
    </xf>
    <xf numFmtId="0" fontId="0" fillId="0" borderId="17" xfId="0" applyBorder="1" applyAlignment="1">
      <alignment vertical="center"/>
    </xf>
    <xf numFmtId="0" fontId="6" fillId="0" borderId="17" xfId="5" applyFont="1" applyBorder="1" applyAlignment="1">
      <alignment horizontal="center" vertical="center"/>
    </xf>
    <xf numFmtId="0" fontId="6" fillId="8" borderId="83" xfId="5" applyFont="1" applyFill="1" applyBorder="1" applyAlignment="1">
      <alignment horizontal="center" vertical="center" wrapText="1" shrinkToFit="1"/>
    </xf>
    <xf numFmtId="0" fontId="5" fillId="0" borderId="126" xfId="5" applyFont="1" applyBorder="1" applyAlignment="1">
      <alignment horizontal="center" vertical="center"/>
    </xf>
    <xf numFmtId="0" fontId="9" fillId="0" borderId="0" xfId="5" applyFont="1" applyBorder="1" applyAlignment="1">
      <alignment horizontal="center" vertical="center"/>
    </xf>
    <xf numFmtId="0" fontId="6" fillId="0" borderId="0" xfId="5" applyFont="1" applyBorder="1" applyAlignment="1">
      <alignment horizontal="center" vertical="center"/>
    </xf>
    <xf numFmtId="14" fontId="6" fillId="0" borderId="0" xfId="5" applyNumberFormat="1" applyFont="1" applyBorder="1" applyAlignment="1">
      <alignment horizontal="center" vertical="center"/>
    </xf>
    <xf numFmtId="0" fontId="8" fillId="0" borderId="0" xfId="5" applyFont="1" applyBorder="1" applyAlignment="1">
      <alignment horizontal="center" vertical="center"/>
    </xf>
    <xf numFmtId="0" fontId="6" fillId="0" borderId="0" xfId="5" applyFont="1" applyFill="1" applyBorder="1" applyAlignment="1">
      <alignment horizontal="center" vertical="center"/>
    </xf>
    <xf numFmtId="0" fontId="5" fillId="0" borderId="0" xfId="5" applyFont="1" applyBorder="1" applyAlignment="1">
      <alignment horizontal="center" vertical="center"/>
    </xf>
    <xf numFmtId="0" fontId="5" fillId="0" borderId="0" xfId="5" applyFont="1" applyFill="1" applyBorder="1" applyAlignment="1">
      <alignment horizontal="center" vertical="center"/>
    </xf>
    <xf numFmtId="0" fontId="6" fillId="3" borderId="220" xfId="5" applyFont="1" applyFill="1" applyBorder="1" applyAlignment="1">
      <alignment vertical="center" wrapText="1"/>
    </xf>
    <xf numFmtId="0" fontId="1" fillId="0" borderId="126" xfId="0" applyFont="1" applyBorder="1" applyAlignment="1">
      <alignment horizontal="center" vertical="center"/>
    </xf>
    <xf numFmtId="0" fontId="6" fillId="3" borderId="22" xfId="5" applyFont="1" applyFill="1" applyBorder="1" applyAlignment="1">
      <alignment horizontal="center" vertical="center"/>
    </xf>
    <xf numFmtId="0" fontId="6" fillId="3" borderId="32" xfId="5" applyFont="1" applyFill="1" applyBorder="1" applyAlignment="1">
      <alignment vertical="center"/>
    </xf>
    <xf numFmtId="0" fontId="5" fillId="3" borderId="51" xfId="5" applyFont="1" applyFill="1" applyBorder="1" applyAlignment="1">
      <alignment horizontal="center" vertical="center"/>
    </xf>
    <xf numFmtId="0" fontId="5" fillId="0" borderId="202" xfId="5" applyFont="1" applyBorder="1" applyAlignment="1">
      <alignment horizontal="center" vertical="center"/>
    </xf>
    <xf numFmtId="0" fontId="34" fillId="3" borderId="221" xfId="5" applyFont="1" applyFill="1" applyBorder="1" applyAlignment="1">
      <alignment horizontal="center" vertical="center" wrapText="1"/>
    </xf>
    <xf numFmtId="0" fontId="6" fillId="3" borderId="196" xfId="5" applyFont="1" applyFill="1" applyBorder="1" applyAlignment="1">
      <alignment vertical="center"/>
    </xf>
    <xf numFmtId="0" fontId="19" fillId="3" borderId="133" xfId="0" applyFont="1" applyFill="1" applyBorder="1" applyAlignment="1">
      <alignment vertical="center"/>
    </xf>
    <xf numFmtId="0" fontId="19" fillId="3" borderId="202" xfId="0" applyFont="1" applyFill="1" applyBorder="1" applyAlignment="1">
      <alignment vertical="center"/>
    </xf>
    <xf numFmtId="0" fontId="2" fillId="0" borderId="0" xfId="0" applyFont="1" applyAlignment="1">
      <alignment horizontal="center" vertical="center"/>
    </xf>
    <xf numFmtId="0" fontId="22" fillId="0" borderId="17" xfId="0" applyFont="1" applyBorder="1" applyAlignment="1">
      <alignment horizontal="center" vertical="center"/>
    </xf>
    <xf numFmtId="0" fontId="22" fillId="0" borderId="0" xfId="0" applyFont="1" applyBorder="1" applyAlignment="1">
      <alignment horizontal="center" vertical="center"/>
    </xf>
    <xf numFmtId="0" fontId="22" fillId="0" borderId="42" xfId="0" applyFont="1" applyBorder="1" applyAlignment="1">
      <alignment horizontal="center" vertical="center"/>
    </xf>
    <xf numFmtId="0" fontId="2" fillId="0" borderId="13" xfId="0" applyFont="1" applyBorder="1" applyAlignment="1">
      <alignment horizontal="center" vertical="center"/>
    </xf>
    <xf numFmtId="0" fontId="2" fillId="0" borderId="44" xfId="0" applyFont="1" applyBorder="1" applyAlignment="1">
      <alignment horizontal="center" vertical="center"/>
    </xf>
    <xf numFmtId="0" fontId="2" fillId="0" borderId="14" xfId="0" applyFont="1" applyBorder="1" applyAlignment="1">
      <alignment horizontal="center" vertical="center"/>
    </xf>
    <xf numFmtId="0" fontId="2" fillId="0" borderId="45" xfId="0" applyFont="1" applyBorder="1" applyAlignment="1">
      <alignment horizontal="center" vertical="center"/>
    </xf>
    <xf numFmtId="0" fontId="6" fillId="2" borderId="37" xfId="5" applyFont="1" applyFill="1" applyBorder="1" applyAlignment="1">
      <alignment horizontal="center" vertical="center"/>
    </xf>
    <xf numFmtId="0" fontId="6" fillId="2" borderId="46" xfId="5" applyFont="1" applyFill="1" applyBorder="1" applyAlignment="1">
      <alignment horizontal="center" vertical="center"/>
    </xf>
    <xf numFmtId="0" fontId="6" fillId="2" borderId="39" xfId="5" applyFont="1" applyFill="1" applyBorder="1" applyAlignment="1">
      <alignment horizontal="center" vertical="center"/>
    </xf>
    <xf numFmtId="0" fontId="6" fillId="2" borderId="50" xfId="5" applyFont="1" applyFill="1" applyBorder="1" applyAlignment="1">
      <alignment horizontal="center" vertical="center"/>
    </xf>
    <xf numFmtId="0" fontId="6" fillId="2" borderId="47" xfId="5" applyFont="1" applyFill="1" applyBorder="1" applyAlignment="1">
      <alignment horizontal="center" vertical="center"/>
    </xf>
    <xf numFmtId="0" fontId="6" fillId="2" borderId="48" xfId="5" applyFont="1" applyFill="1" applyBorder="1" applyAlignment="1">
      <alignment horizontal="center" vertical="center"/>
    </xf>
    <xf numFmtId="0" fontId="2" fillId="3" borderId="13" xfId="0" applyFont="1" applyFill="1" applyBorder="1" applyAlignment="1">
      <alignment horizontal="center" vertical="center"/>
    </xf>
    <xf numFmtId="0" fontId="2" fillId="3" borderId="43" xfId="0" applyFont="1" applyFill="1" applyBorder="1" applyAlignment="1">
      <alignment horizontal="center" vertical="center"/>
    </xf>
    <xf numFmtId="0" fontId="2" fillId="3" borderId="44"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41" xfId="0" applyFont="1" applyFill="1" applyBorder="1" applyAlignment="1">
      <alignment horizontal="center" vertical="center"/>
    </xf>
    <xf numFmtId="0" fontId="2" fillId="3" borderId="45" xfId="0" applyFont="1" applyFill="1" applyBorder="1" applyAlignment="1">
      <alignment horizontal="center" vertical="center"/>
    </xf>
    <xf numFmtId="0" fontId="6" fillId="2" borderId="18" xfId="5" applyFont="1" applyFill="1" applyBorder="1" applyAlignment="1">
      <alignment horizontal="center" vertical="center"/>
    </xf>
    <xf numFmtId="0" fontId="6" fillId="2" borderId="11" xfId="5" applyFont="1" applyFill="1" applyBorder="1" applyAlignment="1">
      <alignment horizontal="center" vertical="center"/>
    </xf>
    <xf numFmtId="0" fontId="6" fillId="2" borderId="10" xfId="5" applyFont="1" applyFill="1" applyBorder="1" applyAlignment="1">
      <alignment horizontal="center" vertical="center"/>
    </xf>
    <xf numFmtId="0" fontId="6" fillId="2" borderId="33" xfId="5" applyFont="1" applyFill="1" applyBorder="1" applyAlignment="1">
      <alignment horizontal="center" vertical="center"/>
    </xf>
    <xf numFmtId="0" fontId="6" fillId="2" borderId="34" xfId="5" applyFont="1" applyFill="1" applyBorder="1" applyAlignment="1">
      <alignment horizontal="center" vertical="center"/>
    </xf>
    <xf numFmtId="0" fontId="7" fillId="2" borderId="18" xfId="5" applyFont="1" applyFill="1" applyBorder="1" applyAlignment="1">
      <alignment horizontal="center" vertical="center"/>
    </xf>
    <xf numFmtId="0" fontId="7" fillId="2" borderId="11" xfId="5" applyFont="1" applyFill="1" applyBorder="1" applyAlignment="1">
      <alignment horizontal="center" vertical="center"/>
    </xf>
    <xf numFmtId="0" fontId="7" fillId="2" borderId="10" xfId="5" applyFont="1" applyFill="1" applyBorder="1" applyAlignment="1">
      <alignment horizontal="center" vertical="center"/>
    </xf>
    <xf numFmtId="0" fontId="6" fillId="2" borderId="12" xfId="5" applyFont="1" applyFill="1" applyBorder="1" applyAlignment="1">
      <alignment horizontal="center" vertical="center"/>
    </xf>
    <xf numFmtId="0" fontId="6" fillId="2" borderId="15" xfId="5" applyFont="1" applyFill="1" applyBorder="1" applyAlignment="1">
      <alignment horizontal="center" vertical="center"/>
    </xf>
    <xf numFmtId="0" fontId="6" fillId="2" borderId="16" xfId="5" applyFont="1" applyFill="1" applyBorder="1" applyAlignment="1">
      <alignment horizontal="center" vertical="center"/>
    </xf>
    <xf numFmtId="0" fontId="2" fillId="0" borderId="17" xfId="0" applyFont="1" applyBorder="1" applyAlignment="1">
      <alignment horizontal="center" vertical="center"/>
    </xf>
    <xf numFmtId="0" fontId="2" fillId="0" borderId="42" xfId="0" applyFont="1" applyBorder="1" applyAlignment="1">
      <alignment horizontal="center" vertical="center"/>
    </xf>
    <xf numFmtId="0" fontId="6" fillId="2" borderId="49" xfId="5" applyFont="1" applyFill="1" applyBorder="1" applyAlignment="1">
      <alignment horizontal="center" vertical="center"/>
    </xf>
    <xf numFmtId="0" fontId="6" fillId="2" borderId="27" xfId="5" applyFont="1" applyFill="1" applyBorder="1" applyAlignment="1">
      <alignment horizontal="center" vertical="center"/>
    </xf>
    <xf numFmtId="0" fontId="6" fillId="2" borderId="40" xfId="5" applyFont="1" applyFill="1" applyBorder="1" applyAlignment="1">
      <alignment horizontal="center" vertical="center"/>
    </xf>
    <xf numFmtId="0" fontId="22" fillId="0" borderId="36" xfId="0" applyFont="1" applyBorder="1" applyAlignment="1">
      <alignment horizontal="center" vertical="center"/>
    </xf>
    <xf numFmtId="0" fontId="22" fillId="0" borderId="32" xfId="0" applyFont="1" applyBorder="1" applyAlignment="1">
      <alignment horizontal="center" vertical="center"/>
    </xf>
    <xf numFmtId="0" fontId="22" fillId="0" borderId="51" xfId="0" applyFont="1" applyBorder="1" applyAlignment="1">
      <alignment horizontal="center" vertical="center"/>
    </xf>
    <xf numFmtId="0" fontId="22" fillId="0" borderId="13" xfId="0" applyFont="1" applyBorder="1" applyAlignment="1">
      <alignment horizontal="center" vertical="center"/>
    </xf>
    <xf numFmtId="0" fontId="22" fillId="0" borderId="43" xfId="0" applyFont="1" applyBorder="1" applyAlignment="1">
      <alignment horizontal="center" vertical="center"/>
    </xf>
    <xf numFmtId="0" fontId="22" fillId="0" borderId="44" xfId="0" applyFont="1" applyBorder="1" applyAlignment="1">
      <alignment horizontal="center" vertical="center"/>
    </xf>
    <xf numFmtId="0" fontId="22" fillId="0" borderId="14" xfId="0" applyFont="1" applyBorder="1" applyAlignment="1">
      <alignment horizontal="left" vertical="center"/>
    </xf>
    <xf numFmtId="0" fontId="22" fillId="0" borderId="41" xfId="0" applyFont="1" applyBorder="1" applyAlignment="1">
      <alignment horizontal="left" vertical="center"/>
    </xf>
    <xf numFmtId="0" fontId="22" fillId="0" borderId="45" xfId="0" applyFont="1" applyBorder="1" applyAlignment="1">
      <alignment horizontal="left" vertical="center"/>
    </xf>
    <xf numFmtId="0" fontId="22" fillId="0" borderId="17" xfId="0" applyFont="1" applyBorder="1" applyAlignment="1">
      <alignment horizontal="left" vertical="center"/>
    </xf>
    <xf numFmtId="0" fontId="22" fillId="0" borderId="0" xfId="0" applyFont="1" applyBorder="1" applyAlignment="1">
      <alignment horizontal="left" vertical="center"/>
    </xf>
    <xf numFmtId="0" fontId="22" fillId="0" borderId="42" xfId="0" applyFont="1" applyBorder="1" applyAlignment="1">
      <alignment horizontal="left" vertical="center"/>
    </xf>
    <xf numFmtId="0" fontId="22" fillId="0" borderId="14" xfId="0" applyFont="1" applyBorder="1" applyAlignment="1">
      <alignment horizontal="center" vertical="center"/>
    </xf>
    <xf numFmtId="0" fontId="22" fillId="0" borderId="41" xfId="0" applyFont="1" applyBorder="1" applyAlignment="1">
      <alignment horizontal="center" vertical="center"/>
    </xf>
    <xf numFmtId="0" fontId="22" fillId="0" borderId="45" xfId="0" applyFont="1" applyBorder="1" applyAlignment="1">
      <alignment horizontal="center" vertical="center"/>
    </xf>
    <xf numFmtId="0" fontId="22" fillId="3" borderId="17" xfId="0" applyFont="1" applyFill="1" applyBorder="1" applyAlignment="1">
      <alignment horizontal="center" vertical="center"/>
    </xf>
    <xf numFmtId="0" fontId="22" fillId="3" borderId="0" xfId="0" applyFont="1" applyFill="1" applyBorder="1" applyAlignment="1">
      <alignment horizontal="center" vertical="center"/>
    </xf>
    <xf numFmtId="0" fontId="22" fillId="3" borderId="42" xfId="0" applyFont="1" applyFill="1" applyBorder="1" applyAlignment="1">
      <alignment horizontal="center" vertical="center"/>
    </xf>
    <xf numFmtId="0" fontId="22" fillId="3" borderId="17" xfId="0" applyFont="1" applyFill="1" applyBorder="1" applyAlignment="1">
      <alignment horizontal="left" vertical="center"/>
    </xf>
    <xf numFmtId="0" fontId="22" fillId="3" borderId="0" xfId="0" applyFont="1" applyFill="1" applyBorder="1" applyAlignment="1">
      <alignment horizontal="left" vertical="center"/>
    </xf>
    <xf numFmtId="0" fontId="22" fillId="3" borderId="42" xfId="0" applyFont="1" applyFill="1" applyBorder="1" applyAlignment="1">
      <alignment horizontal="left" vertical="center"/>
    </xf>
    <xf numFmtId="0" fontId="2" fillId="0" borderId="62" xfId="0" applyFont="1" applyBorder="1" applyAlignment="1">
      <alignment horizontal="center" vertical="center"/>
    </xf>
    <xf numFmtId="0" fontId="2" fillId="0" borderId="133" xfId="0" applyFont="1" applyBorder="1" applyAlignment="1">
      <alignment horizontal="center" vertical="center"/>
    </xf>
    <xf numFmtId="0" fontId="2" fillId="0" borderId="35" xfId="0" applyFont="1" applyBorder="1" applyAlignment="1">
      <alignment horizontal="center" vertical="center"/>
    </xf>
    <xf numFmtId="0" fontId="2" fillId="0" borderId="2" xfId="0" applyFont="1" applyBorder="1" applyAlignment="1">
      <alignment horizontal="center" vertical="center"/>
    </xf>
    <xf numFmtId="0" fontId="2" fillId="12" borderId="171" xfId="0" applyFont="1" applyFill="1" applyBorder="1" applyAlignment="1">
      <alignment horizontal="center" vertical="center"/>
    </xf>
    <xf numFmtId="0" fontId="2" fillId="12" borderId="174" xfId="0" applyFont="1" applyFill="1" applyBorder="1" applyAlignment="1">
      <alignment horizontal="center" vertical="center"/>
    </xf>
    <xf numFmtId="0" fontId="2" fillId="12" borderId="172" xfId="0" applyFont="1" applyFill="1" applyBorder="1" applyAlignment="1">
      <alignment horizontal="center" vertical="center"/>
    </xf>
    <xf numFmtId="0" fontId="13" fillId="0" borderId="2" xfId="5" applyFont="1" applyBorder="1" applyAlignment="1">
      <alignment horizontal="left" vertical="center"/>
    </xf>
    <xf numFmtId="0" fontId="13" fillId="0" borderId="2" xfId="5" applyFont="1" applyBorder="1" applyAlignment="1">
      <alignment horizontal="center" vertical="center"/>
    </xf>
    <xf numFmtId="0" fontId="13" fillId="0" borderId="60" xfId="5" applyFont="1" applyFill="1" applyBorder="1" applyAlignment="1">
      <alignment horizontal="center" vertical="center"/>
    </xf>
    <xf numFmtId="0" fontId="13" fillId="0" borderId="4" xfId="5" applyFont="1" applyFill="1" applyBorder="1" applyAlignment="1">
      <alignment horizontal="center" vertical="center"/>
    </xf>
    <xf numFmtId="0" fontId="13" fillId="0" borderId="9" xfId="5" applyFont="1" applyFill="1" applyBorder="1" applyAlignment="1">
      <alignment horizontal="center" vertical="center"/>
    </xf>
    <xf numFmtId="0" fontId="13" fillId="0" borderId="5" xfId="5" applyFont="1" applyFill="1" applyBorder="1" applyAlignment="1">
      <alignment horizontal="center" vertical="center"/>
    </xf>
    <xf numFmtId="0" fontId="13" fillId="0" borderId="6" xfId="5" applyFont="1" applyFill="1" applyBorder="1" applyAlignment="1">
      <alignment horizontal="center" vertical="center"/>
    </xf>
    <xf numFmtId="0" fontId="13" fillId="0" borderId="58" xfId="5" applyFont="1" applyFill="1" applyBorder="1" applyAlignment="1">
      <alignment horizontal="center" vertical="center"/>
    </xf>
    <xf numFmtId="0" fontId="13" fillId="0" borderId="64" xfId="5" applyFont="1" applyFill="1" applyBorder="1" applyAlignment="1">
      <alignment horizontal="center" vertical="center"/>
    </xf>
    <xf numFmtId="0" fontId="13" fillId="0" borderId="56" xfId="5" applyFont="1" applyFill="1" applyBorder="1" applyAlignment="1">
      <alignment horizontal="center" vertical="center"/>
    </xf>
    <xf numFmtId="0" fontId="13" fillId="0" borderId="57" xfId="5" applyFont="1" applyFill="1" applyBorder="1" applyAlignment="1">
      <alignment horizontal="center" vertical="center"/>
    </xf>
    <xf numFmtId="0" fontId="13" fillId="0" borderId="28" xfId="5" applyFont="1" applyFill="1" applyBorder="1" applyAlignment="1">
      <alignment horizontal="center" vertical="center"/>
    </xf>
    <xf numFmtId="0" fontId="13" fillId="0" borderId="7" xfId="5" applyFont="1" applyFill="1" applyBorder="1" applyAlignment="1">
      <alignment horizontal="center" vertical="center"/>
    </xf>
    <xf numFmtId="0" fontId="13" fillId="0" borderId="8" xfId="5" applyFont="1" applyFill="1" applyBorder="1" applyAlignment="1">
      <alignment horizontal="center" vertical="center"/>
    </xf>
    <xf numFmtId="0" fontId="13" fillId="0" borderId="5" xfId="5" applyFont="1" applyBorder="1" applyAlignment="1">
      <alignment horizontal="center" vertical="center"/>
    </xf>
    <xf numFmtId="0" fontId="13" fillId="0" borderId="6" xfId="5" applyFont="1" applyBorder="1" applyAlignment="1">
      <alignment horizontal="center" vertical="center"/>
    </xf>
    <xf numFmtId="0" fontId="13" fillId="0" borderId="65" xfId="5" applyFont="1" applyFill="1" applyBorder="1" applyAlignment="1">
      <alignment horizontal="center" vertical="center"/>
    </xf>
    <xf numFmtId="0" fontId="13" fillId="0" borderId="64" xfId="5" applyFont="1" applyBorder="1" applyAlignment="1">
      <alignment horizontal="center" vertical="center"/>
    </xf>
    <xf numFmtId="0" fontId="13" fillId="0" borderId="60" xfId="5" applyFont="1" applyBorder="1" applyAlignment="1">
      <alignment horizontal="center" vertical="center"/>
    </xf>
    <xf numFmtId="0" fontId="13" fillId="0" borderId="28" xfId="5" applyFont="1" applyBorder="1" applyAlignment="1">
      <alignment horizontal="center" vertical="center"/>
    </xf>
    <xf numFmtId="0" fontId="13" fillId="0" borderId="68" xfId="5" applyFont="1" applyFill="1" applyBorder="1" applyAlignment="1">
      <alignment horizontal="center" vertical="center"/>
    </xf>
    <xf numFmtId="0" fontId="13" fillId="0" borderId="63" xfId="5" applyFont="1" applyFill="1" applyBorder="1" applyAlignment="1">
      <alignment horizontal="center" vertical="center"/>
    </xf>
    <xf numFmtId="0" fontId="13" fillId="0" borderId="6" xfId="5" applyFont="1" applyBorder="1" applyAlignment="1">
      <alignment horizontal="left" vertical="center"/>
    </xf>
    <xf numFmtId="0" fontId="13" fillId="0" borderId="67" xfId="5" applyFont="1" applyFill="1" applyBorder="1" applyAlignment="1">
      <alignment horizontal="center" vertical="center"/>
    </xf>
    <xf numFmtId="0" fontId="12" fillId="0" borderId="66" xfId="5" applyFont="1" applyBorder="1" applyAlignment="1">
      <alignment horizontal="center" vertical="center"/>
    </xf>
    <xf numFmtId="0" fontId="12" fillId="0" borderId="66" xfId="5" applyFont="1" applyFill="1" applyBorder="1" applyAlignment="1">
      <alignment horizontal="center" vertical="center"/>
    </xf>
    <xf numFmtId="0" fontId="12" fillId="0" borderId="69" xfId="5" applyFont="1" applyFill="1" applyBorder="1" applyAlignment="1">
      <alignment horizontal="center" vertical="center"/>
    </xf>
    <xf numFmtId="0" fontId="12" fillId="0" borderId="59" xfId="5" applyFont="1" applyFill="1" applyBorder="1" applyAlignment="1">
      <alignment horizontal="center" vertical="center"/>
    </xf>
    <xf numFmtId="0" fontId="12" fillId="0" borderId="70" xfId="5" applyFont="1" applyFill="1" applyBorder="1" applyAlignment="1">
      <alignment horizontal="center" vertical="center"/>
    </xf>
    <xf numFmtId="0" fontId="14" fillId="0" borderId="64" xfId="5" applyFont="1" applyBorder="1" applyAlignment="1">
      <alignment horizontal="center" vertical="center"/>
    </xf>
    <xf numFmtId="0" fontId="14" fillId="0" borderId="56" xfId="5" applyFont="1" applyBorder="1" applyAlignment="1">
      <alignment horizontal="center" vertical="center"/>
    </xf>
    <xf numFmtId="0" fontId="14" fillId="0" borderId="57" xfId="5" applyFont="1" applyBorder="1" applyAlignment="1">
      <alignment horizontal="center" vertical="center"/>
    </xf>
    <xf numFmtId="0" fontId="13" fillId="0" borderId="171" xfId="5" applyFont="1" applyFill="1" applyBorder="1" applyAlignment="1">
      <alignment horizontal="center" vertical="center"/>
    </xf>
    <xf numFmtId="0" fontId="13" fillId="0" borderId="172" xfId="5" applyFont="1" applyFill="1" applyBorder="1" applyAlignment="1">
      <alignment horizontal="center" vertical="center"/>
    </xf>
    <xf numFmtId="0" fontId="13" fillId="0" borderId="173" xfId="5" applyFont="1" applyFill="1" applyBorder="1" applyAlignment="1">
      <alignment horizontal="center" vertical="center"/>
    </xf>
    <xf numFmtId="0" fontId="13" fillId="0" borderId="36" xfId="5" applyFont="1" applyBorder="1" applyAlignment="1">
      <alignment horizontal="center" vertical="center"/>
    </xf>
    <xf numFmtId="0" fontId="13" fillId="0" borderId="32" xfId="5" applyFont="1" applyBorder="1" applyAlignment="1">
      <alignment horizontal="center" vertical="center"/>
    </xf>
    <xf numFmtId="0" fontId="13" fillId="0" borderId="174" xfId="5" applyFont="1" applyFill="1" applyBorder="1" applyAlignment="1">
      <alignment horizontal="center" vertical="center"/>
    </xf>
    <xf numFmtId="0" fontId="13" fillId="0" borderId="175" xfId="5" applyFont="1" applyFill="1" applyBorder="1" applyAlignment="1">
      <alignment horizontal="center" vertical="center"/>
    </xf>
    <xf numFmtId="0" fontId="13" fillId="0" borderId="176" xfId="5" applyFont="1" applyFill="1" applyBorder="1" applyAlignment="1">
      <alignment horizontal="center" vertical="center"/>
    </xf>
    <xf numFmtId="0" fontId="13" fillId="3" borderId="167" xfId="5" applyFont="1" applyFill="1" applyBorder="1" applyAlignment="1">
      <alignment horizontal="center" vertical="center"/>
    </xf>
    <xf numFmtId="0" fontId="13" fillId="3" borderId="162" xfId="5" applyFont="1" applyFill="1" applyBorder="1" applyAlignment="1">
      <alignment horizontal="center" vertical="center"/>
    </xf>
    <xf numFmtId="0" fontId="13" fillId="3" borderId="166" xfId="5" applyFont="1" applyFill="1" applyBorder="1" applyAlignment="1">
      <alignment horizontal="center" vertical="center"/>
    </xf>
    <xf numFmtId="0" fontId="13" fillId="0" borderId="20" xfId="5" applyFont="1" applyFill="1" applyBorder="1" applyAlignment="1">
      <alignment horizontal="center" vertical="center"/>
    </xf>
    <xf numFmtId="0" fontId="13" fillId="0" borderId="25" xfId="5" applyFont="1" applyFill="1" applyBorder="1" applyAlignment="1">
      <alignment horizontal="center" vertical="center"/>
    </xf>
    <xf numFmtId="0" fontId="13" fillId="0" borderId="21" xfId="5" applyFont="1" applyFill="1" applyBorder="1" applyAlignment="1">
      <alignment horizontal="center" vertical="center"/>
    </xf>
    <xf numFmtId="0" fontId="13" fillId="0" borderId="13" xfId="5" applyFont="1" applyFill="1" applyBorder="1" applyAlignment="1">
      <alignment horizontal="center" vertical="center"/>
    </xf>
    <xf numFmtId="0" fontId="13" fillId="0" borderId="17" xfId="5" applyFont="1" applyFill="1" applyBorder="1" applyAlignment="1">
      <alignment horizontal="center" vertical="center"/>
    </xf>
    <xf numFmtId="0" fontId="13" fillId="0" borderId="14" xfId="5" applyFont="1" applyFill="1" applyBorder="1" applyAlignment="1">
      <alignment horizontal="center" vertical="center"/>
    </xf>
    <xf numFmtId="0" fontId="0" fillId="0" borderId="0" xfId="0" applyAlignment="1">
      <alignment horizontal="center" vertical="center"/>
    </xf>
    <xf numFmtId="0" fontId="6" fillId="0" borderId="20" xfId="5" applyFont="1" applyBorder="1" applyAlignment="1">
      <alignment horizontal="center" vertical="center" wrapText="1"/>
    </xf>
    <xf numFmtId="0" fontId="6" fillId="0" borderId="25" xfId="5" applyFont="1" applyBorder="1" applyAlignment="1">
      <alignment horizontal="center" vertical="center" wrapText="1"/>
    </xf>
    <xf numFmtId="0" fontId="6" fillId="0" borderId="21" xfId="5" applyFont="1" applyBorder="1" applyAlignment="1">
      <alignment horizontal="center" vertical="center" wrapText="1"/>
    </xf>
    <xf numFmtId="0" fontId="6" fillId="11" borderId="97" xfId="5" applyFont="1" applyFill="1" applyBorder="1" applyAlignment="1">
      <alignment horizontal="center" vertical="center"/>
    </xf>
    <xf numFmtId="0" fontId="6" fillId="11" borderId="98" xfId="5" applyFont="1" applyFill="1" applyBorder="1" applyAlignment="1">
      <alignment horizontal="center" vertical="center"/>
    </xf>
    <xf numFmtId="0" fontId="6" fillId="11" borderId="95" xfId="5" applyFont="1" applyFill="1" applyBorder="1" applyAlignment="1">
      <alignment horizontal="center" vertical="center"/>
    </xf>
    <xf numFmtId="0" fontId="6" fillId="11" borderId="120" xfId="5" applyFont="1" applyFill="1" applyBorder="1" applyAlignment="1">
      <alignment horizontal="center" vertical="center"/>
    </xf>
    <xf numFmtId="0" fontId="6" fillId="11" borderId="114" xfId="5" applyFont="1" applyFill="1" applyBorder="1" applyAlignment="1">
      <alignment horizontal="center" vertical="center"/>
    </xf>
    <xf numFmtId="0" fontId="6" fillId="11" borderId="115" xfId="5" applyFont="1" applyFill="1" applyBorder="1" applyAlignment="1">
      <alignment horizontal="center" vertical="center"/>
    </xf>
    <xf numFmtId="0" fontId="6" fillId="11" borderId="106" xfId="5" applyFont="1" applyFill="1" applyBorder="1" applyAlignment="1">
      <alignment horizontal="center" vertical="center"/>
    </xf>
    <xf numFmtId="0" fontId="6" fillId="11" borderId="119" xfId="5" applyFont="1" applyFill="1" applyBorder="1" applyAlignment="1">
      <alignment horizontal="center" vertical="center"/>
    </xf>
    <xf numFmtId="0" fontId="6" fillId="11" borderId="104" xfId="5" applyFont="1" applyFill="1" applyBorder="1" applyAlignment="1">
      <alignment horizontal="center" vertical="center"/>
    </xf>
    <xf numFmtId="0" fontId="6" fillId="2" borderId="122" xfId="5" applyFont="1" applyFill="1" applyBorder="1" applyAlignment="1">
      <alignment horizontal="center" vertical="center"/>
    </xf>
    <xf numFmtId="0" fontId="6" fillId="2" borderId="89" xfId="5" applyFont="1" applyFill="1" applyBorder="1" applyAlignment="1">
      <alignment horizontal="center" vertical="center"/>
    </xf>
    <xf numFmtId="0" fontId="6" fillId="2" borderId="128" xfId="5" applyFont="1" applyFill="1" applyBorder="1" applyAlignment="1">
      <alignment horizontal="center" vertical="center"/>
    </xf>
    <xf numFmtId="0" fontId="5" fillId="0" borderId="20" xfId="5" applyFont="1" applyBorder="1" applyAlignment="1">
      <alignment horizontal="center" vertical="center"/>
    </xf>
    <xf numFmtId="0" fontId="5" fillId="0" borderId="21" xfId="5" applyFont="1" applyBorder="1" applyAlignment="1">
      <alignment horizontal="center" vertical="center"/>
    </xf>
    <xf numFmtId="0" fontId="6" fillId="2" borderId="100" xfId="5" applyFont="1" applyFill="1" applyBorder="1" applyAlignment="1">
      <alignment horizontal="center" vertical="center"/>
    </xf>
    <xf numFmtId="0" fontId="6" fillId="2" borderId="86" xfId="5" applyFont="1" applyFill="1" applyBorder="1" applyAlignment="1">
      <alignment horizontal="center" vertical="center"/>
    </xf>
    <xf numFmtId="0" fontId="6" fillId="2" borderId="108" xfId="5" applyFont="1" applyFill="1" applyBorder="1" applyAlignment="1">
      <alignment horizontal="center" vertical="center"/>
    </xf>
    <xf numFmtId="0" fontId="6" fillId="0" borderId="125" xfId="5" applyFont="1" applyBorder="1" applyAlignment="1">
      <alignment horizontal="center" vertical="center" wrapText="1"/>
    </xf>
    <xf numFmtId="0" fontId="6" fillId="0" borderId="126" xfId="5" applyFont="1" applyBorder="1" applyAlignment="1">
      <alignment horizontal="center" vertical="center" wrapText="1"/>
    </xf>
    <xf numFmtId="0" fontId="6" fillId="11" borderId="116" xfId="5" applyFont="1" applyFill="1" applyBorder="1" applyAlignment="1">
      <alignment horizontal="center" vertical="center"/>
    </xf>
    <xf numFmtId="0" fontId="6" fillId="11" borderId="87" xfId="5" applyFont="1" applyFill="1" applyBorder="1" applyAlignment="1">
      <alignment horizontal="center" vertical="center"/>
    </xf>
    <xf numFmtId="0" fontId="6" fillId="11" borderId="113" xfId="5" applyFont="1" applyFill="1" applyBorder="1" applyAlignment="1">
      <alignment horizontal="center" vertical="center"/>
    </xf>
    <xf numFmtId="0" fontId="6" fillId="8" borderId="186" xfId="5" applyFont="1" applyFill="1" applyBorder="1" applyAlignment="1">
      <alignment horizontal="center" vertical="center"/>
    </xf>
    <xf numFmtId="0" fontId="6" fillId="8" borderId="80" xfId="5" applyFont="1" applyFill="1" applyBorder="1" applyAlignment="1">
      <alignment horizontal="center" vertical="center"/>
    </xf>
    <xf numFmtId="0" fontId="6" fillId="8" borderId="81" xfId="5" applyFont="1" applyFill="1" applyBorder="1" applyAlignment="1">
      <alignment horizontal="center" vertical="center"/>
    </xf>
    <xf numFmtId="0" fontId="6" fillId="8" borderId="188" xfId="5" applyFont="1" applyFill="1" applyBorder="1" applyAlignment="1">
      <alignment horizontal="center" vertical="center"/>
    </xf>
    <xf numFmtId="0" fontId="6" fillId="8" borderId="77" xfId="5" applyFont="1" applyFill="1" applyBorder="1" applyAlignment="1">
      <alignment horizontal="center" vertical="center"/>
    </xf>
    <xf numFmtId="0" fontId="6" fillId="8" borderId="78" xfId="5" applyFont="1" applyFill="1" applyBorder="1" applyAlignment="1">
      <alignment horizontal="center" vertical="center"/>
    </xf>
    <xf numFmtId="0" fontId="6" fillId="2" borderId="90" xfId="5" applyFont="1" applyFill="1" applyBorder="1" applyAlignment="1">
      <alignment horizontal="center" vertical="center"/>
    </xf>
    <xf numFmtId="0" fontId="6" fillId="2" borderId="101" xfId="5" applyFont="1" applyFill="1" applyBorder="1" applyAlignment="1">
      <alignment horizontal="center" vertical="center"/>
    </xf>
    <xf numFmtId="0" fontId="6" fillId="2" borderId="92" xfId="5" applyFont="1" applyFill="1" applyBorder="1" applyAlignment="1">
      <alignment horizontal="center" vertical="center"/>
    </xf>
    <xf numFmtId="0" fontId="6" fillId="2" borderId="116" xfId="5" applyFont="1" applyFill="1" applyBorder="1" applyAlignment="1">
      <alignment horizontal="center" vertical="center"/>
    </xf>
    <xf numFmtId="0" fontId="6" fillId="2" borderId="87" xfId="5" applyFont="1" applyFill="1" applyBorder="1" applyAlignment="1">
      <alignment horizontal="center" vertical="center"/>
    </xf>
    <xf numFmtId="0" fontId="6" fillId="2" borderId="113" xfId="5" applyFont="1" applyFill="1" applyBorder="1" applyAlignment="1">
      <alignment horizontal="center" vertical="center"/>
    </xf>
    <xf numFmtId="0" fontId="6" fillId="0" borderId="125" xfId="5" applyFont="1" applyBorder="1" applyAlignment="1">
      <alignment horizontal="center" vertical="center"/>
    </xf>
    <xf numFmtId="0" fontId="6" fillId="0" borderId="21" xfId="5" applyFont="1" applyBorder="1" applyAlignment="1">
      <alignment horizontal="center" vertical="center"/>
    </xf>
    <xf numFmtId="0" fontId="6" fillId="13" borderId="88" xfId="5" applyFont="1" applyFill="1" applyBorder="1" applyAlignment="1">
      <alignment horizontal="center" vertical="center"/>
    </xf>
    <xf numFmtId="0" fontId="6" fillId="13" borderId="109" xfId="5" applyFont="1" applyFill="1" applyBorder="1" applyAlignment="1">
      <alignment horizontal="center" vertical="center"/>
    </xf>
    <xf numFmtId="0" fontId="6" fillId="13" borderId="91" xfId="5" applyFont="1" applyFill="1" applyBorder="1" applyAlignment="1">
      <alignment horizontal="center" vertical="center"/>
    </xf>
    <xf numFmtId="0" fontId="20" fillId="8" borderId="132" xfId="0" applyFont="1" applyFill="1" applyBorder="1" applyAlignment="1">
      <alignment horizontal="center" vertical="center"/>
    </xf>
    <xf numFmtId="0" fontId="20" fillId="8" borderId="99" xfId="0" applyFont="1" applyFill="1" applyBorder="1" applyAlignment="1">
      <alignment horizontal="center" vertical="center"/>
    </xf>
    <xf numFmtId="0" fontId="20" fillId="8" borderId="131" xfId="0" applyFont="1" applyFill="1" applyBorder="1" applyAlignment="1">
      <alignment horizontal="center" vertical="center"/>
    </xf>
    <xf numFmtId="0" fontId="5" fillId="0" borderId="13" xfId="5" applyFont="1" applyBorder="1" applyAlignment="1">
      <alignment horizontal="center" vertical="center"/>
    </xf>
    <xf numFmtId="0" fontId="5" fillId="0" borderId="14" xfId="5" applyFont="1" applyBorder="1" applyAlignment="1">
      <alignment horizontal="center" vertical="center"/>
    </xf>
    <xf numFmtId="0" fontId="6" fillId="8" borderId="112" xfId="5" applyFont="1" applyFill="1" applyBorder="1" applyAlignment="1">
      <alignment horizontal="center" vertical="center" shrinkToFit="1"/>
    </xf>
    <xf numFmtId="0" fontId="6" fillId="8" borderId="130" xfId="5" applyFont="1" applyFill="1" applyBorder="1" applyAlignment="1">
      <alignment horizontal="center" vertical="center" shrinkToFit="1"/>
    </xf>
    <xf numFmtId="0" fontId="6" fillId="8" borderId="112" xfId="5" applyFont="1" applyFill="1" applyBorder="1" applyAlignment="1">
      <alignment horizontal="center" vertical="center"/>
    </xf>
    <xf numFmtId="0" fontId="6" fillId="8" borderId="130" xfId="5" applyFont="1" applyFill="1" applyBorder="1" applyAlignment="1">
      <alignment horizontal="center" vertical="center"/>
    </xf>
    <xf numFmtId="0" fontId="6" fillId="8" borderId="180" xfId="5" applyFont="1" applyFill="1" applyBorder="1" applyAlignment="1">
      <alignment horizontal="center" vertical="center"/>
    </xf>
    <xf numFmtId="0" fontId="6" fillId="8" borderId="179" xfId="5" applyFont="1" applyFill="1" applyBorder="1" applyAlignment="1">
      <alignment horizontal="center" vertical="center"/>
    </xf>
    <xf numFmtId="0" fontId="6" fillId="0" borderId="123" xfId="5" applyFont="1" applyBorder="1" applyAlignment="1">
      <alignment horizontal="center" vertical="center"/>
    </xf>
    <xf numFmtId="0" fontId="6" fillId="0" borderId="124" xfId="5" applyFont="1" applyBorder="1" applyAlignment="1">
      <alignment horizontal="center" vertical="center"/>
    </xf>
    <xf numFmtId="0" fontId="6" fillId="8" borderId="100" xfId="5" applyFont="1" applyFill="1" applyBorder="1" applyAlignment="1">
      <alignment horizontal="center" vertical="center"/>
    </xf>
    <xf numFmtId="0" fontId="6" fillId="8" borderId="86" xfId="5" applyFont="1" applyFill="1" applyBorder="1" applyAlignment="1">
      <alignment horizontal="center" vertical="center"/>
    </xf>
    <xf numFmtId="0" fontId="6" fillId="0" borderId="20" xfId="5" applyFont="1" applyBorder="1" applyAlignment="1">
      <alignment horizontal="center" vertical="center"/>
    </xf>
    <xf numFmtId="0" fontId="6" fillId="0" borderId="127" xfId="5" applyFont="1" applyBorder="1" applyAlignment="1">
      <alignment horizontal="center" vertical="center"/>
    </xf>
    <xf numFmtId="0" fontId="6" fillId="8" borderId="107" xfId="5" applyFont="1" applyFill="1" applyBorder="1" applyAlignment="1">
      <alignment horizontal="center" vertical="center" shrinkToFit="1"/>
    </xf>
    <xf numFmtId="0" fontId="6" fillId="8" borderId="100" xfId="5" applyFont="1" applyFill="1" applyBorder="1" applyAlignment="1">
      <alignment horizontal="center" vertical="center" shrinkToFit="1"/>
    </xf>
    <xf numFmtId="0" fontId="6" fillId="8" borderId="102" xfId="5" applyFont="1" applyFill="1" applyBorder="1" applyAlignment="1">
      <alignment horizontal="center" vertical="center" shrinkToFit="1"/>
    </xf>
    <xf numFmtId="0" fontId="6" fillId="8" borderId="86" xfId="5" applyFont="1" applyFill="1" applyBorder="1" applyAlignment="1">
      <alignment horizontal="center" vertical="center" shrinkToFit="1"/>
    </xf>
    <xf numFmtId="0" fontId="6" fillId="8" borderId="85" xfId="5" applyFont="1" applyFill="1" applyBorder="1" applyAlignment="1">
      <alignment horizontal="center" vertical="center" shrinkToFit="1"/>
    </xf>
    <xf numFmtId="0" fontId="6" fillId="8" borderId="107" xfId="5" applyFont="1" applyFill="1" applyBorder="1" applyAlignment="1">
      <alignment horizontal="center" vertical="center"/>
    </xf>
    <xf numFmtId="0" fontId="6" fillId="8" borderId="102" xfId="5" applyFont="1" applyFill="1" applyBorder="1" applyAlignment="1">
      <alignment horizontal="center" vertical="center"/>
    </xf>
    <xf numFmtId="0" fontId="6" fillId="8" borderId="102" xfId="5" applyFont="1" applyFill="1" applyBorder="1" applyAlignment="1">
      <alignment horizontal="center" vertical="center" wrapText="1"/>
    </xf>
    <xf numFmtId="0" fontId="6" fillId="8" borderId="85" xfId="5" applyFont="1" applyFill="1" applyBorder="1" applyAlignment="1">
      <alignment horizontal="center" vertical="center" wrapText="1"/>
    </xf>
    <xf numFmtId="0" fontId="6" fillId="6" borderId="107" xfId="5" applyFont="1" applyFill="1" applyBorder="1" applyAlignment="1">
      <alignment horizontal="center" vertical="center"/>
    </xf>
    <xf numFmtId="0" fontId="6" fillId="6" borderId="102" xfId="5" applyFont="1" applyFill="1" applyBorder="1" applyAlignment="1">
      <alignment horizontal="center" vertical="center"/>
    </xf>
    <xf numFmtId="0" fontId="6" fillId="6" borderId="85" xfId="5" applyFont="1" applyFill="1" applyBorder="1" applyAlignment="1">
      <alignment horizontal="center" vertical="center"/>
    </xf>
    <xf numFmtId="0" fontId="5" fillId="0" borderId="123" xfId="5" applyFont="1" applyBorder="1" applyAlignment="1">
      <alignment horizontal="center" vertical="center"/>
    </xf>
    <xf numFmtId="0" fontId="5" fillId="0" borderId="127" xfId="5" applyFont="1" applyBorder="1" applyAlignment="1">
      <alignment horizontal="center" vertical="center"/>
    </xf>
    <xf numFmtId="0" fontId="6" fillId="8" borderId="108" xfId="5" applyFont="1" applyFill="1" applyBorder="1" applyAlignment="1">
      <alignment horizontal="center" vertical="center"/>
    </xf>
    <xf numFmtId="0" fontId="6" fillId="6" borderId="116" xfId="5" applyFont="1" applyFill="1" applyBorder="1" applyAlignment="1">
      <alignment horizontal="center" vertical="center"/>
    </xf>
    <xf numFmtId="0" fontId="6" fillId="6" borderId="87" xfId="5" applyFont="1" applyFill="1" applyBorder="1" applyAlignment="1">
      <alignment horizontal="center" vertical="center"/>
    </xf>
    <xf numFmtId="0" fontId="6" fillId="6" borderId="113" xfId="5" applyFont="1" applyFill="1" applyBorder="1" applyAlignment="1">
      <alignment horizontal="center" vertical="center"/>
    </xf>
    <xf numFmtId="0" fontId="6" fillId="6" borderId="100" xfId="5" applyFont="1" applyFill="1" applyBorder="1" applyAlignment="1">
      <alignment horizontal="center" vertical="center"/>
    </xf>
    <xf numFmtId="0" fontId="6" fillId="6" borderId="86" xfId="5" applyFont="1" applyFill="1" applyBorder="1" applyAlignment="1">
      <alignment horizontal="center" vertical="center"/>
    </xf>
    <xf numFmtId="0" fontId="6" fillId="6" borderId="108" xfId="5" applyFont="1" applyFill="1" applyBorder="1" applyAlignment="1">
      <alignment horizontal="center" vertical="center"/>
    </xf>
    <xf numFmtId="0" fontId="6" fillId="11" borderId="107" xfId="5" applyFont="1" applyFill="1" applyBorder="1" applyAlignment="1">
      <alignment horizontal="center" vertical="center" shrinkToFit="1"/>
    </xf>
    <xf numFmtId="0" fontId="6" fillId="11" borderId="85" xfId="5" applyFont="1" applyFill="1" applyBorder="1" applyAlignment="1">
      <alignment horizontal="center" vertical="center" shrinkToFit="1"/>
    </xf>
    <xf numFmtId="0" fontId="6" fillId="11" borderId="100" xfId="5" applyFont="1" applyFill="1" applyBorder="1" applyAlignment="1">
      <alignment horizontal="center" vertical="center" shrinkToFit="1"/>
    </xf>
    <xf numFmtId="0" fontId="6" fillId="11" borderId="108" xfId="5" applyFont="1" applyFill="1" applyBorder="1" applyAlignment="1">
      <alignment horizontal="center" vertical="center" shrinkToFit="1"/>
    </xf>
    <xf numFmtId="0" fontId="6" fillId="0" borderId="171" xfId="0" applyFont="1" applyBorder="1" applyAlignment="1">
      <alignment horizontal="center" vertical="center"/>
    </xf>
    <xf numFmtId="0" fontId="6" fillId="0" borderId="174" xfId="0" applyFont="1" applyBorder="1" applyAlignment="1">
      <alignment horizontal="center" vertical="center"/>
    </xf>
    <xf numFmtId="0" fontId="6" fillId="11" borderId="93" xfId="5" applyFont="1" applyFill="1" applyBorder="1" applyAlignment="1">
      <alignment horizontal="center" vertical="center" shrinkToFit="1"/>
    </xf>
    <xf numFmtId="0" fontId="6" fillId="11" borderId="102" xfId="5" applyFont="1" applyFill="1" applyBorder="1" applyAlignment="1">
      <alignment horizontal="center" vertical="center" shrinkToFit="1"/>
    </xf>
    <xf numFmtId="0" fontId="6" fillId="11" borderId="199" xfId="5" applyFont="1" applyFill="1" applyBorder="1" applyAlignment="1">
      <alignment horizontal="center" vertical="center" shrinkToFit="1"/>
    </xf>
    <xf numFmtId="0" fontId="6" fillId="11" borderId="105" xfId="5" applyFont="1" applyFill="1" applyBorder="1" applyAlignment="1">
      <alignment horizontal="center" vertical="center" shrinkToFit="1"/>
    </xf>
    <xf numFmtId="0" fontId="6" fillId="11" borderId="86" xfId="5" applyFont="1" applyFill="1" applyBorder="1" applyAlignment="1">
      <alignment horizontal="center" vertical="center" shrinkToFit="1"/>
    </xf>
    <xf numFmtId="0" fontId="6" fillId="11" borderId="103" xfId="5" applyFont="1" applyFill="1" applyBorder="1" applyAlignment="1">
      <alignment horizontal="center" vertical="center" shrinkToFit="1"/>
    </xf>
    <xf numFmtId="0" fontId="6" fillId="11" borderId="107" xfId="5" applyFont="1" applyFill="1" applyBorder="1" applyAlignment="1">
      <alignment horizontal="center" vertical="center"/>
    </xf>
    <xf numFmtId="0" fontId="6" fillId="11" borderId="85" xfId="5" applyFont="1" applyFill="1" applyBorder="1" applyAlignment="1">
      <alignment horizontal="center" vertical="center"/>
    </xf>
    <xf numFmtId="0" fontId="6" fillId="0" borderId="19" xfId="5" applyFont="1" applyBorder="1" applyAlignment="1">
      <alignment horizontal="center" vertical="center"/>
    </xf>
    <xf numFmtId="0" fontId="6" fillId="11" borderId="76" xfId="5" applyFont="1" applyFill="1" applyBorder="1" applyAlignment="1">
      <alignment horizontal="center" vertical="center"/>
    </xf>
    <xf numFmtId="0" fontId="6" fillId="11" borderId="77" xfId="5" applyFont="1" applyFill="1" applyBorder="1" applyAlignment="1">
      <alignment horizontal="center" vertical="center"/>
    </xf>
    <xf numFmtId="0" fontId="6" fillId="11" borderId="189" xfId="5" applyFont="1" applyFill="1" applyBorder="1" applyAlignment="1">
      <alignment horizontal="center" vertical="center"/>
    </xf>
    <xf numFmtId="0" fontId="6" fillId="11" borderId="188" xfId="5" applyFont="1" applyFill="1" applyBorder="1" applyAlignment="1">
      <alignment horizontal="center" vertical="center"/>
    </xf>
    <xf numFmtId="0" fontId="6" fillId="11" borderId="78" xfId="5" applyFont="1" applyFill="1" applyBorder="1" applyAlignment="1">
      <alignment horizontal="center" vertical="center"/>
    </xf>
    <xf numFmtId="0" fontId="6" fillId="11" borderId="79" xfId="5" applyFont="1" applyFill="1" applyBorder="1" applyAlignment="1">
      <alignment horizontal="center" vertical="center"/>
    </xf>
    <xf numFmtId="0" fontId="6" fillId="11" borderId="80" xfId="5" applyFont="1" applyFill="1" applyBorder="1" applyAlignment="1">
      <alignment horizontal="center" vertical="center"/>
    </xf>
    <xf numFmtId="0" fontId="6" fillId="11" borderId="187" xfId="5" applyFont="1" applyFill="1" applyBorder="1" applyAlignment="1">
      <alignment horizontal="center" vertical="center"/>
    </xf>
    <xf numFmtId="0" fontId="6" fillId="11" borderId="186" xfId="5" applyFont="1" applyFill="1" applyBorder="1" applyAlignment="1">
      <alignment horizontal="center" vertical="center"/>
    </xf>
    <xf numFmtId="0" fontId="6" fillId="11" borderId="81" xfId="5" applyFont="1" applyFill="1" applyBorder="1" applyAlignment="1">
      <alignment horizontal="center" vertical="center"/>
    </xf>
    <xf numFmtId="0" fontId="6" fillId="3" borderId="36" xfId="5" applyFont="1" applyFill="1" applyBorder="1" applyAlignment="1">
      <alignment horizontal="center" vertical="center"/>
    </xf>
    <xf numFmtId="0" fontId="6" fillId="3" borderId="32" xfId="5" applyFont="1" applyFill="1" applyBorder="1" applyAlignment="1">
      <alignment horizontal="center" vertical="center"/>
    </xf>
    <xf numFmtId="0" fontId="6" fillId="3" borderId="51" xfId="5" applyFont="1" applyFill="1" applyBorder="1" applyAlignment="1">
      <alignment horizontal="center" vertical="center"/>
    </xf>
    <xf numFmtId="0" fontId="8" fillId="0" borderId="36" xfId="5" applyFont="1" applyBorder="1" applyAlignment="1">
      <alignment horizontal="center" vertical="center"/>
    </xf>
    <xf numFmtId="0" fontId="8" fillId="0" borderId="32" xfId="5" applyFont="1" applyBorder="1" applyAlignment="1">
      <alignment horizontal="center" vertical="center"/>
    </xf>
    <xf numFmtId="0" fontId="8" fillId="0" borderId="51" xfId="5" applyFont="1" applyBorder="1" applyAlignment="1">
      <alignment horizontal="center" vertical="center"/>
    </xf>
    <xf numFmtId="0" fontId="20" fillId="8" borderId="73" xfId="0" applyFont="1" applyFill="1" applyBorder="1" applyAlignment="1">
      <alignment horizontal="center" vertical="center"/>
    </xf>
    <xf numFmtId="0" fontId="20" fillId="8" borderId="74" xfId="0" applyFont="1" applyFill="1" applyBorder="1" applyAlignment="1">
      <alignment horizontal="center" vertical="center"/>
    </xf>
    <xf numFmtId="0" fontId="20" fillId="8" borderId="191" xfId="0" applyFont="1" applyFill="1" applyBorder="1" applyAlignment="1">
      <alignment horizontal="center" vertical="center"/>
    </xf>
    <xf numFmtId="0" fontId="20" fillId="8" borderId="190" xfId="0" applyFont="1" applyFill="1" applyBorder="1" applyAlignment="1">
      <alignment horizontal="center" vertical="center"/>
    </xf>
    <xf numFmtId="0" fontId="20" fillId="8" borderId="75" xfId="0" applyFont="1" applyFill="1" applyBorder="1" applyAlignment="1">
      <alignment horizontal="center" vertical="center"/>
    </xf>
    <xf numFmtId="0" fontId="6" fillId="8" borderId="76" xfId="5" applyFont="1" applyFill="1" applyBorder="1" applyAlignment="1">
      <alignment horizontal="center" vertical="center"/>
    </xf>
    <xf numFmtId="0" fontId="6" fillId="8" borderId="189" xfId="5" applyFont="1" applyFill="1" applyBorder="1" applyAlignment="1">
      <alignment horizontal="center" vertical="center"/>
    </xf>
    <xf numFmtId="0" fontId="20" fillId="11" borderId="73" xfId="0" applyFont="1" applyFill="1" applyBorder="1" applyAlignment="1">
      <alignment horizontal="center" vertical="center"/>
    </xf>
    <xf numFmtId="0" fontId="20" fillId="11" borderId="74" xfId="0" applyFont="1" applyFill="1" applyBorder="1" applyAlignment="1">
      <alignment horizontal="center" vertical="center"/>
    </xf>
    <xf numFmtId="0" fontId="20" fillId="11" borderId="191" xfId="0" applyFont="1" applyFill="1" applyBorder="1" applyAlignment="1">
      <alignment horizontal="center" vertical="center"/>
    </xf>
    <xf numFmtId="0" fontId="20" fillId="11" borderId="190" xfId="0" applyFont="1" applyFill="1" applyBorder="1" applyAlignment="1">
      <alignment horizontal="center" vertical="center"/>
    </xf>
    <xf numFmtId="0" fontId="20" fillId="11" borderId="75" xfId="0" applyFont="1" applyFill="1" applyBorder="1" applyAlignment="1">
      <alignment horizontal="center" vertical="center"/>
    </xf>
    <xf numFmtId="0" fontId="6" fillId="8" borderId="79" xfId="5" applyFont="1" applyFill="1" applyBorder="1" applyAlignment="1">
      <alignment horizontal="center" vertical="center"/>
    </xf>
    <xf numFmtId="0" fontId="6" fillId="8" borderId="187" xfId="5" applyFont="1" applyFill="1" applyBorder="1" applyAlignment="1">
      <alignment horizontal="center" vertical="center"/>
    </xf>
    <xf numFmtId="0" fontId="5" fillId="0" borderId="25" xfId="5" applyFont="1" applyBorder="1" applyAlignment="1">
      <alignment horizontal="center" vertical="center"/>
    </xf>
    <xf numFmtId="0" fontId="7" fillId="2" borderId="116" xfId="5" applyFont="1" applyFill="1" applyBorder="1" applyAlignment="1">
      <alignment horizontal="center" vertical="center"/>
    </xf>
    <xf numFmtId="0" fontId="7" fillId="2" borderId="87" xfId="5" applyFont="1" applyFill="1" applyBorder="1" applyAlignment="1">
      <alignment horizontal="center" vertical="center"/>
    </xf>
    <xf numFmtId="0" fontId="7" fillId="2" borderId="113" xfId="5" applyFont="1" applyFill="1" applyBorder="1" applyAlignment="1">
      <alignment horizontal="center" vertical="center"/>
    </xf>
    <xf numFmtId="0" fontId="6" fillId="0" borderId="25" xfId="5" applyFont="1" applyBorder="1" applyAlignment="1">
      <alignment horizontal="center" vertical="center"/>
    </xf>
    <xf numFmtId="0" fontId="6" fillId="3" borderId="198" xfId="5" applyFont="1" applyFill="1" applyBorder="1" applyAlignment="1">
      <alignment horizontal="center" vertical="center" wrapText="1" shrinkToFit="1"/>
    </xf>
    <xf numFmtId="0" fontId="6" fillId="3" borderId="218" xfId="5" applyFont="1" applyFill="1" applyBorder="1" applyAlignment="1">
      <alignment horizontal="center" vertical="center" shrinkToFit="1"/>
    </xf>
    <xf numFmtId="0" fontId="5" fillId="0" borderId="17" xfId="5" applyFont="1" applyBorder="1" applyAlignment="1">
      <alignment horizontal="center" vertical="center"/>
    </xf>
    <xf numFmtId="0" fontId="6" fillId="8" borderId="117" xfId="5" applyFont="1" applyFill="1" applyBorder="1" applyAlignment="1">
      <alignment horizontal="center" vertical="center"/>
    </xf>
    <xf numFmtId="0" fontId="6" fillId="8" borderId="219" xfId="5" applyFont="1" applyFill="1" applyBorder="1" applyAlignment="1">
      <alignment horizontal="center" vertical="center"/>
    </xf>
    <xf numFmtId="0" fontId="6" fillId="8" borderId="117" xfId="5" applyFont="1" applyFill="1" applyBorder="1" applyAlignment="1">
      <alignment horizontal="center" vertical="center" shrinkToFit="1"/>
    </xf>
    <xf numFmtId="0" fontId="6" fillId="2" borderId="120" xfId="5" applyFont="1" applyFill="1" applyBorder="1" applyAlignment="1">
      <alignment horizontal="center" vertical="center"/>
    </xf>
    <xf numFmtId="0" fontId="6" fillId="2" borderId="114" xfId="5" applyFont="1" applyFill="1" applyBorder="1" applyAlignment="1">
      <alignment horizontal="center" vertical="center"/>
    </xf>
    <xf numFmtId="0" fontId="6" fillId="2" borderId="115" xfId="5" applyFont="1" applyFill="1" applyBorder="1" applyAlignment="1">
      <alignment horizontal="center" vertical="center"/>
    </xf>
    <xf numFmtId="0" fontId="6" fillId="3" borderId="176" xfId="5" applyFont="1" applyFill="1" applyBorder="1" applyAlignment="1">
      <alignment horizontal="center" vertical="center"/>
    </xf>
    <xf numFmtId="0" fontId="0" fillId="3" borderId="201" xfId="0" applyFill="1" applyBorder="1" applyAlignment="1">
      <alignment horizontal="center" vertical="center"/>
    </xf>
    <xf numFmtId="0" fontId="0" fillId="3" borderId="200" xfId="0" applyFill="1" applyBorder="1" applyAlignment="1">
      <alignment horizontal="center" vertical="center"/>
    </xf>
    <xf numFmtId="0" fontId="6" fillId="2" borderId="106" xfId="5" applyFont="1" applyFill="1" applyBorder="1" applyAlignment="1">
      <alignment horizontal="center" vertical="center"/>
    </xf>
    <xf numFmtId="0" fontId="6" fillId="2" borderId="119" xfId="5" applyFont="1" applyFill="1" applyBorder="1" applyAlignment="1">
      <alignment horizontal="center" vertical="center"/>
    </xf>
    <xf numFmtId="0" fontId="6" fillId="2" borderId="104" xfId="5" applyFont="1" applyFill="1" applyBorder="1" applyAlignment="1">
      <alignment horizontal="center" vertical="center"/>
    </xf>
    <xf numFmtId="0" fontId="6" fillId="2" borderId="97" xfId="5" applyFont="1" applyFill="1" applyBorder="1" applyAlignment="1">
      <alignment horizontal="center" vertical="center"/>
    </xf>
    <xf numFmtId="0" fontId="6" fillId="2" borderId="98" xfId="5" applyFont="1" applyFill="1" applyBorder="1" applyAlignment="1">
      <alignment horizontal="center" vertical="center"/>
    </xf>
    <xf numFmtId="0" fontId="6" fillId="2" borderId="95" xfId="5" applyFont="1" applyFill="1" applyBorder="1" applyAlignment="1">
      <alignment horizontal="center" vertical="center"/>
    </xf>
    <xf numFmtId="0" fontId="6" fillId="0" borderId="20" xfId="5" applyFont="1" applyFill="1" applyBorder="1" applyAlignment="1">
      <alignment horizontal="center" vertical="center" wrapText="1"/>
    </xf>
    <xf numFmtId="0" fontId="6" fillId="0" borderId="25" xfId="5" applyFont="1" applyFill="1" applyBorder="1" applyAlignment="1">
      <alignment horizontal="center" vertical="center" wrapText="1"/>
    </xf>
    <xf numFmtId="0" fontId="6" fillId="0" borderId="21" xfId="5" applyFont="1" applyFill="1" applyBorder="1" applyAlignment="1">
      <alignment horizontal="center" vertical="center" wrapText="1"/>
    </xf>
    <xf numFmtId="0" fontId="6" fillId="8" borderId="73" xfId="5" applyFont="1" applyFill="1" applyBorder="1" applyAlignment="1">
      <alignment horizontal="center" vertical="center"/>
    </xf>
    <xf numFmtId="0" fontId="6" fillId="8" borderId="74" xfId="5" applyFont="1" applyFill="1" applyBorder="1" applyAlignment="1">
      <alignment horizontal="center" vertical="center"/>
    </xf>
    <xf numFmtId="0" fontId="6" fillId="8" borderId="75" xfId="5" applyFont="1" applyFill="1" applyBorder="1" applyAlignment="1">
      <alignment horizontal="center" vertical="center"/>
    </xf>
    <xf numFmtId="0" fontId="6" fillId="6" borderId="13" xfId="5" applyFont="1" applyFill="1" applyBorder="1" applyAlignment="1">
      <alignment horizontal="center" vertical="center"/>
    </xf>
    <xf numFmtId="0" fontId="6" fillId="6" borderId="43" xfId="5" applyFont="1" applyFill="1" applyBorder="1" applyAlignment="1">
      <alignment horizontal="center" vertical="center"/>
    </xf>
    <xf numFmtId="0" fontId="6" fillId="6" borderId="29" xfId="5" applyFont="1" applyFill="1" applyBorder="1" applyAlignment="1">
      <alignment horizontal="center" vertical="center"/>
    </xf>
    <xf numFmtId="0" fontId="6" fillId="6" borderId="193" xfId="5" applyFont="1" applyFill="1" applyBorder="1" applyAlignment="1">
      <alignment horizontal="center" vertical="center"/>
    </xf>
    <xf numFmtId="0" fontId="6" fillId="6" borderId="44" xfId="5" applyFont="1" applyFill="1" applyBorder="1" applyAlignment="1">
      <alignment horizontal="center" vertical="center"/>
    </xf>
    <xf numFmtId="0" fontId="6" fillId="6" borderId="50" xfId="5" applyFont="1" applyFill="1" applyBorder="1" applyAlignment="1">
      <alignment horizontal="center" vertical="center"/>
    </xf>
    <xf numFmtId="0" fontId="6" fillId="6" borderId="47" xfId="5" applyFont="1" applyFill="1" applyBorder="1" applyAlignment="1">
      <alignment horizontal="center" vertical="center"/>
    </xf>
    <xf numFmtId="0" fontId="6" fillId="6" borderId="49" xfId="5" applyFont="1" applyFill="1" applyBorder="1" applyAlignment="1">
      <alignment horizontal="center" vertical="center"/>
    </xf>
    <xf numFmtId="0" fontId="6" fillId="6" borderId="52" xfId="5" applyFont="1" applyFill="1" applyBorder="1" applyAlignment="1">
      <alignment horizontal="center" vertical="center"/>
    </xf>
    <xf numFmtId="0" fontId="6" fillId="6" borderId="48" xfId="5" applyFont="1" applyFill="1" applyBorder="1" applyAlignment="1">
      <alignment horizontal="center" vertical="center"/>
    </xf>
    <xf numFmtId="0" fontId="6" fillId="2" borderId="151" xfId="5" applyFont="1" applyFill="1" applyBorder="1" applyAlignment="1">
      <alignment horizontal="center" vertical="center"/>
    </xf>
    <xf numFmtId="0" fontId="6" fillId="2" borderId="152" xfId="5" applyFont="1" applyFill="1" applyBorder="1" applyAlignment="1">
      <alignment horizontal="center" vertical="center"/>
    </xf>
    <xf numFmtId="0" fontId="6" fillId="2" borderId="155" xfId="5" applyFont="1" applyFill="1" applyBorder="1" applyAlignment="1">
      <alignment horizontal="center" vertical="center"/>
    </xf>
    <xf numFmtId="0" fontId="6" fillId="8" borderId="50" xfId="5" applyFont="1" applyFill="1" applyBorder="1" applyAlignment="1">
      <alignment horizontal="center" vertical="center"/>
    </xf>
    <xf numFmtId="0" fontId="6" fillId="8" borderId="47" xfId="5" applyFont="1" applyFill="1" applyBorder="1" applyAlignment="1">
      <alignment horizontal="center" vertical="center"/>
    </xf>
    <xf numFmtId="0" fontId="6" fillId="8" borderId="49" xfId="5" applyFont="1" applyFill="1" applyBorder="1" applyAlignment="1">
      <alignment horizontal="center" vertical="center"/>
    </xf>
    <xf numFmtId="0" fontId="6" fillId="8" borderId="52" xfId="5" applyFont="1" applyFill="1" applyBorder="1" applyAlignment="1">
      <alignment horizontal="center" vertical="center"/>
    </xf>
    <xf numFmtId="0" fontId="6" fillId="8" borderId="48" xfId="5" applyFont="1" applyFill="1" applyBorder="1" applyAlignment="1">
      <alignment horizontal="center" vertical="center"/>
    </xf>
    <xf numFmtId="0" fontId="6" fillId="0" borderId="124" xfId="5" applyFont="1" applyBorder="1" applyAlignment="1">
      <alignment horizontal="center" vertical="center" wrapText="1"/>
    </xf>
    <xf numFmtId="0" fontId="6" fillId="11" borderId="100" xfId="5" applyFont="1" applyFill="1" applyBorder="1" applyAlignment="1">
      <alignment horizontal="center" vertical="center"/>
    </xf>
    <xf numFmtId="0" fontId="6" fillId="11" borderId="86" xfId="5" applyFont="1" applyFill="1" applyBorder="1" applyAlignment="1">
      <alignment horizontal="center" vertical="center"/>
    </xf>
    <xf numFmtId="0" fontId="6" fillId="11" borderId="108" xfId="5" applyFont="1" applyFill="1" applyBorder="1" applyAlignment="1">
      <alignment horizontal="center" vertical="center"/>
    </xf>
    <xf numFmtId="0" fontId="6" fillId="8" borderId="85" xfId="5" applyFont="1" applyFill="1" applyBorder="1" applyAlignment="1">
      <alignment horizontal="center" vertical="center"/>
    </xf>
    <xf numFmtId="0" fontId="6" fillId="6" borderId="107" xfId="5" applyFont="1" applyFill="1" applyBorder="1" applyAlignment="1">
      <alignment horizontal="center" vertical="center" shrinkToFit="1"/>
    </xf>
    <xf numFmtId="0" fontId="6" fillId="6" borderId="100" xfId="5" applyFont="1" applyFill="1" applyBorder="1" applyAlignment="1">
      <alignment horizontal="center" vertical="center" shrinkToFit="1"/>
    </xf>
    <xf numFmtId="0" fontId="6" fillId="6" borderId="102" xfId="5" applyFont="1" applyFill="1" applyBorder="1" applyAlignment="1">
      <alignment horizontal="center" vertical="center" shrinkToFit="1"/>
    </xf>
    <xf numFmtId="0" fontId="6" fillId="6" borderId="86" xfId="5" applyFont="1" applyFill="1" applyBorder="1" applyAlignment="1">
      <alignment horizontal="center" vertical="center" shrinkToFit="1"/>
    </xf>
    <xf numFmtId="0" fontId="6" fillId="6" borderId="85" xfId="5" applyFont="1" applyFill="1" applyBorder="1" applyAlignment="1">
      <alignment horizontal="center" vertical="center" shrinkToFit="1"/>
    </xf>
    <xf numFmtId="0" fontId="18" fillId="7" borderId="124" xfId="6" applyFont="1" applyFill="1" applyBorder="1" applyAlignment="1">
      <alignment horizontal="center" vertical="center" wrapText="1"/>
    </xf>
    <xf numFmtId="0" fontId="18" fillId="7" borderId="127" xfId="6" applyFont="1" applyFill="1" applyBorder="1" applyAlignment="1">
      <alignment horizontal="center" vertical="center"/>
    </xf>
    <xf numFmtId="0" fontId="20" fillId="6" borderId="132" xfId="0" applyFont="1" applyFill="1" applyBorder="1" applyAlignment="1">
      <alignment horizontal="center" vertical="center"/>
    </xf>
    <xf numFmtId="0" fontId="20" fillId="6" borderId="99" xfId="0" applyFont="1" applyFill="1" applyBorder="1" applyAlignment="1">
      <alignment horizontal="center" vertical="center"/>
    </xf>
    <xf numFmtId="0" fontId="20" fillId="6" borderId="131" xfId="0" applyFont="1" applyFill="1" applyBorder="1" applyAlignment="1">
      <alignment horizontal="center" vertical="center"/>
    </xf>
    <xf numFmtId="0" fontId="6" fillId="6" borderId="112" xfId="5" applyFont="1" applyFill="1" applyBorder="1" applyAlignment="1">
      <alignment horizontal="center" vertical="center" shrinkToFit="1"/>
    </xf>
    <xf numFmtId="0" fontId="6" fillId="6" borderId="130" xfId="5" applyFont="1" applyFill="1" applyBorder="1" applyAlignment="1">
      <alignment horizontal="center" vertical="center" shrinkToFit="1"/>
    </xf>
    <xf numFmtId="0" fontId="6" fillId="8" borderId="116" xfId="5" applyFont="1" applyFill="1" applyBorder="1" applyAlignment="1">
      <alignment horizontal="center" vertical="center"/>
    </xf>
    <xf numFmtId="0" fontId="6" fillId="8" borderId="87" xfId="5" applyFont="1" applyFill="1" applyBorder="1" applyAlignment="1">
      <alignment horizontal="center" vertical="center"/>
    </xf>
    <xf numFmtId="0" fontId="6" fillId="8" borderId="113" xfId="5" applyFont="1" applyFill="1" applyBorder="1" applyAlignment="1">
      <alignment horizontal="center" vertical="center"/>
    </xf>
    <xf numFmtId="0" fontId="6" fillId="6" borderId="132" xfId="5" applyFont="1" applyFill="1" applyBorder="1" applyAlignment="1">
      <alignment horizontal="center" vertical="center" shrinkToFit="1"/>
    </xf>
    <xf numFmtId="0" fontId="6" fillId="6" borderId="99" xfId="5" applyFont="1" applyFill="1" applyBorder="1" applyAlignment="1">
      <alignment horizontal="center" vertical="center" shrinkToFit="1"/>
    </xf>
    <xf numFmtId="0" fontId="6" fillId="6" borderId="131" xfId="5" applyFont="1" applyFill="1" applyBorder="1" applyAlignment="1">
      <alignment horizontal="center" vertical="center" shrinkToFit="1"/>
    </xf>
    <xf numFmtId="0" fontId="9" fillId="0" borderId="36" xfId="5" applyFont="1" applyBorder="1" applyAlignment="1">
      <alignment horizontal="center" vertical="center"/>
    </xf>
    <xf numFmtId="0" fontId="9" fillId="0" borderId="32" xfId="5" applyFont="1" applyBorder="1" applyAlignment="1">
      <alignment horizontal="center" vertical="center"/>
    </xf>
    <xf numFmtId="0" fontId="9" fillId="0" borderId="51" xfId="5" applyFont="1" applyBorder="1" applyAlignment="1">
      <alignment horizontal="center" vertical="center"/>
    </xf>
    <xf numFmtId="0" fontId="6" fillId="6" borderId="112" xfId="5" applyFont="1" applyFill="1" applyBorder="1" applyAlignment="1">
      <alignment horizontal="center" vertical="center"/>
    </xf>
    <xf numFmtId="0" fontId="6" fillId="6" borderId="130" xfId="5" applyFont="1" applyFill="1" applyBorder="1" applyAlignment="1">
      <alignment horizontal="center" vertical="center"/>
    </xf>
    <xf numFmtId="0" fontId="6" fillId="6" borderId="180" xfId="5" applyFont="1" applyFill="1" applyBorder="1" applyAlignment="1">
      <alignment horizontal="center" vertical="center"/>
    </xf>
    <xf numFmtId="0" fontId="6" fillId="6" borderId="179" xfId="5" applyFont="1" applyFill="1" applyBorder="1" applyAlignment="1">
      <alignment horizontal="center" vertical="center"/>
    </xf>
    <xf numFmtId="0" fontId="33" fillId="6" borderId="198" xfId="5" applyFont="1" applyFill="1" applyBorder="1" applyAlignment="1">
      <alignment horizontal="center" vertical="center" shrinkToFit="1"/>
    </xf>
    <xf numFmtId="0" fontId="33" fillId="6" borderId="161" xfId="5" applyFont="1" applyFill="1" applyBorder="1" applyAlignment="1">
      <alignment horizontal="center" vertical="center" shrinkToFit="1"/>
    </xf>
    <xf numFmtId="0" fontId="6" fillId="11" borderId="50" xfId="0" applyFont="1" applyFill="1" applyBorder="1" applyAlignment="1">
      <alignment horizontal="center" vertical="center"/>
    </xf>
    <xf numFmtId="0" fontId="6" fillId="11" borderId="47" xfId="0" applyFont="1" applyFill="1" applyBorder="1" applyAlignment="1">
      <alignment horizontal="center" vertical="center"/>
    </xf>
    <xf numFmtId="0" fontId="6" fillId="11" borderId="48" xfId="0" applyFont="1" applyFill="1" applyBorder="1" applyAlignment="1">
      <alignment horizontal="center" vertical="center"/>
    </xf>
    <xf numFmtId="0" fontId="6" fillId="11" borderId="43" xfId="0" applyFont="1" applyFill="1" applyBorder="1" applyAlignment="1">
      <alignment horizontal="center" vertical="center"/>
    </xf>
    <xf numFmtId="0" fontId="6" fillId="11" borderId="44" xfId="0" applyFont="1" applyFill="1" applyBorder="1" applyAlignment="1">
      <alignment horizontal="center" vertical="center"/>
    </xf>
    <xf numFmtId="0" fontId="6" fillId="0" borderId="20" xfId="0" applyFont="1" applyBorder="1" applyAlignment="1">
      <alignment horizontal="center" vertical="center"/>
    </xf>
    <xf numFmtId="0" fontId="6" fillId="0" borderId="25" xfId="0" applyFont="1" applyBorder="1" applyAlignment="1">
      <alignment horizontal="center" vertical="center"/>
    </xf>
    <xf numFmtId="0" fontId="6" fillId="0" borderId="21" xfId="0" applyFont="1" applyBorder="1" applyAlignment="1">
      <alignment horizontal="center" vertical="center"/>
    </xf>
    <xf numFmtId="0" fontId="6" fillId="11" borderId="102" xfId="5" applyFont="1" applyFill="1" applyBorder="1" applyAlignment="1">
      <alignment horizontal="center" vertical="center"/>
    </xf>
    <xf numFmtId="0" fontId="6" fillId="8" borderId="50" xfId="0" applyFont="1" applyFill="1" applyBorder="1" applyAlignment="1">
      <alignment horizontal="center" vertical="center"/>
    </xf>
    <xf numFmtId="0" fontId="6" fillId="8" borderId="47" xfId="0" applyFont="1" applyFill="1" applyBorder="1" applyAlignment="1">
      <alignment horizontal="center" vertical="center"/>
    </xf>
    <xf numFmtId="0" fontId="6" fillId="8" borderId="48" xfId="0" applyFont="1" applyFill="1" applyBorder="1" applyAlignment="1">
      <alignment horizontal="center" vertical="center"/>
    </xf>
    <xf numFmtId="0" fontId="6" fillId="8" borderId="43" xfId="0" applyFont="1" applyFill="1" applyBorder="1" applyAlignment="1">
      <alignment horizontal="center" vertical="center"/>
    </xf>
    <xf numFmtId="0" fontId="6" fillId="8" borderId="44" xfId="0" applyFont="1" applyFill="1" applyBorder="1" applyAlignment="1">
      <alignment horizontal="center" vertical="center"/>
    </xf>
    <xf numFmtId="0" fontId="6" fillId="8" borderId="17" xfId="0" applyFont="1" applyFill="1" applyBorder="1" applyAlignment="1">
      <alignment horizontal="center" vertical="center"/>
    </xf>
    <xf numFmtId="0" fontId="6" fillId="8" borderId="0" xfId="0" applyFont="1" applyFill="1" applyBorder="1" applyAlignment="1">
      <alignment horizontal="center" vertical="center"/>
    </xf>
    <xf numFmtId="0" fontId="6" fillId="8" borderId="42" xfId="0" applyFont="1" applyFill="1" applyBorder="1" applyAlignment="1">
      <alignment horizontal="center" vertical="center"/>
    </xf>
    <xf numFmtId="0" fontId="6" fillId="11" borderId="102" xfId="5" applyFont="1" applyFill="1" applyBorder="1" applyAlignment="1">
      <alignment horizontal="center" vertical="center" wrapText="1"/>
    </xf>
    <xf numFmtId="0" fontId="6" fillId="11" borderId="85" xfId="5" applyFont="1" applyFill="1" applyBorder="1" applyAlignment="1">
      <alignment horizontal="center" vertical="center" wrapText="1"/>
    </xf>
    <xf numFmtId="0" fontId="18" fillId="8" borderId="116" xfId="6" applyFont="1" applyFill="1" applyBorder="1" applyAlignment="1">
      <alignment horizontal="center" vertical="center"/>
    </xf>
    <xf numFmtId="0" fontId="18" fillId="8" borderId="87" xfId="6" applyFont="1" applyFill="1" applyBorder="1" applyAlignment="1">
      <alignment horizontal="center" vertical="center"/>
    </xf>
    <xf numFmtId="0" fontId="18" fillId="8" borderId="113" xfId="6" applyFont="1" applyFill="1" applyBorder="1" applyAlignment="1">
      <alignment horizontal="center" vertical="center"/>
    </xf>
    <xf numFmtId="0" fontId="18" fillId="8" borderId="100" xfId="6" applyFont="1" applyFill="1" applyBorder="1" applyAlignment="1">
      <alignment horizontal="center" vertical="center"/>
    </xf>
    <xf numFmtId="0" fontId="18" fillId="8" borderId="86" xfId="6" applyFont="1" applyFill="1" applyBorder="1" applyAlignment="1">
      <alignment horizontal="center" vertical="center"/>
    </xf>
    <xf numFmtId="0" fontId="18" fillId="8" borderId="108" xfId="6" applyFont="1" applyFill="1" applyBorder="1" applyAlignment="1">
      <alignment horizontal="center" vertical="center"/>
    </xf>
    <xf numFmtId="0" fontId="6" fillId="0" borderId="123" xfId="5" applyFont="1" applyBorder="1" applyAlignment="1">
      <alignment horizontal="center" vertical="center" wrapText="1"/>
    </xf>
    <xf numFmtId="0" fontId="6" fillId="11" borderId="90" xfId="5" applyFont="1" applyFill="1" applyBorder="1" applyAlignment="1">
      <alignment horizontal="center" vertical="center"/>
    </xf>
    <xf numFmtId="0" fontId="6" fillId="11" borderId="101" xfId="5" applyFont="1" applyFill="1" applyBorder="1" applyAlignment="1">
      <alignment horizontal="center" vertical="center"/>
    </xf>
    <xf numFmtId="0" fontId="6" fillId="11" borderId="92" xfId="5" applyFont="1" applyFill="1" applyBorder="1" applyAlignment="1">
      <alignment horizontal="center" vertical="center"/>
    </xf>
    <xf numFmtId="0" fontId="6" fillId="8" borderId="108" xfId="5" applyFont="1" applyFill="1" applyBorder="1" applyAlignment="1">
      <alignment horizontal="center" vertical="center" shrinkToFit="1"/>
    </xf>
    <xf numFmtId="0" fontId="6" fillId="11" borderId="160" xfId="5" applyFont="1" applyFill="1" applyBorder="1" applyAlignment="1">
      <alignment horizontal="center" vertical="center"/>
    </xf>
    <xf numFmtId="0" fontId="6" fillId="11" borderId="137" xfId="5" applyFont="1" applyFill="1" applyBorder="1" applyAlignment="1">
      <alignment horizontal="center" vertical="center"/>
    </xf>
    <xf numFmtId="0" fontId="6" fillId="11" borderId="138" xfId="5" applyFont="1" applyFill="1" applyBorder="1" applyAlignment="1">
      <alignment horizontal="center" vertical="center"/>
    </xf>
    <xf numFmtId="0" fontId="6" fillId="8" borderId="90" xfId="5" applyFont="1" applyFill="1" applyBorder="1" applyAlignment="1">
      <alignment horizontal="center" vertical="center"/>
    </xf>
    <xf numFmtId="0" fontId="6" fillId="8" borderId="101" xfId="5" applyFont="1" applyFill="1" applyBorder="1" applyAlignment="1">
      <alignment horizontal="center" vertical="center"/>
    </xf>
    <xf numFmtId="0" fontId="6" fillId="8" borderId="92" xfId="5" applyFont="1" applyFill="1" applyBorder="1" applyAlignment="1">
      <alignment horizontal="center" vertical="center"/>
    </xf>
    <xf numFmtId="0" fontId="18" fillId="11" borderId="116" xfId="6" applyFont="1" applyFill="1" applyBorder="1" applyAlignment="1">
      <alignment horizontal="center" vertical="center"/>
    </xf>
    <xf numFmtId="0" fontId="18" fillId="11" borderId="87" xfId="6" applyFont="1" applyFill="1" applyBorder="1" applyAlignment="1">
      <alignment horizontal="center" vertical="center"/>
    </xf>
    <xf numFmtId="0" fontId="18" fillId="11" borderId="113" xfId="6" applyFont="1" applyFill="1" applyBorder="1" applyAlignment="1">
      <alignment horizontal="center" vertical="center"/>
    </xf>
    <xf numFmtId="0" fontId="18" fillId="11" borderId="100" xfId="6" applyFont="1" applyFill="1" applyBorder="1" applyAlignment="1">
      <alignment horizontal="center" vertical="center"/>
    </xf>
    <xf numFmtId="0" fontId="18" fillId="11" borderId="86" xfId="6" applyFont="1" applyFill="1" applyBorder="1" applyAlignment="1">
      <alignment horizontal="center" vertical="center"/>
    </xf>
    <xf numFmtId="0" fontId="18" fillId="11" borderId="108" xfId="6" applyFont="1" applyFill="1" applyBorder="1" applyAlignment="1">
      <alignment horizontal="center" vertical="center"/>
    </xf>
    <xf numFmtId="0" fontId="6" fillId="0" borderId="127" xfId="5" applyFont="1" applyBorder="1" applyAlignment="1">
      <alignment horizontal="center" vertical="center" wrapText="1"/>
    </xf>
    <xf numFmtId="0" fontId="6" fillId="11" borderId="17" xfId="0" applyFont="1" applyFill="1" applyBorder="1" applyAlignment="1">
      <alignment horizontal="center" vertical="center"/>
    </xf>
    <xf numFmtId="0" fontId="6" fillId="11" borderId="0" xfId="0" applyFont="1" applyFill="1" applyBorder="1" applyAlignment="1">
      <alignment horizontal="center" vertical="center"/>
    </xf>
    <xf numFmtId="0" fontId="6" fillId="11" borderId="42" xfId="0" applyFont="1" applyFill="1" applyBorder="1" applyAlignment="1">
      <alignment horizontal="center" vertical="center"/>
    </xf>
    <xf numFmtId="0" fontId="6" fillId="8" borderId="36" xfId="5" applyFont="1" applyFill="1" applyBorder="1" applyAlignment="1">
      <alignment horizontal="center" vertical="center" shrinkToFit="1"/>
    </xf>
    <xf numFmtId="0" fontId="6" fillId="8" borderId="32" xfId="5" applyFont="1" applyFill="1" applyBorder="1" applyAlignment="1">
      <alignment horizontal="center" vertical="center" shrinkToFit="1"/>
    </xf>
    <xf numFmtId="0" fontId="6" fillId="8" borderId="51" xfId="5" applyFont="1" applyFill="1" applyBorder="1" applyAlignment="1">
      <alignment horizontal="center" vertical="center" shrinkToFit="1"/>
    </xf>
    <xf numFmtId="0" fontId="6" fillId="2" borderId="107" xfId="5" applyFont="1" applyFill="1" applyBorder="1" applyAlignment="1">
      <alignment horizontal="center" vertical="center"/>
    </xf>
    <xf numFmtId="0" fontId="6" fillId="2" borderId="102" xfId="5" applyFont="1" applyFill="1" applyBorder="1" applyAlignment="1">
      <alignment horizontal="center" vertical="center"/>
    </xf>
    <xf numFmtId="0" fontId="6" fillId="2" borderId="85" xfId="5" applyFont="1" applyFill="1" applyBorder="1" applyAlignment="1">
      <alignment horizontal="center" vertical="center"/>
    </xf>
    <xf numFmtId="0" fontId="20" fillId="8" borderId="32" xfId="0" applyFont="1" applyFill="1" applyBorder="1" applyAlignment="1">
      <alignment horizontal="center" vertical="center"/>
    </xf>
    <xf numFmtId="0" fontId="22" fillId="8" borderId="32" xfId="0" applyFont="1" applyFill="1" applyBorder="1" applyAlignment="1">
      <alignment horizontal="center" vertical="center"/>
    </xf>
    <xf numFmtId="0" fontId="20" fillId="6" borderId="32" xfId="0" applyFont="1" applyFill="1" applyBorder="1" applyAlignment="1">
      <alignment horizontal="center" vertical="center"/>
    </xf>
    <xf numFmtId="0" fontId="22" fillId="6" borderId="32" xfId="0" applyFont="1" applyFill="1" applyBorder="1" applyAlignment="1">
      <alignment horizontal="center" vertical="center"/>
    </xf>
    <xf numFmtId="0" fontId="6" fillId="13" borderId="100" xfId="5" applyFont="1" applyFill="1" applyBorder="1" applyAlignment="1">
      <alignment horizontal="center" vertical="center"/>
    </xf>
    <xf numFmtId="0" fontId="6" fillId="13" borderId="86" xfId="5" applyFont="1" applyFill="1" applyBorder="1" applyAlignment="1">
      <alignment horizontal="center" vertical="center"/>
    </xf>
    <xf numFmtId="0" fontId="6" fillId="13" borderId="108" xfId="5" applyFont="1" applyFill="1" applyBorder="1" applyAlignment="1">
      <alignment horizontal="center" vertical="center"/>
    </xf>
    <xf numFmtId="0" fontId="6" fillId="11" borderId="36" xfId="5" applyFont="1" applyFill="1" applyBorder="1" applyAlignment="1">
      <alignment horizontal="center" vertical="center"/>
    </xf>
    <xf numFmtId="0" fontId="6" fillId="11" borderId="32" xfId="5" applyFont="1" applyFill="1" applyBorder="1" applyAlignment="1">
      <alignment horizontal="center" vertical="center"/>
    </xf>
    <xf numFmtId="0" fontId="6" fillId="11" borderId="51" xfId="5" applyFont="1" applyFill="1" applyBorder="1" applyAlignment="1">
      <alignment horizontal="center" vertical="center"/>
    </xf>
    <xf numFmtId="0" fontId="42" fillId="0" borderId="36" xfId="0" applyFont="1" applyBorder="1" applyAlignment="1">
      <alignment horizontal="center" vertical="center"/>
    </xf>
    <xf numFmtId="0" fontId="42" fillId="0" borderId="32" xfId="0" applyFont="1" applyBorder="1" applyAlignment="1">
      <alignment horizontal="center" vertical="center"/>
    </xf>
    <xf numFmtId="0" fontId="42" fillId="0" borderId="51" xfId="0" applyFont="1" applyBorder="1" applyAlignment="1">
      <alignment horizontal="center" vertical="center"/>
    </xf>
    <xf numFmtId="0" fontId="41" fillId="0" borderId="167" xfId="0" applyFont="1" applyBorder="1" applyAlignment="1">
      <alignment horizontal="center" vertical="center"/>
    </xf>
    <xf numFmtId="0" fontId="41" fillId="0" borderId="169" xfId="0" applyFont="1" applyBorder="1" applyAlignment="1">
      <alignment horizontal="center" vertical="center"/>
    </xf>
    <xf numFmtId="0" fontId="41" fillId="0" borderId="196" xfId="0" applyFont="1" applyBorder="1" applyAlignment="1">
      <alignment horizontal="center" vertical="center"/>
    </xf>
    <xf numFmtId="0" fontId="41" fillId="0" borderId="35" xfId="0" applyFont="1" applyBorder="1" applyAlignment="1">
      <alignment horizontal="center" vertical="center"/>
    </xf>
    <xf numFmtId="0" fontId="6" fillId="0" borderId="62" xfId="0" applyFont="1" applyBorder="1" applyAlignment="1">
      <alignment horizontal="right" vertical="center"/>
    </xf>
    <xf numFmtId="0" fontId="6" fillId="0" borderId="35" xfId="0" applyFont="1" applyBorder="1" applyAlignment="1">
      <alignment horizontal="right" vertical="center"/>
    </xf>
    <xf numFmtId="0" fontId="43" fillId="0" borderId="64" xfId="0" applyFont="1" applyBorder="1" applyAlignment="1">
      <alignment horizontal="center" vertical="center"/>
    </xf>
    <xf numFmtId="0" fontId="43" fillId="0" borderId="56" xfId="0" applyFont="1" applyBorder="1" applyAlignment="1">
      <alignment horizontal="center" vertical="center"/>
    </xf>
    <xf numFmtId="0" fontId="43" fillId="0" borderId="57" xfId="0" applyFont="1" applyBorder="1" applyAlignment="1">
      <alignment horizontal="center" vertical="center"/>
    </xf>
    <xf numFmtId="0" fontId="6" fillId="2" borderId="12"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6" xfId="0" applyFont="1" applyFill="1" applyBorder="1" applyAlignment="1">
      <alignment horizontal="center" vertical="center"/>
    </xf>
    <xf numFmtId="0" fontId="6" fillId="4" borderId="14" xfId="0" applyFont="1" applyFill="1" applyBorder="1" applyAlignment="1">
      <alignment horizontal="center" vertical="center"/>
    </xf>
    <xf numFmtId="0" fontId="6" fillId="4" borderId="41" xfId="0" applyFont="1" applyFill="1" applyBorder="1" applyAlignment="1">
      <alignment horizontal="center" vertical="center"/>
    </xf>
    <xf numFmtId="0" fontId="6" fillId="4" borderId="45" xfId="0" applyFont="1" applyFill="1" applyBorder="1" applyAlignment="1">
      <alignment horizontal="center" vertical="center"/>
    </xf>
    <xf numFmtId="0" fontId="6" fillId="2" borderId="46" xfId="0" applyFont="1" applyFill="1" applyBorder="1" applyAlignment="1">
      <alignment horizontal="center" vertical="center"/>
    </xf>
    <xf numFmtId="0" fontId="6" fillId="2" borderId="39" xfId="0" applyFont="1" applyFill="1" applyBorder="1" applyAlignment="1">
      <alignment horizontal="center" vertical="center"/>
    </xf>
    <xf numFmtId="0" fontId="6" fillId="2" borderId="141" xfId="0" applyFont="1" applyFill="1" applyBorder="1" applyAlignment="1">
      <alignment horizontal="center" vertical="center"/>
    </xf>
    <xf numFmtId="0" fontId="6" fillId="2" borderId="181" xfId="0" applyFont="1" applyFill="1" applyBorder="1" applyAlignment="1">
      <alignment horizontal="center" vertical="center"/>
    </xf>
    <xf numFmtId="0" fontId="6" fillId="2" borderId="184" xfId="0" applyFont="1" applyFill="1" applyBorder="1" applyAlignment="1">
      <alignment horizontal="center" vertical="center"/>
    </xf>
    <xf numFmtId="0" fontId="6" fillId="2" borderId="49" xfId="0" applyFont="1" applyFill="1" applyBorder="1" applyAlignment="1">
      <alignment horizontal="center" vertical="center"/>
    </xf>
    <xf numFmtId="0" fontId="6" fillId="2" borderId="27" xfId="0" applyFont="1" applyFill="1" applyBorder="1" applyAlignment="1">
      <alignment horizontal="center" vertical="center"/>
    </xf>
    <xf numFmtId="0" fontId="6" fillId="2" borderId="40" xfId="0" applyFont="1" applyFill="1" applyBorder="1" applyAlignment="1">
      <alignment horizontal="center" vertical="center"/>
    </xf>
    <xf numFmtId="0" fontId="6" fillId="2" borderId="18"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33" xfId="0" applyFont="1" applyFill="1" applyBorder="1" applyAlignment="1">
      <alignment horizontal="center" vertical="center"/>
    </xf>
    <xf numFmtId="0" fontId="6" fillId="2" borderId="34" xfId="0" applyFont="1" applyFill="1" applyBorder="1" applyAlignment="1">
      <alignment horizontal="center" vertical="center"/>
    </xf>
    <xf numFmtId="0" fontId="7" fillId="2" borderId="18"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0" xfId="0" applyFont="1" applyFill="1" applyBorder="1" applyAlignment="1">
      <alignment horizontal="center" vertical="center"/>
    </xf>
    <xf numFmtId="0" fontId="6" fillId="0" borderId="24" xfId="0" applyFont="1" applyBorder="1" applyAlignment="1">
      <alignment horizontal="center" vertical="center"/>
    </xf>
    <xf numFmtId="0" fontId="6" fillId="0" borderId="192" xfId="0" applyFont="1" applyBorder="1" applyAlignment="1">
      <alignment horizontal="center" vertical="center"/>
    </xf>
    <xf numFmtId="0" fontId="6" fillId="2" borderId="228" xfId="0" applyFont="1" applyFill="1" applyBorder="1" applyAlignment="1">
      <alignment horizontal="center" vertical="center"/>
    </xf>
    <xf numFmtId="0" fontId="6" fillId="2" borderId="229" xfId="0" applyFont="1" applyFill="1" applyBorder="1" applyAlignment="1">
      <alignment horizontal="center" vertical="center"/>
    </xf>
    <xf numFmtId="0" fontId="6" fillId="2" borderId="230" xfId="0" applyFont="1" applyFill="1" applyBorder="1" applyAlignment="1">
      <alignment horizontal="center" vertical="center"/>
    </xf>
    <xf numFmtId="0" fontId="6" fillId="4" borderId="167" xfId="0" applyFont="1" applyFill="1" applyBorder="1" applyAlignment="1">
      <alignment horizontal="center" vertical="center"/>
    </xf>
    <xf numFmtId="0" fontId="6" fillId="4" borderId="162" xfId="0" applyFont="1" applyFill="1" applyBorder="1" applyAlignment="1">
      <alignment horizontal="center" vertical="center"/>
    </xf>
    <xf numFmtId="0" fontId="6" fillId="4" borderId="166" xfId="0" applyFont="1" applyFill="1" applyBorder="1" applyAlignment="1">
      <alignment horizontal="center" vertical="center"/>
    </xf>
    <xf numFmtId="0" fontId="6" fillId="8" borderId="191" xfId="5" applyFont="1" applyFill="1" applyBorder="1" applyAlignment="1">
      <alignment horizontal="center" vertical="center"/>
    </xf>
    <xf numFmtId="0" fontId="6" fillId="8" borderId="190" xfId="5" applyFont="1" applyFill="1" applyBorder="1" applyAlignment="1">
      <alignment horizontal="center" vertical="center"/>
    </xf>
    <xf numFmtId="0" fontId="6" fillId="8" borderId="210" xfId="5" applyFont="1" applyFill="1" applyBorder="1" applyAlignment="1">
      <alignment horizontal="center" vertical="center"/>
    </xf>
    <xf numFmtId="0" fontId="6" fillId="8" borderId="211" xfId="5" applyFont="1" applyFill="1" applyBorder="1" applyAlignment="1">
      <alignment horizontal="center" vertical="center"/>
    </xf>
    <xf numFmtId="0" fontId="6" fillId="8" borderId="212" xfId="5" applyFont="1" applyFill="1" applyBorder="1" applyAlignment="1">
      <alignment horizontal="center" vertical="center"/>
    </xf>
    <xf numFmtId="0" fontId="6" fillId="8" borderId="213" xfId="5" applyFont="1" applyFill="1" applyBorder="1" applyAlignment="1">
      <alignment horizontal="center" vertical="center"/>
    </xf>
    <xf numFmtId="0" fontId="6" fillId="8" borderId="214" xfId="5" applyFont="1" applyFill="1" applyBorder="1" applyAlignment="1">
      <alignment horizontal="center" vertical="center"/>
    </xf>
    <xf numFmtId="0" fontId="6" fillId="4" borderId="36" xfId="0" applyFont="1" applyFill="1" applyBorder="1" applyAlignment="1">
      <alignment horizontal="center" vertical="center"/>
    </xf>
    <xf numFmtId="0" fontId="6" fillId="4" borderId="32" xfId="0" applyFont="1" applyFill="1" applyBorder="1" applyAlignment="1">
      <alignment horizontal="center" vertical="center"/>
    </xf>
    <xf numFmtId="0" fontId="6" fillId="4" borderId="51" xfId="0" applyFont="1" applyFill="1" applyBorder="1" applyAlignment="1">
      <alignment horizontal="center" vertical="center"/>
    </xf>
    <xf numFmtId="0" fontId="6" fillId="0" borderId="25" xfId="0" applyFont="1" applyBorder="1" applyAlignment="1">
      <alignment horizontal="center" vertical="center" wrapText="1"/>
    </xf>
    <xf numFmtId="0" fontId="5" fillId="16" borderId="17" xfId="0" applyFont="1" applyFill="1" applyBorder="1" applyAlignment="1">
      <alignment horizontal="center" vertical="center"/>
    </xf>
    <xf numFmtId="0" fontId="5" fillId="16" borderId="0" xfId="0" applyFont="1" applyFill="1" applyBorder="1" applyAlignment="1">
      <alignment horizontal="center" vertical="center"/>
    </xf>
    <xf numFmtId="0" fontId="5" fillId="16" borderId="42" xfId="0" applyFont="1" applyFill="1" applyBorder="1" applyAlignment="1">
      <alignment horizontal="center" vertical="center"/>
    </xf>
    <xf numFmtId="0" fontId="5" fillId="16" borderId="231" xfId="0" applyFont="1" applyFill="1" applyBorder="1" applyAlignment="1">
      <alignment horizontal="center" vertical="center"/>
    </xf>
    <xf numFmtId="0" fontId="5" fillId="16" borderId="232" xfId="0" applyFont="1" applyFill="1" applyBorder="1" applyAlignment="1">
      <alignment horizontal="center" vertical="center"/>
    </xf>
    <xf numFmtId="0" fontId="5" fillId="16" borderId="233" xfId="0" applyFont="1" applyFill="1" applyBorder="1" applyAlignment="1">
      <alignment horizontal="center" vertical="center"/>
    </xf>
    <xf numFmtId="0" fontId="5" fillId="16" borderId="176" xfId="0" applyFont="1" applyFill="1" applyBorder="1" applyAlignment="1">
      <alignment horizontal="center" vertical="center"/>
    </xf>
    <xf numFmtId="0" fontId="5" fillId="16" borderId="201" xfId="0" applyFont="1" applyFill="1" applyBorder="1" applyAlignment="1">
      <alignment horizontal="center" vertical="center"/>
    </xf>
    <xf numFmtId="0" fontId="5" fillId="16" borderId="200" xfId="0" applyFont="1" applyFill="1" applyBorder="1" applyAlignment="1">
      <alignment horizontal="center" vertical="center"/>
    </xf>
    <xf numFmtId="0" fontId="5" fillId="3" borderId="241" xfId="0" applyFont="1" applyFill="1" applyBorder="1" applyAlignment="1">
      <alignment horizontal="center" vertical="center"/>
    </xf>
    <xf numFmtId="0" fontId="5" fillId="3" borderId="242" xfId="0" applyFont="1" applyFill="1" applyBorder="1" applyAlignment="1">
      <alignment horizontal="center" vertical="center"/>
    </xf>
    <xf numFmtId="0" fontId="5" fillId="3" borderId="243" xfId="0" applyFont="1" applyFill="1" applyBorder="1" applyAlignment="1">
      <alignment horizontal="center" vertical="center"/>
    </xf>
    <xf numFmtId="0" fontId="6" fillId="3" borderId="236" xfId="0" applyFont="1" applyFill="1" applyBorder="1" applyAlignment="1">
      <alignment horizontal="center" vertical="center" wrapText="1"/>
    </xf>
    <xf numFmtId="0" fontId="6" fillId="3" borderId="240" xfId="0" applyFont="1" applyFill="1" applyBorder="1" applyAlignment="1">
      <alignment horizontal="center" vertical="center" wrapText="1"/>
    </xf>
    <xf numFmtId="0" fontId="5" fillId="3" borderId="237" xfId="0" applyFont="1" applyFill="1" applyBorder="1" applyAlignment="1">
      <alignment horizontal="center" vertical="center"/>
    </xf>
    <xf numFmtId="0" fontId="5" fillId="3" borderId="238" xfId="0" applyFont="1" applyFill="1" applyBorder="1" applyAlignment="1">
      <alignment horizontal="center" vertical="center"/>
    </xf>
    <xf numFmtId="0" fontId="5" fillId="3" borderId="239"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32" xfId="0" applyFont="1" applyFill="1" applyBorder="1" applyAlignment="1">
      <alignment horizontal="center" vertical="center"/>
    </xf>
    <xf numFmtId="0" fontId="5" fillId="4" borderId="51" xfId="0" applyFont="1" applyFill="1" applyBorder="1" applyAlignment="1">
      <alignment horizontal="center" vertical="center"/>
    </xf>
    <xf numFmtId="0" fontId="5" fillId="12" borderId="36" xfId="0" applyFont="1" applyFill="1" applyBorder="1" applyAlignment="1">
      <alignment horizontal="center" vertical="center"/>
    </xf>
    <xf numFmtId="0" fontId="5" fillId="12" borderId="32" xfId="0" applyFont="1" applyFill="1" applyBorder="1" applyAlignment="1">
      <alignment horizontal="center" vertical="center"/>
    </xf>
    <xf numFmtId="0" fontId="5" fillId="12" borderId="51" xfId="0" applyFont="1" applyFill="1" applyBorder="1" applyAlignment="1">
      <alignment horizontal="center" vertical="center"/>
    </xf>
    <xf numFmtId="0" fontId="6" fillId="0" borderId="20" xfId="0" applyFont="1" applyBorder="1" applyAlignment="1">
      <alignment horizontal="center" vertical="center" wrapText="1"/>
    </xf>
    <xf numFmtId="0" fontId="5" fillId="4" borderId="13" xfId="0" applyFont="1" applyFill="1" applyBorder="1" applyAlignment="1">
      <alignment horizontal="center" vertical="center"/>
    </xf>
    <xf numFmtId="0" fontId="5" fillId="4" borderId="43" xfId="0" applyFont="1" applyFill="1" applyBorder="1" applyAlignment="1">
      <alignment horizontal="center" vertical="center"/>
    </xf>
    <xf numFmtId="0" fontId="5" fillId="4" borderId="44" xfId="0" applyFont="1" applyFill="1" applyBorder="1" applyAlignment="1">
      <alignment horizontal="center" vertical="center"/>
    </xf>
    <xf numFmtId="0" fontId="5" fillId="4" borderId="17" xfId="0" applyFont="1" applyFill="1" applyBorder="1" applyAlignment="1">
      <alignment horizontal="center" vertical="center"/>
    </xf>
    <xf numFmtId="0" fontId="5" fillId="4" borderId="0" xfId="0" applyFont="1" applyFill="1" applyBorder="1" applyAlignment="1">
      <alignment horizontal="center" vertical="center"/>
    </xf>
    <xf numFmtId="0" fontId="5" fillId="4" borderId="42" xfId="0" applyFont="1" applyFill="1" applyBorder="1" applyAlignment="1">
      <alignment horizontal="center" vertical="center"/>
    </xf>
    <xf numFmtId="0" fontId="5" fillId="3" borderId="244" xfId="0" applyFont="1" applyFill="1" applyBorder="1" applyAlignment="1">
      <alignment horizontal="center" vertical="center"/>
    </xf>
    <xf numFmtId="0" fontId="5" fillId="3" borderId="245" xfId="0" applyFont="1" applyFill="1" applyBorder="1" applyAlignment="1">
      <alignment horizontal="center" vertical="center"/>
    </xf>
    <xf numFmtId="0" fontId="5" fillId="3" borderId="246" xfId="0" applyFont="1" applyFill="1" applyBorder="1" applyAlignment="1">
      <alignment horizontal="center" vertical="center"/>
    </xf>
    <xf numFmtId="0" fontId="43" fillId="0" borderId="167" xfId="0" applyFont="1" applyBorder="1" applyAlignment="1">
      <alignment horizontal="center" vertical="center"/>
    </xf>
    <xf numFmtId="0" fontId="43" fillId="0" borderId="162" xfId="0" applyFont="1" applyBorder="1" applyAlignment="1">
      <alignment horizontal="center" vertical="center"/>
    </xf>
    <xf numFmtId="0" fontId="43" fillId="0" borderId="166" xfId="0" applyFont="1" applyBorder="1" applyAlignment="1">
      <alignment horizontal="center" vertical="center"/>
    </xf>
    <xf numFmtId="0" fontId="6" fillId="16" borderId="36" xfId="0" applyFont="1" applyFill="1" applyBorder="1" applyAlignment="1">
      <alignment horizontal="center" vertical="center"/>
    </xf>
    <xf numFmtId="0" fontId="6" fillId="16" borderId="32" xfId="0" applyFont="1" applyFill="1" applyBorder="1" applyAlignment="1">
      <alignment horizontal="center" vertical="center"/>
    </xf>
    <xf numFmtId="0" fontId="6" fillId="16" borderId="51" xfId="0" applyFont="1" applyFill="1" applyBorder="1" applyAlignment="1">
      <alignment horizontal="center" vertical="center"/>
    </xf>
    <xf numFmtId="0" fontId="6" fillId="4" borderId="17"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42" xfId="0" applyFont="1" applyFill="1" applyBorder="1" applyAlignment="1">
      <alignment horizontal="center" vertical="center"/>
    </xf>
    <xf numFmtId="0" fontId="5" fillId="16" borderId="13" xfId="0" applyFont="1" applyFill="1" applyBorder="1" applyAlignment="1">
      <alignment horizontal="center" vertical="center"/>
    </xf>
    <xf numFmtId="0" fontId="5" fillId="16" borderId="43" xfId="0" applyFont="1" applyFill="1" applyBorder="1" applyAlignment="1">
      <alignment horizontal="center" vertical="center"/>
    </xf>
    <xf numFmtId="0" fontId="5" fillId="16" borderId="44" xfId="0" applyFont="1" applyFill="1" applyBorder="1" applyAlignment="1">
      <alignment horizontal="center" vertical="center"/>
    </xf>
    <xf numFmtId="0" fontId="5" fillId="16" borderId="175" xfId="0" applyFont="1" applyFill="1" applyBorder="1" applyAlignment="1">
      <alignment horizontal="center" vertical="center"/>
    </xf>
    <xf numFmtId="0" fontId="5" fillId="16" borderId="234" xfId="0" applyFont="1" applyFill="1" applyBorder="1" applyAlignment="1">
      <alignment horizontal="center" vertical="center"/>
    </xf>
    <xf numFmtId="0" fontId="5" fillId="16" borderId="235" xfId="0" applyFont="1" applyFill="1" applyBorder="1" applyAlignment="1">
      <alignment horizontal="center" vertical="center"/>
    </xf>
    <xf numFmtId="0" fontId="37" fillId="3" borderId="12" xfId="5" applyFont="1" applyFill="1" applyBorder="1" applyAlignment="1">
      <alignment horizontal="center" vertical="center"/>
    </xf>
    <xf numFmtId="0" fontId="37" fillId="3" borderId="15" xfId="5" applyFont="1" applyFill="1" applyBorder="1" applyAlignment="1">
      <alignment horizontal="center" vertical="center"/>
    </xf>
    <xf numFmtId="0" fontId="37" fillId="3" borderId="16" xfId="5" applyFont="1" applyFill="1" applyBorder="1" applyAlignment="1">
      <alignment horizontal="center" vertical="center"/>
    </xf>
    <xf numFmtId="0" fontId="6" fillId="0" borderId="126" xfId="5" applyFont="1" applyBorder="1" applyAlignment="1">
      <alignment horizontal="center" vertical="center"/>
    </xf>
    <xf numFmtId="0" fontId="6" fillId="4" borderId="90" xfId="5" applyFont="1" applyFill="1" applyBorder="1" applyAlignment="1">
      <alignment horizontal="center" vertical="center"/>
    </xf>
    <xf numFmtId="0" fontId="6" fillId="4" borderId="101" xfId="5" applyFont="1" applyFill="1" applyBorder="1" applyAlignment="1">
      <alignment horizontal="center" vertical="center"/>
    </xf>
    <xf numFmtId="0" fontId="6" fillId="4" borderId="92" xfId="5" applyFont="1" applyFill="1" applyBorder="1" applyAlignment="1">
      <alignment horizontal="center" vertical="center"/>
    </xf>
    <xf numFmtId="0" fontId="6" fillId="4" borderId="116" xfId="5" applyFont="1" applyFill="1" applyBorder="1" applyAlignment="1">
      <alignment horizontal="center" vertical="center"/>
    </xf>
    <xf numFmtId="0" fontId="6" fillId="4" borderId="87" xfId="5" applyFont="1" applyFill="1" applyBorder="1" applyAlignment="1">
      <alignment horizontal="center" vertical="center"/>
    </xf>
    <xf numFmtId="0" fontId="6" fillId="4" borderId="113" xfId="5" applyFont="1" applyFill="1" applyBorder="1" applyAlignment="1">
      <alignment horizontal="center" vertical="center"/>
    </xf>
    <xf numFmtId="0" fontId="6" fillId="4" borderId="88" xfId="5" applyFont="1" applyFill="1" applyBorder="1" applyAlignment="1">
      <alignment horizontal="center" vertical="center"/>
    </xf>
    <xf numFmtId="0" fontId="6" fillId="4" borderId="109" xfId="5" applyFont="1" applyFill="1" applyBorder="1" applyAlignment="1">
      <alignment horizontal="center" vertical="center"/>
    </xf>
    <xf numFmtId="0" fontId="6" fillId="4" borderId="91" xfId="5" applyFont="1" applyFill="1" applyBorder="1" applyAlignment="1">
      <alignment horizontal="center" vertical="center"/>
    </xf>
    <xf numFmtId="0" fontId="6" fillId="8" borderId="131" xfId="5" applyFont="1" applyFill="1" applyBorder="1" applyAlignment="1">
      <alignment horizontal="center" vertical="center" shrinkToFit="1"/>
    </xf>
    <xf numFmtId="0" fontId="6" fillId="8" borderId="132" xfId="5" applyFont="1" applyFill="1" applyBorder="1" applyAlignment="1">
      <alignment horizontal="center" vertical="center" shrinkToFit="1"/>
    </xf>
    <xf numFmtId="0" fontId="6" fillId="0" borderId="122" xfId="5" applyFont="1" applyBorder="1" applyAlignment="1">
      <alignment horizontal="center" vertical="center"/>
    </xf>
    <xf numFmtId="0" fontId="6" fillId="0" borderId="121" xfId="5" applyFont="1" applyBorder="1" applyAlignment="1">
      <alignment horizontal="center" vertical="center"/>
    </xf>
    <xf numFmtId="0" fontId="6" fillId="4" borderId="90" xfId="5" applyFont="1" applyFill="1" applyBorder="1" applyAlignment="1">
      <alignment horizontal="center" vertical="center" shrinkToFit="1"/>
    </xf>
    <xf numFmtId="0" fontId="6" fillId="4" borderId="101" xfId="5" applyFont="1" applyFill="1" applyBorder="1" applyAlignment="1">
      <alignment horizontal="center" vertical="center" shrinkToFit="1"/>
    </xf>
    <xf numFmtId="0" fontId="6" fillId="4" borderId="88" xfId="5" applyFont="1" applyFill="1" applyBorder="1" applyAlignment="1">
      <alignment horizontal="center" vertical="center" shrinkToFit="1"/>
    </xf>
    <xf numFmtId="0" fontId="6" fillId="4" borderId="109" xfId="5" applyFont="1" applyFill="1" applyBorder="1" applyAlignment="1">
      <alignment horizontal="center" vertical="center" shrinkToFit="1"/>
    </xf>
    <xf numFmtId="0" fontId="6" fillId="4" borderId="92" xfId="5" applyFont="1" applyFill="1" applyBorder="1" applyAlignment="1">
      <alignment horizontal="center" vertical="center" shrinkToFit="1"/>
    </xf>
    <xf numFmtId="0" fontId="6" fillId="0" borderId="97" xfId="5" applyFont="1" applyBorder="1" applyAlignment="1">
      <alignment horizontal="center" vertical="center"/>
    </xf>
    <xf numFmtId="0" fontId="6" fillId="0" borderId="106" xfId="5" applyFont="1" applyBorder="1" applyAlignment="1">
      <alignment horizontal="center" vertical="center"/>
    </xf>
    <xf numFmtId="0" fontId="6" fillId="8" borderId="88" xfId="5" applyFont="1" applyFill="1" applyBorder="1" applyAlignment="1">
      <alignment horizontal="center" vertical="center"/>
    </xf>
    <xf numFmtId="0" fontId="6" fillId="8" borderId="109" xfId="5" applyFont="1" applyFill="1" applyBorder="1" applyAlignment="1">
      <alignment horizontal="center" vertical="center"/>
    </xf>
    <xf numFmtId="0" fontId="6" fillId="8" borderId="91" xfId="5" applyFont="1" applyFill="1" applyBorder="1" applyAlignment="1">
      <alignment horizontal="center" vertical="center"/>
    </xf>
    <xf numFmtId="0" fontId="37" fillId="3" borderId="20" xfId="5" applyFont="1" applyFill="1" applyBorder="1" applyAlignment="1">
      <alignment horizontal="center" vertical="center" wrapText="1"/>
    </xf>
    <xf numFmtId="0" fontId="37" fillId="3" borderId="25" xfId="5" applyFont="1" applyFill="1" applyBorder="1" applyAlignment="1">
      <alignment horizontal="center" vertical="center"/>
    </xf>
    <xf numFmtId="0" fontId="37" fillId="3" borderId="21" xfId="5" applyFont="1" applyFill="1" applyBorder="1" applyAlignment="1">
      <alignment horizontal="center" vertical="center"/>
    </xf>
    <xf numFmtId="0" fontId="37" fillId="3" borderId="49" xfId="5" applyFont="1" applyFill="1" applyBorder="1" applyAlignment="1">
      <alignment horizontal="center" vertical="center"/>
    </xf>
    <xf numFmtId="0" fontId="37" fillId="3" borderId="27" xfId="5" applyFont="1" applyFill="1" applyBorder="1" applyAlignment="1">
      <alignment horizontal="center" vertical="center"/>
    </xf>
    <xf numFmtId="0" fontId="37" fillId="3" borderId="40" xfId="5" applyFont="1" applyFill="1" applyBorder="1" applyAlignment="1">
      <alignment horizontal="center" vertical="center"/>
    </xf>
    <xf numFmtId="0" fontId="37" fillId="3" borderId="18" xfId="5" applyFont="1" applyFill="1" applyBorder="1" applyAlignment="1">
      <alignment horizontal="center" vertical="center"/>
    </xf>
    <xf numFmtId="0" fontId="37" fillId="3" borderId="11" xfId="5" applyFont="1" applyFill="1" applyBorder="1" applyAlignment="1">
      <alignment horizontal="center" vertical="center"/>
    </xf>
    <xf numFmtId="0" fontId="37" fillId="3" borderId="10" xfId="5" applyFont="1" applyFill="1" applyBorder="1" applyAlignment="1">
      <alignment horizontal="center" vertical="center"/>
    </xf>
    <xf numFmtId="0" fontId="6" fillId="6" borderId="114" xfId="5" applyFont="1" applyFill="1" applyBorder="1" applyAlignment="1">
      <alignment horizontal="center" vertical="center"/>
    </xf>
    <xf numFmtId="0" fontId="6" fillId="6" borderId="115" xfId="5" applyFont="1" applyFill="1" applyBorder="1" applyAlignment="1">
      <alignment horizontal="center" vertical="center"/>
    </xf>
    <xf numFmtId="0" fontId="6" fillId="6" borderId="120" xfId="5" applyFont="1" applyFill="1" applyBorder="1" applyAlignment="1">
      <alignment horizontal="center" vertical="center"/>
    </xf>
    <xf numFmtId="0" fontId="6" fillId="6" borderId="98" xfId="5" applyFont="1" applyFill="1" applyBorder="1" applyAlignment="1">
      <alignment horizontal="center" vertical="center"/>
    </xf>
    <xf numFmtId="0" fontId="6" fillId="6" borderId="95" xfId="5" applyFont="1" applyFill="1" applyBorder="1" applyAlignment="1">
      <alignment horizontal="center" vertical="center"/>
    </xf>
    <xf numFmtId="0" fontId="6" fillId="6" borderId="97" xfId="5" applyFont="1" applyFill="1" applyBorder="1" applyAlignment="1">
      <alignment horizontal="center" vertical="center"/>
    </xf>
    <xf numFmtId="0" fontId="18" fillId="7" borderId="123" xfId="6" applyFont="1" applyFill="1" applyBorder="1" applyAlignment="1">
      <alignment horizontal="center" vertical="center" wrapText="1"/>
    </xf>
    <xf numFmtId="0" fontId="18" fillId="7" borderId="127" xfId="6" applyFont="1" applyFill="1" applyBorder="1" applyAlignment="1">
      <alignment horizontal="center" vertical="center" wrapText="1"/>
    </xf>
    <xf numFmtId="0" fontId="18" fillId="6" borderId="107" xfId="6" applyFont="1" applyFill="1" applyBorder="1" applyAlignment="1">
      <alignment horizontal="center" vertical="center"/>
    </xf>
    <xf numFmtId="0" fontId="18" fillId="6" borderId="102" xfId="6" applyFont="1" applyFill="1" applyBorder="1" applyAlignment="1">
      <alignment horizontal="center" vertical="center"/>
    </xf>
    <xf numFmtId="0" fontId="18" fillId="6" borderId="85" xfId="6" applyFont="1" applyFill="1" applyBorder="1" applyAlignment="1">
      <alignment horizontal="center" vertical="center"/>
    </xf>
    <xf numFmtId="0" fontId="18" fillId="6" borderId="100" xfId="6" applyFont="1" applyFill="1" applyBorder="1" applyAlignment="1">
      <alignment horizontal="center" vertical="center"/>
    </xf>
    <xf numFmtId="0" fontId="18" fillId="6" borderId="86" xfId="6" applyFont="1" applyFill="1" applyBorder="1" applyAlignment="1">
      <alignment horizontal="center" vertical="center"/>
    </xf>
    <xf numFmtId="0" fontId="18" fillId="6" borderId="108" xfId="6" applyFont="1" applyFill="1" applyBorder="1" applyAlignment="1">
      <alignment horizontal="center" vertical="center"/>
    </xf>
    <xf numFmtId="0" fontId="6" fillId="4" borderId="91" xfId="5" applyFont="1" applyFill="1" applyBorder="1" applyAlignment="1">
      <alignment horizontal="center" vertical="center" shrinkToFit="1"/>
    </xf>
    <xf numFmtId="0" fontId="5" fillId="0" borderId="126" xfId="5" applyFont="1" applyBorder="1" applyAlignment="1">
      <alignment horizontal="center" vertical="center"/>
    </xf>
    <xf numFmtId="0" fontId="5" fillId="0" borderId="125" xfId="5" applyFont="1" applyBorder="1" applyAlignment="1">
      <alignment horizontal="center" vertical="center"/>
    </xf>
    <xf numFmtId="0" fontId="6" fillId="6" borderId="102" xfId="5" applyFont="1" applyFill="1" applyBorder="1" applyAlignment="1">
      <alignment horizontal="center" vertical="center" wrapText="1"/>
    </xf>
    <xf numFmtId="0" fontId="6" fillId="6" borderId="85" xfId="5" applyFont="1" applyFill="1" applyBorder="1" applyAlignment="1">
      <alignment horizontal="center" vertical="center" wrapText="1"/>
    </xf>
    <xf numFmtId="0" fontId="6" fillId="6" borderId="119" xfId="5" applyFont="1" applyFill="1" applyBorder="1" applyAlignment="1">
      <alignment horizontal="center" vertical="center"/>
    </xf>
    <xf numFmtId="0" fontId="6" fillId="6" borderId="104" xfId="5" applyFont="1" applyFill="1" applyBorder="1" applyAlignment="1">
      <alignment horizontal="center" vertical="center"/>
    </xf>
    <xf numFmtId="0" fontId="6" fillId="6" borderId="106" xfId="5" applyFont="1" applyFill="1" applyBorder="1" applyAlignment="1">
      <alignment horizontal="center" vertical="center"/>
    </xf>
    <xf numFmtId="0" fontId="6" fillId="4" borderId="43" xfId="0" applyFont="1" applyFill="1" applyBorder="1" applyAlignment="1">
      <alignment horizontal="center" vertical="center"/>
    </xf>
    <xf numFmtId="0" fontId="6" fillId="4" borderId="44" xfId="0" applyFont="1" applyFill="1" applyBorder="1" applyAlignment="1">
      <alignment horizontal="center" vertical="center"/>
    </xf>
    <xf numFmtId="0" fontId="6" fillId="4" borderId="50" xfId="0" applyFont="1" applyFill="1" applyBorder="1" applyAlignment="1">
      <alignment horizontal="center" vertical="center"/>
    </xf>
    <xf numFmtId="0" fontId="6" fillId="4" borderId="47" xfId="0" applyFont="1" applyFill="1" applyBorder="1" applyAlignment="1">
      <alignment horizontal="center" vertical="center"/>
    </xf>
    <xf numFmtId="0" fontId="6" fillId="4" borderId="48" xfId="0" applyFont="1" applyFill="1" applyBorder="1" applyAlignment="1">
      <alignment horizontal="center" vertical="center"/>
    </xf>
    <xf numFmtId="0" fontId="6" fillId="8" borderId="120" xfId="5" applyFont="1" applyFill="1" applyBorder="1" applyAlignment="1">
      <alignment horizontal="center" vertical="center"/>
    </xf>
    <xf numFmtId="0" fontId="6" fillId="8" borderId="114" xfId="5" applyFont="1" applyFill="1" applyBorder="1" applyAlignment="1">
      <alignment horizontal="center" vertical="center"/>
    </xf>
    <xf numFmtId="0" fontId="6" fillId="8" borderId="115" xfId="5" applyFont="1" applyFill="1" applyBorder="1" applyAlignment="1">
      <alignment horizontal="center" vertical="center"/>
    </xf>
    <xf numFmtId="0" fontId="0" fillId="0" borderId="17" xfId="0" applyBorder="1" applyAlignment="1">
      <alignment horizontal="center" vertical="center"/>
    </xf>
    <xf numFmtId="0" fontId="6" fillId="6" borderId="36" xfId="5" applyFont="1" applyFill="1" applyBorder="1" applyAlignment="1">
      <alignment horizontal="center" vertical="center"/>
    </xf>
    <xf numFmtId="0" fontId="6" fillId="6" borderId="32" xfId="5" applyFont="1" applyFill="1" applyBorder="1" applyAlignment="1">
      <alignment horizontal="center" vertical="center"/>
    </xf>
    <xf numFmtId="0" fontId="6" fillId="6" borderId="160" xfId="5" applyFont="1" applyFill="1" applyBorder="1" applyAlignment="1">
      <alignment horizontal="center" vertical="center"/>
    </xf>
    <xf numFmtId="0" fontId="6" fillId="6" borderId="195" xfId="5" applyFont="1" applyFill="1" applyBorder="1" applyAlignment="1">
      <alignment horizontal="center" vertical="center"/>
    </xf>
    <xf numFmtId="0" fontId="6" fillId="6" borderId="51" xfId="5" applyFont="1" applyFill="1" applyBorder="1" applyAlignment="1">
      <alignment horizontal="center" vertical="center"/>
    </xf>
    <xf numFmtId="0" fontId="6" fillId="0" borderId="13" xfId="5" applyFont="1" applyBorder="1" applyAlignment="1">
      <alignment horizontal="center" vertical="center"/>
    </xf>
    <xf numFmtId="0" fontId="6" fillId="0" borderId="17" xfId="5" applyFont="1" applyBorder="1" applyAlignment="1">
      <alignment horizontal="center" vertical="center"/>
    </xf>
    <xf numFmtId="0" fontId="6" fillId="0" borderId="44" xfId="5" applyFont="1" applyBorder="1" applyAlignment="1">
      <alignment horizontal="center" vertical="center"/>
    </xf>
    <xf numFmtId="0" fontId="6" fillId="0" borderId="45" xfId="5" applyFont="1" applyBorder="1" applyAlignment="1">
      <alignment horizontal="center" vertical="center"/>
    </xf>
    <xf numFmtId="0" fontId="6" fillId="8" borderId="181" xfId="5" applyFont="1" applyFill="1" applyBorder="1" applyAlignment="1">
      <alignment horizontal="center" vertical="center"/>
    </xf>
    <xf numFmtId="0" fontId="6" fillId="8" borderId="184" xfId="5" applyFont="1" applyFill="1" applyBorder="1" applyAlignment="1">
      <alignment horizontal="center" vertical="center"/>
    </xf>
    <xf numFmtId="0" fontId="6" fillId="8" borderId="18" xfId="5" applyFont="1" applyFill="1" applyBorder="1" applyAlignment="1">
      <alignment horizontal="center" vertical="center"/>
    </xf>
    <xf numFmtId="0" fontId="6" fillId="8" borderId="11" xfId="5" applyFont="1" applyFill="1" applyBorder="1" applyAlignment="1">
      <alignment horizontal="center" vertical="center"/>
    </xf>
    <xf numFmtId="0" fontId="6" fillId="8" borderId="10" xfId="5" applyFont="1" applyFill="1" applyBorder="1" applyAlignment="1">
      <alignment horizontal="center" vertical="center"/>
    </xf>
    <xf numFmtId="0" fontId="6" fillId="8" borderId="185" xfId="5" applyFont="1" applyFill="1" applyBorder="1" applyAlignment="1">
      <alignment horizontal="center" vertical="center"/>
    </xf>
    <xf numFmtId="0" fontId="6" fillId="8" borderId="33" xfId="5" applyFont="1" applyFill="1" applyBorder="1" applyAlignment="1">
      <alignment horizontal="center" vertical="center"/>
    </xf>
    <xf numFmtId="0" fontId="6" fillId="8" borderId="34" xfId="5" applyFont="1" applyFill="1" applyBorder="1" applyAlignment="1">
      <alignment horizontal="center" vertical="center"/>
    </xf>
    <xf numFmtId="0" fontId="6" fillId="8" borderId="139" xfId="5" applyFont="1" applyFill="1" applyBorder="1" applyAlignment="1">
      <alignment horizontal="center" vertical="center"/>
    </xf>
    <xf numFmtId="0" fontId="6" fillId="8" borderId="182" xfId="5" applyFont="1" applyFill="1" applyBorder="1" applyAlignment="1">
      <alignment horizontal="center" vertical="center"/>
    </xf>
    <xf numFmtId="0" fontId="6" fillId="8" borderId="183" xfId="5" applyFont="1" applyFill="1" applyBorder="1" applyAlignment="1">
      <alignment horizontal="center" vertical="center"/>
    </xf>
    <xf numFmtId="0" fontId="6" fillId="6" borderId="142" xfId="5" applyFont="1" applyFill="1" applyBorder="1" applyAlignment="1">
      <alignment horizontal="center" vertical="center"/>
    </xf>
    <xf numFmtId="0" fontId="6" fillId="6" borderId="144" xfId="5" applyFont="1" applyFill="1" applyBorder="1" applyAlignment="1">
      <alignment horizontal="center" vertical="center"/>
    </xf>
    <xf numFmtId="0" fontId="6" fillId="6" borderId="141" xfId="5" applyFont="1" applyFill="1" applyBorder="1" applyAlignment="1">
      <alignment horizontal="center" vertical="center"/>
    </xf>
    <xf numFmtId="0" fontId="6" fillId="6" borderId="145" xfId="5" applyFont="1" applyFill="1" applyBorder="1" applyAlignment="1">
      <alignment horizontal="center" vertical="center"/>
    </xf>
    <xf numFmtId="0" fontId="6" fillId="6" borderId="143" xfId="5" applyFont="1" applyFill="1" applyBorder="1" applyAlignment="1">
      <alignment horizontal="center" vertical="center"/>
    </xf>
    <xf numFmtId="0" fontId="6" fillId="3" borderId="118" xfId="5" applyFont="1" applyFill="1" applyBorder="1" applyAlignment="1">
      <alignment horizontal="center" vertical="center" wrapText="1"/>
    </xf>
    <xf numFmtId="0" fontId="6" fillId="3" borderId="0" xfId="5" applyFont="1" applyFill="1" applyBorder="1" applyAlignment="1">
      <alignment horizontal="center" vertical="center" wrapText="1"/>
    </xf>
    <xf numFmtId="0" fontId="6" fillId="3" borderId="42" xfId="5" applyFont="1" applyFill="1" applyBorder="1" applyAlignment="1">
      <alignment horizontal="center" vertical="center" wrapText="1"/>
    </xf>
    <xf numFmtId="0" fontId="6" fillId="3" borderId="96" xfId="5" applyFont="1" applyFill="1" applyBorder="1" applyAlignment="1">
      <alignment horizontal="center" vertical="center" wrapText="1"/>
    </xf>
    <xf numFmtId="0" fontId="6" fillId="3" borderId="41" xfId="5" applyFont="1" applyFill="1" applyBorder="1" applyAlignment="1">
      <alignment horizontal="center" vertical="center" wrapText="1"/>
    </xf>
    <xf numFmtId="0" fontId="6" fillId="3" borderId="45" xfId="5" applyFont="1" applyFill="1" applyBorder="1" applyAlignment="1">
      <alignment horizontal="center" vertical="center" wrapText="1"/>
    </xf>
    <xf numFmtId="0" fontId="6" fillId="13" borderId="36" xfId="5" applyFont="1" applyFill="1" applyBorder="1" applyAlignment="1">
      <alignment horizontal="center" vertical="center" wrapText="1"/>
    </xf>
    <xf numFmtId="0" fontId="6" fillId="13" borderId="32" xfId="5" applyFont="1" applyFill="1" applyBorder="1" applyAlignment="1">
      <alignment horizontal="center" vertical="center" wrapText="1"/>
    </xf>
    <xf numFmtId="0" fontId="6" fillId="13" borderId="51" xfId="5" applyFont="1" applyFill="1" applyBorder="1" applyAlignment="1">
      <alignment horizontal="center" vertical="center" wrapText="1"/>
    </xf>
    <xf numFmtId="0" fontId="6" fillId="11" borderId="140" xfId="5" applyFont="1" applyFill="1" applyBorder="1" applyAlignment="1">
      <alignment horizontal="center" vertical="center"/>
    </xf>
    <xf numFmtId="0" fontId="6" fillId="11" borderId="53" xfId="5" applyFont="1" applyFill="1" applyBorder="1" applyAlignment="1">
      <alignment horizontal="center" vertical="center"/>
    </xf>
    <xf numFmtId="0" fontId="6" fillId="11" borderId="54" xfId="5" applyFont="1" applyFill="1" applyBorder="1" applyAlignment="1">
      <alignment horizontal="center" vertical="center"/>
    </xf>
    <xf numFmtId="0" fontId="6" fillId="8" borderId="141" xfId="5" applyFont="1" applyFill="1" applyBorder="1" applyAlignment="1">
      <alignment horizontal="center" vertical="center"/>
    </xf>
    <xf numFmtId="0" fontId="6" fillId="3" borderId="59" xfId="5" applyFont="1" applyFill="1" applyBorder="1" applyAlignment="1">
      <alignment horizontal="center" vertical="center" wrapText="1"/>
    </xf>
    <xf numFmtId="0" fontId="6" fillId="3" borderId="66" xfId="5" applyFont="1" applyFill="1" applyBorder="1" applyAlignment="1">
      <alignment horizontal="center" vertical="center" wrapText="1"/>
    </xf>
    <xf numFmtId="0" fontId="6" fillId="3" borderId="70" xfId="5" applyFont="1" applyFill="1" applyBorder="1" applyAlignment="1">
      <alignment horizontal="center" vertical="center" wrapText="1"/>
    </xf>
    <xf numFmtId="0" fontId="6" fillId="3" borderId="204" xfId="5" applyFont="1" applyFill="1" applyBorder="1" applyAlignment="1">
      <alignment horizontal="center" vertical="center" wrapText="1"/>
    </xf>
    <xf numFmtId="0" fontId="6" fillId="3" borderId="207" xfId="5" applyFont="1" applyFill="1" applyBorder="1" applyAlignment="1">
      <alignment horizontal="center" vertical="center" wrapText="1"/>
    </xf>
    <xf numFmtId="0" fontId="6" fillId="8" borderId="32" xfId="5" applyFont="1" applyFill="1" applyBorder="1" applyAlignment="1">
      <alignment horizontal="center" vertical="center"/>
    </xf>
    <xf numFmtId="0" fontId="6" fillId="8" borderId="160" xfId="5" applyFont="1" applyFill="1" applyBorder="1" applyAlignment="1">
      <alignment horizontal="center" vertical="center"/>
    </xf>
    <xf numFmtId="0" fontId="6" fillId="0" borderId="126" xfId="5" applyFont="1" applyFill="1" applyBorder="1" applyAlignment="1">
      <alignment horizontal="center" vertical="center" wrapText="1"/>
    </xf>
    <xf numFmtId="0" fontId="6" fillId="8" borderId="157" xfId="5" applyFont="1" applyFill="1" applyBorder="1" applyAlignment="1">
      <alignment horizontal="center" vertical="center"/>
    </xf>
    <xf numFmtId="0" fontId="6" fillId="8" borderId="158" xfId="5" applyFont="1" applyFill="1" applyBorder="1" applyAlignment="1">
      <alignment horizontal="center" vertical="center"/>
    </xf>
    <xf numFmtId="0" fontId="6" fillId="8" borderId="159" xfId="5" applyFont="1" applyFill="1" applyBorder="1" applyAlignment="1">
      <alignment horizontal="center" vertical="center"/>
    </xf>
    <xf numFmtId="0" fontId="6" fillId="8" borderId="146" xfId="5" applyFont="1" applyFill="1" applyBorder="1" applyAlignment="1">
      <alignment horizontal="center" vertical="center"/>
    </xf>
    <xf numFmtId="0" fontId="6" fillId="8" borderId="147" xfId="5" applyFont="1" applyFill="1" applyBorder="1" applyAlignment="1">
      <alignment horizontal="center" vertical="center"/>
    </xf>
    <xf numFmtId="0" fontId="6" fillId="8" borderId="148" xfId="5" applyFont="1" applyFill="1" applyBorder="1" applyAlignment="1">
      <alignment horizontal="center" vertical="center"/>
    </xf>
    <xf numFmtId="0" fontId="6" fillId="8" borderId="149" xfId="5" applyFont="1" applyFill="1" applyBorder="1" applyAlignment="1">
      <alignment horizontal="center" vertical="center"/>
    </xf>
    <xf numFmtId="0" fontId="6" fillId="8" borderId="150" xfId="5" applyFont="1" applyFill="1" applyBorder="1" applyAlignment="1">
      <alignment horizontal="center" vertical="center"/>
    </xf>
    <xf numFmtId="0" fontId="5" fillId="0" borderId="25" xfId="5" applyFont="1" applyFill="1" applyBorder="1" applyAlignment="1">
      <alignment horizontal="center" vertical="center"/>
    </xf>
    <xf numFmtId="0" fontId="6" fillId="6" borderId="61" xfId="5" applyFont="1" applyFill="1" applyBorder="1" applyAlignment="1">
      <alignment horizontal="center" vertical="center"/>
    </xf>
    <xf numFmtId="0" fontId="6" fillId="6" borderId="53" xfId="5" applyFont="1" applyFill="1" applyBorder="1" applyAlignment="1">
      <alignment horizontal="center" vertical="center"/>
    </xf>
    <xf numFmtId="0" fontId="6" fillId="6" borderId="139" xfId="5" applyFont="1" applyFill="1" applyBorder="1" applyAlignment="1">
      <alignment horizontal="center" vertical="center"/>
    </xf>
    <xf numFmtId="0" fontId="5" fillId="6" borderId="140" xfId="5" applyFont="1" applyFill="1" applyBorder="1" applyAlignment="1">
      <alignment horizontal="center" vertical="center"/>
    </xf>
    <xf numFmtId="0" fontId="5" fillId="6" borderId="53" xfId="5" applyFont="1" applyFill="1" applyBorder="1" applyAlignment="1">
      <alignment horizontal="center" vertical="center"/>
    </xf>
    <xf numFmtId="0" fontId="5" fillId="6" borderId="54" xfId="5" applyFont="1" applyFill="1" applyBorder="1" applyAlignment="1">
      <alignment horizontal="center" vertical="center"/>
    </xf>
    <xf numFmtId="0" fontId="5" fillId="0" borderId="125" xfId="5" applyFont="1" applyFill="1" applyBorder="1" applyAlignment="1">
      <alignment horizontal="center" vertical="center"/>
    </xf>
    <xf numFmtId="0" fontId="5" fillId="0" borderId="126" xfId="5" applyFont="1" applyFill="1" applyBorder="1" applyAlignment="1">
      <alignment horizontal="center" vertical="center"/>
    </xf>
    <xf numFmtId="0" fontId="6" fillId="8" borderId="151" xfId="5" applyFont="1" applyFill="1" applyBorder="1" applyAlignment="1">
      <alignment horizontal="center" vertical="center"/>
    </xf>
    <xf numFmtId="0" fontId="6" fillId="8" borderId="152" xfId="5" applyFont="1" applyFill="1" applyBorder="1" applyAlignment="1">
      <alignment horizontal="center" vertical="center"/>
    </xf>
    <xf numFmtId="0" fontId="6" fillId="8" borderId="153" xfId="5" applyFont="1" applyFill="1" applyBorder="1" applyAlignment="1">
      <alignment horizontal="center" vertical="center"/>
    </xf>
    <xf numFmtId="0" fontId="5" fillId="8" borderId="154" xfId="5" applyFont="1" applyFill="1" applyBorder="1" applyAlignment="1">
      <alignment horizontal="center" vertical="center"/>
    </xf>
    <xf numFmtId="0" fontId="5" fillId="8" borderId="152" xfId="5" applyFont="1" applyFill="1" applyBorder="1" applyAlignment="1">
      <alignment horizontal="center" vertical="center"/>
    </xf>
    <xf numFmtId="0" fontId="5" fillId="8" borderId="155" xfId="5" applyFont="1" applyFill="1" applyBorder="1" applyAlignment="1">
      <alignment horizontal="center" vertical="center"/>
    </xf>
    <xf numFmtId="0" fontId="5" fillId="0" borderId="21" xfId="5" applyFont="1" applyFill="1" applyBorder="1" applyAlignment="1">
      <alignment horizontal="center" vertical="center"/>
    </xf>
    <xf numFmtId="0" fontId="6" fillId="6" borderId="37" xfId="5" applyFont="1" applyFill="1" applyBorder="1" applyAlignment="1">
      <alignment horizontal="center" vertical="center"/>
    </xf>
    <xf numFmtId="0" fontId="6" fillId="6" borderId="46" xfId="5" applyFont="1" applyFill="1" applyBorder="1" applyAlignment="1">
      <alignment horizontal="center" vertical="center"/>
    </xf>
    <xf numFmtId="0" fontId="6" fillId="6" borderId="12" xfId="5" applyFont="1" applyFill="1" applyBorder="1" applyAlignment="1">
      <alignment horizontal="center" vertical="center"/>
    </xf>
    <xf numFmtId="0" fontId="5" fillId="6" borderId="55" xfId="5" applyFont="1" applyFill="1" applyBorder="1" applyAlignment="1">
      <alignment horizontal="center" vertical="center"/>
    </xf>
    <xf numFmtId="0" fontId="5" fillId="6" borderId="46" xfId="5" applyFont="1" applyFill="1" applyBorder="1" applyAlignment="1">
      <alignment horizontal="center" vertical="center"/>
    </xf>
    <xf numFmtId="0" fontId="5" fillId="6" borderId="39" xfId="5" applyFont="1" applyFill="1" applyBorder="1" applyAlignment="1">
      <alignment horizontal="center" vertical="center"/>
    </xf>
    <xf numFmtId="0" fontId="1" fillId="0" borderId="25" xfId="0" applyFont="1" applyBorder="1" applyAlignment="1">
      <alignment horizontal="center" vertical="center"/>
    </xf>
    <xf numFmtId="0" fontId="1" fillId="0" borderId="21" xfId="0" applyFont="1" applyBorder="1" applyAlignment="1">
      <alignment horizontal="center" vertical="center"/>
    </xf>
    <xf numFmtId="0" fontId="6" fillId="11" borderId="18" xfId="5" applyFont="1" applyFill="1" applyBorder="1" applyAlignment="1">
      <alignment horizontal="center" vertical="center"/>
    </xf>
    <xf numFmtId="0" fontId="6" fillId="11" borderId="11" xfId="5" applyFont="1" applyFill="1" applyBorder="1" applyAlignment="1">
      <alignment horizontal="center" vertical="center"/>
    </xf>
    <xf numFmtId="0" fontId="6" fillId="11" borderId="49" xfId="5" applyFont="1" applyFill="1" applyBorder="1" applyAlignment="1">
      <alignment horizontal="center" vertical="center"/>
    </xf>
    <xf numFmtId="0" fontId="6" fillId="11" borderId="27" xfId="5" applyFont="1" applyFill="1" applyBorder="1" applyAlignment="1">
      <alignment horizontal="center" vertical="center"/>
    </xf>
    <xf numFmtId="0" fontId="6" fillId="11" borderId="40" xfId="5" applyFont="1" applyFill="1" applyBorder="1" applyAlignment="1">
      <alignment horizontal="center" vertical="center"/>
    </xf>
    <xf numFmtId="0" fontId="6" fillId="11" borderId="10" xfId="5" applyFont="1" applyFill="1" applyBorder="1" applyAlignment="1">
      <alignment horizontal="center" vertical="center"/>
    </xf>
    <xf numFmtId="0" fontId="6" fillId="11" borderId="185" xfId="5" applyFont="1" applyFill="1" applyBorder="1" applyAlignment="1">
      <alignment horizontal="center" vertical="center"/>
    </xf>
    <xf numFmtId="0" fontId="6" fillId="11" borderId="33" xfId="5" applyFont="1" applyFill="1" applyBorder="1" applyAlignment="1">
      <alignment horizontal="center" vertical="center"/>
    </xf>
    <xf numFmtId="0" fontId="6" fillId="11" borderId="34" xfId="5" applyFont="1" applyFill="1" applyBorder="1" applyAlignment="1">
      <alignment horizontal="center" vertical="center"/>
    </xf>
    <xf numFmtId="0" fontId="6" fillId="11" borderId="139" xfId="5" applyFont="1" applyFill="1" applyBorder="1" applyAlignment="1">
      <alignment horizontal="center" vertical="center"/>
    </xf>
    <xf numFmtId="0" fontId="6" fillId="6" borderId="117" xfId="5" applyFont="1" applyFill="1" applyBorder="1" applyAlignment="1">
      <alignment horizontal="center" vertical="center"/>
    </xf>
    <xf numFmtId="0" fontId="6" fillId="0" borderId="14" xfId="5" applyFont="1" applyBorder="1" applyAlignment="1">
      <alignment horizontal="center" vertical="center"/>
    </xf>
    <xf numFmtId="42" fontId="6" fillId="6" borderId="97" xfId="5" applyNumberFormat="1" applyFont="1" applyFill="1" applyBorder="1" applyAlignment="1">
      <alignment horizontal="center" vertical="center" wrapText="1"/>
    </xf>
    <xf numFmtId="42" fontId="6" fillId="6" borderId="98" xfId="5" applyNumberFormat="1" applyFont="1" applyFill="1" applyBorder="1" applyAlignment="1">
      <alignment horizontal="center" vertical="center" wrapText="1"/>
    </xf>
    <xf numFmtId="42" fontId="6" fillId="6" borderId="107" xfId="5" applyNumberFormat="1" applyFont="1" applyFill="1" applyBorder="1" applyAlignment="1">
      <alignment horizontal="center" vertical="center" wrapText="1"/>
    </xf>
    <xf numFmtId="0" fontId="6" fillId="4" borderId="85" xfId="5" applyFont="1" applyFill="1" applyBorder="1" applyAlignment="1">
      <alignment horizontal="center" vertical="center"/>
    </xf>
    <xf numFmtId="0" fontId="6" fillId="4" borderId="98" xfId="5" applyFont="1" applyFill="1" applyBorder="1" applyAlignment="1">
      <alignment horizontal="center" vertical="center"/>
    </xf>
    <xf numFmtId="0" fontId="6" fillId="4" borderId="95" xfId="5" applyFont="1" applyFill="1" applyBorder="1" applyAlignment="1">
      <alignment horizontal="center" vertical="center"/>
    </xf>
    <xf numFmtId="0" fontId="6" fillId="4" borderId="13" xfId="5" applyFont="1" applyFill="1" applyBorder="1" applyAlignment="1">
      <alignment horizontal="center" vertical="center"/>
    </xf>
    <xf numFmtId="0" fontId="6" fillId="4" borderId="43" xfId="5" applyFont="1" applyFill="1" applyBorder="1" applyAlignment="1">
      <alignment horizontal="center" vertical="center"/>
    </xf>
    <xf numFmtId="0" fontId="6" fillId="4" borderId="83" xfId="5" applyFont="1" applyFill="1" applyBorder="1" applyAlignment="1">
      <alignment horizontal="center" vertical="center"/>
    </xf>
    <xf numFmtId="0" fontId="6" fillId="4" borderId="14" xfId="5" applyFont="1" applyFill="1" applyBorder="1" applyAlignment="1">
      <alignment horizontal="center" vertical="center"/>
    </xf>
    <xf numFmtId="0" fontId="6" fillId="4" borderId="41" xfId="5" applyFont="1" applyFill="1" applyBorder="1" applyAlignment="1">
      <alignment horizontal="center" vertical="center"/>
    </xf>
    <xf numFmtId="0" fontId="6" fillId="4" borderId="84" xfId="5" applyFont="1" applyFill="1" applyBorder="1" applyAlignment="1">
      <alignment horizontal="center" vertical="center"/>
    </xf>
    <xf numFmtId="42" fontId="6" fillId="6" borderId="85" xfId="5" applyNumberFormat="1" applyFont="1" applyFill="1" applyBorder="1" applyAlignment="1">
      <alignment horizontal="center" vertical="center"/>
    </xf>
    <xf numFmtId="42" fontId="6" fillId="6" borderId="98" xfId="5" applyNumberFormat="1" applyFont="1" applyFill="1" applyBorder="1" applyAlignment="1">
      <alignment horizontal="center" vertical="center"/>
    </xf>
    <xf numFmtId="42" fontId="6" fillId="6" borderId="95" xfId="5" applyNumberFormat="1" applyFont="1" applyFill="1" applyBorder="1" applyAlignment="1">
      <alignment horizontal="center" vertical="center"/>
    </xf>
    <xf numFmtId="0" fontId="6" fillId="11" borderId="12" xfId="5" applyFont="1" applyFill="1" applyBorder="1" applyAlignment="1">
      <alignment horizontal="center" vertical="center"/>
    </xf>
    <xf numFmtId="0" fontId="6" fillId="11" borderId="15" xfId="5" applyFont="1" applyFill="1" applyBorder="1" applyAlignment="1">
      <alignment horizontal="center" vertical="center"/>
    </xf>
    <xf numFmtId="0" fontId="6" fillId="11" borderId="16" xfId="5" applyFont="1" applyFill="1" applyBorder="1" applyAlignment="1">
      <alignment horizontal="center" vertical="center"/>
    </xf>
    <xf numFmtId="0" fontId="6" fillId="8" borderId="17" xfId="5" applyFont="1" applyFill="1" applyBorder="1" applyAlignment="1">
      <alignment horizontal="center" vertical="center"/>
    </xf>
    <xf numFmtId="0" fontId="6" fillId="8" borderId="0" xfId="5" applyFont="1" applyFill="1" applyBorder="1" applyAlignment="1">
      <alignment horizontal="center" vertical="center"/>
    </xf>
    <xf numFmtId="0" fontId="6" fillId="8" borderId="42" xfId="5" applyFont="1" applyFill="1" applyBorder="1" applyAlignment="1">
      <alignment horizontal="center" vertical="center"/>
    </xf>
    <xf numFmtId="0" fontId="6" fillId="6" borderId="205" xfId="5" applyFont="1" applyFill="1" applyBorder="1" applyAlignment="1">
      <alignment horizontal="center" vertical="center"/>
    </xf>
    <xf numFmtId="0" fontId="6" fillId="6" borderId="206" xfId="5" applyFont="1" applyFill="1" applyBorder="1" applyAlignment="1">
      <alignment horizontal="center" vertical="center"/>
    </xf>
    <xf numFmtId="0" fontId="6" fillId="3" borderId="222" xfId="5" applyFont="1" applyFill="1" applyBorder="1" applyAlignment="1">
      <alignment horizontal="center" vertical="center" wrapText="1"/>
    </xf>
    <xf numFmtId="0" fontId="6" fillId="3" borderId="223" xfId="5" applyFont="1" applyFill="1" applyBorder="1" applyAlignment="1">
      <alignment horizontal="center" vertical="center"/>
    </xf>
    <xf numFmtId="0" fontId="6" fillId="3" borderId="205" xfId="5" applyFont="1" applyFill="1" applyBorder="1" applyAlignment="1">
      <alignment horizontal="center" vertical="center"/>
    </xf>
    <xf numFmtId="0" fontId="6" fillId="8" borderId="215" xfId="5" applyFont="1" applyFill="1" applyBorder="1" applyAlignment="1">
      <alignment horizontal="center" vertical="center"/>
    </xf>
    <xf numFmtId="0" fontId="6" fillId="8" borderId="216" xfId="5" applyFont="1" applyFill="1" applyBorder="1" applyAlignment="1">
      <alignment horizontal="center" vertical="center"/>
    </xf>
    <xf numFmtId="0" fontId="6" fillId="8" borderId="217" xfId="5" applyFont="1" applyFill="1" applyBorder="1" applyAlignment="1">
      <alignment horizontal="center" vertical="center"/>
    </xf>
    <xf numFmtId="0" fontId="34" fillId="3" borderId="224" xfId="5" applyFont="1" applyFill="1" applyBorder="1" applyAlignment="1">
      <alignment horizontal="center" vertical="center" wrapText="1"/>
    </xf>
    <xf numFmtId="0" fontId="34" fillId="3" borderId="225" xfId="5" applyFont="1" applyFill="1" applyBorder="1" applyAlignment="1">
      <alignment horizontal="center" vertical="center" wrapText="1"/>
    </xf>
    <xf numFmtId="0" fontId="6" fillId="13" borderId="36" xfId="5" applyFont="1" applyFill="1" applyBorder="1" applyAlignment="1">
      <alignment horizontal="center" vertical="center"/>
    </xf>
    <xf numFmtId="0" fontId="6" fillId="13" borderId="32" xfId="5" applyFont="1" applyFill="1" applyBorder="1" applyAlignment="1">
      <alignment horizontal="center" vertical="center"/>
    </xf>
    <xf numFmtId="0" fontId="6" fillId="13" borderId="51" xfId="5" applyFont="1" applyFill="1" applyBorder="1" applyAlignment="1">
      <alignment horizontal="center" vertical="center"/>
    </xf>
    <xf numFmtId="0" fontId="6" fillId="3" borderId="196" xfId="5" applyFont="1" applyFill="1" applyBorder="1" applyAlignment="1">
      <alignment horizontal="center" vertical="center"/>
    </xf>
    <xf numFmtId="0" fontId="0" fillId="3" borderId="133" xfId="0" applyFill="1" applyBorder="1" applyAlignment="1">
      <alignment horizontal="center" vertical="center"/>
    </xf>
    <xf numFmtId="0" fontId="0" fillId="3" borderId="202" xfId="0" applyFill="1" applyBorder="1" applyAlignment="1">
      <alignment horizontal="center" vertical="center"/>
    </xf>
    <xf numFmtId="0" fontId="6" fillId="14" borderId="196" xfId="5" applyFont="1" applyFill="1" applyBorder="1" applyAlignment="1">
      <alignment horizontal="center" vertical="center"/>
    </xf>
    <xf numFmtId="0" fontId="0" fillId="14" borderId="133" xfId="0" applyFill="1" applyBorder="1" applyAlignment="1">
      <alignment horizontal="center" vertical="center"/>
    </xf>
    <xf numFmtId="0" fontId="0" fillId="14" borderId="202" xfId="0" applyFill="1" applyBorder="1" applyAlignment="1">
      <alignment horizontal="center" vertical="center"/>
    </xf>
    <xf numFmtId="0" fontId="6" fillId="14" borderId="133" xfId="5" applyFont="1" applyFill="1" applyBorder="1" applyAlignment="1">
      <alignment horizontal="center" vertical="center"/>
    </xf>
    <xf numFmtId="0" fontId="6" fillId="14" borderId="202" xfId="5" applyFont="1" applyFill="1" applyBorder="1" applyAlignment="1">
      <alignment horizontal="center" vertical="center"/>
    </xf>
    <xf numFmtId="0" fontId="6" fillId="14" borderId="36" xfId="5" applyFont="1" applyFill="1" applyBorder="1" applyAlignment="1">
      <alignment horizontal="center" vertical="center"/>
    </xf>
    <xf numFmtId="0" fontId="0" fillId="14" borderId="32" xfId="0" applyFill="1" applyBorder="1" applyAlignment="1">
      <alignment horizontal="center" vertical="center"/>
    </xf>
    <xf numFmtId="0" fontId="0" fillId="14" borderId="51" xfId="0" applyFill="1" applyBorder="1"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vertical="center"/>
    </xf>
    <xf numFmtId="0" fontId="6" fillId="3" borderId="221" xfId="5" applyFont="1" applyFill="1" applyBorder="1" applyAlignment="1">
      <alignment horizontal="center" vertical="center" wrapText="1"/>
    </xf>
    <xf numFmtId="0" fontId="6" fillId="3" borderId="247" xfId="5" applyFont="1" applyFill="1" applyBorder="1" applyAlignment="1">
      <alignment horizontal="center" vertical="center" wrapText="1"/>
    </xf>
    <xf numFmtId="0" fontId="33" fillId="6" borderId="36" xfId="5" applyFont="1" applyFill="1" applyBorder="1" applyAlignment="1">
      <alignment vertical="center"/>
    </xf>
    <xf numFmtId="0" fontId="33" fillId="6" borderId="32" xfId="5" applyFont="1" applyFill="1" applyBorder="1" applyAlignment="1">
      <alignment vertical="center"/>
    </xf>
  </cellXfs>
  <cellStyles count="7">
    <cellStyle name="나쁨" xfId="6" builtinId="27"/>
    <cellStyle name="표준" xfId="0" builtinId="0"/>
    <cellStyle name="표준 2" xfId="2"/>
    <cellStyle name="표준 2 2" xfId="5"/>
    <cellStyle name="표준 3" xfId="3"/>
    <cellStyle name="표준 4" xfId="1"/>
    <cellStyle name="표준 5" xfId="4"/>
  </cellStyles>
  <dxfs count="0"/>
  <tableStyles count="0" defaultTableStyle="TableStyleMedium2" defaultPivotStyle="PivotStyleLight16"/>
  <colors>
    <mruColors>
      <color rgb="FFCCFF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W77"/>
  <sheetViews>
    <sheetView topLeftCell="A52" workbookViewId="0"/>
  </sheetViews>
  <sheetFormatPr defaultRowHeight="13.5"/>
  <cols>
    <col min="1" max="40" width="3.125" style="1" customWidth="1"/>
    <col min="41" max="16384" width="9" style="1"/>
  </cols>
  <sheetData>
    <row r="2" spans="2:9">
      <c r="B2" s="1" t="s">
        <v>7</v>
      </c>
    </row>
    <row r="3" spans="2:9">
      <c r="C3" s="1" t="s">
        <v>8</v>
      </c>
    </row>
    <row r="4" spans="2:9">
      <c r="C4" s="4" t="s">
        <v>9</v>
      </c>
      <c r="D4" s="1" t="s">
        <v>13</v>
      </c>
    </row>
    <row r="5" spans="2:9">
      <c r="C5" s="4"/>
      <c r="D5" s="4" t="s">
        <v>15</v>
      </c>
      <c r="E5" s="666" t="s">
        <v>10</v>
      </c>
      <c r="F5" s="666"/>
      <c r="G5" s="666"/>
      <c r="H5" s="666"/>
      <c r="I5" s="4" t="s">
        <v>11</v>
      </c>
    </row>
    <row r="6" spans="2:9">
      <c r="D6" s="4" t="s">
        <v>16</v>
      </c>
      <c r="E6" s="666" t="s">
        <v>14</v>
      </c>
      <c r="F6" s="666"/>
      <c r="G6" s="666"/>
      <c r="H6" s="666"/>
      <c r="I6" s="1" t="s">
        <v>12</v>
      </c>
    </row>
    <row r="7" spans="2:9">
      <c r="D7" s="4" t="s">
        <v>18</v>
      </c>
      <c r="E7" s="666" t="s">
        <v>19</v>
      </c>
      <c r="F7" s="666"/>
      <c r="G7" s="666"/>
      <c r="H7" s="666"/>
      <c r="I7" s="1" t="s">
        <v>20</v>
      </c>
    </row>
    <row r="8" spans="2:9">
      <c r="C8" s="4"/>
    </row>
    <row r="9" spans="2:9">
      <c r="C9" s="4" t="s">
        <v>17</v>
      </c>
      <c r="D9" s="1" t="s">
        <v>21</v>
      </c>
    </row>
    <row r="10" spans="2:9">
      <c r="D10" s="4" t="s">
        <v>22</v>
      </c>
      <c r="E10" s="666" t="s">
        <v>27</v>
      </c>
      <c r="F10" s="666"/>
      <c r="G10" s="666"/>
      <c r="H10" s="666"/>
      <c r="I10" s="1" t="s">
        <v>30</v>
      </c>
    </row>
    <row r="11" spans="2:9">
      <c r="D11" s="4" t="s">
        <v>23</v>
      </c>
      <c r="E11" s="666" t="s">
        <v>31</v>
      </c>
      <c r="F11" s="666"/>
      <c r="G11" s="666"/>
      <c r="H11" s="666"/>
      <c r="I11" s="1" t="s">
        <v>32</v>
      </c>
    </row>
    <row r="12" spans="2:9">
      <c r="D12" s="4" t="s">
        <v>24</v>
      </c>
      <c r="E12" s="666" t="s">
        <v>28</v>
      </c>
      <c r="F12" s="666"/>
      <c r="G12" s="666"/>
      <c r="H12" s="666"/>
      <c r="I12" s="1" t="s">
        <v>33</v>
      </c>
    </row>
    <row r="13" spans="2:9">
      <c r="D13" s="4" t="s">
        <v>25</v>
      </c>
      <c r="E13" s="666" t="s">
        <v>29</v>
      </c>
      <c r="F13" s="666"/>
      <c r="G13" s="666"/>
      <c r="H13" s="666"/>
      <c r="I13" s="1" t="s">
        <v>34</v>
      </c>
    </row>
    <row r="14" spans="2:9">
      <c r="D14" s="4" t="s">
        <v>26</v>
      </c>
    </row>
    <row r="15" spans="2:9">
      <c r="C15" s="4" t="s">
        <v>35</v>
      </c>
      <c r="D15" s="1" t="s">
        <v>85</v>
      </c>
    </row>
    <row r="16" spans="2:9" ht="14.25" thickBot="1">
      <c r="D16" s="4" t="s">
        <v>83</v>
      </c>
      <c r="E16" s="1" t="s">
        <v>86</v>
      </c>
    </row>
    <row r="17" spans="4:14" ht="14.25" thickBot="1">
      <c r="D17" s="4"/>
      <c r="E17" s="670" t="s">
        <v>98</v>
      </c>
      <c r="F17" s="671"/>
      <c r="G17" s="699" t="s">
        <v>99</v>
      </c>
      <c r="H17" s="700"/>
      <c r="I17" s="700"/>
      <c r="J17" s="700"/>
      <c r="K17" s="700"/>
      <c r="L17" s="700"/>
      <c r="M17" s="700"/>
      <c r="N17" s="701"/>
    </row>
    <row r="18" spans="4:14">
      <c r="E18" s="670" t="s">
        <v>38</v>
      </c>
      <c r="F18" s="671"/>
      <c r="G18" s="699" t="s">
        <v>51</v>
      </c>
      <c r="H18" s="700"/>
      <c r="I18" s="700"/>
      <c r="J18" s="700"/>
      <c r="K18" s="700"/>
      <c r="L18" s="700"/>
      <c r="M18" s="700"/>
      <c r="N18" s="701"/>
    </row>
    <row r="19" spans="4:14">
      <c r="E19" s="697" t="s">
        <v>43</v>
      </c>
      <c r="F19" s="698"/>
      <c r="G19" s="686" t="s">
        <v>52</v>
      </c>
      <c r="H19" s="687"/>
      <c r="I19" s="687"/>
      <c r="J19" s="687"/>
      <c r="K19" s="687"/>
      <c r="L19" s="687"/>
      <c r="M19" s="687"/>
      <c r="N19" s="688"/>
    </row>
    <row r="20" spans="4:14">
      <c r="E20" s="697" t="s">
        <v>44</v>
      </c>
      <c r="F20" s="698"/>
      <c r="G20" s="686" t="s">
        <v>53</v>
      </c>
      <c r="H20" s="687"/>
      <c r="I20" s="687"/>
      <c r="J20" s="687"/>
      <c r="K20" s="687"/>
      <c r="L20" s="687"/>
      <c r="M20" s="687"/>
      <c r="N20" s="688"/>
    </row>
    <row r="21" spans="4:14">
      <c r="E21" s="697" t="s">
        <v>45</v>
      </c>
      <c r="F21" s="698"/>
      <c r="G21" s="689" t="s">
        <v>54</v>
      </c>
      <c r="H21" s="689"/>
      <c r="I21" s="689"/>
      <c r="J21" s="689"/>
      <c r="K21" s="689"/>
      <c r="L21" s="689"/>
      <c r="M21" s="689"/>
      <c r="N21" s="690"/>
    </row>
    <row r="22" spans="4:14">
      <c r="E22" s="697" t="s">
        <v>46</v>
      </c>
      <c r="F22" s="698"/>
      <c r="G22" s="691" t="s">
        <v>55</v>
      </c>
      <c r="H22" s="692"/>
      <c r="I22" s="692"/>
      <c r="J22" s="692"/>
      <c r="K22" s="692"/>
      <c r="L22" s="692"/>
      <c r="M22" s="692"/>
      <c r="N22" s="693"/>
    </row>
    <row r="23" spans="4:14" ht="16.5" customHeight="1" thickBot="1">
      <c r="E23" s="672" t="s">
        <v>47</v>
      </c>
      <c r="F23" s="673"/>
      <c r="G23" s="694" t="s">
        <v>56</v>
      </c>
      <c r="H23" s="695"/>
      <c r="I23" s="695"/>
      <c r="J23" s="695"/>
      <c r="K23" s="695"/>
      <c r="L23" s="695"/>
      <c r="M23" s="695"/>
      <c r="N23" s="696"/>
    </row>
    <row r="24" spans="4:14" ht="17.25" customHeight="1">
      <c r="E24" s="670" t="s">
        <v>61</v>
      </c>
      <c r="F24" s="671"/>
      <c r="G24" s="680" t="s">
        <v>60</v>
      </c>
      <c r="H24" s="681"/>
      <c r="I24" s="681"/>
      <c r="J24" s="681"/>
      <c r="K24" s="681"/>
      <c r="L24" s="681"/>
      <c r="M24" s="681"/>
      <c r="N24" s="682"/>
    </row>
    <row r="25" spans="4:14" ht="14.25" thickBot="1">
      <c r="E25" s="672"/>
      <c r="F25" s="673"/>
      <c r="G25" s="683"/>
      <c r="H25" s="684"/>
      <c r="I25" s="684"/>
      <c r="J25" s="684"/>
      <c r="K25" s="684"/>
      <c r="L25" s="684"/>
      <c r="M25" s="684"/>
      <c r="N25" s="685"/>
    </row>
    <row r="26" spans="4:14">
      <c r="E26" s="670" t="s">
        <v>49</v>
      </c>
      <c r="F26" s="671"/>
      <c r="G26" s="677" t="s">
        <v>59</v>
      </c>
      <c r="H26" s="678"/>
      <c r="I26" s="678"/>
      <c r="J26" s="678"/>
      <c r="K26" s="678"/>
      <c r="L26" s="678"/>
      <c r="M26" s="678"/>
      <c r="N26" s="679"/>
    </row>
    <row r="27" spans="4:14" ht="14.25" thickBot="1">
      <c r="E27" s="672" t="s">
        <v>57</v>
      </c>
      <c r="F27" s="673"/>
      <c r="G27" s="674" t="s">
        <v>58</v>
      </c>
      <c r="H27" s="675"/>
      <c r="I27" s="675"/>
      <c r="J27" s="675"/>
      <c r="K27" s="675"/>
      <c r="L27" s="675"/>
      <c r="M27" s="675"/>
      <c r="N27" s="676"/>
    </row>
    <row r="29" spans="4:14">
      <c r="D29" s="4" t="s">
        <v>84</v>
      </c>
      <c r="E29" s="1" t="s">
        <v>87</v>
      </c>
    </row>
    <row r="30" spans="4:14">
      <c r="E30" s="1" t="s">
        <v>88</v>
      </c>
      <c r="G30" s="1" t="s">
        <v>90</v>
      </c>
    </row>
    <row r="31" spans="4:14">
      <c r="E31" s="1" t="s">
        <v>89</v>
      </c>
      <c r="G31" s="1" t="s">
        <v>95</v>
      </c>
    </row>
    <row r="32" spans="4:14">
      <c r="E32" s="1" t="s">
        <v>92</v>
      </c>
      <c r="G32" s="1" t="s">
        <v>91</v>
      </c>
    </row>
    <row r="33" spans="3:21">
      <c r="E33" s="1" t="s">
        <v>93</v>
      </c>
      <c r="G33" s="1" t="s">
        <v>94</v>
      </c>
    </row>
    <row r="34" spans="3:21">
      <c r="E34" s="1" t="s">
        <v>96</v>
      </c>
      <c r="G34" s="1" t="s">
        <v>663</v>
      </c>
    </row>
    <row r="35" spans="3:21">
      <c r="G35" s="1" t="s">
        <v>664</v>
      </c>
    </row>
    <row r="36" spans="3:21">
      <c r="E36" s="1" t="s">
        <v>100</v>
      </c>
      <c r="G36" s="1" t="s">
        <v>101</v>
      </c>
    </row>
    <row r="37" spans="3:21">
      <c r="E37" s="1" t="s">
        <v>102</v>
      </c>
      <c r="G37" s="1" t="s">
        <v>764</v>
      </c>
    </row>
    <row r="38" spans="3:21">
      <c r="E38" s="1" t="s">
        <v>103</v>
      </c>
      <c r="G38" s="1" t="s">
        <v>104</v>
      </c>
    </row>
    <row r="40" spans="3:21">
      <c r="C40" s="4" t="s">
        <v>62</v>
      </c>
      <c r="D40" s="1" t="s">
        <v>63</v>
      </c>
    </row>
    <row r="41" spans="3:21">
      <c r="D41" s="4" t="s">
        <v>64</v>
      </c>
      <c r="E41" s="1" t="s">
        <v>65</v>
      </c>
    </row>
    <row r="42" spans="3:21">
      <c r="D42" s="4" t="s">
        <v>66</v>
      </c>
      <c r="E42" s="1" t="s">
        <v>67</v>
      </c>
    </row>
    <row r="44" spans="3:21" ht="14.25" thickBot="1">
      <c r="C44" s="4" t="s">
        <v>68</v>
      </c>
      <c r="D44" s="1" t="s">
        <v>69</v>
      </c>
    </row>
    <row r="45" spans="3:21" ht="17.25" customHeight="1" thickBot="1">
      <c r="C45" s="4"/>
      <c r="D45" s="155" t="s">
        <v>76</v>
      </c>
      <c r="E45" s="702" t="s">
        <v>74</v>
      </c>
      <c r="F45" s="703"/>
      <c r="G45" s="703"/>
      <c r="H45" s="704"/>
      <c r="I45" s="703" t="s">
        <v>486</v>
      </c>
      <c r="J45" s="703"/>
      <c r="K45" s="703"/>
      <c r="L45" s="703"/>
      <c r="M45" s="704"/>
      <c r="N45" s="702" t="s">
        <v>485</v>
      </c>
      <c r="O45" s="703"/>
      <c r="P45" s="703"/>
      <c r="Q45" s="703"/>
      <c r="R45" s="703"/>
      <c r="S45" s="703"/>
      <c r="T45" s="703"/>
      <c r="U45" s="704"/>
    </row>
    <row r="46" spans="3:21" ht="16.5" customHeight="1">
      <c r="D46" s="156" t="s">
        <v>70</v>
      </c>
      <c r="E46" s="667">
        <v>10</v>
      </c>
      <c r="F46" s="668"/>
      <c r="G46" s="668"/>
      <c r="H46" s="669"/>
      <c r="I46" s="712" t="s">
        <v>77</v>
      </c>
      <c r="J46" s="712"/>
      <c r="K46" s="712"/>
      <c r="L46" s="712"/>
      <c r="M46" s="713"/>
      <c r="N46" s="705" t="s">
        <v>477</v>
      </c>
      <c r="O46" s="706"/>
      <c r="P46" s="706"/>
      <c r="Q46" s="706"/>
      <c r="R46" s="706"/>
      <c r="S46" s="706"/>
      <c r="T46" s="706"/>
      <c r="U46" s="707"/>
    </row>
    <row r="47" spans="3:21" ht="16.5" customHeight="1">
      <c r="D47" s="156" t="s">
        <v>71</v>
      </c>
      <c r="E47" s="667">
        <v>11</v>
      </c>
      <c r="F47" s="668"/>
      <c r="G47" s="668"/>
      <c r="H47" s="669"/>
      <c r="I47" s="712" t="s">
        <v>78</v>
      </c>
      <c r="J47" s="712"/>
      <c r="K47" s="712"/>
      <c r="L47" s="712"/>
      <c r="M47" s="713"/>
      <c r="N47" s="667" t="s">
        <v>478</v>
      </c>
      <c r="O47" s="668"/>
      <c r="P47" s="668"/>
      <c r="Q47" s="668"/>
      <c r="R47" s="668"/>
      <c r="S47" s="668"/>
      <c r="T47" s="668"/>
      <c r="U47" s="669"/>
    </row>
    <row r="48" spans="3:21" ht="16.5" customHeight="1">
      <c r="D48" s="156" t="s">
        <v>72</v>
      </c>
      <c r="E48" s="667">
        <v>12</v>
      </c>
      <c r="F48" s="668"/>
      <c r="G48" s="668"/>
      <c r="H48" s="669"/>
      <c r="I48" s="712" t="s">
        <v>880</v>
      </c>
      <c r="J48" s="712"/>
      <c r="K48" s="712"/>
      <c r="L48" s="712"/>
      <c r="M48" s="713"/>
      <c r="N48" s="667" t="s">
        <v>479</v>
      </c>
      <c r="O48" s="668"/>
      <c r="P48" s="668"/>
      <c r="Q48" s="668"/>
      <c r="R48" s="668"/>
      <c r="S48" s="668"/>
      <c r="T48" s="668"/>
      <c r="U48" s="669"/>
    </row>
    <row r="49" spans="3:23" ht="16.5" customHeight="1">
      <c r="D49" s="156" t="s">
        <v>73</v>
      </c>
      <c r="E49" s="667">
        <v>13</v>
      </c>
      <c r="F49" s="668"/>
      <c r="G49" s="668"/>
      <c r="H49" s="669"/>
      <c r="I49" s="711" t="s">
        <v>476</v>
      </c>
      <c r="J49" s="712"/>
      <c r="K49" s="712"/>
      <c r="L49" s="712"/>
      <c r="M49" s="713"/>
      <c r="N49" s="667" t="s">
        <v>480</v>
      </c>
      <c r="O49" s="668"/>
      <c r="P49" s="668"/>
      <c r="Q49" s="668"/>
      <c r="R49" s="668"/>
      <c r="S49" s="668"/>
      <c r="T49" s="668"/>
      <c r="U49" s="669"/>
    </row>
    <row r="50" spans="3:23" ht="16.5" customHeight="1">
      <c r="D50" s="374" t="s">
        <v>883</v>
      </c>
      <c r="E50" s="717">
        <v>14</v>
      </c>
      <c r="F50" s="718"/>
      <c r="G50" s="718"/>
      <c r="H50" s="719"/>
      <c r="I50" s="720" t="s">
        <v>881</v>
      </c>
      <c r="J50" s="721"/>
      <c r="K50" s="721"/>
      <c r="L50" s="721"/>
      <c r="M50" s="722"/>
      <c r="N50" s="717" t="s">
        <v>882</v>
      </c>
      <c r="O50" s="718"/>
      <c r="P50" s="718"/>
      <c r="Q50" s="718"/>
      <c r="R50" s="718"/>
      <c r="S50" s="718"/>
      <c r="T50" s="718"/>
      <c r="U50" s="719"/>
      <c r="W50" s="1" t="s">
        <v>889</v>
      </c>
    </row>
    <row r="51" spans="3:23" ht="16.5" customHeight="1">
      <c r="D51" s="156" t="s">
        <v>884</v>
      </c>
      <c r="E51" s="667">
        <v>20</v>
      </c>
      <c r="F51" s="668"/>
      <c r="G51" s="668"/>
      <c r="H51" s="669"/>
      <c r="I51" s="712" t="s">
        <v>79</v>
      </c>
      <c r="J51" s="712"/>
      <c r="K51" s="712"/>
      <c r="L51" s="712"/>
      <c r="M51" s="713"/>
      <c r="N51" s="667" t="s">
        <v>481</v>
      </c>
      <c r="O51" s="668"/>
      <c r="P51" s="668"/>
      <c r="Q51" s="668"/>
      <c r="R51" s="668"/>
      <c r="S51" s="668"/>
      <c r="T51" s="668"/>
      <c r="U51" s="669"/>
    </row>
    <row r="52" spans="3:23" ht="16.5" customHeight="1">
      <c r="D52" s="156" t="s">
        <v>885</v>
      </c>
      <c r="E52" s="667">
        <v>21</v>
      </c>
      <c r="F52" s="668"/>
      <c r="G52" s="668"/>
      <c r="H52" s="669"/>
      <c r="I52" s="712" t="s">
        <v>80</v>
      </c>
      <c r="J52" s="712"/>
      <c r="K52" s="712"/>
      <c r="L52" s="712"/>
      <c r="M52" s="713"/>
      <c r="N52" s="667" t="s">
        <v>482</v>
      </c>
      <c r="O52" s="668"/>
      <c r="P52" s="668"/>
      <c r="Q52" s="668"/>
      <c r="R52" s="668"/>
      <c r="S52" s="668"/>
      <c r="T52" s="668"/>
      <c r="U52" s="669"/>
    </row>
    <row r="53" spans="3:23" ht="16.5" customHeight="1">
      <c r="D53" s="156" t="s">
        <v>886</v>
      </c>
      <c r="E53" s="667">
        <v>22</v>
      </c>
      <c r="F53" s="668"/>
      <c r="G53" s="668"/>
      <c r="H53" s="669"/>
      <c r="I53" s="711" t="s">
        <v>81</v>
      </c>
      <c r="J53" s="712"/>
      <c r="K53" s="712"/>
      <c r="L53" s="712"/>
      <c r="M53" s="713"/>
      <c r="N53" s="667" t="s">
        <v>483</v>
      </c>
      <c r="O53" s="668"/>
      <c r="P53" s="668"/>
      <c r="Q53" s="668"/>
      <c r="R53" s="668"/>
      <c r="S53" s="668"/>
      <c r="T53" s="668"/>
      <c r="U53" s="669"/>
    </row>
    <row r="54" spans="3:23" ht="17.25" customHeight="1" thickBot="1">
      <c r="D54" s="157" t="s">
        <v>887</v>
      </c>
      <c r="E54" s="714">
        <v>23</v>
      </c>
      <c r="F54" s="715"/>
      <c r="G54" s="715"/>
      <c r="H54" s="716"/>
      <c r="I54" s="708" t="s">
        <v>82</v>
      </c>
      <c r="J54" s="709"/>
      <c r="K54" s="709"/>
      <c r="L54" s="709"/>
      <c r="M54" s="710"/>
      <c r="N54" s="714" t="s">
        <v>484</v>
      </c>
      <c r="O54" s="715"/>
      <c r="P54" s="715"/>
      <c r="Q54" s="715"/>
      <c r="R54" s="715"/>
      <c r="S54" s="715"/>
      <c r="T54" s="715"/>
      <c r="U54" s="716"/>
    </row>
    <row r="56" spans="3:23">
      <c r="C56" s="4" t="s">
        <v>488</v>
      </c>
      <c r="D56" s="1" t="s">
        <v>511</v>
      </c>
    </row>
    <row r="57" spans="3:23">
      <c r="D57" s="4" t="s">
        <v>489</v>
      </c>
      <c r="E57" s="1" t="s">
        <v>512</v>
      </c>
    </row>
    <row r="58" spans="3:23">
      <c r="D58" s="4" t="s">
        <v>490</v>
      </c>
      <c r="E58" s="1" t="s">
        <v>496</v>
      </c>
    </row>
    <row r="59" spans="3:23" ht="16.5" customHeight="1">
      <c r="E59" s="723" t="s">
        <v>499</v>
      </c>
      <c r="F59" s="724"/>
      <c r="G59" s="724"/>
      <c r="H59" s="725"/>
      <c r="I59" s="726" t="s">
        <v>491</v>
      </c>
      <c r="J59" s="726"/>
      <c r="K59" s="726"/>
      <c r="L59" s="726" t="s">
        <v>492</v>
      </c>
      <c r="M59" s="726"/>
      <c r="N59" s="726"/>
      <c r="O59" s="726" t="s">
        <v>497</v>
      </c>
      <c r="P59" s="726"/>
      <c r="Q59" s="726"/>
      <c r="R59" s="726"/>
    </row>
    <row r="60" spans="3:23">
      <c r="E60" s="4" t="s">
        <v>500</v>
      </c>
      <c r="F60" s="1" t="s">
        <v>498</v>
      </c>
      <c r="J60" s="1" t="s">
        <v>501</v>
      </c>
    </row>
    <row r="61" spans="3:23">
      <c r="E61" s="1" t="s">
        <v>502</v>
      </c>
      <c r="F61" s="1" t="s">
        <v>503</v>
      </c>
      <c r="J61" s="1" t="s">
        <v>505</v>
      </c>
    </row>
    <row r="62" spans="3:23">
      <c r="E62" s="1" t="s">
        <v>502</v>
      </c>
      <c r="F62" s="1" t="s">
        <v>504</v>
      </c>
      <c r="J62" s="1" t="s">
        <v>506</v>
      </c>
    </row>
    <row r="63" spans="3:23">
      <c r="E63" s="1" t="s">
        <v>502</v>
      </c>
      <c r="F63" s="1" t="s">
        <v>507</v>
      </c>
      <c r="J63" s="1" t="s">
        <v>508</v>
      </c>
    </row>
    <row r="64" spans="3:23">
      <c r="F64" s="1" t="s">
        <v>502</v>
      </c>
      <c r="G64" s="1" t="s">
        <v>510</v>
      </c>
    </row>
    <row r="65" spans="3:16">
      <c r="F65" s="1" t="s">
        <v>502</v>
      </c>
      <c r="G65" s="1" t="s">
        <v>509</v>
      </c>
    </row>
    <row r="67" spans="3:16">
      <c r="D67" s="4" t="s">
        <v>495</v>
      </c>
      <c r="E67" s="1" t="s">
        <v>513</v>
      </c>
    </row>
    <row r="68" spans="3:16">
      <c r="E68" s="4" t="s">
        <v>500</v>
      </c>
      <c r="F68" s="4" t="s">
        <v>514</v>
      </c>
      <c r="G68" s="4"/>
      <c r="H68" s="4"/>
      <c r="I68" s="4"/>
      <c r="J68" s="4"/>
      <c r="K68" s="4"/>
      <c r="L68" s="4"/>
      <c r="M68" s="4"/>
      <c r="N68" s="4"/>
      <c r="O68" s="4"/>
      <c r="P68" s="4"/>
    </row>
    <row r="70" spans="3:16">
      <c r="D70" s="4" t="s">
        <v>515</v>
      </c>
      <c r="E70" s="1" t="s">
        <v>516</v>
      </c>
    </row>
    <row r="71" spans="3:16">
      <c r="E71" s="4" t="s">
        <v>500</v>
      </c>
      <c r="F71" s="1" t="s">
        <v>517</v>
      </c>
    </row>
    <row r="73" spans="3:16">
      <c r="C73" s="225" t="s">
        <v>686</v>
      </c>
      <c r="D73" s="1" t="s">
        <v>687</v>
      </c>
    </row>
    <row r="74" spans="3:16">
      <c r="D74" s="225" t="s">
        <v>688</v>
      </c>
      <c r="E74" s="1" t="s">
        <v>685</v>
      </c>
    </row>
    <row r="75" spans="3:16">
      <c r="E75" s="225" t="s">
        <v>689</v>
      </c>
      <c r="F75" s="1" t="s">
        <v>865</v>
      </c>
    </row>
    <row r="76" spans="3:16">
      <c r="E76" s="225" t="s">
        <v>847</v>
      </c>
      <c r="F76" s="1" t="s">
        <v>866</v>
      </c>
    </row>
    <row r="77" spans="3:16">
      <c r="E77" s="225"/>
    </row>
  </sheetData>
  <mergeCells count="61">
    <mergeCell ref="E59:H59"/>
    <mergeCell ref="I59:K59"/>
    <mergeCell ref="L59:N59"/>
    <mergeCell ref="O59:R59"/>
    <mergeCell ref="N51:U51"/>
    <mergeCell ref="N52:U52"/>
    <mergeCell ref="N53:U53"/>
    <mergeCell ref="N54:U54"/>
    <mergeCell ref="I51:M51"/>
    <mergeCell ref="I52:M52"/>
    <mergeCell ref="N48:U48"/>
    <mergeCell ref="N47:U47"/>
    <mergeCell ref="N49:U49"/>
    <mergeCell ref="E50:H50"/>
    <mergeCell ref="I50:M50"/>
    <mergeCell ref="N50:U50"/>
    <mergeCell ref="N45:U45"/>
    <mergeCell ref="E45:H45"/>
    <mergeCell ref="I45:M45"/>
    <mergeCell ref="N46:U46"/>
    <mergeCell ref="I54:M54"/>
    <mergeCell ref="I53:M53"/>
    <mergeCell ref="E54:H54"/>
    <mergeCell ref="E53:H53"/>
    <mergeCell ref="E48:H48"/>
    <mergeCell ref="E49:H49"/>
    <mergeCell ref="I48:M48"/>
    <mergeCell ref="I49:M49"/>
    <mergeCell ref="E52:H52"/>
    <mergeCell ref="E51:H51"/>
    <mergeCell ref="I46:M46"/>
    <mergeCell ref="I47:M47"/>
    <mergeCell ref="E20:F20"/>
    <mergeCell ref="E21:F21"/>
    <mergeCell ref="E22:F22"/>
    <mergeCell ref="E23:F23"/>
    <mergeCell ref="G20:N20"/>
    <mergeCell ref="E11:H11"/>
    <mergeCell ref="E12:H12"/>
    <mergeCell ref="E13:H13"/>
    <mergeCell ref="E18:F18"/>
    <mergeCell ref="E19:F19"/>
    <mergeCell ref="G18:N18"/>
    <mergeCell ref="E17:F17"/>
    <mergeCell ref="G17:N17"/>
    <mergeCell ref="E5:H5"/>
    <mergeCell ref="E6:H6"/>
    <mergeCell ref="E7:H7"/>
    <mergeCell ref="E46:H46"/>
    <mergeCell ref="E47:H47"/>
    <mergeCell ref="E26:F26"/>
    <mergeCell ref="E27:F27"/>
    <mergeCell ref="G27:N27"/>
    <mergeCell ref="G26:N26"/>
    <mergeCell ref="E24:F25"/>
    <mergeCell ref="G24:N25"/>
    <mergeCell ref="G19:N19"/>
    <mergeCell ref="G21:N21"/>
    <mergeCell ref="G22:N22"/>
    <mergeCell ref="G23:N23"/>
    <mergeCell ref="E10:H10"/>
  </mergeCells>
  <phoneticPr fontId="1" type="noConversion"/>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2"/>
  <sheetViews>
    <sheetView topLeftCell="A49" workbookViewId="0">
      <selection activeCell="E73" sqref="E73"/>
    </sheetView>
  </sheetViews>
  <sheetFormatPr defaultRowHeight="13.5"/>
  <cols>
    <col min="1" max="1" width="9" style="1"/>
    <col min="2" max="2" width="11.125" style="1" bestFit="1" customWidth="1"/>
    <col min="3" max="3" width="9" style="1"/>
    <col min="4" max="40" width="2.625" style="1" customWidth="1"/>
    <col min="41" max="16384" width="9" style="1"/>
  </cols>
  <sheetData>
    <row r="1" spans="1:5">
      <c r="A1" s="1" t="s">
        <v>0</v>
      </c>
      <c r="B1" s="1" t="s">
        <v>1</v>
      </c>
      <c r="C1" s="1" t="s">
        <v>2</v>
      </c>
      <c r="D1" s="1" t="s">
        <v>3</v>
      </c>
    </row>
    <row r="2" spans="1:5">
      <c r="A2" s="1" t="s">
        <v>893</v>
      </c>
      <c r="B2" s="2">
        <v>40913</v>
      </c>
      <c r="C2" s="1" t="s">
        <v>4</v>
      </c>
      <c r="D2" s="3" t="s">
        <v>5</v>
      </c>
      <c r="E2" s="1" t="s">
        <v>6</v>
      </c>
    </row>
    <row r="4" spans="1:5">
      <c r="A4" s="1" t="s">
        <v>892</v>
      </c>
      <c r="B4" s="274">
        <v>40940</v>
      </c>
      <c r="C4" s="1" t="s">
        <v>684</v>
      </c>
      <c r="D4" s="225" t="s">
        <v>692</v>
      </c>
      <c r="E4" s="1" t="s">
        <v>693</v>
      </c>
    </row>
    <row r="5" spans="1:5">
      <c r="C5" s="1" t="s">
        <v>691</v>
      </c>
      <c r="D5" s="225" t="s">
        <v>692</v>
      </c>
      <c r="E5" s="1" t="s">
        <v>693</v>
      </c>
    </row>
    <row r="6" spans="1:5">
      <c r="D6" s="225" t="s">
        <v>690</v>
      </c>
      <c r="E6" s="1" t="s">
        <v>698</v>
      </c>
    </row>
    <row r="7" spans="1:5">
      <c r="D7" s="225" t="s">
        <v>699</v>
      </c>
      <c r="E7" s="275" t="s">
        <v>700</v>
      </c>
    </row>
    <row r="8" spans="1:5">
      <c r="C8" s="1" t="s">
        <v>694</v>
      </c>
      <c r="D8" s="225" t="s">
        <v>692</v>
      </c>
      <c r="E8" s="1" t="s">
        <v>696</v>
      </c>
    </row>
    <row r="9" spans="1:5">
      <c r="C9" s="1" t="s">
        <v>695</v>
      </c>
      <c r="D9" s="1">
        <v>2</v>
      </c>
      <c r="E9" s="1" t="s">
        <v>697</v>
      </c>
    </row>
    <row r="10" spans="1:5">
      <c r="B10" s="274">
        <v>40955</v>
      </c>
      <c r="C10" s="1" t="s">
        <v>772</v>
      </c>
      <c r="D10" s="225" t="s">
        <v>773</v>
      </c>
      <c r="E10" s="1" t="s">
        <v>774</v>
      </c>
    </row>
    <row r="11" spans="1:5">
      <c r="B11" s="274">
        <v>40956</v>
      </c>
      <c r="C11" s="1" t="s">
        <v>775</v>
      </c>
      <c r="D11" s="225" t="s">
        <v>773</v>
      </c>
      <c r="E11" s="1" t="s">
        <v>776</v>
      </c>
    </row>
    <row r="12" spans="1:5">
      <c r="C12" s="1" t="s">
        <v>777</v>
      </c>
      <c r="D12" s="1" t="s">
        <v>778</v>
      </c>
      <c r="E12" s="1" t="s">
        <v>779</v>
      </c>
    </row>
    <row r="14" spans="1:5">
      <c r="A14" s="1" t="s">
        <v>791</v>
      </c>
      <c r="B14" s="274">
        <v>40980</v>
      </c>
      <c r="C14" s="1" t="s">
        <v>825</v>
      </c>
      <c r="D14" s="225" t="s">
        <v>827</v>
      </c>
      <c r="E14" s="1" t="s">
        <v>826</v>
      </c>
    </row>
    <row r="15" spans="1:5">
      <c r="C15" s="1" t="s">
        <v>829</v>
      </c>
      <c r="D15" s="225" t="s">
        <v>828</v>
      </c>
      <c r="E15" s="1" t="s">
        <v>832</v>
      </c>
    </row>
    <row r="16" spans="1:5">
      <c r="C16" s="1" t="s">
        <v>830</v>
      </c>
      <c r="D16" s="225" t="s">
        <v>828</v>
      </c>
      <c r="E16" s="1" t="s">
        <v>831</v>
      </c>
    </row>
    <row r="18" spans="1:15">
      <c r="A18" s="1" t="s">
        <v>891</v>
      </c>
      <c r="B18" s="274">
        <v>41025</v>
      </c>
      <c r="C18" s="1" t="s">
        <v>894</v>
      </c>
      <c r="D18" s="225" t="s">
        <v>9</v>
      </c>
      <c r="E18" s="1" t="s">
        <v>895</v>
      </c>
    </row>
    <row r="19" spans="1:15">
      <c r="D19" s="225" t="s">
        <v>896</v>
      </c>
      <c r="E19" s="1" t="s">
        <v>897</v>
      </c>
    </row>
    <row r="20" spans="1:15">
      <c r="D20" s="225" t="s">
        <v>898</v>
      </c>
      <c r="E20" s="1" t="s">
        <v>899</v>
      </c>
    </row>
    <row r="21" spans="1:15">
      <c r="D21" s="391" t="s">
        <v>903</v>
      </c>
      <c r="E21" s="392" t="s">
        <v>904</v>
      </c>
      <c r="F21" s="392"/>
      <c r="G21" s="392"/>
      <c r="H21" s="392"/>
      <c r="I21" s="392"/>
      <c r="J21" s="392"/>
      <c r="K21" s="392"/>
      <c r="L21" s="392"/>
      <c r="M21" s="392"/>
      <c r="N21" s="392"/>
      <c r="O21" s="392"/>
    </row>
    <row r="23" spans="1:15">
      <c r="C23" s="1" t="s">
        <v>900</v>
      </c>
      <c r="D23" s="225" t="s">
        <v>901</v>
      </c>
      <c r="E23" s="1" t="s">
        <v>902</v>
      </c>
    </row>
    <row r="25" spans="1:15">
      <c r="C25" s="1" t="s">
        <v>911</v>
      </c>
      <c r="D25" s="225" t="s">
        <v>912</v>
      </c>
      <c r="E25" s="1" t="s">
        <v>913</v>
      </c>
    </row>
    <row r="26" spans="1:15">
      <c r="D26" s="225" t="s">
        <v>896</v>
      </c>
      <c r="E26" s="1" t="s">
        <v>914</v>
      </c>
    </row>
    <row r="28" spans="1:15">
      <c r="C28" s="1" t="s">
        <v>915</v>
      </c>
      <c r="D28" s="225" t="s">
        <v>912</v>
      </c>
      <c r="E28" s="1" t="s">
        <v>916</v>
      </c>
    </row>
    <row r="30" spans="1:15">
      <c r="A30" s="1" t="s">
        <v>955</v>
      </c>
      <c r="B30" s="274">
        <v>41032</v>
      </c>
      <c r="C30" s="1" t="s">
        <v>956</v>
      </c>
      <c r="D30" s="225" t="s">
        <v>912</v>
      </c>
      <c r="E30" s="1" t="s">
        <v>957</v>
      </c>
    </row>
    <row r="32" spans="1:15">
      <c r="C32" s="1" t="s">
        <v>971</v>
      </c>
      <c r="D32" s="417" t="s">
        <v>967</v>
      </c>
      <c r="E32" s="1" t="s">
        <v>969</v>
      </c>
    </row>
    <row r="34" spans="1:5">
      <c r="C34" s="1" t="s">
        <v>972</v>
      </c>
      <c r="D34" s="417" t="s">
        <v>968</v>
      </c>
      <c r="E34" s="1" t="s">
        <v>970</v>
      </c>
    </row>
    <row r="36" spans="1:5">
      <c r="A36" s="1" t="s">
        <v>978</v>
      </c>
      <c r="B36" s="274">
        <v>41035</v>
      </c>
      <c r="C36" s="1" t="s">
        <v>979</v>
      </c>
      <c r="D36" s="417" t="s">
        <v>980</v>
      </c>
      <c r="E36" s="1" t="s">
        <v>981</v>
      </c>
    </row>
    <row r="37" spans="1:5">
      <c r="D37" s="417" t="s">
        <v>1019</v>
      </c>
      <c r="E37" s="1" t="s">
        <v>1020</v>
      </c>
    </row>
    <row r="39" spans="1:5">
      <c r="C39" s="1" t="s">
        <v>982</v>
      </c>
      <c r="D39" s="417" t="s">
        <v>980</v>
      </c>
      <c r="E39" s="1" t="s">
        <v>981</v>
      </c>
    </row>
    <row r="40" spans="1:5">
      <c r="D40" s="417" t="s">
        <v>1019</v>
      </c>
      <c r="E40" s="1" t="s">
        <v>1020</v>
      </c>
    </row>
    <row r="42" spans="1:5">
      <c r="C42" s="1" t="s">
        <v>1016</v>
      </c>
      <c r="D42" s="417" t="s">
        <v>1017</v>
      </c>
      <c r="E42" s="1" t="s">
        <v>1018</v>
      </c>
    </row>
    <row r="44" spans="1:5">
      <c r="A44" s="1" t="s">
        <v>1078</v>
      </c>
      <c r="B44" s="274">
        <v>41039</v>
      </c>
      <c r="C44" s="1" t="s">
        <v>1079</v>
      </c>
      <c r="D44" s="417" t="s">
        <v>1080</v>
      </c>
      <c r="E44" s="1" t="s">
        <v>1081</v>
      </c>
    </row>
    <row r="46" spans="1:5">
      <c r="D46" s="417" t="s">
        <v>1082</v>
      </c>
      <c r="E46" s="1" t="s">
        <v>1083</v>
      </c>
    </row>
    <row r="47" spans="1:5">
      <c r="E47" s="1" t="s">
        <v>1084</v>
      </c>
    </row>
    <row r="49" spans="1:5">
      <c r="A49" s="1" t="s">
        <v>1094</v>
      </c>
      <c r="B49" s="472">
        <v>41040</v>
      </c>
      <c r="C49" s="1" t="s">
        <v>1095</v>
      </c>
      <c r="D49" s="471" t="s">
        <v>1096</v>
      </c>
      <c r="E49" s="1" t="s">
        <v>1097</v>
      </c>
    </row>
    <row r="51" spans="1:5">
      <c r="A51" s="1" t="s">
        <v>1126</v>
      </c>
      <c r="B51" s="472">
        <v>41213</v>
      </c>
      <c r="C51" s="1" t="s">
        <v>1127</v>
      </c>
      <c r="D51" s="471" t="s">
        <v>1128</v>
      </c>
      <c r="E51" s="1" t="s">
        <v>1129</v>
      </c>
    </row>
    <row r="52" spans="1:5">
      <c r="E52" s="1" t="s">
        <v>1132</v>
      </c>
    </row>
    <row r="53" spans="1:5">
      <c r="D53" s="471" t="s">
        <v>1130</v>
      </c>
      <c r="E53" s="1" t="s">
        <v>1131</v>
      </c>
    </row>
    <row r="54" spans="1:5">
      <c r="E54" s="1" t="s">
        <v>1142</v>
      </c>
    </row>
    <row r="55" spans="1:5">
      <c r="D55" s="471" t="s">
        <v>1133</v>
      </c>
      <c r="E55" s="1" t="s">
        <v>1134</v>
      </c>
    </row>
    <row r="56" spans="1:5">
      <c r="D56" s="471" t="s">
        <v>1143</v>
      </c>
      <c r="E56" s="1" t="s">
        <v>1144</v>
      </c>
    </row>
    <row r="58" spans="1:5">
      <c r="A58" s="1" t="s">
        <v>1223</v>
      </c>
      <c r="B58" s="472">
        <v>41439</v>
      </c>
      <c r="C58" s="1" t="s">
        <v>1164</v>
      </c>
      <c r="D58" s="471" t="s">
        <v>1165</v>
      </c>
      <c r="E58" s="1" t="s">
        <v>1166</v>
      </c>
    </row>
    <row r="59" spans="1:5">
      <c r="D59" s="471" t="s">
        <v>1224</v>
      </c>
      <c r="E59" s="1" t="s">
        <v>1225</v>
      </c>
    </row>
    <row r="61" spans="1:5">
      <c r="C61" s="1" t="s">
        <v>1226</v>
      </c>
      <c r="D61" s="471" t="s">
        <v>1227</v>
      </c>
      <c r="E61" s="1" t="s">
        <v>1228</v>
      </c>
    </row>
    <row r="63" spans="1:5">
      <c r="C63" s="1" t="s">
        <v>1291</v>
      </c>
      <c r="D63" s="471" t="s">
        <v>1303</v>
      </c>
      <c r="E63" s="1" t="s">
        <v>1292</v>
      </c>
    </row>
    <row r="65" spans="1:5">
      <c r="C65" s="1" t="s">
        <v>1302</v>
      </c>
      <c r="D65" s="471" t="s">
        <v>1303</v>
      </c>
      <c r="E65" s="1" t="s">
        <v>1304</v>
      </c>
    </row>
    <row r="66" spans="1:5">
      <c r="D66" s="471" t="s">
        <v>1305</v>
      </c>
      <c r="E66" s="1" t="s">
        <v>1306</v>
      </c>
    </row>
    <row r="68" spans="1:5">
      <c r="A68" s="1" t="s">
        <v>1335</v>
      </c>
      <c r="B68" s="472">
        <v>42293</v>
      </c>
      <c r="D68" s="471" t="s">
        <v>1336</v>
      </c>
      <c r="E68" s="1" t="s">
        <v>1337</v>
      </c>
    </row>
    <row r="70" spans="1:5">
      <c r="A70" s="1" t="s">
        <v>1338</v>
      </c>
      <c r="B70" s="472">
        <v>42293</v>
      </c>
      <c r="C70" s="1" t="s">
        <v>1341</v>
      </c>
      <c r="D70" s="471" t="s">
        <v>1339</v>
      </c>
      <c r="E70" s="1" t="s">
        <v>1340</v>
      </c>
    </row>
    <row r="71" spans="1:5">
      <c r="D71" s="471" t="s">
        <v>1342</v>
      </c>
      <c r="E71" s="1" t="s">
        <v>1343</v>
      </c>
    </row>
    <row r="72" spans="1:5">
      <c r="B72" s="472">
        <v>42300</v>
      </c>
      <c r="C72" s="1" t="s">
        <v>1359</v>
      </c>
      <c r="D72" s="471" t="s">
        <v>1360</v>
      </c>
      <c r="E72" s="1" t="s">
        <v>1361</v>
      </c>
    </row>
  </sheetData>
  <phoneticPr fontId="1" type="noConversion"/>
  <pageMargins left="0.7" right="0.7" top="0.75" bottom="0.75" header="0.3" footer="0.3"/>
  <pageSetup paperSize="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workbookViewId="0">
      <selection activeCell="F15" sqref="F15:I15"/>
    </sheetView>
  </sheetViews>
  <sheetFormatPr defaultRowHeight="13.5"/>
  <cols>
    <col min="1" max="9" width="9" style="1"/>
    <col min="10" max="24" width="9" style="1" customWidth="1"/>
    <col min="25" max="16384" width="9" style="1"/>
  </cols>
  <sheetData>
    <row r="1" spans="1:12">
      <c r="A1" s="759" t="s">
        <v>132</v>
      </c>
      <c r="B1" s="760"/>
      <c r="C1" s="760"/>
      <c r="D1" s="760"/>
      <c r="E1" s="760"/>
      <c r="F1" s="760"/>
      <c r="G1" s="760"/>
      <c r="H1" s="760"/>
      <c r="I1" s="761"/>
      <c r="J1" s="412"/>
    </row>
    <row r="2" spans="1:12">
      <c r="A2" s="7" t="s">
        <v>106</v>
      </c>
      <c r="B2" s="8" t="s">
        <v>133</v>
      </c>
      <c r="C2" s="9"/>
      <c r="D2" s="9"/>
      <c r="E2" s="9"/>
      <c r="F2" s="9"/>
      <c r="G2" s="19"/>
      <c r="H2" s="19" t="s">
        <v>107</v>
      </c>
      <c r="I2" s="18" t="s">
        <v>121</v>
      </c>
      <c r="J2" s="413"/>
    </row>
    <row r="3" spans="1:12">
      <c r="A3" s="7" t="s">
        <v>108</v>
      </c>
      <c r="B3" s="15"/>
      <c r="C3" s="9"/>
      <c r="D3" s="9"/>
      <c r="E3" s="9"/>
      <c r="F3" s="9"/>
      <c r="G3" s="19"/>
      <c r="H3" s="16" t="s">
        <v>109</v>
      </c>
      <c r="I3" s="18" t="s">
        <v>121</v>
      </c>
      <c r="J3" s="413"/>
    </row>
    <row r="4" spans="1:12" ht="14.25" thickBot="1">
      <c r="A4" s="11"/>
      <c r="B4" s="12"/>
      <c r="C4" s="12"/>
      <c r="D4" s="12"/>
      <c r="E4" s="12"/>
      <c r="F4" s="12"/>
      <c r="G4" s="20"/>
      <c r="H4" s="17" t="s">
        <v>110</v>
      </c>
      <c r="I4" s="21" t="s">
        <v>952</v>
      </c>
      <c r="J4" s="414"/>
    </row>
    <row r="5" spans="1:12" ht="27.75" thickBot="1">
      <c r="A5" s="408" t="s">
        <v>135</v>
      </c>
      <c r="B5" s="765" t="s">
        <v>136</v>
      </c>
      <c r="C5" s="766"/>
      <c r="D5" s="766"/>
      <c r="E5" s="766"/>
      <c r="F5" s="766"/>
      <c r="G5" s="766"/>
      <c r="H5" s="766"/>
      <c r="I5" s="766"/>
      <c r="J5" s="415" t="s">
        <v>954</v>
      </c>
    </row>
    <row r="6" spans="1:12" ht="16.5" customHeight="1">
      <c r="A6" s="762">
        <v>1</v>
      </c>
      <c r="B6" s="409" t="s">
        <v>137</v>
      </c>
      <c r="C6" s="409" t="s">
        <v>767</v>
      </c>
      <c r="D6" s="409" t="s">
        <v>137</v>
      </c>
      <c r="E6" s="409" t="s">
        <v>767</v>
      </c>
      <c r="F6" s="410"/>
      <c r="G6" s="410"/>
      <c r="H6" s="410"/>
      <c r="I6" s="411"/>
      <c r="J6" s="727" t="s">
        <v>963</v>
      </c>
    </row>
    <row r="7" spans="1:12">
      <c r="A7" s="763"/>
      <c r="B7" s="299" t="s">
        <v>735</v>
      </c>
      <c r="C7" s="299" t="s">
        <v>735</v>
      </c>
      <c r="D7" s="285" t="s">
        <v>840</v>
      </c>
      <c r="E7" s="286" t="s">
        <v>841</v>
      </c>
      <c r="F7" s="286"/>
      <c r="G7" s="286"/>
      <c r="H7" s="286"/>
      <c r="I7" s="295"/>
      <c r="J7" s="729"/>
    </row>
    <row r="8" spans="1:12" ht="14.25" thickBot="1">
      <c r="A8" s="764"/>
      <c r="B8" s="304" t="s">
        <v>138</v>
      </c>
      <c r="C8" s="304" t="s">
        <v>139</v>
      </c>
      <c r="D8" s="287" t="s">
        <v>140</v>
      </c>
      <c r="E8" s="288" t="s">
        <v>141</v>
      </c>
      <c r="F8" s="288" t="s">
        <v>762</v>
      </c>
      <c r="G8" s="288" t="s">
        <v>142</v>
      </c>
      <c r="H8" s="288" t="s">
        <v>143</v>
      </c>
      <c r="I8" s="404" t="s">
        <v>702</v>
      </c>
      <c r="J8" s="416" t="s">
        <v>964</v>
      </c>
      <c r="L8" s="666"/>
    </row>
    <row r="9" spans="1:12" ht="16.5" customHeight="1">
      <c r="A9" s="773">
        <v>2</v>
      </c>
      <c r="B9" s="770" t="s">
        <v>137</v>
      </c>
      <c r="C9" s="771"/>
      <c r="D9" s="771"/>
      <c r="E9" s="772"/>
      <c r="F9" s="771" t="s">
        <v>767</v>
      </c>
      <c r="G9" s="771"/>
      <c r="H9" s="771"/>
      <c r="I9" s="771"/>
      <c r="J9" s="727"/>
      <c r="L9" s="666"/>
    </row>
    <row r="10" spans="1:12">
      <c r="A10" s="774"/>
      <c r="B10" s="300" t="s">
        <v>736</v>
      </c>
      <c r="C10" s="301" t="s">
        <v>737</v>
      </c>
      <c r="D10" s="301" t="s">
        <v>694</v>
      </c>
      <c r="E10" s="282" t="s">
        <v>738</v>
      </c>
      <c r="F10" s="302" t="s">
        <v>736</v>
      </c>
      <c r="G10" s="301" t="s">
        <v>737</v>
      </c>
      <c r="H10" s="301" t="s">
        <v>694</v>
      </c>
      <c r="I10" s="303" t="s">
        <v>739</v>
      </c>
      <c r="J10" s="729"/>
      <c r="L10" s="666"/>
    </row>
    <row r="11" spans="1:12" ht="14.25" thickBot="1">
      <c r="A11" s="775"/>
      <c r="B11" s="305" t="s">
        <v>144</v>
      </c>
      <c r="C11" s="306" t="s">
        <v>145</v>
      </c>
      <c r="D11" s="306" t="s">
        <v>703</v>
      </c>
      <c r="E11" s="307" t="s">
        <v>704</v>
      </c>
      <c r="F11" s="308" t="s">
        <v>705</v>
      </c>
      <c r="G11" s="306" t="s">
        <v>706</v>
      </c>
      <c r="H11" s="306" t="s">
        <v>707</v>
      </c>
      <c r="I11" s="309" t="s">
        <v>708</v>
      </c>
      <c r="J11" s="416"/>
      <c r="L11" s="666"/>
    </row>
    <row r="12" spans="1:12" ht="16.5" customHeight="1">
      <c r="A12" s="773">
        <v>3</v>
      </c>
      <c r="B12" s="310" t="s">
        <v>137</v>
      </c>
      <c r="C12" s="310" t="s">
        <v>768</v>
      </c>
      <c r="D12" s="284"/>
      <c r="E12" s="284"/>
      <c r="F12" s="284"/>
      <c r="G12" s="284"/>
      <c r="H12" s="284"/>
      <c r="I12" s="297"/>
      <c r="J12" s="727" t="s">
        <v>960</v>
      </c>
      <c r="L12" s="281"/>
    </row>
    <row r="13" spans="1:12">
      <c r="A13" s="774">
        <v>3</v>
      </c>
      <c r="B13" s="299" t="s">
        <v>769</v>
      </c>
      <c r="C13" s="299" t="s">
        <v>769</v>
      </c>
      <c r="D13" s="286"/>
      <c r="E13" s="286"/>
      <c r="F13" s="286"/>
      <c r="G13" s="286"/>
      <c r="H13" s="286"/>
      <c r="I13" s="295"/>
      <c r="J13" s="729"/>
    </row>
    <row r="14" spans="1:12" ht="14.25" thickBot="1">
      <c r="A14" s="775"/>
      <c r="B14" s="304" t="s">
        <v>146</v>
      </c>
      <c r="C14" s="304" t="s">
        <v>147</v>
      </c>
      <c r="D14" s="290" t="s">
        <v>709</v>
      </c>
      <c r="E14" s="290" t="s">
        <v>710</v>
      </c>
      <c r="F14" s="290" t="s">
        <v>711</v>
      </c>
      <c r="G14" s="290" t="s">
        <v>712</v>
      </c>
      <c r="H14" s="290" t="s">
        <v>713</v>
      </c>
      <c r="I14" s="296" t="s">
        <v>714</v>
      </c>
      <c r="J14" s="416" t="s">
        <v>961</v>
      </c>
    </row>
    <row r="15" spans="1:12">
      <c r="A15" s="773">
        <v>4</v>
      </c>
      <c r="B15" s="770" t="s">
        <v>137</v>
      </c>
      <c r="C15" s="771"/>
      <c r="D15" s="771"/>
      <c r="E15" s="772"/>
      <c r="F15" s="771" t="s">
        <v>767</v>
      </c>
      <c r="G15" s="771"/>
      <c r="H15" s="771"/>
      <c r="I15" s="771"/>
      <c r="J15" s="727" t="s">
        <v>959</v>
      </c>
    </row>
    <row r="16" spans="1:12">
      <c r="A16" s="774">
        <v>4</v>
      </c>
      <c r="B16" s="300" t="s">
        <v>741</v>
      </c>
      <c r="C16" s="301" t="s">
        <v>742</v>
      </c>
      <c r="D16" s="301" t="s">
        <v>743</v>
      </c>
      <c r="E16" s="282" t="s">
        <v>744</v>
      </c>
      <c r="F16" s="302" t="s">
        <v>745</v>
      </c>
      <c r="G16" s="301" t="s">
        <v>742</v>
      </c>
      <c r="H16" s="301" t="s">
        <v>746</v>
      </c>
      <c r="I16" s="303" t="s">
        <v>747</v>
      </c>
      <c r="J16" s="729"/>
    </row>
    <row r="17" spans="1:10" ht="14.25" thickBot="1">
      <c r="A17" s="775"/>
      <c r="B17" s="305" t="s">
        <v>148</v>
      </c>
      <c r="C17" s="306" t="s">
        <v>149</v>
      </c>
      <c r="D17" s="306" t="s">
        <v>715</v>
      </c>
      <c r="E17" s="307" t="s">
        <v>716</v>
      </c>
      <c r="F17" s="308" t="s">
        <v>717</v>
      </c>
      <c r="G17" s="306" t="s">
        <v>718</v>
      </c>
      <c r="H17" s="306" t="s">
        <v>719</v>
      </c>
      <c r="I17" s="309" t="s">
        <v>720</v>
      </c>
      <c r="J17" s="416" t="s">
        <v>962</v>
      </c>
    </row>
    <row r="18" spans="1:10" ht="16.5" customHeight="1">
      <c r="A18" s="773">
        <v>5</v>
      </c>
      <c r="B18" s="770" t="s">
        <v>137</v>
      </c>
      <c r="C18" s="771"/>
      <c r="D18" s="770" t="s">
        <v>767</v>
      </c>
      <c r="E18" s="772"/>
      <c r="F18" s="291"/>
      <c r="G18" s="284"/>
      <c r="H18" s="284"/>
      <c r="I18" s="297"/>
      <c r="J18" s="727" t="s">
        <v>958</v>
      </c>
    </row>
    <row r="19" spans="1:10">
      <c r="A19" s="774">
        <v>5</v>
      </c>
      <c r="B19" s="302" t="s">
        <v>748</v>
      </c>
      <c r="C19" s="303" t="s">
        <v>749</v>
      </c>
      <c r="D19" s="300" t="s">
        <v>750</v>
      </c>
      <c r="E19" s="282" t="s">
        <v>751</v>
      </c>
      <c r="F19" s="285"/>
      <c r="G19" s="286"/>
      <c r="H19" s="286"/>
      <c r="I19" s="295"/>
      <c r="J19" s="729"/>
    </row>
    <row r="20" spans="1:10" ht="14.25" thickBot="1">
      <c r="A20" s="775"/>
      <c r="B20" s="308" t="s">
        <v>150</v>
      </c>
      <c r="C20" s="309" t="s">
        <v>151</v>
      </c>
      <c r="D20" s="305" t="s">
        <v>152</v>
      </c>
      <c r="E20" s="307" t="s">
        <v>153</v>
      </c>
      <c r="F20" s="289" t="s">
        <v>721</v>
      </c>
      <c r="G20" s="290" t="s">
        <v>722</v>
      </c>
      <c r="H20" s="290" t="s">
        <v>723</v>
      </c>
      <c r="I20" s="296" t="s">
        <v>724</v>
      </c>
      <c r="J20" s="416" t="s">
        <v>953</v>
      </c>
    </row>
    <row r="21" spans="1:10" ht="16.5" customHeight="1">
      <c r="A21" s="776">
        <v>6</v>
      </c>
      <c r="B21" s="770" t="s">
        <v>137</v>
      </c>
      <c r="C21" s="771"/>
      <c r="D21" s="771"/>
      <c r="E21" s="772"/>
      <c r="F21" s="771" t="s">
        <v>767</v>
      </c>
      <c r="G21" s="771"/>
      <c r="H21" s="771"/>
      <c r="I21" s="771"/>
      <c r="J21" s="727"/>
    </row>
    <row r="22" spans="1:10">
      <c r="A22" s="777">
        <v>6</v>
      </c>
      <c r="B22" s="300" t="s">
        <v>752</v>
      </c>
      <c r="C22" s="301" t="s">
        <v>753</v>
      </c>
      <c r="D22" s="301" t="s">
        <v>754</v>
      </c>
      <c r="E22" s="282" t="s">
        <v>755</v>
      </c>
      <c r="F22" s="302" t="s">
        <v>752</v>
      </c>
      <c r="G22" s="301" t="s">
        <v>753</v>
      </c>
      <c r="H22" s="301" t="s">
        <v>754</v>
      </c>
      <c r="I22" s="303" t="s">
        <v>756</v>
      </c>
      <c r="J22" s="729"/>
    </row>
    <row r="23" spans="1:10" ht="14.25" thickBot="1">
      <c r="A23" s="778"/>
      <c r="B23" s="305" t="s">
        <v>154</v>
      </c>
      <c r="C23" s="306" t="s">
        <v>155</v>
      </c>
      <c r="D23" s="306" t="s">
        <v>725</v>
      </c>
      <c r="E23" s="307" t="s">
        <v>726</v>
      </c>
      <c r="F23" s="308" t="s">
        <v>727</v>
      </c>
      <c r="G23" s="306" t="s">
        <v>728</v>
      </c>
      <c r="H23" s="306" t="s">
        <v>729</v>
      </c>
      <c r="I23" s="309" t="s">
        <v>730</v>
      </c>
      <c r="J23" s="416"/>
    </row>
    <row r="24" spans="1:10">
      <c r="A24" s="776">
        <v>7</v>
      </c>
      <c r="B24" s="310" t="s">
        <v>137</v>
      </c>
      <c r="C24" s="283"/>
      <c r="D24" s="292"/>
      <c r="E24" s="284"/>
      <c r="F24" s="284"/>
      <c r="G24" s="284"/>
      <c r="H24" s="297"/>
      <c r="I24" s="401" t="s">
        <v>767</v>
      </c>
      <c r="J24" s="727"/>
    </row>
    <row r="25" spans="1:10">
      <c r="A25" s="777">
        <v>7</v>
      </c>
      <c r="B25" s="299" t="s">
        <v>757</v>
      </c>
      <c r="C25" s="285"/>
      <c r="D25" s="286"/>
      <c r="E25" s="286"/>
      <c r="F25" s="286"/>
      <c r="G25" s="286"/>
      <c r="H25" s="295"/>
      <c r="I25" s="405" t="s">
        <v>766</v>
      </c>
      <c r="J25" s="729"/>
    </row>
    <row r="26" spans="1:10" ht="14.25" thickBot="1">
      <c r="A26" s="778"/>
      <c r="B26" s="304" t="s">
        <v>765</v>
      </c>
      <c r="C26" s="289" t="s">
        <v>156</v>
      </c>
      <c r="D26" s="290" t="s">
        <v>157</v>
      </c>
      <c r="E26" s="290" t="s">
        <v>158</v>
      </c>
      <c r="F26" s="290" t="s">
        <v>159</v>
      </c>
      <c r="G26" s="290" t="s">
        <v>160</v>
      </c>
      <c r="H26" s="296" t="s">
        <v>161</v>
      </c>
      <c r="I26" s="406" t="s">
        <v>162</v>
      </c>
      <c r="J26" s="416"/>
    </row>
    <row r="27" spans="1:10">
      <c r="A27" s="762">
        <v>8</v>
      </c>
      <c r="B27" s="283"/>
      <c r="C27" s="284"/>
      <c r="D27" s="284"/>
      <c r="E27" s="284"/>
      <c r="F27" s="284"/>
      <c r="G27" s="284"/>
      <c r="H27" s="284"/>
      <c r="I27" s="297"/>
      <c r="J27" s="727"/>
    </row>
    <row r="28" spans="1:10" ht="14.25" thickBot="1">
      <c r="A28" s="767"/>
      <c r="B28" s="289" t="s">
        <v>163</v>
      </c>
      <c r="C28" s="290" t="s">
        <v>164</v>
      </c>
      <c r="D28" s="290" t="s">
        <v>165</v>
      </c>
      <c r="E28" s="290" t="s">
        <v>166</v>
      </c>
      <c r="F28" s="290" t="s">
        <v>167</v>
      </c>
      <c r="G28" s="290" t="s">
        <v>168</v>
      </c>
      <c r="H28" s="290" t="s">
        <v>169</v>
      </c>
      <c r="I28" s="296" t="s">
        <v>170</v>
      </c>
      <c r="J28" s="728"/>
    </row>
    <row r="29" spans="1:10">
      <c r="A29" s="762">
        <v>9</v>
      </c>
      <c r="B29" s="283"/>
      <c r="C29" s="284"/>
      <c r="D29" s="284"/>
      <c r="E29" s="284"/>
      <c r="F29" s="284"/>
      <c r="G29" s="284"/>
      <c r="H29" s="284"/>
      <c r="I29" s="297"/>
      <c r="J29" s="727"/>
    </row>
    <row r="30" spans="1:10" ht="14.25" thickBot="1">
      <c r="A30" s="767"/>
      <c r="B30" s="289" t="s">
        <v>171</v>
      </c>
      <c r="C30" s="290" t="s">
        <v>172</v>
      </c>
      <c r="D30" s="290" t="s">
        <v>173</v>
      </c>
      <c r="E30" s="290" t="s">
        <v>174</v>
      </c>
      <c r="F30" s="290" t="s">
        <v>731</v>
      </c>
      <c r="G30" s="290" t="s">
        <v>732</v>
      </c>
      <c r="H30" s="290" t="s">
        <v>733</v>
      </c>
      <c r="I30" s="296" t="s">
        <v>734</v>
      </c>
      <c r="J30" s="728"/>
    </row>
    <row r="31" spans="1:10">
      <c r="A31" s="768">
        <v>10</v>
      </c>
      <c r="B31" s="298" t="s">
        <v>175</v>
      </c>
      <c r="C31" s="293"/>
      <c r="D31" s="294"/>
      <c r="E31" s="294"/>
      <c r="F31" s="294"/>
      <c r="G31" s="294"/>
      <c r="H31" s="294"/>
      <c r="I31" s="407"/>
      <c r="J31" s="727"/>
    </row>
    <row r="32" spans="1:10" ht="14.25" thickBot="1">
      <c r="A32" s="769"/>
      <c r="B32" s="304" t="s">
        <v>758</v>
      </c>
      <c r="C32" s="289"/>
      <c r="D32" s="290"/>
      <c r="E32" s="290"/>
      <c r="F32" s="290"/>
      <c r="G32" s="290"/>
      <c r="H32" s="290"/>
      <c r="I32" s="296"/>
      <c r="J32" s="728"/>
    </row>
    <row r="33" spans="1:9" ht="14.25" thickBot="1">
      <c r="A33" s="6"/>
      <c r="B33" s="5"/>
      <c r="C33" s="5"/>
      <c r="D33" s="5"/>
      <c r="E33" s="5"/>
      <c r="F33" s="5"/>
      <c r="G33" s="5"/>
      <c r="H33" s="5"/>
      <c r="I33" s="5"/>
    </row>
    <row r="34" spans="1:9">
      <c r="A34" s="759" t="s">
        <v>176</v>
      </c>
      <c r="B34" s="760"/>
      <c r="C34" s="760"/>
      <c r="D34" s="760"/>
      <c r="E34" s="760"/>
      <c r="F34" s="760"/>
      <c r="G34" s="760"/>
      <c r="H34" s="760"/>
      <c r="I34" s="761"/>
    </row>
    <row r="35" spans="1:9">
      <c r="A35" s="7" t="s">
        <v>106</v>
      </c>
      <c r="B35" s="8" t="s">
        <v>133</v>
      </c>
      <c r="C35" s="9"/>
      <c r="D35" s="731"/>
      <c r="E35" s="731"/>
      <c r="F35" s="731"/>
      <c r="G35" s="730" t="s">
        <v>107</v>
      </c>
      <c r="H35" s="730"/>
      <c r="I35" s="10" t="s">
        <v>134</v>
      </c>
    </row>
    <row r="36" spans="1:9">
      <c r="A36" s="7" t="s">
        <v>108</v>
      </c>
      <c r="B36" s="8" t="s">
        <v>177</v>
      </c>
      <c r="C36" s="9"/>
      <c r="D36" s="731"/>
      <c r="E36" s="731"/>
      <c r="F36" s="731"/>
      <c r="G36" s="730" t="s">
        <v>109</v>
      </c>
      <c r="H36" s="730"/>
      <c r="I36" s="10" t="s">
        <v>134</v>
      </c>
    </row>
    <row r="37" spans="1:9" ht="14.25" thickBot="1">
      <c r="A37" s="744"/>
      <c r="B37" s="745"/>
      <c r="C37" s="745"/>
      <c r="D37" s="745"/>
      <c r="E37" s="745"/>
      <c r="F37" s="745"/>
      <c r="G37" s="752" t="s">
        <v>110</v>
      </c>
      <c r="H37" s="752"/>
      <c r="I37" s="13" t="s">
        <v>178</v>
      </c>
    </row>
    <row r="38" spans="1:9" ht="14.25" thickBot="1">
      <c r="A38" s="14" t="s">
        <v>135</v>
      </c>
      <c r="B38" s="754" t="s">
        <v>179</v>
      </c>
      <c r="C38" s="754"/>
      <c r="D38" s="755" t="s">
        <v>136</v>
      </c>
      <c r="E38" s="755"/>
      <c r="F38" s="756"/>
      <c r="G38" s="757" t="s">
        <v>180</v>
      </c>
      <c r="H38" s="755"/>
      <c r="I38" s="758"/>
    </row>
    <row r="39" spans="1:9">
      <c r="A39" s="749">
        <v>1</v>
      </c>
      <c r="B39" s="742" t="s">
        <v>181</v>
      </c>
      <c r="C39" s="742"/>
      <c r="D39" s="742" t="s">
        <v>182</v>
      </c>
      <c r="E39" s="742"/>
      <c r="F39" s="753"/>
      <c r="G39" s="741" t="s">
        <v>183</v>
      </c>
      <c r="H39" s="742"/>
      <c r="I39" s="743"/>
    </row>
    <row r="40" spans="1:9" ht="14.25" thickBot="1">
      <c r="A40" s="744"/>
      <c r="B40" s="736"/>
      <c r="C40" s="736"/>
      <c r="D40" s="736" t="s">
        <v>184</v>
      </c>
      <c r="E40" s="736"/>
      <c r="F40" s="750"/>
      <c r="G40" s="735" t="s">
        <v>185</v>
      </c>
      <c r="H40" s="736"/>
      <c r="I40" s="737"/>
    </row>
    <row r="41" spans="1:9">
      <c r="A41" s="747">
        <v>2</v>
      </c>
      <c r="B41" s="739" t="s">
        <v>186</v>
      </c>
      <c r="C41" s="739"/>
      <c r="D41" s="739" t="s">
        <v>182</v>
      </c>
      <c r="E41" s="739"/>
      <c r="F41" s="746"/>
      <c r="G41" s="738" t="s">
        <v>187</v>
      </c>
      <c r="H41" s="739"/>
      <c r="I41" s="740"/>
    </row>
    <row r="42" spans="1:9" ht="14.25" thickBot="1">
      <c r="A42" s="748"/>
      <c r="B42" s="733"/>
      <c r="C42" s="733"/>
      <c r="D42" s="733" t="s">
        <v>184</v>
      </c>
      <c r="E42" s="733"/>
      <c r="F42" s="751"/>
      <c r="G42" s="732" t="s">
        <v>188</v>
      </c>
      <c r="H42" s="733"/>
      <c r="I42" s="734"/>
    </row>
    <row r="43" spans="1:9">
      <c r="A43" s="749">
        <v>3</v>
      </c>
      <c r="B43" s="742" t="s">
        <v>189</v>
      </c>
      <c r="C43" s="742"/>
      <c r="D43" s="742" t="s">
        <v>182</v>
      </c>
      <c r="E43" s="742"/>
      <c r="F43" s="753"/>
      <c r="G43" s="741" t="s">
        <v>190</v>
      </c>
      <c r="H43" s="742"/>
      <c r="I43" s="743"/>
    </row>
    <row r="44" spans="1:9" ht="14.25" thickBot="1">
      <c r="A44" s="744"/>
      <c r="B44" s="736"/>
      <c r="C44" s="736"/>
      <c r="D44" s="736" t="s">
        <v>184</v>
      </c>
      <c r="E44" s="736"/>
      <c r="F44" s="750"/>
      <c r="G44" s="735" t="s">
        <v>191</v>
      </c>
      <c r="H44" s="736"/>
      <c r="I44" s="737"/>
    </row>
    <row r="45" spans="1:9">
      <c r="A45" s="747">
        <v>4</v>
      </c>
      <c r="B45" s="739" t="s">
        <v>192</v>
      </c>
      <c r="C45" s="739"/>
      <c r="D45" s="739" t="s">
        <v>182</v>
      </c>
      <c r="E45" s="739"/>
      <c r="F45" s="746"/>
      <c r="G45" s="738" t="s">
        <v>193</v>
      </c>
      <c r="H45" s="739"/>
      <c r="I45" s="740"/>
    </row>
    <row r="46" spans="1:9" ht="14.25" thickBot="1">
      <c r="A46" s="748"/>
      <c r="B46" s="733"/>
      <c r="C46" s="733"/>
      <c r="D46" s="733" t="s">
        <v>184</v>
      </c>
      <c r="E46" s="733"/>
      <c r="F46" s="751"/>
      <c r="G46" s="732" t="s">
        <v>194</v>
      </c>
      <c r="H46" s="733"/>
      <c r="I46" s="734"/>
    </row>
    <row r="47" spans="1:9">
      <c r="A47" s="749">
        <v>5</v>
      </c>
      <c r="B47" s="742" t="s">
        <v>195</v>
      </c>
      <c r="C47" s="742"/>
      <c r="D47" s="742" t="s">
        <v>182</v>
      </c>
      <c r="E47" s="742"/>
      <c r="F47" s="753"/>
      <c r="G47" s="741" t="s">
        <v>196</v>
      </c>
      <c r="H47" s="742"/>
      <c r="I47" s="743"/>
    </row>
    <row r="48" spans="1:9" ht="14.25" thickBot="1">
      <c r="A48" s="744"/>
      <c r="B48" s="736"/>
      <c r="C48" s="736"/>
      <c r="D48" s="736" t="s">
        <v>184</v>
      </c>
      <c r="E48" s="736"/>
      <c r="F48" s="750"/>
      <c r="G48" s="735" t="s">
        <v>197</v>
      </c>
      <c r="H48" s="736"/>
      <c r="I48" s="737"/>
    </row>
    <row r="49" spans="1:9">
      <c r="A49" s="747">
        <v>6</v>
      </c>
      <c r="B49" s="739" t="s">
        <v>198</v>
      </c>
      <c r="C49" s="739"/>
      <c r="D49" s="739" t="s">
        <v>182</v>
      </c>
      <c r="E49" s="739"/>
      <c r="F49" s="746"/>
      <c r="G49" s="738" t="s">
        <v>199</v>
      </c>
      <c r="H49" s="739"/>
      <c r="I49" s="740"/>
    </row>
    <row r="50" spans="1:9" ht="14.25" thickBot="1">
      <c r="A50" s="748"/>
      <c r="B50" s="733"/>
      <c r="C50" s="733"/>
      <c r="D50" s="733" t="s">
        <v>184</v>
      </c>
      <c r="E50" s="733"/>
      <c r="F50" s="751"/>
      <c r="G50" s="732" t="s">
        <v>200</v>
      </c>
      <c r="H50" s="733"/>
      <c r="I50" s="734"/>
    </row>
    <row r="51" spans="1:9">
      <c r="A51" s="749">
        <v>7</v>
      </c>
      <c r="B51" s="742" t="s">
        <v>201</v>
      </c>
      <c r="C51" s="742"/>
      <c r="D51" s="742" t="s">
        <v>182</v>
      </c>
      <c r="E51" s="742"/>
      <c r="F51" s="753"/>
      <c r="G51" s="741" t="s">
        <v>202</v>
      </c>
      <c r="H51" s="742"/>
      <c r="I51" s="743"/>
    </row>
    <row r="52" spans="1:9" ht="14.25" thickBot="1">
      <c r="A52" s="748"/>
      <c r="B52" s="733"/>
      <c r="C52" s="733"/>
      <c r="D52" s="733" t="s">
        <v>184</v>
      </c>
      <c r="E52" s="733"/>
      <c r="F52" s="751"/>
      <c r="G52" s="732" t="s">
        <v>203</v>
      </c>
      <c r="H52" s="733"/>
      <c r="I52" s="734"/>
    </row>
    <row r="53" spans="1:9">
      <c r="A53" s="749">
        <v>8</v>
      </c>
      <c r="B53" s="742" t="s">
        <v>204</v>
      </c>
      <c r="C53" s="742"/>
      <c r="D53" s="742" t="s">
        <v>182</v>
      </c>
      <c r="E53" s="742"/>
      <c r="F53" s="753"/>
      <c r="G53" s="741" t="s">
        <v>205</v>
      </c>
      <c r="H53" s="742"/>
      <c r="I53" s="743"/>
    </row>
    <row r="54" spans="1:9" ht="14.25" thickBot="1">
      <c r="A54" s="748"/>
      <c r="B54" s="733"/>
      <c r="C54" s="733"/>
      <c r="D54" s="733" t="s">
        <v>184</v>
      </c>
      <c r="E54" s="733"/>
      <c r="F54" s="751"/>
      <c r="G54" s="732" t="s">
        <v>206</v>
      </c>
      <c r="H54" s="733"/>
      <c r="I54" s="734"/>
    </row>
    <row r="55" spans="1:9">
      <c r="A55" s="749">
        <v>9</v>
      </c>
      <c r="B55" s="742" t="s">
        <v>207</v>
      </c>
      <c r="C55" s="742"/>
      <c r="D55" s="742" t="s">
        <v>182</v>
      </c>
      <c r="E55" s="742"/>
      <c r="F55" s="753"/>
      <c r="G55" s="741" t="s">
        <v>208</v>
      </c>
      <c r="H55" s="742"/>
      <c r="I55" s="743"/>
    </row>
    <row r="56" spans="1:9" ht="14.25" thickBot="1">
      <c r="A56" s="748"/>
      <c r="B56" s="733"/>
      <c r="C56" s="733"/>
      <c r="D56" s="733" t="s">
        <v>184</v>
      </c>
      <c r="E56" s="733"/>
      <c r="F56" s="751"/>
      <c r="G56" s="732" t="s">
        <v>209</v>
      </c>
      <c r="H56" s="733"/>
      <c r="I56" s="734"/>
    </row>
    <row r="57" spans="1:9">
      <c r="A57" s="749">
        <v>10</v>
      </c>
      <c r="B57" s="742" t="s">
        <v>210</v>
      </c>
      <c r="C57" s="742"/>
      <c r="D57" s="742" t="s">
        <v>182</v>
      </c>
      <c r="E57" s="742"/>
      <c r="F57" s="753"/>
      <c r="G57" s="741" t="s">
        <v>211</v>
      </c>
      <c r="H57" s="742"/>
      <c r="I57" s="743"/>
    </row>
    <row r="58" spans="1:9" ht="14.25" thickBot="1">
      <c r="A58" s="748"/>
      <c r="B58" s="733"/>
      <c r="C58" s="733"/>
      <c r="D58" s="733" t="s">
        <v>184</v>
      </c>
      <c r="E58" s="733"/>
      <c r="F58" s="751"/>
      <c r="G58" s="732" t="s">
        <v>212</v>
      </c>
      <c r="H58" s="733"/>
      <c r="I58" s="734"/>
    </row>
    <row r="59" spans="1:9">
      <c r="A59" s="749">
        <v>11</v>
      </c>
      <c r="B59" s="742" t="s">
        <v>213</v>
      </c>
      <c r="C59" s="742"/>
      <c r="D59" s="742" t="s">
        <v>182</v>
      </c>
      <c r="E59" s="742"/>
      <c r="F59" s="753"/>
      <c r="G59" s="741" t="s">
        <v>214</v>
      </c>
      <c r="H59" s="742"/>
      <c r="I59" s="743"/>
    </row>
    <row r="60" spans="1:9" ht="14.25" thickBot="1">
      <c r="A60" s="748"/>
      <c r="B60" s="733"/>
      <c r="C60" s="733"/>
      <c r="D60" s="733" t="s">
        <v>184</v>
      </c>
      <c r="E60" s="733"/>
      <c r="F60" s="751"/>
      <c r="G60" s="732" t="s">
        <v>215</v>
      </c>
      <c r="H60" s="733"/>
      <c r="I60" s="734"/>
    </row>
    <row r="61" spans="1:9">
      <c r="A61" s="749">
        <v>12</v>
      </c>
      <c r="B61" s="742" t="s">
        <v>216</v>
      </c>
      <c r="C61" s="742"/>
      <c r="D61" s="742" t="s">
        <v>182</v>
      </c>
      <c r="E61" s="742"/>
      <c r="F61" s="753"/>
      <c r="G61" s="741" t="s">
        <v>217</v>
      </c>
      <c r="H61" s="742"/>
      <c r="I61" s="743"/>
    </row>
    <row r="62" spans="1:9" ht="14.25" thickBot="1">
      <c r="A62" s="748"/>
      <c r="B62" s="733"/>
      <c r="C62" s="733"/>
      <c r="D62" s="733" t="s">
        <v>184</v>
      </c>
      <c r="E62" s="733"/>
      <c r="F62" s="751"/>
      <c r="G62" s="732" t="s">
        <v>218</v>
      </c>
      <c r="H62" s="733"/>
      <c r="I62" s="734"/>
    </row>
  </sheetData>
  <mergeCells count="113">
    <mergeCell ref="A1:I1"/>
    <mergeCell ref="A6:A8"/>
    <mergeCell ref="A34:I34"/>
    <mergeCell ref="B5:I5"/>
    <mergeCell ref="A27:A28"/>
    <mergeCell ref="A31:A32"/>
    <mergeCell ref="L8:L11"/>
    <mergeCell ref="G35:H35"/>
    <mergeCell ref="D35:F35"/>
    <mergeCell ref="A29:A30"/>
    <mergeCell ref="B9:E9"/>
    <mergeCell ref="F9:I9"/>
    <mergeCell ref="A9:A11"/>
    <mergeCell ref="A12:A14"/>
    <mergeCell ref="A15:A17"/>
    <mergeCell ref="A18:A20"/>
    <mergeCell ref="A21:A23"/>
    <mergeCell ref="A24:A26"/>
    <mergeCell ref="B18:C18"/>
    <mergeCell ref="D18:E18"/>
    <mergeCell ref="B21:E21"/>
    <mergeCell ref="F21:I21"/>
    <mergeCell ref="B15:E15"/>
    <mergeCell ref="F15:I15"/>
    <mergeCell ref="G54:I54"/>
    <mergeCell ref="G51:I51"/>
    <mergeCell ref="G38:I38"/>
    <mergeCell ref="G39:I39"/>
    <mergeCell ref="G40:I40"/>
    <mergeCell ref="G41:I41"/>
    <mergeCell ref="G52:I52"/>
    <mergeCell ref="G53:I53"/>
    <mergeCell ref="G48:I48"/>
    <mergeCell ref="G42:I42"/>
    <mergeCell ref="G50:I50"/>
    <mergeCell ref="G43:I43"/>
    <mergeCell ref="G45:I45"/>
    <mergeCell ref="G61:I61"/>
    <mergeCell ref="G62:I62"/>
    <mergeCell ref="G57:I57"/>
    <mergeCell ref="G58:I58"/>
    <mergeCell ref="G59:I59"/>
    <mergeCell ref="G60:I60"/>
    <mergeCell ref="A61:A62"/>
    <mergeCell ref="D62:F62"/>
    <mergeCell ref="D55:F55"/>
    <mergeCell ref="D56:F56"/>
    <mergeCell ref="D57:F57"/>
    <mergeCell ref="D58:F58"/>
    <mergeCell ref="D59:F59"/>
    <mergeCell ref="D60:F60"/>
    <mergeCell ref="D61:F61"/>
    <mergeCell ref="B59:C60"/>
    <mergeCell ref="B61:C62"/>
    <mergeCell ref="B55:C56"/>
    <mergeCell ref="B57:C58"/>
    <mergeCell ref="A57:A58"/>
    <mergeCell ref="G55:I55"/>
    <mergeCell ref="G56:I56"/>
    <mergeCell ref="A55:A56"/>
    <mergeCell ref="D53:F53"/>
    <mergeCell ref="A59:A60"/>
    <mergeCell ref="B51:C52"/>
    <mergeCell ref="D52:F52"/>
    <mergeCell ref="B38:C38"/>
    <mergeCell ref="D41:F41"/>
    <mergeCell ref="D42:F42"/>
    <mergeCell ref="D39:F39"/>
    <mergeCell ref="D47:F47"/>
    <mergeCell ref="B45:C46"/>
    <mergeCell ref="B49:C50"/>
    <mergeCell ref="D46:F46"/>
    <mergeCell ref="D48:F48"/>
    <mergeCell ref="B47:C48"/>
    <mergeCell ref="D38:F38"/>
    <mergeCell ref="D40:F40"/>
    <mergeCell ref="D43:F43"/>
    <mergeCell ref="A53:A54"/>
    <mergeCell ref="B53:C54"/>
    <mergeCell ref="D54:F54"/>
    <mergeCell ref="A41:A42"/>
    <mergeCell ref="A51:A52"/>
    <mergeCell ref="D51:F51"/>
    <mergeCell ref="G36:H36"/>
    <mergeCell ref="D36:F36"/>
    <mergeCell ref="G46:I46"/>
    <mergeCell ref="G44:I44"/>
    <mergeCell ref="G49:I49"/>
    <mergeCell ref="G47:I47"/>
    <mergeCell ref="A37:F37"/>
    <mergeCell ref="B39:C40"/>
    <mergeCell ref="D49:F49"/>
    <mergeCell ref="A49:A50"/>
    <mergeCell ref="A39:A40"/>
    <mergeCell ref="A45:A46"/>
    <mergeCell ref="A47:A48"/>
    <mergeCell ref="D44:F44"/>
    <mergeCell ref="D45:F45"/>
    <mergeCell ref="B41:C42"/>
    <mergeCell ref="A43:A44"/>
    <mergeCell ref="B43:C44"/>
    <mergeCell ref="D50:F50"/>
    <mergeCell ref="G37:H37"/>
    <mergeCell ref="J31:J32"/>
    <mergeCell ref="J6:J7"/>
    <mergeCell ref="J18:J19"/>
    <mergeCell ref="J15:J16"/>
    <mergeCell ref="J12:J13"/>
    <mergeCell ref="J9:J10"/>
    <mergeCell ref="J21:J22"/>
    <mergeCell ref="J24:J25"/>
    <mergeCell ref="J27:J28"/>
    <mergeCell ref="J29:J30"/>
  </mergeCells>
  <phoneticPr fontId="1"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T281"/>
  <sheetViews>
    <sheetView tabSelected="1" topLeftCell="A157" workbookViewId="0">
      <selection activeCell="G165" sqref="G165:I165"/>
    </sheetView>
  </sheetViews>
  <sheetFormatPr defaultRowHeight="16.5"/>
  <cols>
    <col min="12" max="12" width="0" hidden="1" customWidth="1"/>
    <col min="13" max="13" width="0" style="224" hidden="1" customWidth="1"/>
    <col min="14" max="14" width="9" style="491"/>
  </cols>
  <sheetData>
    <row r="1" spans="1:20" ht="17.25" thickBot="1">
      <c r="A1" s="975" t="s">
        <v>105</v>
      </c>
      <c r="B1" s="976"/>
      <c r="C1" s="976"/>
      <c r="D1" s="976"/>
      <c r="E1" s="976"/>
      <c r="F1" s="976"/>
      <c r="G1" s="976"/>
      <c r="H1" s="976"/>
      <c r="I1" s="976"/>
      <c r="J1" s="976"/>
      <c r="K1" s="977"/>
    </row>
    <row r="2" spans="1:20">
      <c r="A2" s="201" t="s">
        <v>106</v>
      </c>
      <c r="B2" s="202" t="s">
        <v>122</v>
      </c>
      <c r="C2" s="224"/>
      <c r="D2" s="203"/>
      <c r="E2" s="204"/>
      <c r="F2" s="204"/>
      <c r="G2" s="204"/>
      <c r="H2" s="204"/>
      <c r="I2" s="203"/>
      <c r="J2" s="204" t="s">
        <v>107</v>
      </c>
      <c r="K2" s="205" t="s">
        <v>792</v>
      </c>
    </row>
    <row r="3" spans="1:20">
      <c r="A3" s="197" t="s">
        <v>444</v>
      </c>
      <c r="B3" s="206"/>
      <c r="C3" s="208"/>
      <c r="D3" s="210"/>
      <c r="E3" s="210"/>
      <c r="F3" s="210"/>
      <c r="G3" s="210"/>
      <c r="H3" s="210"/>
      <c r="I3" s="209"/>
      <c r="J3" s="210" t="s">
        <v>109</v>
      </c>
      <c r="K3" s="418" t="s">
        <v>1208</v>
      </c>
    </row>
    <row r="4" spans="1:20" ht="17.25" thickBot="1">
      <c r="A4" s="198"/>
      <c r="B4" s="207"/>
      <c r="C4" s="199"/>
      <c r="D4" s="199"/>
      <c r="E4" s="199"/>
      <c r="F4" s="199"/>
      <c r="G4" s="199"/>
      <c r="H4" s="199"/>
      <c r="I4" s="200"/>
      <c r="J4" s="211" t="s">
        <v>110</v>
      </c>
      <c r="K4" s="212" t="s">
        <v>1113</v>
      </c>
    </row>
    <row r="5" spans="1:20" ht="17.25" thickBot="1">
      <c r="A5" s="519" t="s">
        <v>1214</v>
      </c>
      <c r="B5" s="888" t="s">
        <v>1215</v>
      </c>
      <c r="C5" s="889"/>
      <c r="D5" s="889"/>
      <c r="E5" s="889"/>
      <c r="F5" s="889"/>
      <c r="G5" s="889"/>
      <c r="H5" s="889"/>
      <c r="I5" s="889"/>
      <c r="J5" s="889"/>
      <c r="K5" s="890"/>
    </row>
    <row r="6" spans="1:20" ht="17.25" thickBot="1">
      <c r="A6" s="237" t="s">
        <v>75</v>
      </c>
      <c r="B6" s="230" t="s">
        <v>97</v>
      </c>
      <c r="C6" s="152" t="s">
        <v>445</v>
      </c>
      <c r="D6" s="113" t="s">
        <v>112</v>
      </c>
      <c r="E6" s="113" t="s">
        <v>113</v>
      </c>
      <c r="F6" s="113" t="s">
        <v>114</v>
      </c>
      <c r="G6" s="113" t="s">
        <v>115</v>
      </c>
      <c r="H6" s="113" t="s">
        <v>116</v>
      </c>
      <c r="I6" s="113" t="s">
        <v>117</v>
      </c>
      <c r="J6" s="153" t="s">
        <v>118</v>
      </c>
      <c r="K6" s="234" t="s">
        <v>119</v>
      </c>
    </row>
    <row r="7" spans="1:20">
      <c r="A7" s="424">
        <v>1</v>
      </c>
      <c r="B7" s="345" t="s">
        <v>37</v>
      </c>
      <c r="C7" s="811" t="s">
        <v>294</v>
      </c>
      <c r="D7" s="812"/>
      <c r="E7" s="812"/>
      <c r="F7" s="812"/>
      <c r="G7" s="812"/>
      <c r="H7" s="812"/>
      <c r="I7" s="812"/>
      <c r="J7" s="813"/>
      <c r="K7" s="347">
        <v>1</v>
      </c>
    </row>
    <row r="8" spans="1:20">
      <c r="A8" s="239" t="s">
        <v>398</v>
      </c>
      <c r="B8" s="338" t="s">
        <v>36</v>
      </c>
      <c r="C8" s="814" t="s">
        <v>52</v>
      </c>
      <c r="D8" s="815"/>
      <c r="E8" s="815"/>
      <c r="F8" s="815"/>
      <c r="G8" s="815"/>
      <c r="H8" s="815"/>
      <c r="I8" s="815"/>
      <c r="J8" s="816"/>
      <c r="K8" s="244">
        <v>2</v>
      </c>
      <c r="O8" s="491">
        <v>21</v>
      </c>
      <c r="P8" s="491">
        <v>21</v>
      </c>
    </row>
    <row r="9" spans="1:20">
      <c r="A9" s="239" t="s">
        <v>399</v>
      </c>
      <c r="B9" s="338" t="s">
        <v>39</v>
      </c>
      <c r="C9" s="814" t="s">
        <v>53</v>
      </c>
      <c r="D9" s="815"/>
      <c r="E9" s="815"/>
      <c r="F9" s="815"/>
      <c r="G9" s="815"/>
      <c r="H9" s="815"/>
      <c r="I9" s="815"/>
      <c r="J9" s="816"/>
      <c r="K9" s="244">
        <v>2</v>
      </c>
      <c r="O9" s="491">
        <v>21</v>
      </c>
      <c r="P9" s="491">
        <v>21</v>
      </c>
    </row>
    <row r="10" spans="1:20">
      <c r="A10" s="239" t="s">
        <v>400</v>
      </c>
      <c r="B10" s="338" t="s">
        <v>40</v>
      </c>
      <c r="C10" s="814" t="s">
        <v>54</v>
      </c>
      <c r="D10" s="815"/>
      <c r="E10" s="815"/>
      <c r="F10" s="815"/>
      <c r="G10" s="815"/>
      <c r="H10" s="815"/>
      <c r="I10" s="815"/>
      <c r="J10" s="816"/>
      <c r="K10" s="244">
        <v>2</v>
      </c>
      <c r="O10" s="491">
        <v>12</v>
      </c>
      <c r="P10" s="491">
        <v>43</v>
      </c>
    </row>
    <row r="11" spans="1:20">
      <c r="A11" s="239" t="s">
        <v>401</v>
      </c>
      <c r="B11" s="338" t="s">
        <v>41</v>
      </c>
      <c r="C11" s="906" t="s">
        <v>123</v>
      </c>
      <c r="D11" s="907"/>
      <c r="E11" s="907"/>
      <c r="F11" s="907"/>
      <c r="G11" s="907"/>
      <c r="H11" s="907"/>
      <c r="I11" s="907"/>
      <c r="J11" s="908"/>
      <c r="K11" s="244">
        <v>2</v>
      </c>
      <c r="O11" s="491">
        <v>10</v>
      </c>
      <c r="P11" s="491">
        <v>10</v>
      </c>
    </row>
    <row r="12" spans="1:20" s="491" customFormat="1">
      <c r="A12" s="239" t="s">
        <v>402</v>
      </c>
      <c r="B12" s="817" t="s">
        <v>42</v>
      </c>
      <c r="C12" s="819" t="s">
        <v>1145</v>
      </c>
      <c r="D12" s="820"/>
      <c r="E12" s="820"/>
      <c r="F12" s="820"/>
      <c r="G12" s="820"/>
      <c r="H12" s="820"/>
      <c r="I12" s="820"/>
      <c r="J12" s="821"/>
      <c r="K12" s="507">
        <v>2</v>
      </c>
      <c r="O12" s="491">
        <v>0</v>
      </c>
      <c r="P12" s="491">
        <v>0</v>
      </c>
    </row>
    <row r="13" spans="1:20" ht="17.25" thickBot="1">
      <c r="A13" s="497" t="s">
        <v>1152</v>
      </c>
      <c r="B13" s="818"/>
      <c r="C13" s="819" t="s">
        <v>1146</v>
      </c>
      <c r="D13" s="820"/>
      <c r="E13" s="820"/>
      <c r="F13" s="820"/>
      <c r="G13" s="820"/>
      <c r="H13" s="820"/>
      <c r="I13" s="820"/>
      <c r="J13" s="821"/>
      <c r="K13" s="348">
        <v>2</v>
      </c>
      <c r="O13" s="491">
        <v>74</v>
      </c>
      <c r="P13" s="491" t="s">
        <v>1631</v>
      </c>
    </row>
    <row r="14" spans="1:20">
      <c r="A14" s="837" t="s">
        <v>1153</v>
      </c>
      <c r="B14" s="833" t="s">
        <v>222</v>
      </c>
      <c r="C14" s="844" t="s">
        <v>223</v>
      </c>
      <c r="D14" s="845"/>
      <c r="E14" s="845"/>
      <c r="F14" s="845"/>
      <c r="G14" s="845" t="s">
        <v>224</v>
      </c>
      <c r="H14" s="845"/>
      <c r="I14" s="845"/>
      <c r="J14" s="956"/>
      <c r="K14" s="833">
        <v>2</v>
      </c>
      <c r="L14" s="224"/>
      <c r="N14" s="779">
        <v>0</v>
      </c>
      <c r="O14" s="491"/>
      <c r="P14" s="491"/>
    </row>
    <row r="15" spans="1:20" ht="17.25" thickBot="1">
      <c r="A15" s="818"/>
      <c r="B15" s="838"/>
      <c r="C15" s="334" t="s">
        <v>918</v>
      </c>
      <c r="D15" s="280" t="s">
        <v>265</v>
      </c>
      <c r="E15" s="483" t="s">
        <v>1121</v>
      </c>
      <c r="F15" s="508" t="s">
        <v>1207</v>
      </c>
      <c r="G15" s="335" t="s">
        <v>917</v>
      </c>
      <c r="H15" s="280" t="s">
        <v>265</v>
      </c>
      <c r="I15" s="482" t="s">
        <v>1120</v>
      </c>
      <c r="J15" s="508" t="s">
        <v>1207</v>
      </c>
      <c r="K15" s="838"/>
      <c r="L15">
        <v>0</v>
      </c>
      <c r="N15" s="779"/>
      <c r="O15" s="491" t="s">
        <v>1350</v>
      </c>
      <c r="P15" s="491" t="s">
        <v>1350</v>
      </c>
      <c r="R15" t="s">
        <v>1104</v>
      </c>
    </row>
    <row r="16" spans="1:20" ht="17.25" thickBot="1">
      <c r="A16" s="237" t="s">
        <v>1154</v>
      </c>
      <c r="B16" s="154" t="s">
        <v>475</v>
      </c>
      <c r="C16" s="964" t="s">
        <v>474</v>
      </c>
      <c r="D16" s="965"/>
      <c r="E16" s="965"/>
      <c r="F16" s="965"/>
      <c r="G16" s="965"/>
      <c r="H16" s="965"/>
      <c r="I16" s="965"/>
      <c r="J16" s="966"/>
      <c r="K16" s="104">
        <v>2</v>
      </c>
      <c r="L16">
        <v>2</v>
      </c>
      <c r="N16" s="491">
        <v>1</v>
      </c>
      <c r="O16" s="491">
        <v>1</v>
      </c>
      <c r="P16" s="491">
        <v>1</v>
      </c>
      <c r="R16" t="s">
        <v>1105</v>
      </c>
      <c r="S16" t="s">
        <v>1106</v>
      </c>
      <c r="T16" t="s">
        <v>1109</v>
      </c>
    </row>
    <row r="17" spans="1:20" ht="27" customHeight="1" thickBot="1">
      <c r="A17" s="237" t="s">
        <v>1155</v>
      </c>
      <c r="B17" s="230" t="s">
        <v>230</v>
      </c>
      <c r="C17" s="647" t="s">
        <v>1679</v>
      </c>
      <c r="D17" s="481" t="s">
        <v>1324</v>
      </c>
      <c r="E17" s="373" t="s">
        <v>263</v>
      </c>
      <c r="F17" s="373" t="s">
        <v>264</v>
      </c>
      <c r="G17" s="373" t="s">
        <v>843</v>
      </c>
      <c r="H17" s="373" t="s">
        <v>842</v>
      </c>
      <c r="I17" s="373" t="s">
        <v>261</v>
      </c>
      <c r="J17" s="379" t="s">
        <v>262</v>
      </c>
      <c r="K17" s="104">
        <v>2</v>
      </c>
      <c r="L17" s="224">
        <v>4</v>
      </c>
      <c r="N17" s="491">
        <v>2</v>
      </c>
      <c r="O17" s="491">
        <v>9</v>
      </c>
      <c r="P17" s="491">
        <v>9</v>
      </c>
      <c r="R17" t="s">
        <v>1107</v>
      </c>
      <c r="S17" t="s">
        <v>1107</v>
      </c>
      <c r="T17" t="s">
        <v>1112</v>
      </c>
    </row>
    <row r="18" spans="1:20" s="224" customFormat="1">
      <c r="A18" s="837" t="s">
        <v>1156</v>
      </c>
      <c r="B18" s="825" t="s">
        <v>649</v>
      </c>
      <c r="C18" s="982" t="s">
        <v>265</v>
      </c>
      <c r="D18" s="967" t="s">
        <v>858</v>
      </c>
      <c r="E18" s="967" t="s">
        <v>857</v>
      </c>
      <c r="F18" s="978" t="s">
        <v>856</v>
      </c>
      <c r="G18" s="978" t="s">
        <v>855</v>
      </c>
      <c r="H18" s="978" t="s">
        <v>1632</v>
      </c>
      <c r="I18" s="978" t="s">
        <v>853</v>
      </c>
      <c r="J18" s="980" t="s">
        <v>852</v>
      </c>
      <c r="K18" s="795">
        <v>2</v>
      </c>
      <c r="N18" s="779">
        <v>3</v>
      </c>
      <c r="O18" s="491"/>
      <c r="P18" s="491"/>
      <c r="R18" s="224" t="s">
        <v>1107</v>
      </c>
      <c r="S18" s="224" t="s">
        <v>1108</v>
      </c>
      <c r="T18" s="224" t="s">
        <v>1110</v>
      </c>
    </row>
    <row r="19" spans="1:20" ht="17.25" thickBot="1">
      <c r="A19" s="818"/>
      <c r="B19" s="826"/>
      <c r="C19" s="983"/>
      <c r="D19" s="968"/>
      <c r="E19" s="968"/>
      <c r="F19" s="979"/>
      <c r="G19" s="979"/>
      <c r="H19" s="979"/>
      <c r="I19" s="979"/>
      <c r="J19" s="981"/>
      <c r="K19" s="796"/>
      <c r="L19" s="224">
        <v>6</v>
      </c>
      <c r="N19" s="779"/>
      <c r="O19" s="491">
        <v>69</v>
      </c>
      <c r="P19" s="491">
        <v>0</v>
      </c>
      <c r="R19" t="s">
        <v>1108</v>
      </c>
      <c r="S19" t="s">
        <v>1107</v>
      </c>
      <c r="T19" t="s">
        <v>1111</v>
      </c>
    </row>
    <row r="20" spans="1:20" s="491" customFormat="1" ht="34.5" thickBot="1">
      <c r="A20" s="501"/>
      <c r="B20" s="512" t="s">
        <v>1147</v>
      </c>
      <c r="C20" s="513" t="s">
        <v>1149</v>
      </c>
      <c r="D20" s="1353" t="s">
        <v>1148</v>
      </c>
      <c r="E20" s="1354"/>
      <c r="F20" s="1354"/>
      <c r="G20" s="656" t="s">
        <v>1688</v>
      </c>
      <c r="H20" s="656" t="s">
        <v>1689</v>
      </c>
      <c r="I20" s="662" t="s">
        <v>1697</v>
      </c>
      <c r="J20" s="513" t="s">
        <v>1633</v>
      </c>
      <c r="K20" s="502">
        <v>2</v>
      </c>
      <c r="N20" s="491">
        <v>4</v>
      </c>
      <c r="O20" s="491">
        <v>0</v>
      </c>
      <c r="P20" s="491">
        <v>0</v>
      </c>
      <c r="R20" s="224" t="s">
        <v>1108</v>
      </c>
      <c r="S20" s="224" t="s">
        <v>1108</v>
      </c>
      <c r="T20" s="224" t="s">
        <v>1112</v>
      </c>
    </row>
    <row r="21" spans="1:20" s="224" customFormat="1">
      <c r="A21" s="419" t="s">
        <v>409</v>
      </c>
      <c r="B21" s="795" t="s">
        <v>701</v>
      </c>
      <c r="C21" s="844" t="s">
        <v>1150</v>
      </c>
      <c r="D21" s="845"/>
      <c r="E21" s="845"/>
      <c r="F21" s="845"/>
      <c r="G21" s="845"/>
      <c r="H21" s="845"/>
      <c r="I21" s="845"/>
      <c r="J21" s="956"/>
      <c r="K21" s="332">
        <v>2</v>
      </c>
      <c r="L21" s="224">
        <v>8</v>
      </c>
      <c r="N21" s="779">
        <v>5</v>
      </c>
      <c r="O21" s="491">
        <v>0</v>
      </c>
      <c r="P21" s="491">
        <v>0</v>
      </c>
    </row>
    <row r="22" spans="1:20" s="224" customFormat="1">
      <c r="A22" s="420" t="s">
        <v>410</v>
      </c>
      <c r="B22" s="905"/>
      <c r="C22" s="969" t="s">
        <v>844</v>
      </c>
      <c r="D22" s="970"/>
      <c r="E22" s="970"/>
      <c r="F22" s="970"/>
      <c r="G22" s="970"/>
      <c r="H22" s="970"/>
      <c r="I22" s="970"/>
      <c r="J22" s="971"/>
      <c r="K22" s="244">
        <v>2</v>
      </c>
      <c r="L22" s="224">
        <v>10</v>
      </c>
      <c r="N22" s="779"/>
      <c r="O22" s="491">
        <v>0</v>
      </c>
      <c r="P22" s="491">
        <v>0</v>
      </c>
      <c r="R22" s="491" t="s">
        <v>1206</v>
      </c>
    </row>
    <row r="23" spans="1:20" s="224" customFormat="1">
      <c r="A23" s="420" t="s">
        <v>411</v>
      </c>
      <c r="B23" s="905"/>
      <c r="C23" s="969" t="s">
        <v>845</v>
      </c>
      <c r="D23" s="970"/>
      <c r="E23" s="970"/>
      <c r="F23" s="970"/>
      <c r="G23" s="970"/>
      <c r="H23" s="970"/>
      <c r="I23" s="970"/>
      <c r="J23" s="971"/>
      <c r="K23" s="244">
        <v>2</v>
      </c>
      <c r="L23" s="224">
        <v>12</v>
      </c>
      <c r="N23" s="779"/>
      <c r="O23" s="491">
        <v>0</v>
      </c>
      <c r="P23" s="491">
        <v>0</v>
      </c>
    </row>
    <row r="24" spans="1:20" s="224" customFormat="1" ht="17.25" thickBot="1">
      <c r="A24" s="421" t="s">
        <v>412</v>
      </c>
      <c r="B24" s="796"/>
      <c r="C24" s="969" t="s">
        <v>846</v>
      </c>
      <c r="D24" s="970"/>
      <c r="E24" s="970"/>
      <c r="F24" s="970"/>
      <c r="G24" s="970"/>
      <c r="H24" s="970"/>
      <c r="I24" s="970"/>
      <c r="J24" s="971"/>
      <c r="K24" s="244">
        <v>2</v>
      </c>
      <c r="L24" s="224">
        <v>14</v>
      </c>
      <c r="N24" s="779"/>
      <c r="O24" s="491">
        <v>0</v>
      </c>
      <c r="P24" s="491">
        <v>0</v>
      </c>
    </row>
    <row r="25" spans="1:20" ht="17.25" thickBot="1">
      <c r="A25" s="237" t="s">
        <v>413</v>
      </c>
      <c r="B25" s="230" t="s">
        <v>472</v>
      </c>
      <c r="C25" s="972" t="s">
        <v>473</v>
      </c>
      <c r="D25" s="973"/>
      <c r="E25" s="973"/>
      <c r="F25" s="973"/>
      <c r="G25" s="973"/>
      <c r="H25" s="973"/>
      <c r="I25" s="973"/>
      <c r="J25" s="974"/>
      <c r="K25" s="104">
        <v>2</v>
      </c>
      <c r="L25" s="224">
        <v>16</v>
      </c>
      <c r="N25" s="644">
        <v>6</v>
      </c>
      <c r="O25" s="491" t="s">
        <v>1347</v>
      </c>
      <c r="P25" s="491">
        <v>12</v>
      </c>
    </row>
    <row r="26" spans="1:20">
      <c r="A26" s="426" t="s">
        <v>414</v>
      </c>
      <c r="B26" s="833" t="s">
        <v>919</v>
      </c>
      <c r="C26" s="844" t="s">
        <v>234</v>
      </c>
      <c r="D26" s="845"/>
      <c r="E26" s="845"/>
      <c r="F26" s="845"/>
      <c r="G26" s="845" t="s">
        <v>235</v>
      </c>
      <c r="H26" s="845"/>
      <c r="I26" s="845"/>
      <c r="J26" s="956"/>
      <c r="K26" s="332">
        <v>2</v>
      </c>
      <c r="L26" s="224">
        <v>18</v>
      </c>
      <c r="N26" s="779">
        <v>7</v>
      </c>
      <c r="O26" s="491">
        <v>0</v>
      </c>
      <c r="P26" s="491">
        <v>0</v>
      </c>
    </row>
    <row r="27" spans="1:20">
      <c r="A27" s="239" t="s">
        <v>415</v>
      </c>
      <c r="B27" s="834"/>
      <c r="C27" s="969" t="s">
        <v>236</v>
      </c>
      <c r="D27" s="970"/>
      <c r="E27" s="970"/>
      <c r="F27" s="970"/>
      <c r="G27" s="970" t="s">
        <v>237</v>
      </c>
      <c r="H27" s="970"/>
      <c r="I27" s="970"/>
      <c r="J27" s="971"/>
      <c r="K27" s="244">
        <v>2</v>
      </c>
      <c r="L27" s="224">
        <v>20</v>
      </c>
      <c r="N27" s="779"/>
      <c r="O27" s="491">
        <v>0</v>
      </c>
      <c r="P27" s="491">
        <v>0</v>
      </c>
    </row>
    <row r="28" spans="1:20" ht="17.25" thickBot="1">
      <c r="A28" s="427" t="s">
        <v>416</v>
      </c>
      <c r="B28" s="838"/>
      <c r="C28" s="835" t="s">
        <v>238</v>
      </c>
      <c r="D28" s="836"/>
      <c r="E28" s="836"/>
      <c r="F28" s="836"/>
      <c r="G28" s="836" t="s">
        <v>239</v>
      </c>
      <c r="H28" s="836"/>
      <c r="I28" s="836"/>
      <c r="J28" s="853"/>
      <c r="K28" s="333">
        <v>2</v>
      </c>
      <c r="L28" s="224">
        <v>22</v>
      </c>
      <c r="N28" s="779"/>
      <c r="O28" s="491">
        <v>0</v>
      </c>
      <c r="P28" s="491">
        <v>0</v>
      </c>
    </row>
    <row r="29" spans="1:20">
      <c r="A29" s="426" t="s">
        <v>417</v>
      </c>
      <c r="B29" s="833" t="s">
        <v>920</v>
      </c>
      <c r="C29" s="848" t="s">
        <v>240</v>
      </c>
      <c r="D29" s="849"/>
      <c r="E29" s="849"/>
      <c r="F29" s="849"/>
      <c r="G29" s="849" t="s">
        <v>241</v>
      </c>
      <c r="H29" s="849"/>
      <c r="I29" s="849"/>
      <c r="J29" s="850"/>
      <c r="K29" s="332">
        <v>2</v>
      </c>
      <c r="L29" s="224">
        <v>24</v>
      </c>
      <c r="N29" s="779">
        <v>8</v>
      </c>
      <c r="O29" s="491">
        <v>0</v>
      </c>
      <c r="P29" s="491">
        <v>0</v>
      </c>
    </row>
    <row r="30" spans="1:20">
      <c r="A30" s="239" t="s">
        <v>418</v>
      </c>
      <c r="B30" s="834"/>
      <c r="C30" s="854" t="s">
        <v>242</v>
      </c>
      <c r="D30" s="855"/>
      <c r="E30" s="855"/>
      <c r="F30" s="855"/>
      <c r="G30" s="855" t="s">
        <v>243</v>
      </c>
      <c r="H30" s="855"/>
      <c r="I30" s="855"/>
      <c r="J30" s="856"/>
      <c r="K30" s="244">
        <v>2</v>
      </c>
      <c r="L30" s="224">
        <v>26</v>
      </c>
      <c r="N30" s="779"/>
      <c r="O30" s="491">
        <v>0</v>
      </c>
      <c r="P30" s="491">
        <v>0</v>
      </c>
    </row>
    <row r="31" spans="1:20" ht="17.25" thickBot="1">
      <c r="A31" s="427" t="s">
        <v>419</v>
      </c>
      <c r="B31" s="838"/>
      <c r="C31" s="857" t="s">
        <v>244</v>
      </c>
      <c r="D31" s="858"/>
      <c r="E31" s="858"/>
      <c r="F31" s="858"/>
      <c r="G31" s="858" t="s">
        <v>245</v>
      </c>
      <c r="H31" s="858"/>
      <c r="I31" s="858"/>
      <c r="J31" s="859"/>
      <c r="K31" s="333">
        <v>2</v>
      </c>
      <c r="L31" s="224">
        <v>28</v>
      </c>
      <c r="N31" s="779"/>
      <c r="O31" s="491">
        <v>0</v>
      </c>
      <c r="P31" s="491">
        <v>0</v>
      </c>
    </row>
    <row r="32" spans="1:20">
      <c r="A32" s="426" t="s">
        <v>420</v>
      </c>
      <c r="B32" s="833" t="s">
        <v>246</v>
      </c>
      <c r="C32" s="844" t="s">
        <v>247</v>
      </c>
      <c r="D32" s="845"/>
      <c r="E32" s="845"/>
      <c r="F32" s="845"/>
      <c r="G32" s="845" t="s">
        <v>248</v>
      </c>
      <c r="H32" s="845"/>
      <c r="I32" s="845"/>
      <c r="J32" s="956"/>
      <c r="K32" s="336">
        <v>2</v>
      </c>
      <c r="L32" s="224">
        <v>30</v>
      </c>
      <c r="N32" s="779">
        <v>9</v>
      </c>
      <c r="O32" s="491">
        <v>0</v>
      </c>
      <c r="P32" s="491">
        <v>0</v>
      </c>
    </row>
    <row r="33" spans="1:16">
      <c r="A33" s="247" t="s">
        <v>421</v>
      </c>
      <c r="B33" s="834"/>
      <c r="C33" s="969" t="s">
        <v>249</v>
      </c>
      <c r="D33" s="970"/>
      <c r="E33" s="970"/>
      <c r="F33" s="970"/>
      <c r="G33" s="970" t="s">
        <v>250</v>
      </c>
      <c r="H33" s="970"/>
      <c r="I33" s="970"/>
      <c r="J33" s="971"/>
      <c r="K33" s="338">
        <v>2</v>
      </c>
      <c r="L33" s="224">
        <v>32</v>
      </c>
      <c r="N33" s="779"/>
      <c r="O33" s="491">
        <v>0</v>
      </c>
      <c r="P33" s="491">
        <v>0</v>
      </c>
    </row>
    <row r="34" spans="1:16" ht="17.25" thickBot="1">
      <c r="A34" s="247" t="s">
        <v>422</v>
      </c>
      <c r="B34" s="838"/>
      <c r="C34" s="835" t="s">
        <v>251</v>
      </c>
      <c r="D34" s="836"/>
      <c r="E34" s="836"/>
      <c r="F34" s="836"/>
      <c r="G34" s="836" t="s">
        <v>252</v>
      </c>
      <c r="H34" s="836"/>
      <c r="I34" s="836"/>
      <c r="J34" s="853"/>
      <c r="K34" s="333">
        <v>2</v>
      </c>
      <c r="L34" s="224">
        <v>34</v>
      </c>
      <c r="N34" s="779"/>
      <c r="O34" s="491">
        <v>0</v>
      </c>
      <c r="P34" s="491">
        <v>0</v>
      </c>
    </row>
    <row r="35" spans="1:16">
      <c r="A35" s="837" t="s">
        <v>423</v>
      </c>
      <c r="B35" s="833" t="s">
        <v>291</v>
      </c>
      <c r="C35" s="957" t="s">
        <v>395</v>
      </c>
      <c r="D35" s="959" t="s">
        <v>265</v>
      </c>
      <c r="E35" s="959"/>
      <c r="F35" s="959"/>
      <c r="G35" s="959"/>
      <c r="H35" s="959"/>
      <c r="I35" s="959" t="s">
        <v>270</v>
      </c>
      <c r="J35" s="961"/>
      <c r="K35" s="851">
        <v>2</v>
      </c>
      <c r="L35" s="224"/>
      <c r="N35" s="779">
        <v>10</v>
      </c>
      <c r="O35" s="491">
        <v>0</v>
      </c>
      <c r="P35" s="491"/>
    </row>
    <row r="36" spans="1:16" ht="17.25" thickBot="1">
      <c r="A36" s="818"/>
      <c r="B36" s="838"/>
      <c r="C36" s="958"/>
      <c r="D36" s="960"/>
      <c r="E36" s="960"/>
      <c r="F36" s="960"/>
      <c r="G36" s="960"/>
      <c r="H36" s="960"/>
      <c r="I36" s="389" t="s">
        <v>269</v>
      </c>
      <c r="J36" s="390" t="s">
        <v>273</v>
      </c>
      <c r="K36" s="852"/>
      <c r="L36" s="224">
        <v>36</v>
      </c>
      <c r="N36" s="779"/>
      <c r="O36" s="491">
        <v>0</v>
      </c>
      <c r="P36" s="491">
        <v>0</v>
      </c>
    </row>
    <row r="37" spans="1:16">
      <c r="A37" s="426" t="s">
        <v>983</v>
      </c>
      <c r="B37" s="833" t="s">
        <v>253</v>
      </c>
      <c r="C37" s="844" t="s">
        <v>295</v>
      </c>
      <c r="D37" s="845"/>
      <c r="E37" s="845"/>
      <c r="F37" s="845"/>
      <c r="G37" s="845"/>
      <c r="H37" s="845"/>
      <c r="I37" s="845"/>
      <c r="J37" s="956"/>
      <c r="K37" s="332">
        <v>2</v>
      </c>
      <c r="L37" s="224">
        <v>38</v>
      </c>
      <c r="N37" s="779">
        <v>11</v>
      </c>
      <c r="O37" s="491">
        <v>0</v>
      </c>
      <c r="P37" s="491">
        <v>0</v>
      </c>
    </row>
    <row r="38" spans="1:16">
      <c r="A38" s="239" t="s">
        <v>984</v>
      </c>
      <c r="B38" s="834"/>
      <c r="C38" s="969" t="s">
        <v>296</v>
      </c>
      <c r="D38" s="970"/>
      <c r="E38" s="970"/>
      <c r="F38" s="970"/>
      <c r="G38" s="970"/>
      <c r="H38" s="970"/>
      <c r="I38" s="970"/>
      <c r="J38" s="971"/>
      <c r="K38" s="244">
        <v>2</v>
      </c>
      <c r="L38" s="224">
        <v>40</v>
      </c>
      <c r="N38" s="779"/>
      <c r="O38" s="491">
        <v>0</v>
      </c>
      <c r="P38" s="491">
        <v>0</v>
      </c>
    </row>
    <row r="39" spans="1:16">
      <c r="A39" s="239" t="s">
        <v>985</v>
      </c>
      <c r="B39" s="834" t="s">
        <v>254</v>
      </c>
      <c r="C39" s="969" t="s">
        <v>297</v>
      </c>
      <c r="D39" s="970"/>
      <c r="E39" s="970"/>
      <c r="F39" s="970"/>
      <c r="G39" s="970"/>
      <c r="H39" s="970"/>
      <c r="I39" s="970"/>
      <c r="J39" s="971"/>
      <c r="K39" s="244">
        <v>2</v>
      </c>
      <c r="L39" s="224">
        <v>42</v>
      </c>
      <c r="N39" s="779">
        <v>12</v>
      </c>
      <c r="O39" s="491">
        <v>0</v>
      </c>
      <c r="P39" s="491">
        <v>0</v>
      </c>
    </row>
    <row r="40" spans="1:16">
      <c r="A40" s="239" t="s">
        <v>424</v>
      </c>
      <c r="B40" s="834"/>
      <c r="C40" s="969" t="s">
        <v>298</v>
      </c>
      <c r="D40" s="970"/>
      <c r="E40" s="970"/>
      <c r="F40" s="970"/>
      <c r="G40" s="970"/>
      <c r="H40" s="970"/>
      <c r="I40" s="970"/>
      <c r="J40" s="971"/>
      <c r="K40" s="244">
        <v>2</v>
      </c>
      <c r="L40" s="224">
        <v>44</v>
      </c>
      <c r="N40" s="779"/>
      <c r="O40" s="491">
        <v>0</v>
      </c>
      <c r="P40" s="491">
        <v>0</v>
      </c>
    </row>
    <row r="41" spans="1:16">
      <c r="A41" s="239" t="s">
        <v>425</v>
      </c>
      <c r="B41" s="834" t="s">
        <v>890</v>
      </c>
      <c r="C41" s="969" t="s">
        <v>299</v>
      </c>
      <c r="D41" s="970"/>
      <c r="E41" s="970"/>
      <c r="F41" s="970"/>
      <c r="G41" s="970"/>
      <c r="H41" s="970"/>
      <c r="I41" s="970"/>
      <c r="J41" s="971"/>
      <c r="K41" s="244">
        <v>2</v>
      </c>
      <c r="L41" s="224">
        <v>46</v>
      </c>
      <c r="N41" s="779">
        <v>13</v>
      </c>
      <c r="O41" s="491">
        <v>0</v>
      </c>
      <c r="P41" s="491">
        <v>0</v>
      </c>
    </row>
    <row r="42" spans="1:16">
      <c r="A42" s="239" t="s">
        <v>426</v>
      </c>
      <c r="B42" s="834"/>
      <c r="C42" s="969" t="s">
        <v>300</v>
      </c>
      <c r="D42" s="970"/>
      <c r="E42" s="970"/>
      <c r="F42" s="970"/>
      <c r="G42" s="970"/>
      <c r="H42" s="970"/>
      <c r="I42" s="970"/>
      <c r="J42" s="971"/>
      <c r="K42" s="244">
        <v>2</v>
      </c>
      <c r="L42" s="224">
        <v>48</v>
      </c>
      <c r="N42" s="779"/>
      <c r="O42" s="491">
        <v>0</v>
      </c>
      <c r="P42" s="491">
        <v>0</v>
      </c>
    </row>
    <row r="43" spans="1:16">
      <c r="A43" s="239" t="s">
        <v>427</v>
      </c>
      <c r="B43" s="834" t="s">
        <v>256</v>
      </c>
      <c r="C43" s="969" t="s">
        <v>301</v>
      </c>
      <c r="D43" s="970"/>
      <c r="E43" s="970"/>
      <c r="F43" s="970"/>
      <c r="G43" s="970"/>
      <c r="H43" s="970"/>
      <c r="I43" s="970"/>
      <c r="J43" s="971"/>
      <c r="K43" s="244">
        <v>2</v>
      </c>
      <c r="L43" s="224">
        <v>50</v>
      </c>
      <c r="N43" s="779">
        <v>14</v>
      </c>
      <c r="O43" s="491">
        <v>0</v>
      </c>
      <c r="P43" s="491">
        <v>0</v>
      </c>
    </row>
    <row r="44" spans="1:16" ht="17.25" thickBot="1">
      <c r="A44" s="239" t="s">
        <v>428</v>
      </c>
      <c r="B44" s="838"/>
      <c r="C44" s="835" t="s">
        <v>302</v>
      </c>
      <c r="D44" s="836"/>
      <c r="E44" s="836"/>
      <c r="F44" s="836"/>
      <c r="G44" s="836"/>
      <c r="H44" s="836"/>
      <c r="I44" s="836"/>
      <c r="J44" s="853"/>
      <c r="K44" s="333">
        <v>2</v>
      </c>
      <c r="L44" s="224">
        <v>52</v>
      </c>
      <c r="N44" s="779"/>
      <c r="O44" s="491">
        <v>4</v>
      </c>
      <c r="P44" s="491">
        <v>0</v>
      </c>
    </row>
    <row r="45" spans="1:16" s="224" customFormat="1">
      <c r="A45" s="837" t="s">
        <v>429</v>
      </c>
      <c r="B45" s="989" t="s">
        <v>859</v>
      </c>
      <c r="C45" s="984"/>
      <c r="D45" s="985"/>
      <c r="E45" s="986"/>
      <c r="F45" s="987" t="s">
        <v>905</v>
      </c>
      <c r="G45" s="987"/>
      <c r="H45" s="987"/>
      <c r="I45" s="987"/>
      <c r="J45" s="988"/>
      <c r="K45" s="864">
        <v>2</v>
      </c>
      <c r="N45" s="779">
        <v>15</v>
      </c>
      <c r="O45" s="491">
        <v>22</v>
      </c>
      <c r="P45" s="491"/>
    </row>
    <row r="46" spans="1:16" s="224" customFormat="1" ht="16.5" customHeight="1" thickBot="1">
      <c r="A46" s="818"/>
      <c r="B46" s="990"/>
      <c r="C46" s="435" t="s">
        <v>987</v>
      </c>
      <c r="D46" s="436" t="s">
        <v>987</v>
      </c>
      <c r="E46" s="437" t="s">
        <v>987</v>
      </c>
      <c r="F46" s="438" t="s">
        <v>906</v>
      </c>
      <c r="G46" s="436" t="s">
        <v>860</v>
      </c>
      <c r="H46" s="436" t="s">
        <v>861</v>
      </c>
      <c r="I46" s="436" t="s">
        <v>863</v>
      </c>
      <c r="J46" s="437" t="s">
        <v>864</v>
      </c>
      <c r="K46" s="865"/>
      <c r="L46" s="224">
        <v>54</v>
      </c>
      <c r="N46" s="779"/>
      <c r="O46" s="491">
        <v>0</v>
      </c>
      <c r="P46" s="491">
        <v>4</v>
      </c>
    </row>
    <row r="47" spans="1:16" s="224" customFormat="1" ht="16.5" customHeight="1">
      <c r="A47" s="419" t="s">
        <v>430</v>
      </c>
      <c r="B47" s="990"/>
      <c r="C47" s="1027" t="s">
        <v>988</v>
      </c>
      <c r="D47" s="1028"/>
      <c r="E47" s="1028"/>
      <c r="F47" s="1029"/>
      <c r="G47" s="1027" t="s">
        <v>986</v>
      </c>
      <c r="H47" s="1028"/>
      <c r="I47" s="1028"/>
      <c r="J47" s="1029"/>
      <c r="K47" s="990">
        <v>2</v>
      </c>
      <c r="N47" s="779">
        <v>16</v>
      </c>
      <c r="O47" s="491">
        <v>0</v>
      </c>
      <c r="P47" s="491"/>
    </row>
    <row r="48" spans="1:16" s="224" customFormat="1" ht="16.5" customHeight="1" thickBot="1">
      <c r="A48" s="421"/>
      <c r="B48" s="991"/>
      <c r="C48" s="435" t="s">
        <v>989</v>
      </c>
      <c r="D48" s="436" t="s">
        <v>990</v>
      </c>
      <c r="E48" s="436" t="s">
        <v>861</v>
      </c>
      <c r="F48" s="439" t="s">
        <v>862</v>
      </c>
      <c r="G48" s="435" t="s">
        <v>989</v>
      </c>
      <c r="H48" s="436" t="s">
        <v>990</v>
      </c>
      <c r="I48" s="436" t="s">
        <v>861</v>
      </c>
      <c r="J48" s="439" t="s">
        <v>862</v>
      </c>
      <c r="K48" s="991"/>
      <c r="L48" s="224">
        <v>56</v>
      </c>
      <c r="N48" s="779"/>
      <c r="O48" s="491">
        <v>0</v>
      </c>
      <c r="P48" s="491">
        <v>22</v>
      </c>
    </row>
    <row r="49" spans="1:16" ht="16.5" customHeight="1">
      <c r="A49" s="837" t="s">
        <v>431</v>
      </c>
      <c r="B49" s="833" t="s">
        <v>651</v>
      </c>
      <c r="C49" s="839" t="s">
        <v>271</v>
      </c>
      <c r="D49" s="841"/>
      <c r="E49" s="841" t="s">
        <v>265</v>
      </c>
      <c r="F49" s="841"/>
      <c r="G49" s="841"/>
      <c r="H49" s="841"/>
      <c r="I49" s="845" t="s">
        <v>293</v>
      </c>
      <c r="J49" s="956"/>
      <c r="K49" s="851">
        <v>2</v>
      </c>
      <c r="L49" s="224"/>
      <c r="N49" s="779">
        <v>17</v>
      </c>
      <c r="O49" s="491">
        <v>0</v>
      </c>
      <c r="P49" s="491"/>
    </row>
    <row r="50" spans="1:16" ht="17.25" customHeight="1" thickBot="1">
      <c r="A50" s="818"/>
      <c r="B50" s="838"/>
      <c r="C50" s="423" t="s">
        <v>272</v>
      </c>
      <c r="D50" s="422" t="s">
        <v>292</v>
      </c>
      <c r="E50" s="842"/>
      <c r="F50" s="842"/>
      <c r="G50" s="842"/>
      <c r="H50" s="842"/>
      <c r="I50" s="842" t="s">
        <v>921</v>
      </c>
      <c r="J50" s="1013"/>
      <c r="K50" s="852"/>
      <c r="L50" s="224">
        <v>58</v>
      </c>
      <c r="N50" s="779"/>
      <c r="O50" s="491">
        <v>0</v>
      </c>
      <c r="P50" s="491">
        <v>3</v>
      </c>
    </row>
    <row r="51" spans="1:16">
      <c r="A51" s="837" t="s">
        <v>1021</v>
      </c>
      <c r="B51" s="833" t="s">
        <v>1151</v>
      </c>
      <c r="C51" s="872" t="s">
        <v>257</v>
      </c>
      <c r="D51" s="992"/>
      <c r="E51" s="992"/>
      <c r="F51" s="992"/>
      <c r="G51" s="1001" t="s">
        <v>275</v>
      </c>
      <c r="H51" s="1001"/>
      <c r="I51" s="1001"/>
      <c r="J51" s="1002"/>
      <c r="K51" s="851">
        <v>2</v>
      </c>
      <c r="L51" s="224"/>
      <c r="N51" s="779">
        <v>18</v>
      </c>
      <c r="O51" s="491">
        <v>0</v>
      </c>
      <c r="P51" s="491"/>
    </row>
    <row r="52" spans="1:16" ht="17.25" thickBot="1">
      <c r="A52" s="818"/>
      <c r="B52" s="838"/>
      <c r="C52" s="441" t="s">
        <v>268</v>
      </c>
      <c r="D52" s="442" t="s">
        <v>267</v>
      </c>
      <c r="E52" s="442" t="s">
        <v>266</v>
      </c>
      <c r="F52" s="442" t="s">
        <v>274</v>
      </c>
      <c r="G52" s="954" t="s">
        <v>1322</v>
      </c>
      <c r="H52" s="954"/>
      <c r="I52" s="954"/>
      <c r="J52" s="955"/>
      <c r="K52" s="852"/>
      <c r="L52" s="224">
        <v>60</v>
      </c>
      <c r="N52" s="779"/>
      <c r="O52" s="491">
        <v>0</v>
      </c>
      <c r="P52" s="491">
        <v>0</v>
      </c>
    </row>
    <row r="53" spans="1:16" s="224" customFormat="1">
      <c r="A53" s="428" t="s">
        <v>433</v>
      </c>
      <c r="B53" s="246" t="s">
        <v>1323</v>
      </c>
      <c r="C53" s="266" t="s">
        <v>260</v>
      </c>
      <c r="D53" s="267"/>
      <c r="E53" s="268"/>
      <c r="F53" s="268" t="s">
        <v>221</v>
      </c>
      <c r="G53" s="268" t="s">
        <v>220</v>
      </c>
      <c r="H53" s="268" t="s">
        <v>219</v>
      </c>
      <c r="I53" s="268" t="s">
        <v>127</v>
      </c>
      <c r="J53" s="269" t="s">
        <v>131</v>
      </c>
      <c r="K53" s="249">
        <v>2</v>
      </c>
      <c r="L53" s="224">
        <v>62</v>
      </c>
      <c r="N53" s="643">
        <v>19</v>
      </c>
      <c r="O53" s="491">
        <v>0</v>
      </c>
      <c r="P53" s="491">
        <v>0</v>
      </c>
    </row>
    <row r="54" spans="1:16" ht="16.5" customHeight="1">
      <c r="A54" s="428" t="s">
        <v>434</v>
      </c>
      <c r="B54" s="962" t="s">
        <v>279</v>
      </c>
      <c r="C54" s="1003" t="s">
        <v>655</v>
      </c>
      <c r="D54" s="1004"/>
      <c r="E54" s="1004"/>
      <c r="F54" s="1004"/>
      <c r="G54" s="1004"/>
      <c r="H54" s="1004"/>
      <c r="I54" s="1004"/>
      <c r="J54" s="1005"/>
      <c r="K54" s="248">
        <v>2</v>
      </c>
      <c r="L54" s="224">
        <v>64</v>
      </c>
      <c r="M54" s="224">
        <v>0</v>
      </c>
      <c r="N54" s="779">
        <v>20</v>
      </c>
      <c r="O54" s="491">
        <v>0</v>
      </c>
      <c r="P54" s="491">
        <v>0</v>
      </c>
    </row>
    <row r="55" spans="1:16" ht="17.25" thickBot="1">
      <c r="A55" s="428" t="s">
        <v>435</v>
      </c>
      <c r="B55" s="963"/>
      <c r="C55" s="1006" t="s">
        <v>656</v>
      </c>
      <c r="D55" s="1007"/>
      <c r="E55" s="1007"/>
      <c r="F55" s="1007"/>
      <c r="G55" s="1007"/>
      <c r="H55" s="1007"/>
      <c r="I55" s="1007"/>
      <c r="J55" s="1008"/>
      <c r="K55" s="340">
        <v>2</v>
      </c>
      <c r="L55" s="224">
        <v>66</v>
      </c>
      <c r="M55" s="224">
        <v>2</v>
      </c>
      <c r="N55" s="779"/>
      <c r="O55" s="491">
        <v>0</v>
      </c>
      <c r="P55" s="491">
        <v>0</v>
      </c>
    </row>
    <row r="56" spans="1:16" s="224" customFormat="1" ht="16.5" customHeight="1">
      <c r="A56" s="426" t="s">
        <v>436</v>
      </c>
      <c r="B56" s="1009" t="s">
        <v>280</v>
      </c>
      <c r="C56" s="872" t="s">
        <v>281</v>
      </c>
      <c r="D56" s="992"/>
      <c r="E56" s="992"/>
      <c r="F56" s="992"/>
      <c r="G56" s="992"/>
      <c r="H56" s="992"/>
      <c r="I56" s="992"/>
      <c r="J56" s="873"/>
      <c r="K56" s="332">
        <v>2</v>
      </c>
      <c r="L56" s="224">
        <v>68</v>
      </c>
      <c r="M56" s="224">
        <v>4</v>
      </c>
      <c r="N56" s="779">
        <v>21</v>
      </c>
      <c r="O56" s="491">
        <v>0</v>
      </c>
      <c r="P56" s="491">
        <v>0</v>
      </c>
    </row>
    <row r="57" spans="1:16" s="224" customFormat="1">
      <c r="A57" s="239" t="s">
        <v>437</v>
      </c>
      <c r="B57" s="834"/>
      <c r="C57" s="802" t="s">
        <v>282</v>
      </c>
      <c r="D57" s="803"/>
      <c r="E57" s="803"/>
      <c r="F57" s="803"/>
      <c r="G57" s="803"/>
      <c r="H57" s="803"/>
      <c r="I57" s="803"/>
      <c r="J57" s="804"/>
      <c r="K57" s="244">
        <v>2</v>
      </c>
      <c r="L57" s="224">
        <v>70</v>
      </c>
      <c r="M57" s="224">
        <v>6</v>
      </c>
      <c r="N57" s="779"/>
      <c r="O57" s="491">
        <v>0</v>
      </c>
      <c r="P57" s="491">
        <v>0</v>
      </c>
    </row>
    <row r="58" spans="1:16" ht="16.5" customHeight="1">
      <c r="A58" s="239" t="s">
        <v>438</v>
      </c>
      <c r="B58" s="801" t="s">
        <v>680</v>
      </c>
      <c r="C58" s="1010" t="s">
        <v>681</v>
      </c>
      <c r="D58" s="1011"/>
      <c r="E58" s="1011"/>
      <c r="F58" s="1011"/>
      <c r="G58" s="1011"/>
      <c r="H58" s="1011"/>
      <c r="I58" s="1011"/>
      <c r="J58" s="1012"/>
      <c r="K58" s="347">
        <v>2</v>
      </c>
      <c r="L58" s="224">
        <v>72</v>
      </c>
      <c r="M58" s="224">
        <v>8</v>
      </c>
      <c r="N58" s="779">
        <v>22</v>
      </c>
      <c r="O58" s="491">
        <v>0</v>
      </c>
      <c r="P58" s="491">
        <v>0</v>
      </c>
    </row>
    <row r="59" spans="1:16">
      <c r="A59" s="239" t="s">
        <v>439</v>
      </c>
      <c r="B59" s="952"/>
      <c r="C59" s="802" t="s">
        <v>682</v>
      </c>
      <c r="D59" s="803"/>
      <c r="E59" s="803"/>
      <c r="F59" s="803"/>
      <c r="G59" s="803"/>
      <c r="H59" s="803"/>
      <c r="I59" s="803"/>
      <c r="J59" s="804"/>
      <c r="K59" s="244">
        <v>2</v>
      </c>
      <c r="L59" s="224">
        <v>74</v>
      </c>
      <c r="M59" s="224">
        <v>10</v>
      </c>
      <c r="N59" s="779"/>
      <c r="O59" s="491">
        <v>0</v>
      </c>
      <c r="P59" s="491">
        <v>0</v>
      </c>
    </row>
    <row r="60" spans="1:16" ht="16.5" customHeight="1">
      <c r="A60" s="239" t="s">
        <v>440</v>
      </c>
      <c r="B60" s="952" t="s">
        <v>937</v>
      </c>
      <c r="C60" s="802" t="s">
        <v>948</v>
      </c>
      <c r="D60" s="803"/>
      <c r="E60" s="803"/>
      <c r="F60" s="803"/>
      <c r="G60" s="803"/>
      <c r="H60" s="803"/>
      <c r="I60" s="803"/>
      <c r="J60" s="804"/>
      <c r="K60" s="244">
        <v>2</v>
      </c>
      <c r="L60" s="224">
        <v>76</v>
      </c>
      <c r="M60" s="224">
        <v>12</v>
      </c>
      <c r="N60" s="779">
        <v>23</v>
      </c>
      <c r="O60" s="491">
        <v>0</v>
      </c>
      <c r="P60" s="491">
        <v>0</v>
      </c>
    </row>
    <row r="61" spans="1:16">
      <c r="A61" s="239" t="s">
        <v>441</v>
      </c>
      <c r="B61" s="952"/>
      <c r="C61" s="802" t="s">
        <v>949</v>
      </c>
      <c r="D61" s="803"/>
      <c r="E61" s="803"/>
      <c r="F61" s="803"/>
      <c r="G61" s="803"/>
      <c r="H61" s="803"/>
      <c r="I61" s="803"/>
      <c r="J61" s="804"/>
      <c r="K61" s="244">
        <v>2</v>
      </c>
      <c r="L61" s="224">
        <v>78</v>
      </c>
      <c r="M61" s="224">
        <v>14</v>
      </c>
      <c r="N61" s="779"/>
      <c r="O61" s="491">
        <v>0</v>
      </c>
      <c r="P61" s="491">
        <v>0</v>
      </c>
    </row>
    <row r="62" spans="1:16" s="224" customFormat="1">
      <c r="A62" s="239" t="s">
        <v>943</v>
      </c>
      <c r="B62" s="952" t="s">
        <v>938</v>
      </c>
      <c r="C62" s="802" t="s">
        <v>951</v>
      </c>
      <c r="D62" s="803"/>
      <c r="E62" s="803"/>
      <c r="F62" s="803"/>
      <c r="G62" s="803"/>
      <c r="H62" s="803"/>
      <c r="I62" s="803"/>
      <c r="J62" s="804"/>
      <c r="K62" s="244">
        <v>2</v>
      </c>
      <c r="L62" s="224">
        <v>80</v>
      </c>
      <c r="M62" s="224">
        <v>16</v>
      </c>
      <c r="N62" s="779">
        <v>24</v>
      </c>
      <c r="O62" s="491">
        <v>0</v>
      </c>
      <c r="P62" s="491">
        <v>0</v>
      </c>
    </row>
    <row r="63" spans="1:16" s="224" customFormat="1">
      <c r="A63" s="239" t="s">
        <v>442</v>
      </c>
      <c r="B63" s="952"/>
      <c r="C63" s="802" t="s">
        <v>950</v>
      </c>
      <c r="D63" s="803"/>
      <c r="E63" s="803"/>
      <c r="F63" s="803"/>
      <c r="G63" s="803"/>
      <c r="H63" s="803"/>
      <c r="I63" s="803"/>
      <c r="J63" s="804"/>
      <c r="K63" s="244">
        <v>2</v>
      </c>
      <c r="L63" s="224">
        <v>82</v>
      </c>
      <c r="M63" s="224">
        <v>18</v>
      </c>
      <c r="N63" s="779"/>
      <c r="O63" s="491">
        <v>0</v>
      </c>
      <c r="P63" s="491">
        <v>0</v>
      </c>
    </row>
    <row r="64" spans="1:16" ht="16.5" customHeight="1">
      <c r="A64" s="239" t="s">
        <v>944</v>
      </c>
      <c r="B64" s="952" t="s">
        <v>278</v>
      </c>
      <c r="C64" s="802" t="s">
        <v>285</v>
      </c>
      <c r="D64" s="803"/>
      <c r="E64" s="803"/>
      <c r="F64" s="803"/>
      <c r="G64" s="803"/>
      <c r="H64" s="803"/>
      <c r="I64" s="803"/>
      <c r="J64" s="804"/>
      <c r="K64" s="244">
        <v>2</v>
      </c>
      <c r="L64" s="224">
        <v>84</v>
      </c>
      <c r="M64" s="224">
        <v>20</v>
      </c>
      <c r="N64" s="779">
        <v>25</v>
      </c>
      <c r="O64" s="491">
        <v>0</v>
      </c>
      <c r="P64" s="491">
        <v>0</v>
      </c>
    </row>
    <row r="65" spans="1:16" ht="16.5" customHeight="1">
      <c r="A65" s="239" t="s">
        <v>945</v>
      </c>
      <c r="B65" s="952"/>
      <c r="C65" s="802" t="s">
        <v>286</v>
      </c>
      <c r="D65" s="803"/>
      <c r="E65" s="803"/>
      <c r="F65" s="803"/>
      <c r="G65" s="803"/>
      <c r="H65" s="803"/>
      <c r="I65" s="803"/>
      <c r="J65" s="804"/>
      <c r="K65" s="244">
        <v>2</v>
      </c>
      <c r="L65" s="224">
        <v>86</v>
      </c>
      <c r="M65" s="224">
        <v>22</v>
      </c>
      <c r="N65" s="779"/>
      <c r="O65" s="491">
        <v>0</v>
      </c>
      <c r="P65" s="491">
        <v>0</v>
      </c>
    </row>
    <row r="66" spans="1:16" s="224" customFormat="1" ht="16.5" customHeight="1">
      <c r="A66" s="241" t="s">
        <v>946</v>
      </c>
      <c r="B66" s="800" t="s">
        <v>973</v>
      </c>
      <c r="C66" s="802" t="s">
        <v>976</v>
      </c>
      <c r="D66" s="803"/>
      <c r="E66" s="803"/>
      <c r="F66" s="803"/>
      <c r="G66" s="803"/>
      <c r="H66" s="803"/>
      <c r="I66" s="803"/>
      <c r="J66" s="804"/>
      <c r="K66" s="244">
        <v>2</v>
      </c>
      <c r="L66" s="224">
        <v>88</v>
      </c>
      <c r="M66" s="224">
        <v>24</v>
      </c>
      <c r="N66" s="779">
        <v>26</v>
      </c>
      <c r="O66" s="491">
        <v>0</v>
      </c>
      <c r="P66" s="491">
        <v>0</v>
      </c>
    </row>
    <row r="67" spans="1:16" s="224" customFormat="1" ht="16.5" customHeight="1">
      <c r="A67" s="241" t="s">
        <v>947</v>
      </c>
      <c r="B67" s="801"/>
      <c r="C67" s="802" t="s">
        <v>977</v>
      </c>
      <c r="D67" s="803"/>
      <c r="E67" s="803"/>
      <c r="F67" s="803"/>
      <c r="G67" s="803"/>
      <c r="H67" s="803"/>
      <c r="I67" s="803"/>
      <c r="J67" s="804"/>
      <c r="K67" s="244">
        <v>2</v>
      </c>
      <c r="L67" s="224">
        <v>90</v>
      </c>
      <c r="M67" s="224">
        <v>26</v>
      </c>
      <c r="N67" s="779"/>
      <c r="O67" s="491">
        <v>0</v>
      </c>
      <c r="P67" s="491">
        <v>0</v>
      </c>
    </row>
    <row r="68" spans="1:16" ht="16.5" customHeight="1">
      <c r="A68" s="239" t="s">
        <v>463</v>
      </c>
      <c r="B68" s="952" t="s">
        <v>283</v>
      </c>
      <c r="C68" s="802" t="s">
        <v>287</v>
      </c>
      <c r="D68" s="803"/>
      <c r="E68" s="803"/>
      <c r="F68" s="803"/>
      <c r="G68" s="803"/>
      <c r="H68" s="803"/>
      <c r="I68" s="803"/>
      <c r="J68" s="804"/>
      <c r="K68" s="244">
        <v>2</v>
      </c>
      <c r="L68" s="224">
        <v>92</v>
      </c>
      <c r="M68" s="224">
        <v>28</v>
      </c>
      <c r="N68" s="779">
        <v>27</v>
      </c>
      <c r="O68" s="491">
        <v>0</v>
      </c>
      <c r="P68" s="491">
        <v>0</v>
      </c>
    </row>
    <row r="69" spans="1:16" ht="16.5" customHeight="1">
      <c r="A69" s="239" t="s">
        <v>464</v>
      </c>
      <c r="B69" s="952"/>
      <c r="C69" s="802" t="s">
        <v>288</v>
      </c>
      <c r="D69" s="803"/>
      <c r="E69" s="803"/>
      <c r="F69" s="803"/>
      <c r="G69" s="803"/>
      <c r="H69" s="803"/>
      <c r="I69" s="803"/>
      <c r="J69" s="804"/>
      <c r="K69" s="244">
        <v>2</v>
      </c>
      <c r="L69" s="224">
        <v>94</v>
      </c>
      <c r="M69" s="224">
        <v>30</v>
      </c>
      <c r="N69" s="779"/>
      <c r="O69" s="491">
        <v>0</v>
      </c>
      <c r="P69" s="491">
        <v>0</v>
      </c>
    </row>
    <row r="70" spans="1:16" ht="16.5" customHeight="1">
      <c r="A70" s="239" t="s">
        <v>465</v>
      </c>
      <c r="B70" s="952" t="s">
        <v>284</v>
      </c>
      <c r="C70" s="802" t="s">
        <v>289</v>
      </c>
      <c r="D70" s="803"/>
      <c r="E70" s="803"/>
      <c r="F70" s="803"/>
      <c r="G70" s="803"/>
      <c r="H70" s="803"/>
      <c r="I70" s="803"/>
      <c r="J70" s="804"/>
      <c r="K70" s="244">
        <v>2</v>
      </c>
      <c r="L70" s="224">
        <v>96</v>
      </c>
      <c r="M70" s="224">
        <v>32</v>
      </c>
      <c r="N70" s="779">
        <v>28</v>
      </c>
      <c r="O70" s="491">
        <v>0</v>
      </c>
      <c r="P70" s="491">
        <v>0</v>
      </c>
    </row>
    <row r="71" spans="1:16" ht="16.5" customHeight="1" thickBot="1">
      <c r="A71" s="239" t="s">
        <v>466</v>
      </c>
      <c r="B71" s="838"/>
      <c r="C71" s="953" t="s">
        <v>290</v>
      </c>
      <c r="D71" s="954"/>
      <c r="E71" s="954"/>
      <c r="F71" s="954"/>
      <c r="G71" s="954"/>
      <c r="H71" s="954"/>
      <c r="I71" s="954"/>
      <c r="J71" s="955"/>
      <c r="K71" s="333">
        <v>2</v>
      </c>
      <c r="L71" s="224">
        <v>98</v>
      </c>
      <c r="M71" s="224">
        <v>34</v>
      </c>
      <c r="N71" s="779"/>
      <c r="O71" s="491">
        <v>0</v>
      </c>
      <c r="P71" s="491">
        <v>0</v>
      </c>
    </row>
    <row r="72" spans="1:16" s="224" customFormat="1" ht="16.5" customHeight="1">
      <c r="A72" s="240" t="s">
        <v>467</v>
      </c>
      <c r="B72" s="780" t="s">
        <v>462</v>
      </c>
      <c r="C72" s="380" t="s">
        <v>309</v>
      </c>
      <c r="D72" s="381" t="s">
        <v>310</v>
      </c>
      <c r="E72" s="381" t="s">
        <v>311</v>
      </c>
      <c r="F72" s="381" t="s">
        <v>312</v>
      </c>
      <c r="G72" s="381" t="s">
        <v>313</v>
      </c>
      <c r="H72" s="381" t="s">
        <v>314</v>
      </c>
      <c r="I72" s="381" t="s">
        <v>315</v>
      </c>
      <c r="J72" s="382" t="s">
        <v>316</v>
      </c>
      <c r="K72" s="356">
        <v>2</v>
      </c>
      <c r="L72" s="224">
        <v>100</v>
      </c>
      <c r="M72" s="224">
        <v>0</v>
      </c>
      <c r="N72" s="491">
        <v>29</v>
      </c>
      <c r="O72" s="491">
        <v>0</v>
      </c>
      <c r="P72" s="491">
        <v>0</v>
      </c>
    </row>
    <row r="73" spans="1:16" s="224" customFormat="1">
      <c r="A73" s="241" t="s">
        <v>468</v>
      </c>
      <c r="B73" s="781"/>
      <c r="C73" s="383" t="s">
        <v>454</v>
      </c>
      <c r="D73" s="384" t="s">
        <v>317</v>
      </c>
      <c r="E73" s="384" t="s">
        <v>318</v>
      </c>
      <c r="F73" s="384" t="s">
        <v>319</v>
      </c>
      <c r="G73" s="384" t="s">
        <v>320</v>
      </c>
      <c r="H73" s="384" t="s">
        <v>321</v>
      </c>
      <c r="I73" s="384" t="s">
        <v>322</v>
      </c>
      <c r="J73" s="385" t="s">
        <v>323</v>
      </c>
      <c r="K73" s="244">
        <v>2</v>
      </c>
      <c r="L73" s="224">
        <v>102</v>
      </c>
      <c r="M73" s="224">
        <v>2</v>
      </c>
      <c r="N73" s="491">
        <v>30</v>
      </c>
      <c r="O73" s="491">
        <v>0</v>
      </c>
      <c r="P73" s="491">
        <v>0</v>
      </c>
    </row>
    <row r="74" spans="1:16" s="224" customFormat="1">
      <c r="A74" s="241" t="s">
        <v>469</v>
      </c>
      <c r="B74" s="781"/>
      <c r="C74" s="383" t="s">
        <v>324</v>
      </c>
      <c r="D74" s="384" t="s">
        <v>325</v>
      </c>
      <c r="E74" s="384" t="s">
        <v>326</v>
      </c>
      <c r="F74" s="384" t="s">
        <v>327</v>
      </c>
      <c r="G74" s="384" t="s">
        <v>328</v>
      </c>
      <c r="H74" s="384" t="s">
        <v>329</v>
      </c>
      <c r="I74" s="384" t="s">
        <v>330</v>
      </c>
      <c r="J74" s="385" t="s">
        <v>331</v>
      </c>
      <c r="K74" s="244">
        <v>2</v>
      </c>
      <c r="L74" s="224">
        <v>104</v>
      </c>
      <c r="M74" s="224">
        <v>4</v>
      </c>
      <c r="N74" s="491">
        <v>31</v>
      </c>
      <c r="O74" s="491">
        <v>0</v>
      </c>
      <c r="P74" s="491">
        <v>0</v>
      </c>
    </row>
    <row r="75" spans="1:16" s="224" customFormat="1">
      <c r="A75" s="241" t="s">
        <v>470</v>
      </c>
      <c r="B75" s="781"/>
      <c r="C75" s="383" t="s">
        <v>332</v>
      </c>
      <c r="D75" s="384" t="s">
        <v>333</v>
      </c>
      <c r="E75" s="384" t="s">
        <v>334</v>
      </c>
      <c r="F75" s="384" t="s">
        <v>335</v>
      </c>
      <c r="G75" s="384" t="s">
        <v>336</v>
      </c>
      <c r="H75" s="384" t="s">
        <v>337</v>
      </c>
      <c r="I75" s="384" t="s">
        <v>338</v>
      </c>
      <c r="J75" s="385" t="s">
        <v>339</v>
      </c>
      <c r="K75" s="244">
        <v>2</v>
      </c>
      <c r="L75" s="224">
        <v>106</v>
      </c>
      <c r="M75" s="224">
        <v>6</v>
      </c>
      <c r="N75" s="491">
        <v>32</v>
      </c>
      <c r="O75" s="491">
        <v>0</v>
      </c>
      <c r="P75" s="491">
        <v>0</v>
      </c>
    </row>
    <row r="76" spans="1:16" s="224" customFormat="1">
      <c r="A76" s="241" t="s">
        <v>992</v>
      </c>
      <c r="B76" s="781"/>
      <c r="C76" s="383" t="s">
        <v>340</v>
      </c>
      <c r="D76" s="384" t="s">
        <v>341</v>
      </c>
      <c r="E76" s="384" t="s">
        <v>342</v>
      </c>
      <c r="F76" s="384" t="s">
        <v>343</v>
      </c>
      <c r="G76" s="384" t="s">
        <v>344</v>
      </c>
      <c r="H76" s="384" t="s">
        <v>345</v>
      </c>
      <c r="I76" s="384" t="s">
        <v>346</v>
      </c>
      <c r="J76" s="385" t="s">
        <v>347</v>
      </c>
      <c r="K76" s="244">
        <v>2</v>
      </c>
      <c r="L76" s="224">
        <v>108</v>
      </c>
      <c r="M76" s="224">
        <v>8</v>
      </c>
      <c r="N76" s="491">
        <v>33</v>
      </c>
      <c r="O76" s="491">
        <v>0</v>
      </c>
      <c r="P76" s="491">
        <v>0</v>
      </c>
    </row>
    <row r="77" spans="1:16" s="224" customFormat="1">
      <c r="A77" s="241" t="s">
        <v>993</v>
      </c>
      <c r="B77" s="781"/>
      <c r="C77" s="383" t="s">
        <v>348</v>
      </c>
      <c r="D77" s="384" t="s">
        <v>349</v>
      </c>
      <c r="E77" s="384" t="s">
        <v>350</v>
      </c>
      <c r="F77" s="384" t="s">
        <v>351</v>
      </c>
      <c r="G77" s="384" t="s">
        <v>352</v>
      </c>
      <c r="H77" s="384" t="s">
        <v>353</v>
      </c>
      <c r="I77" s="384" t="s">
        <v>354</v>
      </c>
      <c r="J77" s="385" t="s">
        <v>355</v>
      </c>
      <c r="K77" s="244">
        <v>2</v>
      </c>
      <c r="L77" s="224">
        <v>110</v>
      </c>
      <c r="M77" s="224">
        <v>10</v>
      </c>
      <c r="N77" s="491">
        <v>34</v>
      </c>
      <c r="O77" s="491">
        <v>0</v>
      </c>
      <c r="P77" s="491">
        <v>0</v>
      </c>
    </row>
    <row r="78" spans="1:16" s="224" customFormat="1">
      <c r="A78" s="241" t="s">
        <v>994</v>
      </c>
      <c r="B78" s="781"/>
      <c r="C78" s="383" t="s">
        <v>356</v>
      </c>
      <c r="D78" s="384" t="s">
        <v>357</v>
      </c>
      <c r="E78" s="384" t="s">
        <v>358</v>
      </c>
      <c r="F78" s="384" t="s">
        <v>359</v>
      </c>
      <c r="G78" s="384" t="s">
        <v>360</v>
      </c>
      <c r="H78" s="384" t="s">
        <v>361</v>
      </c>
      <c r="I78" s="384" t="s">
        <v>362</v>
      </c>
      <c r="J78" s="385" t="s">
        <v>363</v>
      </c>
      <c r="K78" s="244">
        <v>2</v>
      </c>
      <c r="L78" s="224">
        <v>112</v>
      </c>
      <c r="M78" s="224">
        <v>12</v>
      </c>
      <c r="N78" s="491">
        <v>35</v>
      </c>
      <c r="O78" s="491">
        <v>0</v>
      </c>
      <c r="P78" s="491">
        <v>0</v>
      </c>
    </row>
    <row r="79" spans="1:16" s="224" customFormat="1">
      <c r="A79" s="241" t="s">
        <v>995</v>
      </c>
      <c r="B79" s="781"/>
      <c r="C79" s="383" t="s">
        <v>364</v>
      </c>
      <c r="D79" s="384" t="s">
        <v>365</v>
      </c>
      <c r="E79" s="384" t="s">
        <v>366</v>
      </c>
      <c r="F79" s="384" t="s">
        <v>367</v>
      </c>
      <c r="G79" s="384" t="s">
        <v>368</v>
      </c>
      <c r="H79" s="384" t="s">
        <v>369</v>
      </c>
      <c r="I79" s="384" t="s">
        <v>370</v>
      </c>
      <c r="J79" s="385" t="s">
        <v>371</v>
      </c>
      <c r="K79" s="244">
        <v>2</v>
      </c>
      <c r="L79" s="224">
        <v>114</v>
      </c>
      <c r="M79" s="224">
        <v>14</v>
      </c>
      <c r="N79" s="491">
        <v>36</v>
      </c>
      <c r="O79" s="491">
        <v>0</v>
      </c>
      <c r="P79" s="491">
        <v>0</v>
      </c>
    </row>
    <row r="80" spans="1:16" s="224" customFormat="1" ht="16.5" customHeight="1">
      <c r="A80" s="241" t="s">
        <v>996</v>
      </c>
      <c r="B80" s="781"/>
      <c r="C80" s="383" t="s">
        <v>372</v>
      </c>
      <c r="D80" s="384" t="s">
        <v>373</v>
      </c>
      <c r="E80" s="384" t="s">
        <v>374</v>
      </c>
      <c r="F80" s="384" t="s">
        <v>375</v>
      </c>
      <c r="G80" s="384" t="s">
        <v>376</v>
      </c>
      <c r="H80" s="384" t="s">
        <v>377</v>
      </c>
      <c r="I80" s="384" t="s">
        <v>378</v>
      </c>
      <c r="J80" s="385" t="s">
        <v>379</v>
      </c>
      <c r="K80" s="244">
        <v>2</v>
      </c>
      <c r="L80" s="224">
        <v>116</v>
      </c>
      <c r="M80" s="224">
        <v>16</v>
      </c>
      <c r="N80" s="491">
        <v>37</v>
      </c>
      <c r="O80" s="491">
        <v>0</v>
      </c>
      <c r="P80" s="491">
        <v>0</v>
      </c>
    </row>
    <row r="81" spans="1:16" s="224" customFormat="1" ht="17.25" thickBot="1">
      <c r="A81" s="122" t="s">
        <v>997</v>
      </c>
      <c r="B81" s="782"/>
      <c r="C81" s="386" t="s">
        <v>455</v>
      </c>
      <c r="D81" s="387" t="s">
        <v>380</v>
      </c>
      <c r="E81" s="387" t="s">
        <v>381</v>
      </c>
      <c r="F81" s="387" t="s">
        <v>382</v>
      </c>
      <c r="G81" s="387" t="s">
        <v>383</v>
      </c>
      <c r="H81" s="387" t="s">
        <v>384</v>
      </c>
      <c r="I81" s="387" t="s">
        <v>385</v>
      </c>
      <c r="J81" s="388" t="s">
        <v>386</v>
      </c>
      <c r="K81" s="357">
        <v>2</v>
      </c>
      <c r="L81" s="224">
        <v>118</v>
      </c>
      <c r="M81" s="224">
        <v>18</v>
      </c>
      <c r="N81" s="491">
        <v>38</v>
      </c>
      <c r="O81" s="491">
        <v>0</v>
      </c>
      <c r="P81" s="491">
        <v>0</v>
      </c>
    </row>
    <row r="82" spans="1:16" ht="16.5" customHeight="1">
      <c r="A82" s="240" t="s">
        <v>998</v>
      </c>
      <c r="B82" s="780" t="s">
        <v>1357</v>
      </c>
      <c r="C82" s="783" t="s">
        <v>1321</v>
      </c>
      <c r="D82" s="784"/>
      <c r="E82" s="784"/>
      <c r="F82" s="784"/>
      <c r="G82" s="784"/>
      <c r="H82" s="784"/>
      <c r="I82" s="784"/>
      <c r="J82" s="785"/>
      <c r="K82" s="432">
        <v>2</v>
      </c>
      <c r="L82" s="224">
        <v>120</v>
      </c>
      <c r="M82" s="224">
        <v>0</v>
      </c>
      <c r="O82" s="491">
        <v>0</v>
      </c>
      <c r="P82" s="491">
        <v>1</v>
      </c>
    </row>
    <row r="83" spans="1:16">
      <c r="A83" s="241" t="s">
        <v>999</v>
      </c>
      <c r="B83" s="781"/>
      <c r="C83" s="786" t="s">
        <v>784</v>
      </c>
      <c r="D83" s="787"/>
      <c r="E83" s="787"/>
      <c r="F83" s="787"/>
      <c r="G83" s="787"/>
      <c r="H83" s="787"/>
      <c r="I83" s="787"/>
      <c r="J83" s="788"/>
      <c r="K83" s="244">
        <v>2</v>
      </c>
      <c r="L83" s="224">
        <v>122</v>
      </c>
      <c r="M83" s="224">
        <v>2</v>
      </c>
      <c r="O83" s="491">
        <v>0</v>
      </c>
      <c r="P83" s="491">
        <v>2</v>
      </c>
    </row>
    <row r="84" spans="1:16">
      <c r="A84" s="242" t="s">
        <v>1000</v>
      </c>
      <c r="B84" s="781"/>
      <c r="C84" s="786" t="s">
        <v>785</v>
      </c>
      <c r="D84" s="787"/>
      <c r="E84" s="787"/>
      <c r="F84" s="787"/>
      <c r="G84" s="787"/>
      <c r="H84" s="787"/>
      <c r="I84" s="787"/>
      <c r="J84" s="788"/>
      <c r="K84" s="434">
        <v>2</v>
      </c>
      <c r="L84" s="224">
        <v>124</v>
      </c>
      <c r="M84" s="224">
        <v>4</v>
      </c>
      <c r="O84" s="491">
        <v>0</v>
      </c>
      <c r="P84" s="491">
        <v>3</v>
      </c>
    </row>
    <row r="85" spans="1:16">
      <c r="A85" s="241" t="s">
        <v>1001</v>
      </c>
      <c r="B85" s="781"/>
      <c r="C85" s="786" t="s">
        <v>786</v>
      </c>
      <c r="D85" s="787"/>
      <c r="E85" s="787"/>
      <c r="F85" s="787"/>
      <c r="G85" s="787"/>
      <c r="H85" s="787"/>
      <c r="I85" s="787"/>
      <c r="J85" s="788"/>
      <c r="K85" s="244">
        <v>2</v>
      </c>
      <c r="L85" s="224">
        <v>126</v>
      </c>
      <c r="M85" s="224">
        <v>6</v>
      </c>
      <c r="O85" s="491">
        <v>0</v>
      </c>
      <c r="P85" s="491">
        <v>4</v>
      </c>
    </row>
    <row r="86" spans="1:16">
      <c r="A86" s="242" t="s">
        <v>1002</v>
      </c>
      <c r="B86" s="781"/>
      <c r="C86" s="786" t="s">
        <v>787</v>
      </c>
      <c r="D86" s="787"/>
      <c r="E86" s="787"/>
      <c r="F86" s="787"/>
      <c r="G86" s="787"/>
      <c r="H86" s="787"/>
      <c r="I86" s="787"/>
      <c r="J86" s="788"/>
      <c r="K86" s="244">
        <v>2</v>
      </c>
      <c r="L86" s="224">
        <v>128</v>
      </c>
      <c r="M86" s="224">
        <v>8</v>
      </c>
      <c r="O86" s="491">
        <v>2</v>
      </c>
      <c r="P86" s="491">
        <v>5</v>
      </c>
    </row>
    <row r="87" spans="1:16">
      <c r="A87" s="241" t="s">
        <v>1003</v>
      </c>
      <c r="B87" s="781"/>
      <c r="C87" s="786" t="s">
        <v>788</v>
      </c>
      <c r="D87" s="787"/>
      <c r="E87" s="787"/>
      <c r="F87" s="787"/>
      <c r="G87" s="787"/>
      <c r="H87" s="787"/>
      <c r="I87" s="787"/>
      <c r="J87" s="788"/>
      <c r="K87" s="244">
        <v>2</v>
      </c>
      <c r="L87" s="224">
        <v>130</v>
      </c>
      <c r="M87" s="224">
        <v>10</v>
      </c>
      <c r="O87" s="491" t="s">
        <v>1351</v>
      </c>
      <c r="P87" s="491">
        <v>6</v>
      </c>
    </row>
    <row r="88" spans="1:16">
      <c r="A88" s="242" t="s">
        <v>1004</v>
      </c>
      <c r="B88" s="781"/>
      <c r="C88" s="786" t="s">
        <v>789</v>
      </c>
      <c r="D88" s="787"/>
      <c r="E88" s="787"/>
      <c r="F88" s="787"/>
      <c r="G88" s="787"/>
      <c r="H88" s="787"/>
      <c r="I88" s="787"/>
      <c r="J88" s="788"/>
      <c r="K88" s="244">
        <v>2</v>
      </c>
      <c r="L88" s="224">
        <v>132</v>
      </c>
      <c r="M88" s="224">
        <v>12</v>
      </c>
      <c r="O88" s="491" t="s">
        <v>1352</v>
      </c>
      <c r="P88" s="491">
        <v>7</v>
      </c>
    </row>
    <row r="89" spans="1:16" ht="17.25" thickBot="1">
      <c r="A89" s="122" t="s">
        <v>1005</v>
      </c>
      <c r="B89" s="782"/>
      <c r="C89" s="789" t="s">
        <v>790</v>
      </c>
      <c r="D89" s="790"/>
      <c r="E89" s="790"/>
      <c r="F89" s="790"/>
      <c r="G89" s="790"/>
      <c r="H89" s="790"/>
      <c r="I89" s="790"/>
      <c r="J89" s="791"/>
      <c r="K89" s="433">
        <v>2</v>
      </c>
      <c r="L89" s="224">
        <v>134</v>
      </c>
      <c r="M89" s="224">
        <v>14</v>
      </c>
      <c r="O89" s="491">
        <v>44</v>
      </c>
      <c r="P89" s="491">
        <v>8</v>
      </c>
    </row>
    <row r="90" spans="1:16" s="224" customFormat="1" ht="23.25" thickBot="1">
      <c r="A90" s="123" t="s">
        <v>1069</v>
      </c>
      <c r="B90" s="429" t="s">
        <v>1068</v>
      </c>
      <c r="C90" s="468" t="s">
        <v>1077</v>
      </c>
      <c r="D90" s="469" t="s">
        <v>1076</v>
      </c>
      <c r="E90" s="469" t="s">
        <v>1075</v>
      </c>
      <c r="F90" s="469" t="s">
        <v>1074</v>
      </c>
      <c r="G90" s="469" t="s">
        <v>1073</v>
      </c>
      <c r="H90" s="469" t="s">
        <v>1072</v>
      </c>
      <c r="I90" s="469" t="s">
        <v>1071</v>
      </c>
      <c r="J90" s="470" t="s">
        <v>1070</v>
      </c>
      <c r="K90" s="431">
        <v>2</v>
      </c>
      <c r="L90" s="224">
        <v>136</v>
      </c>
      <c r="M90" s="224">
        <v>16</v>
      </c>
      <c r="N90" s="491"/>
      <c r="O90" s="491">
        <v>40</v>
      </c>
      <c r="P90" s="491">
        <v>0</v>
      </c>
    </row>
    <row r="91" spans="1:16" ht="16.5" customHeight="1" thickBot="1">
      <c r="A91" s="230"/>
      <c r="B91" s="230" t="s">
        <v>124</v>
      </c>
      <c r="C91" s="1014" t="s">
        <v>125</v>
      </c>
      <c r="D91" s="1015"/>
      <c r="E91" s="1015"/>
      <c r="F91" s="1015"/>
      <c r="G91" s="1015"/>
      <c r="H91" s="1015"/>
      <c r="I91" s="1015"/>
      <c r="J91" s="1016"/>
      <c r="K91" s="230">
        <v>2</v>
      </c>
      <c r="L91" s="224">
        <v>138</v>
      </c>
      <c r="M91" s="224">
        <v>18</v>
      </c>
      <c r="N91" s="491">
        <v>1</v>
      </c>
      <c r="O91" s="491">
        <v>29</v>
      </c>
      <c r="P91" s="491">
        <v>3</v>
      </c>
    </row>
    <row r="92" spans="1:16" s="491" customFormat="1" ht="16.5" customHeight="1" thickBot="1">
      <c r="A92" s="563"/>
      <c r="B92" s="563"/>
      <c r="C92" s="885" t="s">
        <v>1320</v>
      </c>
      <c r="D92" s="886"/>
      <c r="E92" s="886"/>
      <c r="F92" s="886"/>
      <c r="G92" s="886"/>
      <c r="H92" s="886"/>
      <c r="I92" s="886"/>
      <c r="J92" s="887"/>
      <c r="K92" s="563">
        <v>2</v>
      </c>
      <c r="N92" s="491">
        <v>1</v>
      </c>
      <c r="O92" s="491">
        <v>10</v>
      </c>
      <c r="P92" s="491">
        <v>1</v>
      </c>
    </row>
    <row r="93" spans="1:16">
      <c r="A93" s="837"/>
      <c r="B93" s="780" t="s">
        <v>848</v>
      </c>
      <c r="C93" s="891" t="s">
        <v>760</v>
      </c>
      <c r="D93" s="892"/>
      <c r="E93" s="892"/>
      <c r="F93" s="893"/>
      <c r="G93" s="894" t="s">
        <v>759</v>
      </c>
      <c r="H93" s="892"/>
      <c r="I93" s="892"/>
      <c r="J93" s="895"/>
      <c r="K93" s="837">
        <v>2</v>
      </c>
      <c r="L93" s="224"/>
      <c r="O93" s="491" t="s">
        <v>1353</v>
      </c>
      <c r="P93" s="491"/>
    </row>
    <row r="94" spans="1:16">
      <c r="A94" s="874"/>
      <c r="B94" s="781"/>
      <c r="C94" s="276" t="s">
        <v>761</v>
      </c>
      <c r="D94" s="485" t="s">
        <v>1122</v>
      </c>
      <c r="E94" s="485" t="s">
        <v>1123</v>
      </c>
      <c r="F94" s="278" t="s">
        <v>763</v>
      </c>
      <c r="G94" s="277" t="s">
        <v>761</v>
      </c>
      <c r="H94" s="484" t="s">
        <v>1122</v>
      </c>
      <c r="I94" s="484" t="s">
        <v>1123</v>
      </c>
      <c r="J94" s="279" t="s">
        <v>763</v>
      </c>
      <c r="K94" s="909"/>
      <c r="L94" s="224">
        <v>140</v>
      </c>
      <c r="M94" s="224">
        <v>0</v>
      </c>
      <c r="N94" s="491">
        <v>28</v>
      </c>
      <c r="O94" s="491">
        <v>0</v>
      </c>
      <c r="P94" s="491">
        <v>29</v>
      </c>
    </row>
    <row r="95" spans="1:16">
      <c r="A95" s="231"/>
      <c r="B95" s="781"/>
      <c r="C95" s="341" t="s">
        <v>735</v>
      </c>
      <c r="D95" s="331" t="s">
        <v>833</v>
      </c>
      <c r="E95" s="342" t="s">
        <v>657</v>
      </c>
      <c r="F95" s="342" t="s">
        <v>126</v>
      </c>
      <c r="G95" s="342" t="s">
        <v>735</v>
      </c>
      <c r="H95" s="331" t="s">
        <v>833</v>
      </c>
      <c r="I95" s="342" t="s">
        <v>657</v>
      </c>
      <c r="J95" s="343" t="s">
        <v>126</v>
      </c>
      <c r="K95" s="339">
        <v>2</v>
      </c>
      <c r="L95" s="224">
        <v>142</v>
      </c>
      <c r="M95" s="224">
        <v>2</v>
      </c>
      <c r="N95" s="491">
        <v>77</v>
      </c>
      <c r="O95" s="491">
        <v>99</v>
      </c>
      <c r="P95" s="491">
        <v>77</v>
      </c>
    </row>
    <row r="96" spans="1:16">
      <c r="A96" s="231"/>
      <c r="B96" s="781"/>
      <c r="C96" s="341" t="s">
        <v>685</v>
      </c>
      <c r="D96" s="342" t="s">
        <v>737</v>
      </c>
      <c r="E96" s="342" t="s">
        <v>694</v>
      </c>
      <c r="F96" s="342" t="s">
        <v>738</v>
      </c>
      <c r="G96" s="342" t="s">
        <v>685</v>
      </c>
      <c r="H96" s="342" t="s">
        <v>737</v>
      </c>
      <c r="I96" s="342" t="s">
        <v>694</v>
      </c>
      <c r="J96" s="343" t="s">
        <v>738</v>
      </c>
      <c r="K96" s="339">
        <v>2</v>
      </c>
      <c r="L96" s="224">
        <v>144</v>
      </c>
      <c r="M96" s="224">
        <v>4</v>
      </c>
      <c r="N96" s="491">
        <v>22</v>
      </c>
      <c r="O96" s="491">
        <v>40</v>
      </c>
      <c r="P96" s="491">
        <v>11</v>
      </c>
    </row>
    <row r="97" spans="1:16">
      <c r="A97" s="231"/>
      <c r="B97" s="781"/>
      <c r="C97" s="280" t="s">
        <v>265</v>
      </c>
      <c r="D97" s="342" t="s">
        <v>740</v>
      </c>
      <c r="E97" s="342" t="s">
        <v>748</v>
      </c>
      <c r="F97" s="342" t="s">
        <v>749</v>
      </c>
      <c r="G97" s="280" t="s">
        <v>265</v>
      </c>
      <c r="H97" s="342" t="s">
        <v>740</v>
      </c>
      <c r="I97" s="342" t="s">
        <v>748</v>
      </c>
      <c r="J97" s="343" t="s">
        <v>749</v>
      </c>
      <c r="K97" s="339">
        <v>2</v>
      </c>
      <c r="L97" s="224">
        <v>146</v>
      </c>
      <c r="M97" s="224">
        <v>6</v>
      </c>
      <c r="N97" s="491">
        <v>77</v>
      </c>
      <c r="O97" s="491">
        <v>3</v>
      </c>
      <c r="P97" s="491">
        <v>0</v>
      </c>
    </row>
    <row r="98" spans="1:16">
      <c r="A98" s="231"/>
      <c r="B98" s="781"/>
      <c r="C98" s="341" t="s">
        <v>741</v>
      </c>
      <c r="D98" s="342" t="s">
        <v>742</v>
      </c>
      <c r="E98" s="342" t="s">
        <v>743</v>
      </c>
      <c r="F98" s="342" t="s">
        <v>744</v>
      </c>
      <c r="G98" s="342" t="s">
        <v>741</v>
      </c>
      <c r="H98" s="342" t="s">
        <v>742</v>
      </c>
      <c r="I98" s="342" t="s">
        <v>743</v>
      </c>
      <c r="J98" s="343" t="s">
        <v>744</v>
      </c>
      <c r="K98" s="339">
        <v>2</v>
      </c>
      <c r="L98" s="224">
        <v>148</v>
      </c>
      <c r="M98" s="224">
        <v>8</v>
      </c>
      <c r="N98" s="491" t="s">
        <v>1680</v>
      </c>
      <c r="O98" s="491">
        <v>0</v>
      </c>
      <c r="P98" s="491">
        <v>0</v>
      </c>
    </row>
    <row r="99" spans="1:16">
      <c r="A99" s="231"/>
      <c r="B99" s="781"/>
      <c r="C99" s="341" t="s">
        <v>752</v>
      </c>
      <c r="D99" s="342" t="s">
        <v>753</v>
      </c>
      <c r="E99" s="342" t="s">
        <v>754</v>
      </c>
      <c r="F99" s="342" t="s">
        <v>755</v>
      </c>
      <c r="G99" s="342" t="s">
        <v>752</v>
      </c>
      <c r="H99" s="342" t="s">
        <v>753</v>
      </c>
      <c r="I99" s="342" t="s">
        <v>754</v>
      </c>
      <c r="J99" s="343" t="s">
        <v>755</v>
      </c>
      <c r="K99" s="339">
        <v>2</v>
      </c>
      <c r="L99" s="224">
        <v>150</v>
      </c>
      <c r="M99" s="224">
        <v>10</v>
      </c>
      <c r="N99" s="491" t="s">
        <v>1680</v>
      </c>
      <c r="O99" s="491" t="s">
        <v>1352</v>
      </c>
      <c r="P99" s="491">
        <v>0</v>
      </c>
    </row>
    <row r="100" spans="1:16">
      <c r="A100" s="231"/>
      <c r="B100" s="781"/>
      <c r="C100" s="341" t="s">
        <v>757</v>
      </c>
      <c r="D100" s="280" t="s">
        <v>265</v>
      </c>
      <c r="E100" s="342" t="s">
        <v>837</v>
      </c>
      <c r="F100" s="342" t="s">
        <v>836</v>
      </c>
      <c r="G100" s="342" t="s">
        <v>757</v>
      </c>
      <c r="H100" s="280" t="s">
        <v>265</v>
      </c>
      <c r="I100" s="342" t="s">
        <v>660</v>
      </c>
      <c r="J100" s="343" t="s">
        <v>661</v>
      </c>
      <c r="K100" s="339">
        <v>2</v>
      </c>
      <c r="L100" s="224">
        <v>152</v>
      </c>
      <c r="M100" s="224">
        <v>12</v>
      </c>
      <c r="N100" s="491">
        <v>88</v>
      </c>
      <c r="O100" s="491" t="s">
        <v>1352</v>
      </c>
      <c r="P100" s="491">
        <v>0</v>
      </c>
    </row>
    <row r="101" spans="1:16">
      <c r="A101" s="231"/>
      <c r="B101" s="781"/>
      <c r="C101" s="280" t="s">
        <v>265</v>
      </c>
      <c r="D101" s="280" t="s">
        <v>265</v>
      </c>
      <c r="E101" s="342" t="s">
        <v>839</v>
      </c>
      <c r="F101" s="342" t="s">
        <v>838</v>
      </c>
      <c r="G101" s="280" t="s">
        <v>265</v>
      </c>
      <c r="H101" s="280" t="s">
        <v>265</v>
      </c>
      <c r="I101" s="342" t="s">
        <v>662</v>
      </c>
      <c r="J101" s="343" t="s">
        <v>838</v>
      </c>
      <c r="K101" s="339">
        <v>2</v>
      </c>
      <c r="L101" s="224">
        <v>154</v>
      </c>
      <c r="M101" s="224">
        <v>14</v>
      </c>
      <c r="N101" s="491">
        <v>0</v>
      </c>
      <c r="O101" s="491">
        <v>77</v>
      </c>
      <c r="P101" s="491">
        <v>0</v>
      </c>
    </row>
    <row r="102" spans="1:16" s="224" customFormat="1">
      <c r="A102" s="231"/>
      <c r="B102" s="781"/>
      <c r="C102" s="331" t="s">
        <v>835</v>
      </c>
      <c r="D102" s="280" t="s">
        <v>265</v>
      </c>
      <c r="E102" s="280" t="s">
        <v>265</v>
      </c>
      <c r="F102" s="342" t="s">
        <v>658</v>
      </c>
      <c r="G102" s="331" t="s">
        <v>834</v>
      </c>
      <c r="H102" s="280" t="s">
        <v>265</v>
      </c>
      <c r="I102" s="280" t="s">
        <v>265</v>
      </c>
      <c r="J102" s="343" t="s">
        <v>659</v>
      </c>
      <c r="K102" s="221">
        <v>2</v>
      </c>
      <c r="L102" s="224">
        <v>156</v>
      </c>
      <c r="M102" s="224">
        <v>16</v>
      </c>
      <c r="N102" s="491">
        <v>0</v>
      </c>
      <c r="O102" s="491" t="s">
        <v>1352</v>
      </c>
      <c r="P102" s="491">
        <v>0</v>
      </c>
    </row>
    <row r="103" spans="1:16">
      <c r="A103" s="231"/>
      <c r="B103" s="781"/>
      <c r="C103" s="896" t="s">
        <v>793</v>
      </c>
      <c r="D103" s="809"/>
      <c r="E103" s="809"/>
      <c r="F103" s="897"/>
      <c r="G103" s="808" t="s">
        <v>129</v>
      </c>
      <c r="H103" s="809"/>
      <c r="I103" s="809"/>
      <c r="J103" s="810"/>
      <c r="K103" s="221">
        <v>2</v>
      </c>
      <c r="L103" s="224">
        <v>158</v>
      </c>
      <c r="M103" s="224">
        <v>18</v>
      </c>
      <c r="N103" s="491">
        <v>40</v>
      </c>
      <c r="O103" s="491" t="s">
        <v>1352</v>
      </c>
      <c r="P103" s="491">
        <v>40</v>
      </c>
    </row>
    <row r="104" spans="1:16" ht="17.25" thickBot="1">
      <c r="A104" s="231"/>
      <c r="B104" s="782"/>
      <c r="C104" s="903" t="s">
        <v>794</v>
      </c>
      <c r="D104" s="806"/>
      <c r="E104" s="806"/>
      <c r="F104" s="904"/>
      <c r="G104" s="805" t="s">
        <v>130</v>
      </c>
      <c r="H104" s="806"/>
      <c r="I104" s="806"/>
      <c r="J104" s="807"/>
      <c r="K104" s="220">
        <v>2</v>
      </c>
      <c r="L104" s="224">
        <v>160</v>
      </c>
      <c r="M104" s="224">
        <v>20</v>
      </c>
      <c r="N104" s="491">
        <v>27</v>
      </c>
      <c r="O104" s="491" t="s">
        <v>1354</v>
      </c>
      <c r="P104" s="491">
        <v>13</v>
      </c>
    </row>
    <row r="105" spans="1:16" ht="16.5" customHeight="1">
      <c r="A105" s="837"/>
      <c r="B105" s="780" t="s">
        <v>849</v>
      </c>
      <c r="C105" s="898" t="s">
        <v>922</v>
      </c>
      <c r="D105" s="899"/>
      <c r="E105" s="899"/>
      <c r="F105" s="900"/>
      <c r="G105" s="901" t="s">
        <v>759</v>
      </c>
      <c r="H105" s="899"/>
      <c r="I105" s="899"/>
      <c r="J105" s="902"/>
      <c r="K105" s="837">
        <v>2</v>
      </c>
      <c r="L105" s="224">
        <v>162</v>
      </c>
      <c r="O105" s="491">
        <v>0</v>
      </c>
      <c r="P105" s="491"/>
    </row>
    <row r="106" spans="1:16">
      <c r="A106" s="874"/>
      <c r="B106" s="781"/>
      <c r="C106" s="456" t="s">
        <v>761</v>
      </c>
      <c r="D106" s="486" t="s">
        <v>1122</v>
      </c>
      <c r="E106" s="486" t="s">
        <v>1123</v>
      </c>
      <c r="F106" s="458" t="s">
        <v>763</v>
      </c>
      <c r="G106" s="459" t="s">
        <v>761</v>
      </c>
      <c r="H106" s="487" t="s">
        <v>1122</v>
      </c>
      <c r="I106" s="487" t="s">
        <v>1123</v>
      </c>
      <c r="J106" s="460" t="s">
        <v>763</v>
      </c>
      <c r="K106" s="909"/>
      <c r="L106" s="224">
        <v>164</v>
      </c>
      <c r="O106" s="491">
        <v>99</v>
      </c>
      <c r="P106" s="491">
        <v>28</v>
      </c>
    </row>
    <row r="107" spans="1:16">
      <c r="A107" s="231"/>
      <c r="B107" s="781"/>
      <c r="C107" s="461" t="s">
        <v>735</v>
      </c>
      <c r="D107" s="462" t="s">
        <v>833</v>
      </c>
      <c r="E107" s="463" t="s">
        <v>657</v>
      </c>
      <c r="F107" s="463" t="s">
        <v>126</v>
      </c>
      <c r="G107" s="463" t="s">
        <v>735</v>
      </c>
      <c r="H107" s="462" t="s">
        <v>833</v>
      </c>
      <c r="I107" s="463" t="s">
        <v>657</v>
      </c>
      <c r="J107" s="464" t="s">
        <v>126</v>
      </c>
      <c r="K107" s="339">
        <v>2</v>
      </c>
      <c r="L107" s="224">
        <v>166</v>
      </c>
      <c r="O107" s="491">
        <v>40</v>
      </c>
      <c r="P107" s="491">
        <v>77</v>
      </c>
    </row>
    <row r="108" spans="1:16">
      <c r="A108" s="231"/>
      <c r="B108" s="781"/>
      <c r="C108" s="461" t="s">
        <v>685</v>
      </c>
      <c r="D108" s="463" t="s">
        <v>737</v>
      </c>
      <c r="E108" s="463" t="s">
        <v>694</v>
      </c>
      <c r="F108" s="463" t="s">
        <v>738</v>
      </c>
      <c r="G108" s="463" t="s">
        <v>685</v>
      </c>
      <c r="H108" s="463" t="s">
        <v>737</v>
      </c>
      <c r="I108" s="463" t="s">
        <v>694</v>
      </c>
      <c r="J108" s="464" t="s">
        <v>738</v>
      </c>
      <c r="K108" s="339">
        <v>2</v>
      </c>
      <c r="L108" s="224">
        <v>168</v>
      </c>
      <c r="O108" s="491">
        <v>1</v>
      </c>
      <c r="P108" s="491">
        <v>11</v>
      </c>
    </row>
    <row r="109" spans="1:16">
      <c r="A109" s="231"/>
      <c r="B109" s="781"/>
      <c r="C109" s="457" t="s">
        <v>265</v>
      </c>
      <c r="D109" s="463" t="s">
        <v>740</v>
      </c>
      <c r="E109" s="463" t="s">
        <v>748</v>
      </c>
      <c r="F109" s="463" t="s">
        <v>749</v>
      </c>
      <c r="G109" s="457" t="s">
        <v>265</v>
      </c>
      <c r="H109" s="463" t="s">
        <v>740</v>
      </c>
      <c r="I109" s="463" t="s">
        <v>748</v>
      </c>
      <c r="J109" s="464" t="s">
        <v>749</v>
      </c>
      <c r="K109" s="339">
        <v>2</v>
      </c>
      <c r="L109" s="224">
        <v>170</v>
      </c>
      <c r="O109" s="491">
        <v>0</v>
      </c>
      <c r="P109" s="491">
        <v>0</v>
      </c>
    </row>
    <row r="110" spans="1:16">
      <c r="A110" s="231"/>
      <c r="B110" s="781"/>
      <c r="C110" s="461" t="s">
        <v>741</v>
      </c>
      <c r="D110" s="463" t="s">
        <v>742</v>
      </c>
      <c r="E110" s="463" t="s">
        <v>743</v>
      </c>
      <c r="F110" s="463" t="s">
        <v>744</v>
      </c>
      <c r="G110" s="463" t="s">
        <v>741</v>
      </c>
      <c r="H110" s="463" t="s">
        <v>742</v>
      </c>
      <c r="I110" s="463" t="s">
        <v>743</v>
      </c>
      <c r="J110" s="464" t="s">
        <v>744</v>
      </c>
      <c r="K110" s="339">
        <v>2</v>
      </c>
      <c r="L110" s="224">
        <v>172</v>
      </c>
      <c r="O110" s="491">
        <v>0</v>
      </c>
      <c r="P110" s="491">
        <v>0</v>
      </c>
    </row>
    <row r="111" spans="1:16">
      <c r="A111" s="231"/>
      <c r="B111" s="781"/>
      <c r="C111" s="461" t="s">
        <v>752</v>
      </c>
      <c r="D111" s="463" t="s">
        <v>753</v>
      </c>
      <c r="E111" s="463" t="s">
        <v>754</v>
      </c>
      <c r="F111" s="463" t="s">
        <v>755</v>
      </c>
      <c r="G111" s="463" t="s">
        <v>752</v>
      </c>
      <c r="H111" s="463" t="s">
        <v>753</v>
      </c>
      <c r="I111" s="463" t="s">
        <v>754</v>
      </c>
      <c r="J111" s="464" t="s">
        <v>755</v>
      </c>
      <c r="K111" s="339">
        <v>2</v>
      </c>
      <c r="L111" s="224">
        <v>174</v>
      </c>
      <c r="O111" s="491">
        <v>0</v>
      </c>
      <c r="P111" s="491">
        <v>0</v>
      </c>
    </row>
    <row r="112" spans="1:16">
      <c r="A112" s="231"/>
      <c r="B112" s="781"/>
      <c r="C112" s="461" t="s">
        <v>757</v>
      </c>
      <c r="D112" s="457" t="s">
        <v>265</v>
      </c>
      <c r="E112" s="463" t="s">
        <v>837</v>
      </c>
      <c r="F112" s="463" t="s">
        <v>836</v>
      </c>
      <c r="G112" s="463" t="s">
        <v>757</v>
      </c>
      <c r="H112" s="457" t="s">
        <v>265</v>
      </c>
      <c r="I112" s="463" t="s">
        <v>660</v>
      </c>
      <c r="J112" s="464" t="s">
        <v>661</v>
      </c>
      <c r="K112" s="339">
        <v>2</v>
      </c>
      <c r="L112" s="224">
        <v>176</v>
      </c>
      <c r="O112" s="491">
        <v>0</v>
      </c>
      <c r="P112" s="491">
        <v>0</v>
      </c>
    </row>
    <row r="113" spans="1:16">
      <c r="A113" s="231"/>
      <c r="B113" s="781"/>
      <c r="C113" s="457" t="s">
        <v>265</v>
      </c>
      <c r="D113" s="457" t="s">
        <v>265</v>
      </c>
      <c r="E113" s="463" t="s">
        <v>839</v>
      </c>
      <c r="F113" s="463" t="s">
        <v>838</v>
      </c>
      <c r="G113" s="457" t="s">
        <v>265</v>
      </c>
      <c r="H113" s="457" t="s">
        <v>265</v>
      </c>
      <c r="I113" s="463" t="s">
        <v>662</v>
      </c>
      <c r="J113" s="464" t="s">
        <v>838</v>
      </c>
      <c r="K113" s="339">
        <v>2</v>
      </c>
      <c r="L113" s="224">
        <v>178</v>
      </c>
      <c r="O113" s="491">
        <v>0</v>
      </c>
      <c r="P113" s="491">
        <v>0</v>
      </c>
    </row>
    <row r="114" spans="1:16">
      <c r="A114" s="231"/>
      <c r="B114" s="781"/>
      <c r="C114" s="462" t="s">
        <v>835</v>
      </c>
      <c r="D114" s="457" t="s">
        <v>265</v>
      </c>
      <c r="E114" s="457" t="s">
        <v>265</v>
      </c>
      <c r="F114" s="463" t="s">
        <v>658</v>
      </c>
      <c r="G114" s="462" t="s">
        <v>834</v>
      </c>
      <c r="H114" s="457" t="s">
        <v>265</v>
      </c>
      <c r="I114" s="457" t="s">
        <v>265</v>
      </c>
      <c r="J114" s="464" t="s">
        <v>659</v>
      </c>
      <c r="K114" s="221">
        <v>2</v>
      </c>
      <c r="L114" s="224">
        <v>180</v>
      </c>
      <c r="O114" s="491">
        <v>0</v>
      </c>
      <c r="P114" s="491">
        <v>0</v>
      </c>
    </row>
    <row r="115" spans="1:16">
      <c r="A115" s="231"/>
      <c r="B115" s="781"/>
      <c r="C115" s="875" t="s">
        <v>793</v>
      </c>
      <c r="D115" s="876"/>
      <c r="E115" s="876"/>
      <c r="F115" s="877"/>
      <c r="G115" s="878" t="s">
        <v>129</v>
      </c>
      <c r="H115" s="876"/>
      <c r="I115" s="876"/>
      <c r="J115" s="879"/>
      <c r="K115" s="221">
        <v>2</v>
      </c>
      <c r="L115" s="224">
        <v>182</v>
      </c>
      <c r="O115" s="491">
        <v>0</v>
      </c>
      <c r="P115" s="491">
        <v>40</v>
      </c>
    </row>
    <row r="116" spans="1:16" ht="17.25" thickBot="1">
      <c r="A116" s="231"/>
      <c r="B116" s="782"/>
      <c r="C116" s="880" t="s">
        <v>794</v>
      </c>
      <c r="D116" s="881"/>
      <c r="E116" s="881"/>
      <c r="F116" s="882"/>
      <c r="G116" s="883" t="s">
        <v>130</v>
      </c>
      <c r="H116" s="881"/>
      <c r="I116" s="881"/>
      <c r="J116" s="884"/>
      <c r="K116" s="220">
        <v>2</v>
      </c>
      <c r="L116" s="224">
        <v>184</v>
      </c>
      <c r="O116" s="491">
        <v>0</v>
      </c>
      <c r="P116" s="491">
        <v>19</v>
      </c>
    </row>
    <row r="117" spans="1:16">
      <c r="A117" s="837"/>
      <c r="B117" s="780" t="s">
        <v>850</v>
      </c>
      <c r="C117" s="891" t="s">
        <v>760</v>
      </c>
      <c r="D117" s="892"/>
      <c r="E117" s="892"/>
      <c r="F117" s="893"/>
      <c r="G117" s="894" t="s">
        <v>759</v>
      </c>
      <c r="H117" s="892"/>
      <c r="I117" s="892"/>
      <c r="J117" s="895"/>
      <c r="K117" s="837">
        <v>2</v>
      </c>
      <c r="L117" s="224">
        <v>186</v>
      </c>
      <c r="O117" s="491">
        <v>0</v>
      </c>
      <c r="P117" s="491"/>
    </row>
    <row r="118" spans="1:16">
      <c r="A118" s="874"/>
      <c r="B118" s="781"/>
      <c r="C118" s="276" t="s">
        <v>761</v>
      </c>
      <c r="D118" s="489" t="s">
        <v>1122</v>
      </c>
      <c r="E118" s="489" t="s">
        <v>1123</v>
      </c>
      <c r="F118" s="278" t="s">
        <v>763</v>
      </c>
      <c r="G118" s="277" t="s">
        <v>761</v>
      </c>
      <c r="H118" s="488" t="s">
        <v>1122</v>
      </c>
      <c r="I118" s="488" t="s">
        <v>1123</v>
      </c>
      <c r="J118" s="279" t="s">
        <v>763</v>
      </c>
      <c r="K118" s="909"/>
      <c r="L118" s="224">
        <v>188</v>
      </c>
      <c r="O118" s="491">
        <v>0</v>
      </c>
      <c r="P118" s="491">
        <v>0</v>
      </c>
    </row>
    <row r="119" spans="1:16">
      <c r="A119" s="231"/>
      <c r="B119" s="781"/>
      <c r="C119" s="341" t="s">
        <v>735</v>
      </c>
      <c r="D119" s="331" t="s">
        <v>833</v>
      </c>
      <c r="E119" s="342" t="s">
        <v>657</v>
      </c>
      <c r="F119" s="342" t="s">
        <v>126</v>
      </c>
      <c r="G119" s="342" t="s">
        <v>735</v>
      </c>
      <c r="H119" s="331" t="s">
        <v>833</v>
      </c>
      <c r="I119" s="342" t="s">
        <v>657</v>
      </c>
      <c r="J119" s="343" t="s">
        <v>126</v>
      </c>
      <c r="K119" s="339">
        <v>2</v>
      </c>
      <c r="L119" s="224">
        <v>190</v>
      </c>
      <c r="O119" s="491">
        <v>0</v>
      </c>
      <c r="P119" s="491" t="s">
        <v>1352</v>
      </c>
    </row>
    <row r="120" spans="1:16">
      <c r="A120" s="231"/>
      <c r="B120" s="781"/>
      <c r="C120" s="341" t="s">
        <v>685</v>
      </c>
      <c r="D120" s="342" t="s">
        <v>737</v>
      </c>
      <c r="E120" s="342" t="s">
        <v>694</v>
      </c>
      <c r="F120" s="342" t="s">
        <v>738</v>
      </c>
      <c r="G120" s="342" t="s">
        <v>685</v>
      </c>
      <c r="H120" s="342" t="s">
        <v>737</v>
      </c>
      <c r="I120" s="342" t="s">
        <v>694</v>
      </c>
      <c r="J120" s="343" t="s">
        <v>738</v>
      </c>
      <c r="K120" s="339">
        <v>2</v>
      </c>
      <c r="L120" s="224">
        <v>192</v>
      </c>
      <c r="O120" s="491">
        <v>0</v>
      </c>
      <c r="P120" s="491" t="s">
        <v>1352</v>
      </c>
    </row>
    <row r="121" spans="1:16">
      <c r="A121" s="231"/>
      <c r="B121" s="781"/>
      <c r="C121" s="280" t="s">
        <v>265</v>
      </c>
      <c r="D121" s="342" t="s">
        <v>740</v>
      </c>
      <c r="E121" s="342" t="s">
        <v>748</v>
      </c>
      <c r="F121" s="342" t="s">
        <v>749</v>
      </c>
      <c r="G121" s="280" t="s">
        <v>265</v>
      </c>
      <c r="H121" s="342" t="s">
        <v>740</v>
      </c>
      <c r="I121" s="342" t="s">
        <v>748</v>
      </c>
      <c r="J121" s="343" t="s">
        <v>749</v>
      </c>
      <c r="K121" s="339">
        <v>2</v>
      </c>
      <c r="L121" s="224">
        <v>194</v>
      </c>
      <c r="O121" s="491">
        <v>0</v>
      </c>
      <c r="P121" s="491">
        <v>77</v>
      </c>
    </row>
    <row r="122" spans="1:16">
      <c r="A122" s="231"/>
      <c r="B122" s="781"/>
      <c r="C122" s="341" t="s">
        <v>741</v>
      </c>
      <c r="D122" s="342" t="s">
        <v>742</v>
      </c>
      <c r="E122" s="342" t="s">
        <v>743</v>
      </c>
      <c r="F122" s="342" t="s">
        <v>744</v>
      </c>
      <c r="G122" s="342" t="s">
        <v>741</v>
      </c>
      <c r="H122" s="342" t="s">
        <v>742</v>
      </c>
      <c r="I122" s="342" t="s">
        <v>743</v>
      </c>
      <c r="J122" s="343" t="s">
        <v>744</v>
      </c>
      <c r="K122" s="339">
        <v>2</v>
      </c>
      <c r="L122" s="224">
        <v>196</v>
      </c>
      <c r="O122" s="491">
        <v>0</v>
      </c>
      <c r="P122" s="491" t="s">
        <v>1352</v>
      </c>
    </row>
    <row r="123" spans="1:16">
      <c r="A123" s="231"/>
      <c r="B123" s="781"/>
      <c r="C123" s="341" t="s">
        <v>752</v>
      </c>
      <c r="D123" s="342" t="s">
        <v>753</v>
      </c>
      <c r="E123" s="342" t="s">
        <v>754</v>
      </c>
      <c r="F123" s="342" t="s">
        <v>755</v>
      </c>
      <c r="G123" s="342" t="s">
        <v>752</v>
      </c>
      <c r="H123" s="342" t="s">
        <v>753</v>
      </c>
      <c r="I123" s="342" t="s">
        <v>754</v>
      </c>
      <c r="J123" s="343" t="s">
        <v>755</v>
      </c>
      <c r="K123" s="339">
        <v>2</v>
      </c>
      <c r="L123" s="224">
        <v>198</v>
      </c>
      <c r="O123" s="491">
        <v>0</v>
      </c>
      <c r="P123" s="491" t="s">
        <v>1352</v>
      </c>
    </row>
    <row r="124" spans="1:16">
      <c r="A124" s="231"/>
      <c r="B124" s="781"/>
      <c r="C124" s="341" t="s">
        <v>757</v>
      </c>
      <c r="D124" s="280" t="s">
        <v>265</v>
      </c>
      <c r="E124" s="342" t="s">
        <v>837</v>
      </c>
      <c r="F124" s="342" t="s">
        <v>836</v>
      </c>
      <c r="G124" s="342" t="s">
        <v>757</v>
      </c>
      <c r="H124" s="280" t="s">
        <v>265</v>
      </c>
      <c r="I124" s="342" t="s">
        <v>660</v>
      </c>
      <c r="J124" s="343" t="s">
        <v>661</v>
      </c>
      <c r="K124" s="339">
        <v>2</v>
      </c>
      <c r="L124" s="224">
        <v>200</v>
      </c>
      <c r="O124" s="491">
        <v>0</v>
      </c>
      <c r="P124" s="491" t="s">
        <v>1354</v>
      </c>
    </row>
    <row r="125" spans="1:16">
      <c r="A125" s="231"/>
      <c r="B125" s="781"/>
      <c r="C125" s="280" t="s">
        <v>265</v>
      </c>
      <c r="D125" s="280" t="s">
        <v>265</v>
      </c>
      <c r="E125" s="342" t="s">
        <v>839</v>
      </c>
      <c r="F125" s="342" t="s">
        <v>838</v>
      </c>
      <c r="G125" s="280" t="s">
        <v>265</v>
      </c>
      <c r="H125" s="280" t="s">
        <v>265</v>
      </c>
      <c r="I125" s="342" t="s">
        <v>662</v>
      </c>
      <c r="J125" s="343" t="s">
        <v>838</v>
      </c>
      <c r="K125" s="339">
        <v>2</v>
      </c>
      <c r="L125" s="224">
        <v>202</v>
      </c>
      <c r="O125" s="491">
        <v>0</v>
      </c>
      <c r="P125" s="491">
        <v>0</v>
      </c>
    </row>
    <row r="126" spans="1:16">
      <c r="A126" s="231"/>
      <c r="B126" s="781"/>
      <c r="C126" s="331" t="s">
        <v>835</v>
      </c>
      <c r="D126" s="280" t="s">
        <v>265</v>
      </c>
      <c r="E126" s="280" t="s">
        <v>265</v>
      </c>
      <c r="F126" s="342" t="s">
        <v>658</v>
      </c>
      <c r="G126" s="331" t="s">
        <v>834</v>
      </c>
      <c r="H126" s="280" t="s">
        <v>265</v>
      </c>
      <c r="I126" s="280" t="s">
        <v>265</v>
      </c>
      <c r="J126" s="343" t="s">
        <v>659</v>
      </c>
      <c r="K126" s="221">
        <v>2</v>
      </c>
      <c r="L126" s="224">
        <v>204</v>
      </c>
      <c r="O126" s="491">
        <v>0</v>
      </c>
      <c r="P126" s="491">
        <v>99</v>
      </c>
    </row>
    <row r="127" spans="1:16">
      <c r="A127" s="231"/>
      <c r="B127" s="781"/>
      <c r="C127" s="896" t="s">
        <v>793</v>
      </c>
      <c r="D127" s="809"/>
      <c r="E127" s="809"/>
      <c r="F127" s="897"/>
      <c r="G127" s="808" t="s">
        <v>129</v>
      </c>
      <c r="H127" s="809"/>
      <c r="I127" s="809"/>
      <c r="J127" s="810"/>
      <c r="K127" s="221">
        <v>2</v>
      </c>
      <c r="L127" s="224">
        <v>206</v>
      </c>
      <c r="O127" s="491">
        <v>0</v>
      </c>
      <c r="P127" s="491">
        <v>40</v>
      </c>
    </row>
    <row r="128" spans="1:16" ht="17.25" thickBot="1">
      <c r="A128" s="231"/>
      <c r="B128" s="782"/>
      <c r="C128" s="903" t="s">
        <v>794</v>
      </c>
      <c r="D128" s="806"/>
      <c r="E128" s="806"/>
      <c r="F128" s="904"/>
      <c r="G128" s="805" t="s">
        <v>130</v>
      </c>
      <c r="H128" s="806"/>
      <c r="I128" s="806"/>
      <c r="J128" s="807"/>
      <c r="K128" s="220">
        <v>2</v>
      </c>
      <c r="L128" s="224">
        <v>208</v>
      </c>
      <c r="O128" s="491">
        <v>0</v>
      </c>
      <c r="P128" s="491">
        <v>19</v>
      </c>
    </row>
    <row r="129" spans="1:16">
      <c r="A129" s="837"/>
      <c r="B129" s="780" t="s">
        <v>851</v>
      </c>
      <c r="C129" s="898" t="s">
        <v>760</v>
      </c>
      <c r="D129" s="899"/>
      <c r="E129" s="899"/>
      <c r="F129" s="900"/>
      <c r="G129" s="901" t="s">
        <v>759</v>
      </c>
      <c r="H129" s="899"/>
      <c r="I129" s="899"/>
      <c r="J129" s="902"/>
      <c r="K129" s="837">
        <v>2</v>
      </c>
      <c r="L129" s="224">
        <v>210</v>
      </c>
      <c r="O129" s="491">
        <v>0</v>
      </c>
      <c r="P129" s="491"/>
    </row>
    <row r="130" spans="1:16">
      <c r="A130" s="874"/>
      <c r="B130" s="781"/>
      <c r="C130" s="456" t="s">
        <v>761</v>
      </c>
      <c r="D130" s="490" t="s">
        <v>1122</v>
      </c>
      <c r="E130" s="490" t="s">
        <v>1123</v>
      </c>
      <c r="F130" s="458" t="s">
        <v>763</v>
      </c>
      <c r="G130" s="459" t="s">
        <v>761</v>
      </c>
      <c r="H130" s="493" t="s">
        <v>1122</v>
      </c>
      <c r="I130" s="493" t="s">
        <v>1123</v>
      </c>
      <c r="J130" s="460" t="s">
        <v>763</v>
      </c>
      <c r="K130" s="909"/>
      <c r="L130" s="224">
        <v>212</v>
      </c>
      <c r="O130" s="491">
        <v>0</v>
      </c>
      <c r="P130" s="491">
        <v>0</v>
      </c>
    </row>
    <row r="131" spans="1:16">
      <c r="A131" s="231"/>
      <c r="B131" s="781"/>
      <c r="C131" s="461" t="s">
        <v>735</v>
      </c>
      <c r="D131" s="462" t="s">
        <v>833</v>
      </c>
      <c r="E131" s="463" t="s">
        <v>657</v>
      </c>
      <c r="F131" s="463" t="s">
        <v>126</v>
      </c>
      <c r="G131" s="463" t="s">
        <v>735</v>
      </c>
      <c r="H131" s="462" t="s">
        <v>833</v>
      </c>
      <c r="I131" s="463" t="s">
        <v>657</v>
      </c>
      <c r="J131" s="464" t="s">
        <v>126</v>
      </c>
      <c r="K131" s="339">
        <v>2</v>
      </c>
      <c r="L131" s="224">
        <v>214</v>
      </c>
      <c r="O131" s="491">
        <v>2</v>
      </c>
      <c r="P131" s="491">
        <v>0</v>
      </c>
    </row>
    <row r="132" spans="1:16">
      <c r="A132" s="231"/>
      <c r="B132" s="781"/>
      <c r="C132" s="461" t="s">
        <v>685</v>
      </c>
      <c r="D132" s="463" t="s">
        <v>737</v>
      </c>
      <c r="E132" s="463" t="s">
        <v>694</v>
      </c>
      <c r="F132" s="463" t="s">
        <v>738</v>
      </c>
      <c r="G132" s="463" t="s">
        <v>685</v>
      </c>
      <c r="H132" s="463" t="s">
        <v>737</v>
      </c>
      <c r="I132" s="463" t="s">
        <v>694</v>
      </c>
      <c r="J132" s="464" t="s">
        <v>738</v>
      </c>
      <c r="K132" s="339">
        <v>2</v>
      </c>
      <c r="L132" s="224">
        <v>216</v>
      </c>
      <c r="O132" s="491" t="s">
        <v>1355</v>
      </c>
      <c r="P132" s="491">
        <v>0</v>
      </c>
    </row>
    <row r="133" spans="1:16">
      <c r="A133" s="231"/>
      <c r="B133" s="781"/>
      <c r="C133" s="457" t="s">
        <v>265</v>
      </c>
      <c r="D133" s="463" t="s">
        <v>740</v>
      </c>
      <c r="E133" s="463" t="s">
        <v>748</v>
      </c>
      <c r="F133" s="463" t="s">
        <v>749</v>
      </c>
      <c r="G133" s="457" t="s">
        <v>265</v>
      </c>
      <c r="H133" s="463" t="s">
        <v>740</v>
      </c>
      <c r="I133" s="463" t="s">
        <v>748</v>
      </c>
      <c r="J133" s="464" t="s">
        <v>749</v>
      </c>
      <c r="K133" s="339">
        <v>2</v>
      </c>
      <c r="L133" s="224">
        <v>218</v>
      </c>
      <c r="O133" s="491" t="s">
        <v>1356</v>
      </c>
      <c r="P133" s="491">
        <v>0</v>
      </c>
    </row>
    <row r="134" spans="1:16">
      <c r="A134" s="231"/>
      <c r="B134" s="781"/>
      <c r="C134" s="461" t="s">
        <v>741</v>
      </c>
      <c r="D134" s="463" t="s">
        <v>742</v>
      </c>
      <c r="E134" s="463" t="s">
        <v>743</v>
      </c>
      <c r="F134" s="463" t="s">
        <v>744</v>
      </c>
      <c r="G134" s="463" t="s">
        <v>741</v>
      </c>
      <c r="H134" s="463" t="s">
        <v>742</v>
      </c>
      <c r="I134" s="463" t="s">
        <v>743</v>
      </c>
      <c r="J134" s="464" t="s">
        <v>744</v>
      </c>
      <c r="K134" s="339">
        <v>2</v>
      </c>
      <c r="L134" s="224">
        <v>220</v>
      </c>
      <c r="P134" s="491">
        <v>0</v>
      </c>
    </row>
    <row r="135" spans="1:16">
      <c r="A135" s="231"/>
      <c r="B135" s="781"/>
      <c r="C135" s="461" t="s">
        <v>752</v>
      </c>
      <c r="D135" s="463" t="s">
        <v>753</v>
      </c>
      <c r="E135" s="463" t="s">
        <v>754</v>
      </c>
      <c r="F135" s="463" t="s">
        <v>755</v>
      </c>
      <c r="G135" s="463" t="s">
        <v>752</v>
      </c>
      <c r="H135" s="463" t="s">
        <v>753</v>
      </c>
      <c r="I135" s="463" t="s">
        <v>754</v>
      </c>
      <c r="J135" s="464" t="s">
        <v>755</v>
      </c>
      <c r="K135" s="339">
        <v>2</v>
      </c>
      <c r="L135" s="224">
        <v>222</v>
      </c>
      <c r="P135" s="491">
        <v>0</v>
      </c>
    </row>
    <row r="136" spans="1:16">
      <c r="A136" s="231"/>
      <c r="B136" s="781"/>
      <c r="C136" s="461" t="s">
        <v>757</v>
      </c>
      <c r="D136" s="457" t="s">
        <v>265</v>
      </c>
      <c r="E136" s="463" t="s">
        <v>837</v>
      </c>
      <c r="F136" s="463" t="s">
        <v>836</v>
      </c>
      <c r="G136" s="463" t="s">
        <v>757</v>
      </c>
      <c r="H136" s="457" t="s">
        <v>265</v>
      </c>
      <c r="I136" s="463" t="s">
        <v>660</v>
      </c>
      <c r="J136" s="464" t="s">
        <v>661</v>
      </c>
      <c r="K136" s="339">
        <v>2</v>
      </c>
      <c r="L136" s="224">
        <v>224</v>
      </c>
      <c r="P136" s="491">
        <v>0</v>
      </c>
    </row>
    <row r="137" spans="1:16">
      <c r="A137" s="231"/>
      <c r="B137" s="781"/>
      <c r="C137" s="457" t="s">
        <v>265</v>
      </c>
      <c r="D137" s="457" t="s">
        <v>265</v>
      </c>
      <c r="E137" s="463" t="s">
        <v>839</v>
      </c>
      <c r="F137" s="463" t="s">
        <v>838</v>
      </c>
      <c r="G137" s="457" t="s">
        <v>265</v>
      </c>
      <c r="H137" s="457" t="s">
        <v>265</v>
      </c>
      <c r="I137" s="463" t="s">
        <v>662</v>
      </c>
      <c r="J137" s="464" t="s">
        <v>838</v>
      </c>
      <c r="K137" s="339">
        <v>2</v>
      </c>
      <c r="L137" s="224">
        <v>226</v>
      </c>
      <c r="P137" s="491">
        <v>0</v>
      </c>
    </row>
    <row r="138" spans="1:16">
      <c r="A138" s="231"/>
      <c r="B138" s="781"/>
      <c r="C138" s="462" t="s">
        <v>835</v>
      </c>
      <c r="D138" s="457" t="s">
        <v>265</v>
      </c>
      <c r="E138" s="457" t="s">
        <v>265</v>
      </c>
      <c r="F138" s="463" t="s">
        <v>658</v>
      </c>
      <c r="G138" s="462" t="s">
        <v>834</v>
      </c>
      <c r="H138" s="457" t="s">
        <v>265</v>
      </c>
      <c r="I138" s="457" t="s">
        <v>265</v>
      </c>
      <c r="J138" s="464" t="s">
        <v>659</v>
      </c>
      <c r="K138" s="221">
        <v>2</v>
      </c>
      <c r="L138" s="224">
        <v>228</v>
      </c>
      <c r="P138" s="491">
        <v>0</v>
      </c>
    </row>
    <row r="139" spans="1:16">
      <c r="A139" s="231"/>
      <c r="B139" s="781"/>
      <c r="C139" s="875" t="s">
        <v>793</v>
      </c>
      <c r="D139" s="876"/>
      <c r="E139" s="876"/>
      <c r="F139" s="877"/>
      <c r="G139" s="878" t="s">
        <v>129</v>
      </c>
      <c r="H139" s="876"/>
      <c r="I139" s="876"/>
      <c r="J139" s="879"/>
      <c r="K139" s="221">
        <v>2</v>
      </c>
      <c r="L139" s="224">
        <v>230</v>
      </c>
      <c r="P139" s="491">
        <v>0</v>
      </c>
    </row>
    <row r="140" spans="1:16" ht="17.25" thickBot="1">
      <c r="A140" s="232"/>
      <c r="B140" s="782"/>
      <c r="C140" s="880" t="s">
        <v>794</v>
      </c>
      <c r="D140" s="881"/>
      <c r="E140" s="881"/>
      <c r="F140" s="882"/>
      <c r="G140" s="883" t="s">
        <v>130</v>
      </c>
      <c r="H140" s="881"/>
      <c r="I140" s="881"/>
      <c r="J140" s="884"/>
      <c r="K140" s="220">
        <v>2</v>
      </c>
      <c r="L140" s="224">
        <v>232</v>
      </c>
      <c r="P140" s="491">
        <v>0</v>
      </c>
    </row>
    <row r="141" spans="1:16" s="491" customFormat="1" ht="17.25" thickBot="1">
      <c r="A141" s="492"/>
      <c r="B141" s="494" t="s">
        <v>1124</v>
      </c>
      <c r="C141" s="885" t="s">
        <v>1125</v>
      </c>
      <c r="D141" s="886"/>
      <c r="E141" s="886"/>
      <c r="F141" s="886"/>
      <c r="G141" s="886"/>
      <c r="H141" s="886"/>
      <c r="I141" s="886"/>
      <c r="J141" s="887"/>
      <c r="K141" s="494">
        <v>2</v>
      </c>
      <c r="O141"/>
      <c r="P141" s="491">
        <v>3</v>
      </c>
    </row>
    <row r="142" spans="1:16" s="491" customFormat="1">
      <c r="A142" s="240"/>
      <c r="B142" s="780" t="s">
        <v>1358</v>
      </c>
      <c r="C142" s="783" t="s">
        <v>1321</v>
      </c>
      <c r="D142" s="784"/>
      <c r="E142" s="784"/>
      <c r="F142" s="784"/>
      <c r="G142" s="784"/>
      <c r="H142" s="784"/>
      <c r="I142" s="784"/>
      <c r="J142" s="785"/>
      <c r="K142" s="573">
        <v>2</v>
      </c>
      <c r="P142" s="491">
        <v>3</v>
      </c>
    </row>
    <row r="143" spans="1:16" s="491" customFormat="1">
      <c r="A143" s="241"/>
      <c r="B143" s="781"/>
      <c r="C143" s="786" t="s">
        <v>784</v>
      </c>
      <c r="D143" s="787"/>
      <c r="E143" s="787"/>
      <c r="F143" s="787"/>
      <c r="G143" s="787"/>
      <c r="H143" s="787"/>
      <c r="I143" s="787"/>
      <c r="J143" s="788"/>
      <c r="K143" s="244">
        <v>2</v>
      </c>
      <c r="P143" s="491">
        <v>4</v>
      </c>
    </row>
    <row r="144" spans="1:16" s="491" customFormat="1">
      <c r="A144" s="242"/>
      <c r="B144" s="781"/>
      <c r="C144" s="786" t="s">
        <v>785</v>
      </c>
      <c r="D144" s="787"/>
      <c r="E144" s="787"/>
      <c r="F144" s="787"/>
      <c r="G144" s="787"/>
      <c r="H144" s="787"/>
      <c r="I144" s="787"/>
      <c r="J144" s="788"/>
      <c r="K144" s="575">
        <v>2</v>
      </c>
      <c r="P144" s="491">
        <v>0</v>
      </c>
    </row>
    <row r="145" spans="1:16" s="491" customFormat="1">
      <c r="A145" s="241"/>
      <c r="B145" s="781"/>
      <c r="C145" s="786" t="s">
        <v>786</v>
      </c>
      <c r="D145" s="787"/>
      <c r="E145" s="787"/>
      <c r="F145" s="787"/>
      <c r="G145" s="787"/>
      <c r="H145" s="787"/>
      <c r="I145" s="787"/>
      <c r="J145" s="788"/>
      <c r="K145" s="244">
        <v>2</v>
      </c>
      <c r="P145" s="491">
        <v>0</v>
      </c>
    </row>
    <row r="146" spans="1:16" s="491" customFormat="1">
      <c r="A146" s="242"/>
      <c r="B146" s="781"/>
      <c r="C146" s="786" t="s">
        <v>787</v>
      </c>
      <c r="D146" s="787"/>
      <c r="E146" s="787"/>
      <c r="F146" s="787"/>
      <c r="G146" s="787"/>
      <c r="H146" s="787"/>
      <c r="I146" s="787"/>
      <c r="J146" s="788"/>
      <c r="K146" s="244">
        <v>2</v>
      </c>
      <c r="P146" s="491">
        <v>0</v>
      </c>
    </row>
    <row r="147" spans="1:16" s="491" customFormat="1">
      <c r="A147" s="241"/>
      <c r="B147" s="781"/>
      <c r="C147" s="786" t="s">
        <v>788</v>
      </c>
      <c r="D147" s="787"/>
      <c r="E147" s="787"/>
      <c r="F147" s="787"/>
      <c r="G147" s="787"/>
      <c r="H147" s="787"/>
      <c r="I147" s="787"/>
      <c r="J147" s="788"/>
      <c r="K147" s="244">
        <v>2</v>
      </c>
      <c r="P147" s="491">
        <v>0</v>
      </c>
    </row>
    <row r="148" spans="1:16" s="491" customFormat="1">
      <c r="A148" s="242"/>
      <c r="B148" s="781"/>
      <c r="C148" s="786" t="s">
        <v>789</v>
      </c>
      <c r="D148" s="787"/>
      <c r="E148" s="787"/>
      <c r="F148" s="787"/>
      <c r="G148" s="787"/>
      <c r="H148" s="787"/>
      <c r="I148" s="787"/>
      <c r="J148" s="788"/>
      <c r="K148" s="244">
        <v>2</v>
      </c>
      <c r="P148" s="491">
        <v>0</v>
      </c>
    </row>
    <row r="149" spans="1:16" s="491" customFormat="1" ht="17.25" thickBot="1">
      <c r="A149" s="122"/>
      <c r="B149" s="782"/>
      <c r="C149" s="789" t="s">
        <v>790</v>
      </c>
      <c r="D149" s="790"/>
      <c r="E149" s="790"/>
      <c r="F149" s="790"/>
      <c r="G149" s="790"/>
      <c r="H149" s="790"/>
      <c r="I149" s="790"/>
      <c r="J149" s="791"/>
      <c r="K149" s="574">
        <v>2</v>
      </c>
      <c r="P149" s="491">
        <v>0</v>
      </c>
    </row>
    <row r="150" spans="1:16">
      <c r="A150" s="350"/>
      <c r="B150" s="345" t="s">
        <v>49</v>
      </c>
      <c r="C150" s="792" t="s">
        <v>120</v>
      </c>
      <c r="D150" s="793"/>
      <c r="E150" s="793"/>
      <c r="F150" s="793"/>
      <c r="G150" s="793"/>
      <c r="H150" s="793"/>
      <c r="I150" s="793"/>
      <c r="J150" s="794"/>
      <c r="K150" s="244">
        <v>2</v>
      </c>
      <c r="L150" s="224">
        <v>234</v>
      </c>
      <c r="O150" s="224"/>
      <c r="P150" s="491">
        <v>86</v>
      </c>
    </row>
    <row r="151" spans="1:16" s="224" customFormat="1">
      <c r="A151" s="123"/>
      <c r="B151" s="425" t="s">
        <v>49</v>
      </c>
      <c r="C151" s="792" t="s">
        <v>120</v>
      </c>
      <c r="D151" s="793"/>
      <c r="E151" s="793"/>
      <c r="F151" s="793"/>
      <c r="G151" s="793"/>
      <c r="H151" s="793"/>
      <c r="I151" s="793"/>
      <c r="J151" s="794"/>
      <c r="K151" s="244">
        <v>2</v>
      </c>
      <c r="L151" s="224">
        <v>236</v>
      </c>
      <c r="N151" s="491"/>
      <c r="O151" s="491"/>
      <c r="P151" s="491">
        <v>27</v>
      </c>
    </row>
    <row r="152" spans="1:16" ht="17.25" thickBot="1">
      <c r="A152" s="151"/>
      <c r="B152" s="337" t="s">
        <v>50</v>
      </c>
      <c r="C152" s="797" t="s">
        <v>58</v>
      </c>
      <c r="D152" s="798"/>
      <c r="E152" s="798"/>
      <c r="F152" s="798"/>
      <c r="G152" s="798"/>
      <c r="H152" s="798"/>
      <c r="I152" s="798"/>
      <c r="J152" s="799"/>
      <c r="K152" s="333">
        <v>2</v>
      </c>
      <c r="L152" s="224">
        <v>238</v>
      </c>
      <c r="P152" s="491"/>
    </row>
    <row r="153" spans="1:16" s="224" customFormat="1" ht="17.25" thickBot="1">
      <c r="L153" s="224">
        <v>240</v>
      </c>
      <c r="N153" s="491"/>
      <c r="P153" s="491"/>
    </row>
    <row r="154" spans="1:16" s="491" customFormat="1" ht="17.25" thickBot="1">
      <c r="A154" s="519" t="s">
        <v>1214</v>
      </c>
      <c r="B154" s="888" t="s">
        <v>1217</v>
      </c>
      <c r="C154" s="889"/>
      <c r="D154" s="889"/>
      <c r="E154" s="889"/>
      <c r="F154" s="889"/>
      <c r="G154" s="889"/>
      <c r="H154" s="889"/>
      <c r="I154" s="889"/>
      <c r="J154" s="889"/>
      <c r="K154" s="890"/>
      <c r="O154"/>
    </row>
    <row r="155" spans="1:16" ht="17.25" thickBot="1">
      <c r="A155" s="250" t="s">
        <v>75</v>
      </c>
      <c r="B155" s="234" t="s">
        <v>97</v>
      </c>
      <c r="C155" s="251" t="s">
        <v>445</v>
      </c>
      <c r="D155" s="252" t="s">
        <v>112</v>
      </c>
      <c r="E155" s="252" t="s">
        <v>113</v>
      </c>
      <c r="F155" s="252" t="s">
        <v>114</v>
      </c>
      <c r="G155" s="252" t="s">
        <v>115</v>
      </c>
      <c r="H155" s="252" t="s">
        <v>116</v>
      </c>
      <c r="I155" s="252" t="s">
        <v>117</v>
      </c>
      <c r="J155" s="253" t="s">
        <v>118</v>
      </c>
      <c r="K155" s="234" t="s">
        <v>119</v>
      </c>
      <c r="L155" s="224"/>
      <c r="O155" s="224"/>
      <c r="P155" s="491"/>
    </row>
    <row r="156" spans="1:16">
      <c r="A156" s="504">
        <v>1</v>
      </c>
      <c r="B156" s="503" t="s">
        <v>37</v>
      </c>
      <c r="C156" s="811" t="s">
        <v>294</v>
      </c>
      <c r="D156" s="812"/>
      <c r="E156" s="812"/>
      <c r="F156" s="812"/>
      <c r="G156" s="812"/>
      <c r="H156" s="812"/>
      <c r="I156" s="812"/>
      <c r="J156" s="813"/>
      <c r="K156" s="506">
        <v>1</v>
      </c>
      <c r="L156" s="224"/>
      <c r="O156" s="491"/>
      <c r="P156" s="491"/>
    </row>
    <row r="157" spans="1:16">
      <c r="A157" s="239" t="s">
        <v>398</v>
      </c>
      <c r="B157" s="500" t="s">
        <v>36</v>
      </c>
      <c r="C157" s="814" t="s">
        <v>52</v>
      </c>
      <c r="D157" s="815"/>
      <c r="E157" s="815"/>
      <c r="F157" s="815"/>
      <c r="G157" s="815"/>
      <c r="H157" s="815"/>
      <c r="I157" s="815"/>
      <c r="J157" s="816"/>
      <c r="K157" s="244">
        <v>2</v>
      </c>
      <c r="L157" s="224"/>
      <c r="P157" s="491"/>
    </row>
    <row r="158" spans="1:16">
      <c r="A158" s="239" t="s">
        <v>399</v>
      </c>
      <c r="B158" s="500" t="s">
        <v>39</v>
      </c>
      <c r="C158" s="814" t="s">
        <v>53</v>
      </c>
      <c r="D158" s="815"/>
      <c r="E158" s="815"/>
      <c r="F158" s="815"/>
      <c r="G158" s="815"/>
      <c r="H158" s="815"/>
      <c r="I158" s="815"/>
      <c r="J158" s="816"/>
      <c r="K158" s="244">
        <v>2</v>
      </c>
      <c r="L158" s="224"/>
      <c r="P158" s="491"/>
    </row>
    <row r="159" spans="1:16">
      <c r="A159" s="239" t="s">
        <v>400</v>
      </c>
      <c r="B159" s="500" t="s">
        <v>40</v>
      </c>
      <c r="C159" s="814" t="s">
        <v>54</v>
      </c>
      <c r="D159" s="815"/>
      <c r="E159" s="815"/>
      <c r="F159" s="815"/>
      <c r="G159" s="815"/>
      <c r="H159" s="815"/>
      <c r="I159" s="815"/>
      <c r="J159" s="816"/>
      <c r="K159" s="244">
        <v>2</v>
      </c>
      <c r="L159" s="224"/>
      <c r="P159" s="491"/>
    </row>
    <row r="160" spans="1:16">
      <c r="A160" s="239" t="s">
        <v>401</v>
      </c>
      <c r="B160" s="500" t="s">
        <v>41</v>
      </c>
      <c r="C160" s="906" t="s">
        <v>123</v>
      </c>
      <c r="D160" s="907"/>
      <c r="E160" s="907"/>
      <c r="F160" s="907"/>
      <c r="G160" s="907"/>
      <c r="H160" s="907"/>
      <c r="I160" s="907"/>
      <c r="J160" s="908"/>
      <c r="K160" s="244">
        <v>2</v>
      </c>
      <c r="L160" s="224"/>
      <c r="P160" s="491"/>
    </row>
    <row r="161" spans="1:16" s="491" customFormat="1">
      <c r="A161" s="239" t="s">
        <v>402</v>
      </c>
      <c r="B161" s="817" t="s">
        <v>42</v>
      </c>
      <c r="C161" s="819" t="s">
        <v>1145</v>
      </c>
      <c r="D161" s="820"/>
      <c r="E161" s="820"/>
      <c r="F161" s="820"/>
      <c r="G161" s="820"/>
      <c r="H161" s="820"/>
      <c r="I161" s="820"/>
      <c r="J161" s="821"/>
      <c r="K161" s="507">
        <v>2</v>
      </c>
      <c r="O161"/>
      <c r="P161"/>
    </row>
    <row r="162" spans="1:16" ht="17.25" thickBot="1">
      <c r="A162" s="497" t="s">
        <v>1152</v>
      </c>
      <c r="B162" s="818"/>
      <c r="C162" s="819" t="s">
        <v>1146</v>
      </c>
      <c r="D162" s="820"/>
      <c r="E162" s="820"/>
      <c r="F162" s="820"/>
      <c r="G162" s="820"/>
      <c r="H162" s="820"/>
      <c r="I162" s="820"/>
      <c r="J162" s="821"/>
      <c r="K162" s="507">
        <v>2</v>
      </c>
      <c r="P162" s="224"/>
    </row>
    <row r="163" spans="1:16" s="224" customFormat="1">
      <c r="A163" s="837" t="s">
        <v>1022</v>
      </c>
      <c r="B163" s="825" t="s">
        <v>649</v>
      </c>
      <c r="C163" s="910"/>
      <c r="D163" s="827" t="s">
        <v>858</v>
      </c>
      <c r="E163" s="827" t="s">
        <v>857</v>
      </c>
      <c r="F163" s="829" t="s">
        <v>856</v>
      </c>
      <c r="G163" s="829" t="s">
        <v>855</v>
      </c>
      <c r="H163" s="829" t="s">
        <v>854</v>
      </c>
      <c r="I163" s="829" t="s">
        <v>853</v>
      </c>
      <c r="J163" s="831" t="s">
        <v>852</v>
      </c>
      <c r="K163" s="795">
        <v>2</v>
      </c>
      <c r="L163"/>
      <c r="N163" s="491"/>
      <c r="O163" s="491"/>
      <c r="P163"/>
    </row>
    <row r="164" spans="1:16" s="224" customFormat="1" ht="17.25" thickBot="1">
      <c r="A164" s="909"/>
      <c r="B164" s="912"/>
      <c r="C164" s="911"/>
      <c r="D164" s="915"/>
      <c r="E164" s="915"/>
      <c r="F164" s="913"/>
      <c r="G164" s="913"/>
      <c r="H164" s="913"/>
      <c r="I164" s="913"/>
      <c r="J164" s="914"/>
      <c r="K164" s="905"/>
      <c r="L164"/>
      <c r="N164" s="491"/>
      <c r="O164"/>
    </row>
    <row r="165" spans="1:16" s="491" customFormat="1" ht="34.5" thickBot="1">
      <c r="A165" s="658" t="s">
        <v>1325</v>
      </c>
      <c r="B165" s="564" t="s">
        <v>1147</v>
      </c>
      <c r="C165" s="1352" t="s">
        <v>1696</v>
      </c>
      <c r="D165" s="659"/>
      <c r="E165" s="659"/>
      <c r="F165" s="659"/>
      <c r="G165" s="656" t="s">
        <v>1688</v>
      </c>
      <c r="H165" s="656" t="s">
        <v>1689</v>
      </c>
      <c r="I165" s="662" t="s">
        <v>1697</v>
      </c>
      <c r="J165" s="1351" t="s">
        <v>1695</v>
      </c>
      <c r="K165" s="660">
        <v>2</v>
      </c>
      <c r="O165" s="224"/>
    </row>
    <row r="166" spans="1:16" s="491" customFormat="1" ht="17.25" thickBot="1">
      <c r="A166" s="537" t="s">
        <v>1265</v>
      </c>
      <c r="B166" s="536" t="s">
        <v>1264</v>
      </c>
      <c r="C166" s="919" t="s">
        <v>1264</v>
      </c>
      <c r="D166" s="920"/>
      <c r="E166" s="920"/>
      <c r="F166" s="920"/>
      <c r="G166" s="920"/>
      <c r="H166" s="920"/>
      <c r="I166" s="920"/>
      <c r="J166" s="921"/>
      <c r="K166" s="661">
        <v>4</v>
      </c>
      <c r="L166" s="491" t="s">
        <v>1263</v>
      </c>
    </row>
    <row r="167" spans="1:16" s="224" customFormat="1">
      <c r="A167" s="657">
        <v>16</v>
      </c>
      <c r="B167" s="345" t="s">
        <v>49</v>
      </c>
      <c r="C167" s="792" t="s">
        <v>120</v>
      </c>
      <c r="D167" s="793"/>
      <c r="E167" s="793"/>
      <c r="F167" s="793"/>
      <c r="G167" s="793"/>
      <c r="H167" s="793"/>
      <c r="I167" s="793"/>
      <c r="J167" s="794"/>
      <c r="K167" s="648">
        <v>2</v>
      </c>
      <c r="L167"/>
      <c r="N167" s="491"/>
      <c r="P167"/>
    </row>
    <row r="168" spans="1:16" s="224" customFormat="1">
      <c r="A168" s="242">
        <v>17</v>
      </c>
      <c r="B168" s="345" t="s">
        <v>49</v>
      </c>
      <c r="C168" s="916" t="s">
        <v>120</v>
      </c>
      <c r="D168" s="917"/>
      <c r="E168" s="917"/>
      <c r="F168" s="917"/>
      <c r="G168" s="917"/>
      <c r="H168" s="917"/>
      <c r="I168" s="917"/>
      <c r="J168" s="918"/>
      <c r="K168" s="347">
        <v>2</v>
      </c>
      <c r="L168"/>
      <c r="N168" s="491"/>
      <c r="O168" s="491"/>
      <c r="P168"/>
    </row>
    <row r="169" spans="1:16" s="224" customFormat="1" ht="17.25" thickBot="1">
      <c r="A169" s="151">
        <v>18</v>
      </c>
      <c r="B169" s="337" t="s">
        <v>50</v>
      </c>
      <c r="C169" s="797" t="s">
        <v>58</v>
      </c>
      <c r="D169" s="798"/>
      <c r="E169" s="798"/>
      <c r="F169" s="798"/>
      <c r="G169" s="798"/>
      <c r="H169" s="798"/>
      <c r="I169" s="798"/>
      <c r="J169" s="799"/>
      <c r="K169" s="333">
        <v>1</v>
      </c>
      <c r="L169"/>
      <c r="N169" s="491"/>
      <c r="P169"/>
    </row>
    <row r="170" spans="1:16" ht="17.25" thickBot="1">
      <c r="O170" s="224"/>
    </row>
    <row r="171" spans="1:16" s="491" customFormat="1" ht="17.25" thickBot="1">
      <c r="A171" s="519" t="s">
        <v>1214</v>
      </c>
      <c r="B171" s="888" t="s">
        <v>1218</v>
      </c>
      <c r="C171" s="889"/>
      <c r="D171" s="889"/>
      <c r="E171" s="889"/>
      <c r="F171" s="889"/>
      <c r="G171" s="889"/>
      <c r="H171" s="889"/>
      <c r="I171" s="889"/>
      <c r="J171" s="889"/>
      <c r="K171" s="890"/>
      <c r="O171" s="224"/>
      <c r="P171"/>
    </row>
    <row r="172" spans="1:16" ht="17.25" thickBot="1">
      <c r="A172" s="250" t="s">
        <v>75</v>
      </c>
      <c r="B172" s="234" t="s">
        <v>97</v>
      </c>
      <c r="C172" s="251" t="s">
        <v>445</v>
      </c>
      <c r="D172" s="252" t="s">
        <v>112</v>
      </c>
      <c r="E172" s="252" t="s">
        <v>113</v>
      </c>
      <c r="F172" s="252" t="s">
        <v>114</v>
      </c>
      <c r="G172" s="252" t="s">
        <v>115</v>
      </c>
      <c r="H172" s="252" t="s">
        <v>116</v>
      </c>
      <c r="I172" s="252" t="s">
        <v>117</v>
      </c>
      <c r="J172" s="253" t="s">
        <v>118</v>
      </c>
      <c r="K172" s="234" t="s">
        <v>119</v>
      </c>
    </row>
    <row r="173" spans="1:16">
      <c r="A173" s="504">
        <v>1</v>
      </c>
      <c r="B173" s="503" t="s">
        <v>37</v>
      </c>
      <c r="C173" s="811" t="s">
        <v>294</v>
      </c>
      <c r="D173" s="812"/>
      <c r="E173" s="812"/>
      <c r="F173" s="812"/>
      <c r="G173" s="812"/>
      <c r="H173" s="812"/>
      <c r="I173" s="812"/>
      <c r="J173" s="813"/>
      <c r="K173" s="506">
        <v>1</v>
      </c>
      <c r="L173" s="224"/>
      <c r="O173" s="491"/>
      <c r="P173" s="491"/>
    </row>
    <row r="174" spans="1:16">
      <c r="A174" s="239" t="s">
        <v>398</v>
      </c>
      <c r="B174" s="500" t="s">
        <v>36</v>
      </c>
      <c r="C174" s="814" t="s">
        <v>52</v>
      </c>
      <c r="D174" s="815"/>
      <c r="E174" s="815"/>
      <c r="F174" s="815"/>
      <c r="G174" s="815"/>
      <c r="H174" s="815"/>
      <c r="I174" s="815"/>
      <c r="J174" s="816"/>
      <c r="K174" s="244">
        <v>2</v>
      </c>
      <c r="L174" s="224"/>
    </row>
    <row r="175" spans="1:16">
      <c r="A175" s="239" t="s">
        <v>399</v>
      </c>
      <c r="B175" s="500" t="s">
        <v>39</v>
      </c>
      <c r="C175" s="814" t="s">
        <v>53</v>
      </c>
      <c r="D175" s="815"/>
      <c r="E175" s="815"/>
      <c r="F175" s="815"/>
      <c r="G175" s="815"/>
      <c r="H175" s="815"/>
      <c r="I175" s="815"/>
      <c r="J175" s="816"/>
      <c r="K175" s="244">
        <v>2</v>
      </c>
      <c r="L175" s="224"/>
      <c r="P175" s="224"/>
    </row>
    <row r="176" spans="1:16">
      <c r="A176" s="239" t="s">
        <v>400</v>
      </c>
      <c r="B176" s="500" t="s">
        <v>40</v>
      </c>
      <c r="C176" s="814" t="s">
        <v>54</v>
      </c>
      <c r="D176" s="815"/>
      <c r="E176" s="815"/>
      <c r="F176" s="815"/>
      <c r="G176" s="815"/>
      <c r="H176" s="815"/>
      <c r="I176" s="815"/>
      <c r="J176" s="816"/>
      <c r="K176" s="244">
        <v>2</v>
      </c>
      <c r="L176" s="224"/>
      <c r="P176" s="224"/>
    </row>
    <row r="177" spans="1:16">
      <c r="A177" s="239" t="s">
        <v>401</v>
      </c>
      <c r="B177" s="500" t="s">
        <v>41</v>
      </c>
      <c r="C177" s="906" t="s">
        <v>1160</v>
      </c>
      <c r="D177" s="907"/>
      <c r="E177" s="907"/>
      <c r="F177" s="907"/>
      <c r="G177" s="907"/>
      <c r="H177" s="907"/>
      <c r="I177" s="907"/>
      <c r="J177" s="908"/>
      <c r="K177" s="244">
        <v>2</v>
      </c>
      <c r="L177" s="224"/>
      <c r="P177" s="491"/>
    </row>
    <row r="178" spans="1:16" s="491" customFormat="1">
      <c r="A178" s="239" t="s">
        <v>402</v>
      </c>
      <c r="B178" s="817" t="s">
        <v>42</v>
      </c>
      <c r="C178" s="819" t="s">
        <v>1145</v>
      </c>
      <c r="D178" s="820"/>
      <c r="E178" s="820"/>
      <c r="F178" s="820"/>
      <c r="G178" s="820"/>
      <c r="H178" s="820"/>
      <c r="I178" s="820"/>
      <c r="J178" s="821"/>
      <c r="K178" s="507">
        <v>2</v>
      </c>
      <c r="O178"/>
      <c r="P178" s="224"/>
    </row>
    <row r="179" spans="1:16" ht="17.25" thickBot="1">
      <c r="A179" s="497" t="s">
        <v>1152</v>
      </c>
      <c r="B179" s="818"/>
      <c r="C179" s="819" t="s">
        <v>1146</v>
      </c>
      <c r="D179" s="820"/>
      <c r="E179" s="820"/>
      <c r="F179" s="820"/>
      <c r="G179" s="820"/>
      <c r="H179" s="820"/>
      <c r="I179" s="820"/>
      <c r="J179" s="821"/>
      <c r="K179" s="507">
        <v>2</v>
      </c>
      <c r="P179" s="224"/>
    </row>
    <row r="180" spans="1:16">
      <c r="A180" s="238" t="s">
        <v>1022</v>
      </c>
      <c r="B180" s="928" t="s">
        <v>487</v>
      </c>
      <c r="C180" s="931" t="s">
        <v>648</v>
      </c>
      <c r="D180" s="932"/>
      <c r="E180" s="932"/>
      <c r="F180" s="932"/>
      <c r="G180" s="932"/>
      <c r="H180" s="932"/>
      <c r="I180" s="932"/>
      <c r="J180" s="933"/>
      <c r="K180" s="262">
        <v>2</v>
      </c>
      <c r="O180" s="491"/>
      <c r="P180" s="224"/>
    </row>
    <row r="181" spans="1:16">
      <c r="A181" s="257" t="s">
        <v>1023</v>
      </c>
      <c r="B181" s="929"/>
      <c r="C181" s="896" t="s">
        <v>574</v>
      </c>
      <c r="D181" s="809"/>
      <c r="E181" s="809"/>
      <c r="F181" s="809"/>
      <c r="G181" s="809"/>
      <c r="H181" s="809"/>
      <c r="I181" s="809"/>
      <c r="J181" s="810"/>
      <c r="K181" s="263">
        <v>2</v>
      </c>
    </row>
    <row r="182" spans="1:16" ht="17.25" thickBot="1">
      <c r="A182" s="259" t="s">
        <v>1024</v>
      </c>
      <c r="B182" s="930"/>
      <c r="C182" s="903" t="s">
        <v>573</v>
      </c>
      <c r="D182" s="806"/>
      <c r="E182" s="806"/>
      <c r="F182" s="806"/>
      <c r="G182" s="806"/>
      <c r="H182" s="806"/>
      <c r="I182" s="806"/>
      <c r="J182" s="807"/>
      <c r="K182" s="264">
        <v>2</v>
      </c>
      <c r="P182" s="491"/>
    </row>
    <row r="183" spans="1:16" ht="17.25" thickBot="1">
      <c r="A183" s="238" t="s">
        <v>1025</v>
      </c>
      <c r="B183" s="344" t="s">
        <v>518</v>
      </c>
      <c r="C183" s="939" t="s">
        <v>555</v>
      </c>
      <c r="D183" s="940"/>
      <c r="E183" s="940"/>
      <c r="F183" s="941"/>
      <c r="G183" s="942" t="s">
        <v>522</v>
      </c>
      <c r="H183" s="940"/>
      <c r="I183" s="940"/>
      <c r="J183" s="943"/>
      <c r="K183" s="344">
        <v>2</v>
      </c>
    </row>
    <row r="184" spans="1:16" ht="17.25" thickBot="1">
      <c r="A184" s="257" t="s">
        <v>1026</v>
      </c>
      <c r="B184" s="344" t="s">
        <v>519</v>
      </c>
      <c r="C184" s="947" t="s">
        <v>523</v>
      </c>
      <c r="D184" s="948"/>
      <c r="E184" s="948"/>
      <c r="F184" s="949"/>
      <c r="G184" s="950" t="s">
        <v>524</v>
      </c>
      <c r="H184" s="948"/>
      <c r="I184" s="948"/>
      <c r="J184" s="951"/>
      <c r="K184" s="344">
        <v>2</v>
      </c>
    </row>
    <row r="185" spans="1:16" ht="17.25" thickBot="1">
      <c r="A185" s="259" t="s">
        <v>1027</v>
      </c>
      <c r="B185" s="344" t="s">
        <v>520</v>
      </c>
      <c r="C185" s="934" t="s">
        <v>525</v>
      </c>
      <c r="D185" s="935"/>
      <c r="E185" s="935"/>
      <c r="F185" s="936"/>
      <c r="G185" s="937" t="s">
        <v>526</v>
      </c>
      <c r="H185" s="935"/>
      <c r="I185" s="935"/>
      <c r="J185" s="938"/>
      <c r="K185" s="344">
        <v>2</v>
      </c>
    </row>
    <row r="186" spans="1:16">
      <c r="A186" s="351" t="s">
        <v>1028</v>
      </c>
      <c r="B186" s="352" t="s">
        <v>48</v>
      </c>
      <c r="C186" s="925" t="s">
        <v>120</v>
      </c>
      <c r="D186" s="926"/>
      <c r="E186" s="926"/>
      <c r="F186" s="926"/>
      <c r="G186" s="926"/>
      <c r="H186" s="926"/>
      <c r="I186" s="926"/>
      <c r="J186" s="927"/>
      <c r="K186" s="353">
        <v>2</v>
      </c>
    </row>
    <row r="187" spans="1:16">
      <c r="A187" s="254" t="s">
        <v>1029</v>
      </c>
      <c r="B187" s="255" t="s">
        <v>48</v>
      </c>
      <c r="C187" s="944" t="s">
        <v>120</v>
      </c>
      <c r="D187" s="945"/>
      <c r="E187" s="945"/>
      <c r="F187" s="945"/>
      <c r="G187" s="945"/>
      <c r="H187" s="945"/>
      <c r="I187" s="945"/>
      <c r="J187" s="946"/>
      <c r="K187" s="349">
        <v>2</v>
      </c>
    </row>
    <row r="188" spans="1:16" ht="17.25" thickBot="1">
      <c r="A188" s="265">
        <v>28</v>
      </c>
      <c r="B188" s="260" t="s">
        <v>50</v>
      </c>
      <c r="C188" s="922" t="s">
        <v>58</v>
      </c>
      <c r="D188" s="923"/>
      <c r="E188" s="923"/>
      <c r="F188" s="923"/>
      <c r="G188" s="923"/>
      <c r="H188" s="923"/>
      <c r="I188" s="923"/>
      <c r="J188" s="924"/>
      <c r="K188" s="261">
        <v>1</v>
      </c>
    </row>
    <row r="189" spans="1:16" ht="17.25" thickBot="1">
      <c r="P189" s="491"/>
    </row>
    <row r="190" spans="1:16" ht="17.25" thickBot="1">
      <c r="A190" s="520" t="s">
        <v>1216</v>
      </c>
      <c r="B190" s="888" t="s">
        <v>1219</v>
      </c>
      <c r="C190" s="889"/>
      <c r="D190" s="889"/>
      <c r="E190" s="889"/>
      <c r="F190" s="889"/>
      <c r="G190" s="889"/>
      <c r="H190" s="889"/>
      <c r="I190" s="889"/>
      <c r="J190" s="889"/>
      <c r="K190" s="890"/>
    </row>
    <row r="191" spans="1:16" ht="17.25" thickBot="1">
      <c r="A191" s="250" t="s">
        <v>75</v>
      </c>
      <c r="B191" s="234" t="s">
        <v>97</v>
      </c>
      <c r="C191" s="251" t="s">
        <v>445</v>
      </c>
      <c r="D191" s="252" t="s">
        <v>112</v>
      </c>
      <c r="E191" s="252" t="s">
        <v>113</v>
      </c>
      <c r="F191" s="252" t="s">
        <v>114</v>
      </c>
      <c r="G191" s="252" t="s">
        <v>115</v>
      </c>
      <c r="H191" s="252" t="s">
        <v>116</v>
      </c>
      <c r="I191" s="252" t="s">
        <v>117</v>
      </c>
      <c r="J191" s="253" t="s">
        <v>118</v>
      </c>
      <c r="K191" s="234" t="s">
        <v>119</v>
      </c>
    </row>
    <row r="192" spans="1:16">
      <c r="A192" s="504">
        <v>1</v>
      </c>
      <c r="B192" s="503" t="s">
        <v>37</v>
      </c>
      <c r="C192" s="811" t="s">
        <v>294</v>
      </c>
      <c r="D192" s="812"/>
      <c r="E192" s="812"/>
      <c r="F192" s="812"/>
      <c r="G192" s="812"/>
      <c r="H192" s="812"/>
      <c r="I192" s="812"/>
      <c r="J192" s="813"/>
      <c r="K192" s="506">
        <v>1</v>
      </c>
    </row>
    <row r="193" spans="1:11">
      <c r="A193" s="239" t="s">
        <v>398</v>
      </c>
      <c r="B193" s="500" t="s">
        <v>36</v>
      </c>
      <c r="C193" s="814" t="s">
        <v>52</v>
      </c>
      <c r="D193" s="815"/>
      <c r="E193" s="815"/>
      <c r="F193" s="815"/>
      <c r="G193" s="815"/>
      <c r="H193" s="815"/>
      <c r="I193" s="815"/>
      <c r="J193" s="816"/>
      <c r="K193" s="244">
        <v>2</v>
      </c>
    </row>
    <row r="194" spans="1:11">
      <c r="A194" s="239" t="s">
        <v>399</v>
      </c>
      <c r="B194" s="500" t="s">
        <v>39</v>
      </c>
      <c r="C194" s="814" t="s">
        <v>53</v>
      </c>
      <c r="D194" s="815"/>
      <c r="E194" s="815"/>
      <c r="F194" s="815"/>
      <c r="G194" s="815"/>
      <c r="H194" s="815"/>
      <c r="I194" s="815"/>
      <c r="J194" s="816"/>
      <c r="K194" s="244">
        <v>2</v>
      </c>
    </row>
    <row r="195" spans="1:11">
      <c r="A195" s="239" t="s">
        <v>400</v>
      </c>
      <c r="B195" s="500" t="s">
        <v>40</v>
      </c>
      <c r="C195" s="814" t="s">
        <v>54</v>
      </c>
      <c r="D195" s="815"/>
      <c r="E195" s="815"/>
      <c r="F195" s="815"/>
      <c r="G195" s="815"/>
      <c r="H195" s="815"/>
      <c r="I195" s="815"/>
      <c r="J195" s="816"/>
      <c r="K195" s="244">
        <v>2</v>
      </c>
    </row>
    <row r="196" spans="1:11">
      <c r="A196" s="239" t="s">
        <v>401</v>
      </c>
      <c r="B196" s="500" t="s">
        <v>41</v>
      </c>
      <c r="C196" s="906" t="s">
        <v>123</v>
      </c>
      <c r="D196" s="907"/>
      <c r="E196" s="907"/>
      <c r="F196" s="907"/>
      <c r="G196" s="907"/>
      <c r="H196" s="907"/>
      <c r="I196" s="907"/>
      <c r="J196" s="908"/>
      <c r="K196" s="244">
        <v>2</v>
      </c>
    </row>
    <row r="197" spans="1:11">
      <c r="A197" s="239" t="s">
        <v>402</v>
      </c>
      <c r="B197" s="817" t="s">
        <v>42</v>
      </c>
      <c r="C197" s="819" t="s">
        <v>1145</v>
      </c>
      <c r="D197" s="820"/>
      <c r="E197" s="820"/>
      <c r="F197" s="820"/>
      <c r="G197" s="820"/>
      <c r="H197" s="820"/>
      <c r="I197" s="820"/>
      <c r="J197" s="821"/>
      <c r="K197" s="507">
        <v>2</v>
      </c>
    </row>
    <row r="198" spans="1:11" ht="17.25" thickBot="1">
      <c r="A198" s="497" t="s">
        <v>1152</v>
      </c>
      <c r="B198" s="818"/>
      <c r="C198" s="819" t="s">
        <v>1146</v>
      </c>
      <c r="D198" s="820"/>
      <c r="E198" s="820"/>
      <c r="F198" s="820"/>
      <c r="G198" s="820"/>
      <c r="H198" s="820"/>
      <c r="I198" s="820"/>
      <c r="J198" s="821"/>
      <c r="K198" s="507">
        <v>2</v>
      </c>
    </row>
    <row r="199" spans="1:11">
      <c r="A199" s="837" t="s">
        <v>403</v>
      </c>
      <c r="B199" s="825" t="s">
        <v>649</v>
      </c>
      <c r="C199" s="346" t="s">
        <v>738</v>
      </c>
      <c r="D199" s="827" t="s">
        <v>858</v>
      </c>
      <c r="E199" s="827" t="s">
        <v>857</v>
      </c>
      <c r="F199" s="829" t="s">
        <v>856</v>
      </c>
      <c r="G199" s="829" t="s">
        <v>855</v>
      </c>
      <c r="H199" s="829" t="s">
        <v>854</v>
      </c>
      <c r="I199" s="829" t="s">
        <v>853</v>
      </c>
      <c r="J199" s="831" t="s">
        <v>852</v>
      </c>
      <c r="K199" s="795">
        <v>2</v>
      </c>
    </row>
    <row r="200" spans="1:11" ht="17.25" thickBot="1">
      <c r="A200" s="818"/>
      <c r="B200" s="826"/>
      <c r="C200" s="315" t="s">
        <v>770</v>
      </c>
      <c r="D200" s="828"/>
      <c r="E200" s="828"/>
      <c r="F200" s="830"/>
      <c r="G200" s="830"/>
      <c r="H200" s="830"/>
      <c r="I200" s="830"/>
      <c r="J200" s="832"/>
      <c r="K200" s="796"/>
    </row>
    <row r="201" spans="1:11">
      <c r="A201" s="426" t="s">
        <v>405</v>
      </c>
      <c r="B201" s="833" t="s">
        <v>233</v>
      </c>
      <c r="C201" s="848" t="s">
        <v>234</v>
      </c>
      <c r="D201" s="849"/>
      <c r="E201" s="849"/>
      <c r="F201" s="849"/>
      <c r="G201" s="849" t="s">
        <v>235</v>
      </c>
      <c r="H201" s="849"/>
      <c r="I201" s="849"/>
      <c r="J201" s="850"/>
      <c r="K201" s="366">
        <v>2</v>
      </c>
    </row>
    <row r="202" spans="1:11">
      <c r="A202" s="239" t="s">
        <v>407</v>
      </c>
      <c r="B202" s="834"/>
      <c r="C202" s="854" t="s">
        <v>236</v>
      </c>
      <c r="D202" s="855"/>
      <c r="E202" s="855"/>
      <c r="F202" s="855"/>
      <c r="G202" s="855" t="s">
        <v>237</v>
      </c>
      <c r="H202" s="855"/>
      <c r="I202" s="855"/>
      <c r="J202" s="856"/>
      <c r="K202" s="244">
        <v>2</v>
      </c>
    </row>
    <row r="203" spans="1:11" ht="17.25" thickBot="1">
      <c r="A203" s="427" t="s">
        <v>408</v>
      </c>
      <c r="B203" s="838"/>
      <c r="C203" s="857" t="s">
        <v>238</v>
      </c>
      <c r="D203" s="858"/>
      <c r="E203" s="858"/>
      <c r="F203" s="858"/>
      <c r="G203" s="858" t="s">
        <v>239</v>
      </c>
      <c r="H203" s="858"/>
      <c r="I203" s="858"/>
      <c r="J203" s="859"/>
      <c r="K203" s="367">
        <v>2</v>
      </c>
    </row>
    <row r="204" spans="1:11">
      <c r="A204" s="426" t="s">
        <v>409</v>
      </c>
      <c r="B204" s="833" t="s">
        <v>923</v>
      </c>
      <c r="C204" s="844" t="s">
        <v>240</v>
      </c>
      <c r="D204" s="845"/>
      <c r="E204" s="845"/>
      <c r="F204" s="845"/>
      <c r="G204" s="845" t="s">
        <v>241</v>
      </c>
      <c r="H204" s="845"/>
      <c r="I204" s="845"/>
      <c r="J204" s="956"/>
      <c r="K204" s="366">
        <v>2</v>
      </c>
    </row>
    <row r="205" spans="1:11">
      <c r="A205" s="239" t="s">
        <v>410</v>
      </c>
      <c r="B205" s="834"/>
      <c r="C205" s="969" t="s">
        <v>242</v>
      </c>
      <c r="D205" s="970"/>
      <c r="E205" s="970"/>
      <c r="F205" s="970"/>
      <c r="G205" s="970" t="s">
        <v>243</v>
      </c>
      <c r="H205" s="970"/>
      <c r="I205" s="970"/>
      <c r="J205" s="971"/>
      <c r="K205" s="244">
        <v>2</v>
      </c>
    </row>
    <row r="206" spans="1:11" ht="17.25" thickBot="1">
      <c r="A206" s="427" t="s">
        <v>411</v>
      </c>
      <c r="B206" s="838"/>
      <c r="C206" s="835" t="s">
        <v>244</v>
      </c>
      <c r="D206" s="836"/>
      <c r="E206" s="836"/>
      <c r="F206" s="836"/>
      <c r="G206" s="836" t="s">
        <v>245</v>
      </c>
      <c r="H206" s="836"/>
      <c r="I206" s="836"/>
      <c r="J206" s="853"/>
      <c r="K206" s="367">
        <v>2</v>
      </c>
    </row>
    <row r="207" spans="1:11">
      <c r="A207" s="426" t="s">
        <v>412</v>
      </c>
      <c r="B207" s="833" t="s">
        <v>246</v>
      </c>
      <c r="C207" s="848" t="s">
        <v>247</v>
      </c>
      <c r="D207" s="849"/>
      <c r="E207" s="849"/>
      <c r="F207" s="849"/>
      <c r="G207" s="849" t="s">
        <v>248</v>
      </c>
      <c r="H207" s="849"/>
      <c r="I207" s="849"/>
      <c r="J207" s="850"/>
      <c r="K207" s="360">
        <v>2</v>
      </c>
    </row>
    <row r="208" spans="1:11">
      <c r="A208" s="247" t="s">
        <v>413</v>
      </c>
      <c r="B208" s="834"/>
      <c r="C208" s="854" t="s">
        <v>249</v>
      </c>
      <c r="D208" s="855"/>
      <c r="E208" s="855"/>
      <c r="F208" s="855"/>
      <c r="G208" s="855" t="s">
        <v>250</v>
      </c>
      <c r="H208" s="855"/>
      <c r="I208" s="855"/>
      <c r="J208" s="856"/>
      <c r="K208" s="363">
        <v>2</v>
      </c>
    </row>
    <row r="209" spans="1:11" ht="17.25" thickBot="1">
      <c r="A209" s="247" t="s">
        <v>414</v>
      </c>
      <c r="B209" s="838"/>
      <c r="C209" s="857" t="s">
        <v>251</v>
      </c>
      <c r="D209" s="858"/>
      <c r="E209" s="858"/>
      <c r="F209" s="858"/>
      <c r="G209" s="858" t="s">
        <v>252</v>
      </c>
      <c r="H209" s="858"/>
      <c r="I209" s="858"/>
      <c r="J209" s="859"/>
      <c r="K209" s="367">
        <v>2</v>
      </c>
    </row>
    <row r="210" spans="1:11">
      <c r="A210" s="837" t="s">
        <v>415</v>
      </c>
      <c r="B210" s="833" t="s">
        <v>650</v>
      </c>
      <c r="C210" s="839" t="s">
        <v>395</v>
      </c>
      <c r="D210" s="841" t="s">
        <v>265</v>
      </c>
      <c r="E210" s="841"/>
      <c r="F210" s="841"/>
      <c r="G210" s="841"/>
      <c r="H210" s="841"/>
      <c r="I210" s="841" t="s">
        <v>270</v>
      </c>
      <c r="J210" s="843"/>
      <c r="K210" s="851">
        <v>2</v>
      </c>
    </row>
    <row r="211" spans="1:11" ht="17.25" thickBot="1">
      <c r="A211" s="818"/>
      <c r="B211" s="838"/>
      <c r="C211" s="840"/>
      <c r="D211" s="842"/>
      <c r="E211" s="842"/>
      <c r="F211" s="842"/>
      <c r="G211" s="842"/>
      <c r="H211" s="842"/>
      <c r="I211" s="364" t="s">
        <v>269</v>
      </c>
      <c r="J211" s="365" t="s">
        <v>273</v>
      </c>
      <c r="K211" s="852"/>
    </row>
    <row r="212" spans="1:11">
      <c r="A212" s="426" t="s">
        <v>416</v>
      </c>
      <c r="B212" s="833" t="s">
        <v>253</v>
      </c>
      <c r="C212" s="848" t="s">
        <v>295</v>
      </c>
      <c r="D212" s="849"/>
      <c r="E212" s="849"/>
      <c r="F212" s="849"/>
      <c r="G212" s="849"/>
      <c r="H212" s="849"/>
      <c r="I212" s="849"/>
      <c r="J212" s="850"/>
      <c r="K212" s="366">
        <v>2</v>
      </c>
    </row>
    <row r="213" spans="1:11">
      <c r="A213" s="239" t="s">
        <v>417</v>
      </c>
      <c r="B213" s="834"/>
      <c r="C213" s="854" t="s">
        <v>296</v>
      </c>
      <c r="D213" s="855"/>
      <c r="E213" s="855"/>
      <c r="F213" s="855"/>
      <c r="G213" s="855"/>
      <c r="H213" s="855"/>
      <c r="I213" s="855"/>
      <c r="J213" s="856"/>
      <c r="K213" s="244">
        <v>2</v>
      </c>
    </row>
    <row r="214" spans="1:11">
      <c r="A214" s="239" t="s">
        <v>418</v>
      </c>
      <c r="B214" s="834" t="s">
        <v>254</v>
      </c>
      <c r="C214" s="854" t="s">
        <v>297</v>
      </c>
      <c r="D214" s="855"/>
      <c r="E214" s="855"/>
      <c r="F214" s="855"/>
      <c r="G214" s="855"/>
      <c r="H214" s="855"/>
      <c r="I214" s="855"/>
      <c r="J214" s="856"/>
      <c r="K214" s="244">
        <v>2</v>
      </c>
    </row>
    <row r="215" spans="1:11">
      <c r="A215" s="239" t="s">
        <v>419</v>
      </c>
      <c r="B215" s="834"/>
      <c r="C215" s="854" t="s">
        <v>298</v>
      </c>
      <c r="D215" s="855"/>
      <c r="E215" s="855"/>
      <c r="F215" s="855"/>
      <c r="G215" s="855"/>
      <c r="H215" s="855"/>
      <c r="I215" s="855"/>
      <c r="J215" s="856"/>
      <c r="K215" s="244">
        <v>2</v>
      </c>
    </row>
    <row r="216" spans="1:11">
      <c r="A216" s="239" t="s">
        <v>420</v>
      </c>
      <c r="B216" s="834" t="s">
        <v>255</v>
      </c>
      <c r="C216" s="854" t="s">
        <v>299</v>
      </c>
      <c r="D216" s="855"/>
      <c r="E216" s="855"/>
      <c r="F216" s="855"/>
      <c r="G216" s="855"/>
      <c r="H216" s="855"/>
      <c r="I216" s="855"/>
      <c r="J216" s="856"/>
      <c r="K216" s="244">
        <v>2</v>
      </c>
    </row>
    <row r="217" spans="1:11">
      <c r="A217" s="239" t="s">
        <v>421</v>
      </c>
      <c r="B217" s="834"/>
      <c r="C217" s="854" t="s">
        <v>300</v>
      </c>
      <c r="D217" s="855"/>
      <c r="E217" s="855"/>
      <c r="F217" s="855"/>
      <c r="G217" s="855"/>
      <c r="H217" s="855"/>
      <c r="I217" s="855"/>
      <c r="J217" s="856"/>
      <c r="K217" s="244">
        <v>2</v>
      </c>
    </row>
    <row r="218" spans="1:11">
      <c r="A218" s="239" t="s">
        <v>422</v>
      </c>
      <c r="B218" s="834" t="s">
        <v>256</v>
      </c>
      <c r="C218" s="854" t="s">
        <v>301</v>
      </c>
      <c r="D218" s="855"/>
      <c r="E218" s="855"/>
      <c r="F218" s="855"/>
      <c r="G218" s="855"/>
      <c r="H218" s="855"/>
      <c r="I218" s="855"/>
      <c r="J218" s="856"/>
      <c r="K218" s="244">
        <v>2</v>
      </c>
    </row>
    <row r="219" spans="1:11" ht="17.25" thickBot="1">
      <c r="A219" s="239" t="s">
        <v>423</v>
      </c>
      <c r="B219" s="838"/>
      <c r="C219" s="857" t="s">
        <v>302</v>
      </c>
      <c r="D219" s="858"/>
      <c r="E219" s="858"/>
      <c r="F219" s="858"/>
      <c r="G219" s="858"/>
      <c r="H219" s="858"/>
      <c r="I219" s="858"/>
      <c r="J219" s="859"/>
      <c r="K219" s="367">
        <v>2</v>
      </c>
    </row>
    <row r="220" spans="1:11">
      <c r="A220" s="837" t="s">
        <v>983</v>
      </c>
      <c r="B220" s="989" t="s">
        <v>859</v>
      </c>
      <c r="C220" s="993"/>
      <c r="D220" s="994"/>
      <c r="E220" s="995"/>
      <c r="F220" s="996" t="s">
        <v>905</v>
      </c>
      <c r="G220" s="996"/>
      <c r="H220" s="996"/>
      <c r="I220" s="996"/>
      <c r="J220" s="997"/>
      <c r="K220" s="864">
        <v>2</v>
      </c>
    </row>
    <row r="221" spans="1:11" ht="17.25" thickBot="1">
      <c r="A221" s="818"/>
      <c r="B221" s="990"/>
      <c r="C221" s="396" t="s">
        <v>987</v>
      </c>
      <c r="D221" s="397" t="s">
        <v>987</v>
      </c>
      <c r="E221" s="400" t="s">
        <v>987</v>
      </c>
      <c r="F221" s="399" t="s">
        <v>906</v>
      </c>
      <c r="G221" s="397" t="s">
        <v>860</v>
      </c>
      <c r="H221" s="397" t="s">
        <v>861</v>
      </c>
      <c r="I221" s="397" t="s">
        <v>863</v>
      </c>
      <c r="J221" s="400" t="s">
        <v>864</v>
      </c>
      <c r="K221" s="865"/>
    </row>
    <row r="222" spans="1:11">
      <c r="A222" s="837" t="s">
        <v>984</v>
      </c>
      <c r="B222" s="990"/>
      <c r="C222" s="998" t="s">
        <v>988</v>
      </c>
      <c r="D222" s="999"/>
      <c r="E222" s="999"/>
      <c r="F222" s="1000"/>
      <c r="G222" s="998" t="s">
        <v>986</v>
      </c>
      <c r="H222" s="999"/>
      <c r="I222" s="999"/>
      <c r="J222" s="1000"/>
      <c r="K222" s="990">
        <v>2</v>
      </c>
    </row>
    <row r="223" spans="1:11" ht="17.25" thickBot="1">
      <c r="A223" s="818"/>
      <c r="B223" s="991"/>
      <c r="C223" s="396" t="s">
        <v>989</v>
      </c>
      <c r="D223" s="397" t="s">
        <v>990</v>
      </c>
      <c r="E223" s="397" t="s">
        <v>861</v>
      </c>
      <c r="F223" s="398" t="s">
        <v>862</v>
      </c>
      <c r="G223" s="396" t="s">
        <v>989</v>
      </c>
      <c r="H223" s="397" t="s">
        <v>990</v>
      </c>
      <c r="I223" s="397" t="s">
        <v>861</v>
      </c>
      <c r="J223" s="398" t="s">
        <v>862</v>
      </c>
      <c r="K223" s="991"/>
    </row>
    <row r="224" spans="1:11">
      <c r="A224" s="837" t="s">
        <v>985</v>
      </c>
      <c r="B224" s="833" t="s">
        <v>291</v>
      </c>
      <c r="C224" s="860" t="s">
        <v>271</v>
      </c>
      <c r="D224" s="861"/>
      <c r="E224" s="866" t="s">
        <v>265</v>
      </c>
      <c r="F224" s="867"/>
      <c r="G224" s="867"/>
      <c r="H224" s="868"/>
      <c r="I224" s="872" t="s">
        <v>293</v>
      </c>
      <c r="J224" s="873"/>
      <c r="K224" s="851">
        <v>2</v>
      </c>
    </row>
    <row r="225" spans="1:11" ht="17.25" thickBot="1">
      <c r="A225" s="818"/>
      <c r="B225" s="838"/>
      <c r="C225" s="440" t="s">
        <v>272</v>
      </c>
      <c r="D225" s="518" t="s">
        <v>292</v>
      </c>
      <c r="E225" s="869"/>
      <c r="F225" s="870"/>
      <c r="G225" s="870"/>
      <c r="H225" s="871"/>
      <c r="I225" s="862" t="s">
        <v>277</v>
      </c>
      <c r="J225" s="863"/>
      <c r="K225" s="852"/>
    </row>
    <row r="226" spans="1:11">
      <c r="A226" s="837" t="s">
        <v>424</v>
      </c>
      <c r="B226" s="833" t="s">
        <v>651</v>
      </c>
      <c r="C226" s="844" t="s">
        <v>257</v>
      </c>
      <c r="D226" s="845"/>
      <c r="E226" s="845"/>
      <c r="F226" s="845"/>
      <c r="G226" s="846" t="s">
        <v>275</v>
      </c>
      <c r="H226" s="846"/>
      <c r="I226" s="846"/>
      <c r="J226" s="847"/>
      <c r="K226" s="851">
        <v>2</v>
      </c>
    </row>
    <row r="227" spans="1:11" ht="17.25" thickBot="1">
      <c r="A227" s="818"/>
      <c r="B227" s="838"/>
      <c r="C227" s="465" t="s">
        <v>268</v>
      </c>
      <c r="D227" s="466" t="s">
        <v>267</v>
      </c>
      <c r="E227" s="466" t="s">
        <v>266</v>
      </c>
      <c r="F227" s="466" t="s">
        <v>274</v>
      </c>
      <c r="G227" s="836" t="s">
        <v>232</v>
      </c>
      <c r="H227" s="836"/>
      <c r="I227" s="836"/>
      <c r="J227" s="853"/>
      <c r="K227" s="852"/>
    </row>
    <row r="228" spans="1:11">
      <c r="A228" s="428" t="s">
        <v>425</v>
      </c>
      <c r="B228" s="246" t="s">
        <v>259</v>
      </c>
      <c r="C228" s="443" t="s">
        <v>260</v>
      </c>
      <c r="D228" s="444"/>
      <c r="E228" s="445"/>
      <c r="F228" s="445" t="s">
        <v>221</v>
      </c>
      <c r="G228" s="445" t="s">
        <v>220</v>
      </c>
      <c r="H228" s="445" t="s">
        <v>219</v>
      </c>
      <c r="I228" s="445" t="s">
        <v>127</v>
      </c>
      <c r="J228" s="446" t="s">
        <v>131</v>
      </c>
      <c r="K228" s="249">
        <v>2</v>
      </c>
    </row>
    <row r="229" spans="1:11">
      <c r="A229" s="428" t="s">
        <v>426</v>
      </c>
      <c r="B229" s="962" t="s">
        <v>279</v>
      </c>
      <c r="C229" s="1020" t="s">
        <v>655</v>
      </c>
      <c r="D229" s="1021"/>
      <c r="E229" s="1021"/>
      <c r="F229" s="1021"/>
      <c r="G229" s="1021"/>
      <c r="H229" s="1021"/>
      <c r="I229" s="1021"/>
      <c r="J229" s="1022"/>
      <c r="K229" s="248">
        <v>2</v>
      </c>
    </row>
    <row r="230" spans="1:11" ht="17.25" thickBot="1">
      <c r="A230" s="428" t="s">
        <v>427</v>
      </c>
      <c r="B230" s="963"/>
      <c r="C230" s="1023" t="s">
        <v>656</v>
      </c>
      <c r="D230" s="1024"/>
      <c r="E230" s="1024"/>
      <c r="F230" s="1024"/>
      <c r="G230" s="1024"/>
      <c r="H230" s="1024"/>
      <c r="I230" s="1024"/>
      <c r="J230" s="1025"/>
      <c r="K230" s="368">
        <v>2</v>
      </c>
    </row>
    <row r="231" spans="1:11">
      <c r="A231" s="426" t="s">
        <v>428</v>
      </c>
      <c r="B231" s="1009" t="s">
        <v>280</v>
      </c>
      <c r="C231" s="844" t="s">
        <v>281</v>
      </c>
      <c r="D231" s="845"/>
      <c r="E231" s="845"/>
      <c r="F231" s="845"/>
      <c r="G231" s="845"/>
      <c r="H231" s="845"/>
      <c r="I231" s="845"/>
      <c r="J231" s="956"/>
      <c r="K231" s="366">
        <v>2</v>
      </c>
    </row>
    <row r="232" spans="1:11">
      <c r="A232" s="239" t="s">
        <v>429</v>
      </c>
      <c r="B232" s="834"/>
      <c r="C232" s="969" t="s">
        <v>282</v>
      </c>
      <c r="D232" s="970"/>
      <c r="E232" s="970"/>
      <c r="F232" s="970"/>
      <c r="G232" s="970"/>
      <c r="H232" s="970"/>
      <c r="I232" s="970"/>
      <c r="J232" s="971"/>
      <c r="K232" s="244">
        <v>2</v>
      </c>
    </row>
    <row r="233" spans="1:11">
      <c r="A233" s="239" t="s">
        <v>430</v>
      </c>
      <c r="B233" s="801" t="s">
        <v>680</v>
      </c>
      <c r="C233" s="1017" t="s">
        <v>681</v>
      </c>
      <c r="D233" s="1018"/>
      <c r="E233" s="1018"/>
      <c r="F233" s="1018"/>
      <c r="G233" s="1018"/>
      <c r="H233" s="1018"/>
      <c r="I233" s="1018"/>
      <c r="J233" s="1019"/>
      <c r="K233" s="369">
        <v>2</v>
      </c>
    </row>
    <row r="234" spans="1:11">
      <c r="A234" s="239" t="s">
        <v>431</v>
      </c>
      <c r="B234" s="952"/>
      <c r="C234" s="969" t="s">
        <v>682</v>
      </c>
      <c r="D234" s="970"/>
      <c r="E234" s="970"/>
      <c r="F234" s="970"/>
      <c r="G234" s="970"/>
      <c r="H234" s="970"/>
      <c r="I234" s="970"/>
      <c r="J234" s="971"/>
      <c r="K234" s="244">
        <v>2</v>
      </c>
    </row>
    <row r="235" spans="1:11">
      <c r="A235" s="239" t="s">
        <v>432</v>
      </c>
      <c r="B235" s="952" t="s">
        <v>937</v>
      </c>
      <c r="C235" s="969" t="s">
        <v>948</v>
      </c>
      <c r="D235" s="970"/>
      <c r="E235" s="970"/>
      <c r="F235" s="970"/>
      <c r="G235" s="970"/>
      <c r="H235" s="970"/>
      <c r="I235" s="970"/>
      <c r="J235" s="971"/>
      <c r="K235" s="244">
        <v>2</v>
      </c>
    </row>
    <row r="236" spans="1:11">
      <c r="A236" s="239" t="s">
        <v>433</v>
      </c>
      <c r="B236" s="952"/>
      <c r="C236" s="969" t="s">
        <v>949</v>
      </c>
      <c r="D236" s="970"/>
      <c r="E236" s="970"/>
      <c r="F236" s="970"/>
      <c r="G236" s="970"/>
      <c r="H236" s="970"/>
      <c r="I236" s="970"/>
      <c r="J236" s="971"/>
      <c r="K236" s="244">
        <v>2</v>
      </c>
    </row>
    <row r="237" spans="1:11">
      <c r="A237" s="239" t="s">
        <v>434</v>
      </c>
      <c r="B237" s="952" t="s">
        <v>938</v>
      </c>
      <c r="C237" s="969" t="s">
        <v>951</v>
      </c>
      <c r="D237" s="970"/>
      <c r="E237" s="970"/>
      <c r="F237" s="970"/>
      <c r="G237" s="970"/>
      <c r="H237" s="970"/>
      <c r="I237" s="970"/>
      <c r="J237" s="971"/>
      <c r="K237" s="244">
        <v>2</v>
      </c>
    </row>
    <row r="238" spans="1:11">
      <c r="A238" s="239" t="s">
        <v>435</v>
      </c>
      <c r="B238" s="952"/>
      <c r="C238" s="969" t="s">
        <v>950</v>
      </c>
      <c r="D238" s="970"/>
      <c r="E238" s="970"/>
      <c r="F238" s="970"/>
      <c r="G238" s="970"/>
      <c r="H238" s="970"/>
      <c r="I238" s="970"/>
      <c r="J238" s="971"/>
      <c r="K238" s="244">
        <v>2</v>
      </c>
    </row>
    <row r="239" spans="1:11">
      <c r="A239" s="239" t="s">
        <v>436</v>
      </c>
      <c r="B239" s="952" t="s">
        <v>278</v>
      </c>
      <c r="C239" s="969" t="s">
        <v>285</v>
      </c>
      <c r="D239" s="970"/>
      <c r="E239" s="970"/>
      <c r="F239" s="970"/>
      <c r="G239" s="970"/>
      <c r="H239" s="970"/>
      <c r="I239" s="970"/>
      <c r="J239" s="971"/>
      <c r="K239" s="244">
        <v>2</v>
      </c>
    </row>
    <row r="240" spans="1:11">
      <c r="A240" s="239" t="s">
        <v>437</v>
      </c>
      <c r="B240" s="952"/>
      <c r="C240" s="969" t="s">
        <v>286</v>
      </c>
      <c r="D240" s="970"/>
      <c r="E240" s="970"/>
      <c r="F240" s="970"/>
      <c r="G240" s="970"/>
      <c r="H240" s="970"/>
      <c r="I240" s="970"/>
      <c r="J240" s="971"/>
      <c r="K240" s="244">
        <v>2</v>
      </c>
    </row>
    <row r="241" spans="1:11">
      <c r="A241" s="239" t="s">
        <v>438</v>
      </c>
      <c r="B241" s="800" t="s">
        <v>973</v>
      </c>
      <c r="C241" s="802" t="s">
        <v>974</v>
      </c>
      <c r="D241" s="803"/>
      <c r="E241" s="803"/>
      <c r="F241" s="803"/>
      <c r="G241" s="803"/>
      <c r="H241" s="803"/>
      <c r="I241" s="803"/>
      <c r="J241" s="804"/>
      <c r="K241" s="244">
        <v>2</v>
      </c>
    </row>
    <row r="242" spans="1:11">
      <c r="A242" s="239" t="s">
        <v>439</v>
      </c>
      <c r="B242" s="801"/>
      <c r="C242" s="802" t="s">
        <v>975</v>
      </c>
      <c r="D242" s="803"/>
      <c r="E242" s="803"/>
      <c r="F242" s="803"/>
      <c r="G242" s="803"/>
      <c r="H242" s="803"/>
      <c r="I242" s="803"/>
      <c r="J242" s="804"/>
      <c r="K242" s="244">
        <v>2</v>
      </c>
    </row>
    <row r="243" spans="1:11">
      <c r="A243" s="239" t="s">
        <v>440</v>
      </c>
      <c r="B243" s="952" t="s">
        <v>283</v>
      </c>
      <c r="C243" s="969" t="s">
        <v>287</v>
      </c>
      <c r="D243" s="970"/>
      <c r="E243" s="970"/>
      <c r="F243" s="970"/>
      <c r="G243" s="970"/>
      <c r="H243" s="970"/>
      <c r="I243" s="970"/>
      <c r="J243" s="971"/>
      <c r="K243" s="244">
        <v>2</v>
      </c>
    </row>
    <row r="244" spans="1:11">
      <c r="A244" s="239" t="s">
        <v>441</v>
      </c>
      <c r="B244" s="952"/>
      <c r="C244" s="969" t="s">
        <v>288</v>
      </c>
      <c r="D244" s="970"/>
      <c r="E244" s="970"/>
      <c r="F244" s="970"/>
      <c r="G244" s="970"/>
      <c r="H244" s="970"/>
      <c r="I244" s="970"/>
      <c r="J244" s="971"/>
      <c r="K244" s="244">
        <v>2</v>
      </c>
    </row>
    <row r="245" spans="1:11">
      <c r="A245" s="239" t="s">
        <v>943</v>
      </c>
      <c r="B245" s="952" t="s">
        <v>284</v>
      </c>
      <c r="C245" s="969" t="s">
        <v>289</v>
      </c>
      <c r="D245" s="970"/>
      <c r="E245" s="970"/>
      <c r="F245" s="970"/>
      <c r="G245" s="970"/>
      <c r="H245" s="970"/>
      <c r="I245" s="970"/>
      <c r="J245" s="971"/>
      <c r="K245" s="244">
        <v>2</v>
      </c>
    </row>
    <row r="246" spans="1:11" ht="17.25" thickBot="1">
      <c r="A246" s="239" t="s">
        <v>442</v>
      </c>
      <c r="B246" s="838"/>
      <c r="C246" s="835" t="s">
        <v>290</v>
      </c>
      <c r="D246" s="836"/>
      <c r="E246" s="836"/>
      <c r="F246" s="836"/>
      <c r="G246" s="836"/>
      <c r="H246" s="836"/>
      <c r="I246" s="836"/>
      <c r="J246" s="853"/>
      <c r="K246" s="367">
        <v>2</v>
      </c>
    </row>
    <row r="247" spans="1:11">
      <c r="A247" s="240" t="s">
        <v>944</v>
      </c>
      <c r="B247" s="1009" t="s">
        <v>462</v>
      </c>
      <c r="C247" s="447" t="s">
        <v>309</v>
      </c>
      <c r="D247" s="448" t="s">
        <v>310</v>
      </c>
      <c r="E247" s="448" t="s">
        <v>311</v>
      </c>
      <c r="F247" s="448" t="s">
        <v>312</v>
      </c>
      <c r="G247" s="448" t="s">
        <v>313</v>
      </c>
      <c r="H247" s="448" t="s">
        <v>314</v>
      </c>
      <c r="I247" s="448" t="s">
        <v>315</v>
      </c>
      <c r="J247" s="449" t="s">
        <v>316</v>
      </c>
      <c r="K247" s="366">
        <v>2</v>
      </c>
    </row>
    <row r="248" spans="1:11">
      <c r="A248" s="241" t="s">
        <v>945</v>
      </c>
      <c r="B248" s="952"/>
      <c r="C248" s="450" t="s">
        <v>454</v>
      </c>
      <c r="D248" s="451" t="s">
        <v>317</v>
      </c>
      <c r="E248" s="451" t="s">
        <v>318</v>
      </c>
      <c r="F248" s="451" t="s">
        <v>319</v>
      </c>
      <c r="G248" s="451" t="s">
        <v>320</v>
      </c>
      <c r="H248" s="451" t="s">
        <v>321</v>
      </c>
      <c r="I248" s="451" t="s">
        <v>322</v>
      </c>
      <c r="J248" s="452" t="s">
        <v>323</v>
      </c>
      <c r="K248" s="244">
        <v>2</v>
      </c>
    </row>
    <row r="249" spans="1:11">
      <c r="A249" s="241" t="s">
        <v>946</v>
      </c>
      <c r="B249" s="952"/>
      <c r="C249" s="450" t="s">
        <v>324</v>
      </c>
      <c r="D249" s="451" t="s">
        <v>325</v>
      </c>
      <c r="E249" s="451" t="s">
        <v>326</v>
      </c>
      <c r="F249" s="451" t="s">
        <v>327</v>
      </c>
      <c r="G249" s="451" t="s">
        <v>328</v>
      </c>
      <c r="H249" s="451" t="s">
        <v>329</v>
      </c>
      <c r="I249" s="451" t="s">
        <v>330</v>
      </c>
      <c r="J249" s="452" t="s">
        <v>331</v>
      </c>
      <c r="K249" s="244">
        <v>2</v>
      </c>
    </row>
    <row r="250" spans="1:11">
      <c r="A250" s="241" t="s">
        <v>947</v>
      </c>
      <c r="B250" s="952"/>
      <c r="C250" s="450" t="s">
        <v>332</v>
      </c>
      <c r="D250" s="451" t="s">
        <v>333</v>
      </c>
      <c r="E250" s="451" t="s">
        <v>334</v>
      </c>
      <c r="F250" s="451" t="s">
        <v>335</v>
      </c>
      <c r="G250" s="451" t="s">
        <v>336</v>
      </c>
      <c r="H250" s="451" t="s">
        <v>337</v>
      </c>
      <c r="I250" s="451" t="s">
        <v>338</v>
      </c>
      <c r="J250" s="452" t="s">
        <v>339</v>
      </c>
      <c r="K250" s="244">
        <v>2</v>
      </c>
    </row>
    <row r="251" spans="1:11">
      <c r="A251" s="241" t="s">
        <v>463</v>
      </c>
      <c r="B251" s="952"/>
      <c r="C251" s="450" t="s">
        <v>340</v>
      </c>
      <c r="D251" s="451" t="s">
        <v>341</v>
      </c>
      <c r="E251" s="451" t="s">
        <v>342</v>
      </c>
      <c r="F251" s="451" t="s">
        <v>343</v>
      </c>
      <c r="G251" s="451" t="s">
        <v>344</v>
      </c>
      <c r="H251" s="451" t="s">
        <v>345</v>
      </c>
      <c r="I251" s="451" t="s">
        <v>346</v>
      </c>
      <c r="J251" s="452" t="s">
        <v>347</v>
      </c>
      <c r="K251" s="244">
        <v>2</v>
      </c>
    </row>
    <row r="252" spans="1:11">
      <c r="A252" s="241" t="s">
        <v>464</v>
      </c>
      <c r="B252" s="952"/>
      <c r="C252" s="450" t="s">
        <v>348</v>
      </c>
      <c r="D252" s="451" t="s">
        <v>349</v>
      </c>
      <c r="E252" s="451" t="s">
        <v>350</v>
      </c>
      <c r="F252" s="451" t="s">
        <v>351</v>
      </c>
      <c r="G252" s="451" t="s">
        <v>352</v>
      </c>
      <c r="H252" s="451" t="s">
        <v>353</v>
      </c>
      <c r="I252" s="451" t="s">
        <v>354</v>
      </c>
      <c r="J252" s="452" t="s">
        <v>355</v>
      </c>
      <c r="K252" s="244">
        <v>2</v>
      </c>
    </row>
    <row r="253" spans="1:11">
      <c r="A253" s="241" t="s">
        <v>465</v>
      </c>
      <c r="B253" s="952"/>
      <c r="C253" s="450" t="s">
        <v>356</v>
      </c>
      <c r="D253" s="451" t="s">
        <v>357</v>
      </c>
      <c r="E253" s="451" t="s">
        <v>358</v>
      </c>
      <c r="F253" s="451" t="s">
        <v>359</v>
      </c>
      <c r="G253" s="451" t="s">
        <v>360</v>
      </c>
      <c r="H253" s="451" t="s">
        <v>361</v>
      </c>
      <c r="I253" s="451" t="s">
        <v>362</v>
      </c>
      <c r="J253" s="452" t="s">
        <v>363</v>
      </c>
      <c r="K253" s="244">
        <v>2</v>
      </c>
    </row>
    <row r="254" spans="1:11">
      <c r="A254" s="241" t="s">
        <v>466</v>
      </c>
      <c r="B254" s="952"/>
      <c r="C254" s="450" t="s">
        <v>364</v>
      </c>
      <c r="D254" s="451" t="s">
        <v>365</v>
      </c>
      <c r="E254" s="451" t="s">
        <v>366</v>
      </c>
      <c r="F254" s="451" t="s">
        <v>367</v>
      </c>
      <c r="G254" s="451" t="s">
        <v>368</v>
      </c>
      <c r="H254" s="451" t="s">
        <v>369</v>
      </c>
      <c r="I254" s="451" t="s">
        <v>370</v>
      </c>
      <c r="J254" s="452" t="s">
        <v>371</v>
      </c>
      <c r="K254" s="244">
        <v>2</v>
      </c>
    </row>
    <row r="255" spans="1:11">
      <c r="A255" s="241" t="s">
        <v>467</v>
      </c>
      <c r="B255" s="952"/>
      <c r="C255" s="450" t="s">
        <v>372</v>
      </c>
      <c r="D255" s="451" t="s">
        <v>373</v>
      </c>
      <c r="E255" s="451" t="s">
        <v>374</v>
      </c>
      <c r="F255" s="451" t="s">
        <v>375</v>
      </c>
      <c r="G255" s="451" t="s">
        <v>376</v>
      </c>
      <c r="H255" s="451" t="s">
        <v>377</v>
      </c>
      <c r="I255" s="451" t="s">
        <v>378</v>
      </c>
      <c r="J255" s="452" t="s">
        <v>379</v>
      </c>
      <c r="K255" s="244">
        <v>2</v>
      </c>
    </row>
    <row r="256" spans="1:11" ht="17.25" thickBot="1">
      <c r="A256" s="122" t="s">
        <v>468</v>
      </c>
      <c r="B256" s="1026"/>
      <c r="C256" s="453" t="s">
        <v>455</v>
      </c>
      <c r="D256" s="454" t="s">
        <v>380</v>
      </c>
      <c r="E256" s="454" t="s">
        <v>381</v>
      </c>
      <c r="F256" s="454" t="s">
        <v>382</v>
      </c>
      <c r="G256" s="454" t="s">
        <v>383</v>
      </c>
      <c r="H256" s="454" t="s">
        <v>384</v>
      </c>
      <c r="I256" s="454" t="s">
        <v>385</v>
      </c>
      <c r="J256" s="455" t="s">
        <v>386</v>
      </c>
      <c r="K256" s="367">
        <v>2</v>
      </c>
    </row>
    <row r="257" spans="1:11" ht="17.25" thickBot="1">
      <c r="A257" s="237" t="s">
        <v>1098</v>
      </c>
      <c r="B257" s="154" t="s">
        <v>475</v>
      </c>
      <c r="C257" s="822" t="s">
        <v>474</v>
      </c>
      <c r="D257" s="823"/>
      <c r="E257" s="823"/>
      <c r="F257" s="823"/>
      <c r="G257" s="823"/>
      <c r="H257" s="823"/>
      <c r="I257" s="823"/>
      <c r="J257" s="824"/>
      <c r="K257" s="104">
        <v>2</v>
      </c>
    </row>
    <row r="258" spans="1:11">
      <c r="A258" s="837" t="s">
        <v>1099</v>
      </c>
      <c r="B258" s="780" t="s">
        <v>848</v>
      </c>
      <c r="C258" s="898" t="s">
        <v>760</v>
      </c>
      <c r="D258" s="899"/>
      <c r="E258" s="899"/>
      <c r="F258" s="900"/>
      <c r="G258" s="901" t="s">
        <v>759</v>
      </c>
      <c r="H258" s="899"/>
      <c r="I258" s="899"/>
      <c r="J258" s="902"/>
      <c r="K258" s="837">
        <v>2</v>
      </c>
    </row>
    <row r="259" spans="1:11">
      <c r="A259" s="874"/>
      <c r="B259" s="781"/>
      <c r="C259" s="456" t="s">
        <v>761</v>
      </c>
      <c r="D259" s="457" t="s">
        <v>265</v>
      </c>
      <c r="E259" s="457" t="s">
        <v>265</v>
      </c>
      <c r="F259" s="458" t="s">
        <v>763</v>
      </c>
      <c r="G259" s="459" t="s">
        <v>761</v>
      </c>
      <c r="H259" s="457" t="s">
        <v>265</v>
      </c>
      <c r="I259" s="457" t="s">
        <v>265</v>
      </c>
      <c r="J259" s="460" t="s">
        <v>763</v>
      </c>
      <c r="K259" s="909"/>
    </row>
    <row r="260" spans="1:11">
      <c r="A260" s="231" t="s">
        <v>992</v>
      </c>
      <c r="B260" s="781"/>
      <c r="C260" s="461" t="s">
        <v>735</v>
      </c>
      <c r="D260" s="462" t="s">
        <v>833</v>
      </c>
      <c r="E260" s="463" t="s">
        <v>657</v>
      </c>
      <c r="F260" s="463" t="s">
        <v>126</v>
      </c>
      <c r="G260" s="463" t="s">
        <v>735</v>
      </c>
      <c r="H260" s="462" t="s">
        <v>833</v>
      </c>
      <c r="I260" s="463" t="s">
        <v>657</v>
      </c>
      <c r="J260" s="464" t="s">
        <v>126</v>
      </c>
      <c r="K260" s="362">
        <v>2</v>
      </c>
    </row>
    <row r="261" spans="1:11">
      <c r="A261" s="231" t="s">
        <v>993</v>
      </c>
      <c r="B261" s="781"/>
      <c r="C261" s="461" t="s">
        <v>685</v>
      </c>
      <c r="D261" s="463" t="s">
        <v>737</v>
      </c>
      <c r="E261" s="463" t="s">
        <v>694</v>
      </c>
      <c r="F261" s="463" t="s">
        <v>738</v>
      </c>
      <c r="G261" s="463" t="s">
        <v>685</v>
      </c>
      <c r="H261" s="463" t="s">
        <v>737</v>
      </c>
      <c r="I261" s="463" t="s">
        <v>694</v>
      </c>
      <c r="J261" s="464" t="s">
        <v>738</v>
      </c>
      <c r="K261" s="362">
        <v>2</v>
      </c>
    </row>
    <row r="262" spans="1:11">
      <c r="A262" s="231" t="s">
        <v>994</v>
      </c>
      <c r="B262" s="781"/>
      <c r="C262" s="457" t="s">
        <v>265</v>
      </c>
      <c r="D262" s="463" t="s">
        <v>740</v>
      </c>
      <c r="E262" s="463" t="s">
        <v>748</v>
      </c>
      <c r="F262" s="463" t="s">
        <v>749</v>
      </c>
      <c r="G262" s="457" t="s">
        <v>265</v>
      </c>
      <c r="H262" s="463" t="s">
        <v>740</v>
      </c>
      <c r="I262" s="463" t="s">
        <v>748</v>
      </c>
      <c r="J262" s="464" t="s">
        <v>749</v>
      </c>
      <c r="K262" s="362">
        <v>2</v>
      </c>
    </row>
    <row r="263" spans="1:11">
      <c r="A263" s="231" t="s">
        <v>995</v>
      </c>
      <c r="B263" s="781"/>
      <c r="C263" s="461" t="s">
        <v>741</v>
      </c>
      <c r="D263" s="463" t="s">
        <v>742</v>
      </c>
      <c r="E263" s="463" t="s">
        <v>743</v>
      </c>
      <c r="F263" s="463" t="s">
        <v>744</v>
      </c>
      <c r="G263" s="463" t="s">
        <v>741</v>
      </c>
      <c r="H263" s="463" t="s">
        <v>742</v>
      </c>
      <c r="I263" s="463" t="s">
        <v>743</v>
      </c>
      <c r="J263" s="464" t="s">
        <v>744</v>
      </c>
      <c r="K263" s="362">
        <v>2</v>
      </c>
    </row>
    <row r="264" spans="1:11">
      <c r="A264" s="231" t="s">
        <v>996</v>
      </c>
      <c r="B264" s="781"/>
      <c r="C264" s="461" t="s">
        <v>752</v>
      </c>
      <c r="D264" s="463" t="s">
        <v>753</v>
      </c>
      <c r="E264" s="463" t="s">
        <v>754</v>
      </c>
      <c r="F264" s="463" t="s">
        <v>755</v>
      </c>
      <c r="G264" s="463" t="s">
        <v>752</v>
      </c>
      <c r="H264" s="463" t="s">
        <v>753</v>
      </c>
      <c r="I264" s="463" t="s">
        <v>754</v>
      </c>
      <c r="J264" s="464" t="s">
        <v>755</v>
      </c>
      <c r="K264" s="362">
        <v>2</v>
      </c>
    </row>
    <row r="265" spans="1:11">
      <c r="A265" s="231" t="s">
        <v>997</v>
      </c>
      <c r="B265" s="781"/>
      <c r="C265" s="461" t="s">
        <v>757</v>
      </c>
      <c r="D265" s="457" t="s">
        <v>265</v>
      </c>
      <c r="E265" s="463" t="s">
        <v>837</v>
      </c>
      <c r="F265" s="463" t="s">
        <v>836</v>
      </c>
      <c r="G265" s="463" t="s">
        <v>757</v>
      </c>
      <c r="H265" s="457" t="s">
        <v>265</v>
      </c>
      <c r="I265" s="463" t="s">
        <v>660</v>
      </c>
      <c r="J265" s="464" t="s">
        <v>661</v>
      </c>
      <c r="K265" s="362">
        <v>2</v>
      </c>
    </row>
    <row r="266" spans="1:11">
      <c r="A266" s="231" t="s">
        <v>998</v>
      </c>
      <c r="B266" s="781"/>
      <c r="C266" s="457" t="s">
        <v>265</v>
      </c>
      <c r="D266" s="457" t="s">
        <v>265</v>
      </c>
      <c r="E266" s="463" t="s">
        <v>839</v>
      </c>
      <c r="F266" s="463" t="s">
        <v>838</v>
      </c>
      <c r="G266" s="457" t="s">
        <v>265</v>
      </c>
      <c r="H266" s="457" t="s">
        <v>265</v>
      </c>
      <c r="I266" s="463" t="s">
        <v>662</v>
      </c>
      <c r="J266" s="464" t="s">
        <v>838</v>
      </c>
      <c r="K266" s="362">
        <v>2</v>
      </c>
    </row>
    <row r="267" spans="1:11">
      <c r="A267" s="231" t="s">
        <v>999</v>
      </c>
      <c r="B267" s="781"/>
      <c r="C267" s="462" t="s">
        <v>835</v>
      </c>
      <c r="D267" s="457" t="s">
        <v>265</v>
      </c>
      <c r="E267" s="457" t="s">
        <v>265</v>
      </c>
      <c r="F267" s="463" t="s">
        <v>658</v>
      </c>
      <c r="G267" s="462" t="s">
        <v>834</v>
      </c>
      <c r="H267" s="457" t="s">
        <v>265</v>
      </c>
      <c r="I267" s="457" t="s">
        <v>265</v>
      </c>
      <c r="J267" s="464" t="s">
        <v>659</v>
      </c>
      <c r="K267" s="221">
        <v>2</v>
      </c>
    </row>
    <row r="268" spans="1:11">
      <c r="A268" s="231" t="s">
        <v>1000</v>
      </c>
      <c r="B268" s="781"/>
      <c r="C268" s="875" t="s">
        <v>793</v>
      </c>
      <c r="D268" s="876"/>
      <c r="E268" s="876"/>
      <c r="F268" s="877"/>
      <c r="G268" s="878" t="s">
        <v>129</v>
      </c>
      <c r="H268" s="876"/>
      <c r="I268" s="876"/>
      <c r="J268" s="879"/>
      <c r="K268" s="221">
        <v>2</v>
      </c>
    </row>
    <row r="269" spans="1:11" ht="17.25" thickBot="1">
      <c r="A269" s="231" t="s">
        <v>1001</v>
      </c>
      <c r="B269" s="782"/>
      <c r="C269" s="880" t="s">
        <v>794</v>
      </c>
      <c r="D269" s="881"/>
      <c r="E269" s="881"/>
      <c r="F269" s="882"/>
      <c r="G269" s="883" t="s">
        <v>130</v>
      </c>
      <c r="H269" s="881"/>
      <c r="I269" s="881"/>
      <c r="J269" s="884"/>
      <c r="K269" s="220">
        <v>2</v>
      </c>
    </row>
    <row r="270" spans="1:11">
      <c r="A270" s="240" t="s">
        <v>1002</v>
      </c>
      <c r="B270" s="780" t="s">
        <v>782</v>
      </c>
      <c r="C270" s="844" t="s">
        <v>783</v>
      </c>
      <c r="D270" s="845"/>
      <c r="E270" s="845"/>
      <c r="F270" s="845"/>
      <c r="G270" s="845"/>
      <c r="H270" s="845"/>
      <c r="I270" s="845"/>
      <c r="J270" s="956"/>
      <c r="K270" s="366">
        <v>2</v>
      </c>
    </row>
    <row r="271" spans="1:11">
      <c r="A271" s="241" t="s">
        <v>1003</v>
      </c>
      <c r="B271" s="781"/>
      <c r="C271" s="969" t="s">
        <v>784</v>
      </c>
      <c r="D271" s="970"/>
      <c r="E271" s="970"/>
      <c r="F271" s="970"/>
      <c r="G271" s="970"/>
      <c r="H271" s="970"/>
      <c r="I271" s="970"/>
      <c r="J271" s="971"/>
      <c r="K271" s="244">
        <v>2</v>
      </c>
    </row>
    <row r="272" spans="1:11">
      <c r="A272" s="242" t="s">
        <v>1004</v>
      </c>
      <c r="B272" s="781"/>
      <c r="C272" s="1017" t="s">
        <v>785</v>
      </c>
      <c r="D272" s="1018"/>
      <c r="E272" s="1018"/>
      <c r="F272" s="1018"/>
      <c r="G272" s="1018"/>
      <c r="H272" s="1018"/>
      <c r="I272" s="1018"/>
      <c r="J272" s="1019"/>
      <c r="K272" s="369">
        <v>2</v>
      </c>
    </row>
    <row r="273" spans="1:11">
      <c r="A273" s="241" t="s">
        <v>1005</v>
      </c>
      <c r="B273" s="781"/>
      <c r="C273" s="969" t="s">
        <v>786</v>
      </c>
      <c r="D273" s="970"/>
      <c r="E273" s="970"/>
      <c r="F273" s="970"/>
      <c r="G273" s="970"/>
      <c r="H273" s="970"/>
      <c r="I273" s="970"/>
      <c r="J273" s="971"/>
      <c r="K273" s="244">
        <v>2</v>
      </c>
    </row>
    <row r="274" spans="1:11">
      <c r="A274" s="242" t="s">
        <v>1006</v>
      </c>
      <c r="B274" s="781"/>
      <c r="C274" s="1017" t="s">
        <v>787</v>
      </c>
      <c r="D274" s="1018"/>
      <c r="E274" s="1018"/>
      <c r="F274" s="1018"/>
      <c r="G274" s="1018"/>
      <c r="H274" s="1018"/>
      <c r="I274" s="1018"/>
      <c r="J274" s="1019"/>
      <c r="K274" s="244">
        <v>2</v>
      </c>
    </row>
    <row r="275" spans="1:11">
      <c r="A275" s="241" t="s">
        <v>1007</v>
      </c>
      <c r="B275" s="781"/>
      <c r="C275" s="969" t="s">
        <v>788</v>
      </c>
      <c r="D275" s="970"/>
      <c r="E275" s="970"/>
      <c r="F275" s="970"/>
      <c r="G275" s="970"/>
      <c r="H275" s="970"/>
      <c r="I275" s="970"/>
      <c r="J275" s="971"/>
      <c r="K275" s="244">
        <v>2</v>
      </c>
    </row>
    <row r="276" spans="1:11">
      <c r="A276" s="242" t="s">
        <v>1008</v>
      </c>
      <c r="B276" s="781"/>
      <c r="C276" s="1017" t="s">
        <v>789</v>
      </c>
      <c r="D276" s="1018"/>
      <c r="E276" s="1018"/>
      <c r="F276" s="1018"/>
      <c r="G276" s="1018"/>
      <c r="H276" s="1018"/>
      <c r="I276" s="1018"/>
      <c r="J276" s="1019"/>
      <c r="K276" s="244">
        <v>2</v>
      </c>
    </row>
    <row r="277" spans="1:11" ht="17.25" thickBot="1">
      <c r="A277" s="243" t="s">
        <v>1100</v>
      </c>
      <c r="B277" s="782"/>
      <c r="C277" s="835" t="s">
        <v>790</v>
      </c>
      <c r="D277" s="836"/>
      <c r="E277" s="836"/>
      <c r="F277" s="836"/>
      <c r="G277" s="836"/>
      <c r="H277" s="836"/>
      <c r="I277" s="836"/>
      <c r="J277" s="853"/>
      <c r="K277" s="367">
        <v>2</v>
      </c>
    </row>
    <row r="278" spans="1:11" ht="23.25" thickBot="1">
      <c r="A278" s="350" t="s">
        <v>1101</v>
      </c>
      <c r="B278" s="429" t="s">
        <v>1068</v>
      </c>
      <c r="C278" s="468" t="s">
        <v>1077</v>
      </c>
      <c r="D278" s="469" t="s">
        <v>1076</v>
      </c>
      <c r="E278" s="469" t="s">
        <v>1075</v>
      </c>
      <c r="F278" s="469" t="s">
        <v>1074</v>
      </c>
      <c r="G278" s="469" t="s">
        <v>1073</v>
      </c>
      <c r="H278" s="469" t="s">
        <v>1072</v>
      </c>
      <c r="I278" s="469" t="s">
        <v>1071</v>
      </c>
      <c r="J278" s="470" t="s">
        <v>1070</v>
      </c>
      <c r="K278" s="431">
        <v>2</v>
      </c>
    </row>
    <row r="279" spans="1:11">
      <c r="A279" s="350" t="s">
        <v>1102</v>
      </c>
      <c r="B279" s="370" t="s">
        <v>49</v>
      </c>
      <c r="C279" s="792" t="s">
        <v>120</v>
      </c>
      <c r="D279" s="793"/>
      <c r="E279" s="793"/>
      <c r="F279" s="793"/>
      <c r="G279" s="793"/>
      <c r="H279" s="793"/>
      <c r="I279" s="793"/>
      <c r="J279" s="794"/>
      <c r="K279" s="244">
        <v>2</v>
      </c>
    </row>
    <row r="280" spans="1:11">
      <c r="A280" s="242" t="s">
        <v>1103</v>
      </c>
      <c r="B280" s="370" t="s">
        <v>49</v>
      </c>
      <c r="C280" s="916" t="s">
        <v>120</v>
      </c>
      <c r="D280" s="917"/>
      <c r="E280" s="917"/>
      <c r="F280" s="917"/>
      <c r="G280" s="917"/>
      <c r="H280" s="917"/>
      <c r="I280" s="917"/>
      <c r="J280" s="918"/>
      <c r="K280" s="369">
        <v>2</v>
      </c>
    </row>
    <row r="281" spans="1:11" ht="17.25" thickBot="1">
      <c r="A281" s="151">
        <v>162</v>
      </c>
      <c r="B281" s="361" t="s">
        <v>50</v>
      </c>
      <c r="C281" s="797" t="s">
        <v>58</v>
      </c>
      <c r="D281" s="798"/>
      <c r="E281" s="798"/>
      <c r="F281" s="798"/>
      <c r="G281" s="798"/>
      <c r="H281" s="798"/>
      <c r="I281" s="798"/>
      <c r="J281" s="799"/>
      <c r="K281" s="367">
        <v>1</v>
      </c>
    </row>
  </sheetData>
  <mergeCells count="381">
    <mergeCell ref="K93:K94"/>
    <mergeCell ref="C242:J242"/>
    <mergeCell ref="B247:B256"/>
    <mergeCell ref="B239:B240"/>
    <mergeCell ref="C239:J239"/>
    <mergeCell ref="C240:J240"/>
    <mergeCell ref="C280:J280"/>
    <mergeCell ref="C47:F47"/>
    <mergeCell ref="G47:J47"/>
    <mergeCell ref="K47:K48"/>
    <mergeCell ref="C87:J87"/>
    <mergeCell ref="C86:J86"/>
    <mergeCell ref="C85:J85"/>
    <mergeCell ref="C84:J84"/>
    <mergeCell ref="C83:J83"/>
    <mergeCell ref="C82:J82"/>
    <mergeCell ref="C233:J233"/>
    <mergeCell ref="C234:J234"/>
    <mergeCell ref="G139:J139"/>
    <mergeCell ref="C140:F140"/>
    <mergeCell ref="G140:J140"/>
    <mergeCell ref="C204:F204"/>
    <mergeCell ref="G204:J204"/>
    <mergeCell ref="C205:F205"/>
    <mergeCell ref="B243:B244"/>
    <mergeCell ref="C243:J243"/>
    <mergeCell ref="C244:J244"/>
    <mergeCell ref="B245:B246"/>
    <mergeCell ref="C245:J245"/>
    <mergeCell ref="C246:J246"/>
    <mergeCell ref="B241:B242"/>
    <mergeCell ref="C241:J241"/>
    <mergeCell ref="B204:B206"/>
    <mergeCell ref="B237:B238"/>
    <mergeCell ref="C237:J237"/>
    <mergeCell ref="C238:J238"/>
    <mergeCell ref="B235:B236"/>
    <mergeCell ref="C235:J235"/>
    <mergeCell ref="C236:J236"/>
    <mergeCell ref="B231:B232"/>
    <mergeCell ref="C231:J231"/>
    <mergeCell ref="C232:J232"/>
    <mergeCell ref="B233:B234"/>
    <mergeCell ref="B229:B230"/>
    <mergeCell ref="C229:J229"/>
    <mergeCell ref="C230:J230"/>
    <mergeCell ref="B270:B277"/>
    <mergeCell ref="C270:J270"/>
    <mergeCell ref="C271:J271"/>
    <mergeCell ref="C272:J272"/>
    <mergeCell ref="C273:J273"/>
    <mergeCell ref="C274:J274"/>
    <mergeCell ref="C275:J275"/>
    <mergeCell ref="C276:J276"/>
    <mergeCell ref="C277:J277"/>
    <mergeCell ref="A258:A259"/>
    <mergeCell ref="B258:B269"/>
    <mergeCell ref="C258:F258"/>
    <mergeCell ref="G258:J258"/>
    <mergeCell ref="K258:K259"/>
    <mergeCell ref="C268:F268"/>
    <mergeCell ref="G268:J268"/>
    <mergeCell ref="C269:F269"/>
    <mergeCell ref="G269:J269"/>
    <mergeCell ref="C196:J196"/>
    <mergeCell ref="B214:B215"/>
    <mergeCell ref="C214:J214"/>
    <mergeCell ref="C215:J215"/>
    <mergeCell ref="C41:J41"/>
    <mergeCell ref="C42:J42"/>
    <mergeCell ref="B43:B44"/>
    <mergeCell ref="C43:J43"/>
    <mergeCell ref="C44:J44"/>
    <mergeCell ref="B62:B63"/>
    <mergeCell ref="C62:J62"/>
    <mergeCell ref="C63:J63"/>
    <mergeCell ref="I50:J50"/>
    <mergeCell ref="C198:J198"/>
    <mergeCell ref="B68:B69"/>
    <mergeCell ref="C68:J68"/>
    <mergeCell ref="C69:J69"/>
    <mergeCell ref="C91:J91"/>
    <mergeCell ref="C127:F127"/>
    <mergeCell ref="G127:J127"/>
    <mergeCell ref="C128:F128"/>
    <mergeCell ref="G128:J128"/>
    <mergeCell ref="G205:J205"/>
    <mergeCell ref="G206:J206"/>
    <mergeCell ref="A51:A52"/>
    <mergeCell ref="B51:B52"/>
    <mergeCell ref="C51:F51"/>
    <mergeCell ref="C220:E220"/>
    <mergeCell ref="F220:J220"/>
    <mergeCell ref="B220:B223"/>
    <mergeCell ref="C222:F222"/>
    <mergeCell ref="G222:J222"/>
    <mergeCell ref="K222:K223"/>
    <mergeCell ref="A222:A223"/>
    <mergeCell ref="G51:J51"/>
    <mergeCell ref="B60:B61"/>
    <mergeCell ref="C60:J60"/>
    <mergeCell ref="C61:J61"/>
    <mergeCell ref="K51:K52"/>
    <mergeCell ref="G52:J52"/>
    <mergeCell ref="C54:J54"/>
    <mergeCell ref="C55:J55"/>
    <mergeCell ref="B56:B57"/>
    <mergeCell ref="C56:J56"/>
    <mergeCell ref="C57:J57"/>
    <mergeCell ref="B58:B59"/>
    <mergeCell ref="C58:J58"/>
    <mergeCell ref="C59:J59"/>
    <mergeCell ref="F18:F19"/>
    <mergeCell ref="G18:G19"/>
    <mergeCell ref="H18:H19"/>
    <mergeCell ref="I18:I19"/>
    <mergeCell ref="J18:J19"/>
    <mergeCell ref="C18:C19"/>
    <mergeCell ref="C45:E45"/>
    <mergeCell ref="F45:J45"/>
    <mergeCell ref="B45:B48"/>
    <mergeCell ref="B39:B40"/>
    <mergeCell ref="C39:J39"/>
    <mergeCell ref="C40:J40"/>
    <mergeCell ref="B41:B42"/>
    <mergeCell ref="C33:F33"/>
    <mergeCell ref="G33:J33"/>
    <mergeCell ref="C34:F34"/>
    <mergeCell ref="G34:J34"/>
    <mergeCell ref="C31:F31"/>
    <mergeCell ref="G31:J31"/>
    <mergeCell ref="B32:B34"/>
    <mergeCell ref="C32:F32"/>
    <mergeCell ref="G32:J32"/>
    <mergeCell ref="A1:K1"/>
    <mergeCell ref="C9:J9"/>
    <mergeCell ref="C11:J11"/>
    <mergeCell ref="C7:J7"/>
    <mergeCell ref="C8:J8"/>
    <mergeCell ref="C10:J10"/>
    <mergeCell ref="K14:K15"/>
    <mergeCell ref="B14:B15"/>
    <mergeCell ref="G14:J14"/>
    <mergeCell ref="C14:F14"/>
    <mergeCell ref="C13:J13"/>
    <mergeCell ref="A14:A15"/>
    <mergeCell ref="C12:J12"/>
    <mergeCell ref="B12:B13"/>
    <mergeCell ref="B5:K5"/>
    <mergeCell ref="C16:J16"/>
    <mergeCell ref="A18:A19"/>
    <mergeCell ref="B18:B19"/>
    <mergeCell ref="D18:D19"/>
    <mergeCell ref="E18:E19"/>
    <mergeCell ref="C38:J38"/>
    <mergeCell ref="C23:J23"/>
    <mergeCell ref="C24:J24"/>
    <mergeCell ref="C25:J25"/>
    <mergeCell ref="B26:B28"/>
    <mergeCell ref="C26:F26"/>
    <mergeCell ref="G26:J26"/>
    <mergeCell ref="C27:F27"/>
    <mergeCell ref="G27:J27"/>
    <mergeCell ref="C28:F28"/>
    <mergeCell ref="G28:J28"/>
    <mergeCell ref="B21:B24"/>
    <mergeCell ref="C21:J21"/>
    <mergeCell ref="C22:J22"/>
    <mergeCell ref="B29:B31"/>
    <mergeCell ref="C29:F29"/>
    <mergeCell ref="G29:J29"/>
    <mergeCell ref="C30:F30"/>
    <mergeCell ref="G30:J30"/>
    <mergeCell ref="K18:K19"/>
    <mergeCell ref="A45:A46"/>
    <mergeCell ref="K45:K46"/>
    <mergeCell ref="B70:B71"/>
    <mergeCell ref="C70:J70"/>
    <mergeCell ref="C71:J71"/>
    <mergeCell ref="A49:A50"/>
    <mergeCell ref="B49:B50"/>
    <mergeCell ref="C49:D49"/>
    <mergeCell ref="E49:H50"/>
    <mergeCell ref="I49:J49"/>
    <mergeCell ref="K49:K50"/>
    <mergeCell ref="A35:A36"/>
    <mergeCell ref="B35:B36"/>
    <mergeCell ref="C35:C36"/>
    <mergeCell ref="D35:H36"/>
    <mergeCell ref="I35:J35"/>
    <mergeCell ref="K35:K36"/>
    <mergeCell ref="B37:B38"/>
    <mergeCell ref="C37:J37"/>
    <mergeCell ref="B64:B65"/>
    <mergeCell ref="C64:J64"/>
    <mergeCell ref="C65:J65"/>
    <mergeCell ref="B54:B55"/>
    <mergeCell ref="C188:J188"/>
    <mergeCell ref="C186:J186"/>
    <mergeCell ref="C173:J173"/>
    <mergeCell ref="C174:J174"/>
    <mergeCell ref="C175:J175"/>
    <mergeCell ref="C176:J176"/>
    <mergeCell ref="C177:J177"/>
    <mergeCell ref="C179:J179"/>
    <mergeCell ref="B180:B182"/>
    <mergeCell ref="C180:J180"/>
    <mergeCell ref="C181:J181"/>
    <mergeCell ref="C185:F185"/>
    <mergeCell ref="G185:J185"/>
    <mergeCell ref="C183:F183"/>
    <mergeCell ref="G183:J183"/>
    <mergeCell ref="C187:J187"/>
    <mergeCell ref="C184:F184"/>
    <mergeCell ref="G184:J184"/>
    <mergeCell ref="A163:A164"/>
    <mergeCell ref="B163:B164"/>
    <mergeCell ref="C182:J182"/>
    <mergeCell ref="I163:I164"/>
    <mergeCell ref="J163:J164"/>
    <mergeCell ref="D163:D164"/>
    <mergeCell ref="E163:E164"/>
    <mergeCell ref="F163:F164"/>
    <mergeCell ref="G163:G164"/>
    <mergeCell ref="H163:H164"/>
    <mergeCell ref="B178:B179"/>
    <mergeCell ref="C178:J178"/>
    <mergeCell ref="C167:J167"/>
    <mergeCell ref="C168:J168"/>
    <mergeCell ref="C166:J166"/>
    <mergeCell ref="C152:J152"/>
    <mergeCell ref="B117:B128"/>
    <mergeCell ref="C117:F117"/>
    <mergeCell ref="G117:J117"/>
    <mergeCell ref="C104:F104"/>
    <mergeCell ref="C169:J169"/>
    <mergeCell ref="K163:K164"/>
    <mergeCell ref="C156:J156"/>
    <mergeCell ref="C157:J157"/>
    <mergeCell ref="C158:J158"/>
    <mergeCell ref="C159:J159"/>
    <mergeCell ref="C160:J160"/>
    <mergeCell ref="C162:J162"/>
    <mergeCell ref="B161:B162"/>
    <mergeCell ref="C161:J161"/>
    <mergeCell ref="K129:K130"/>
    <mergeCell ref="K117:K118"/>
    <mergeCell ref="B129:B140"/>
    <mergeCell ref="C129:F129"/>
    <mergeCell ref="G129:J129"/>
    <mergeCell ref="C139:F139"/>
    <mergeCell ref="K105:K106"/>
    <mergeCell ref="C163:C164"/>
    <mergeCell ref="C89:J89"/>
    <mergeCell ref="C88:J88"/>
    <mergeCell ref="B93:B104"/>
    <mergeCell ref="C103:F103"/>
    <mergeCell ref="B72:B81"/>
    <mergeCell ref="A105:A106"/>
    <mergeCell ref="B105:B116"/>
    <mergeCell ref="C105:F105"/>
    <mergeCell ref="G105:J105"/>
    <mergeCell ref="B82:B89"/>
    <mergeCell ref="C92:J92"/>
    <mergeCell ref="B201:B203"/>
    <mergeCell ref="C201:F201"/>
    <mergeCell ref="G201:J201"/>
    <mergeCell ref="C202:F202"/>
    <mergeCell ref="G202:J202"/>
    <mergeCell ref="C203:F203"/>
    <mergeCell ref="G203:J203"/>
    <mergeCell ref="A93:A94"/>
    <mergeCell ref="C115:F115"/>
    <mergeCell ref="G115:J115"/>
    <mergeCell ref="C116:F116"/>
    <mergeCell ref="G116:J116"/>
    <mergeCell ref="A129:A130"/>
    <mergeCell ref="C141:J141"/>
    <mergeCell ref="A199:A200"/>
    <mergeCell ref="B190:K190"/>
    <mergeCell ref="B154:K154"/>
    <mergeCell ref="B171:K171"/>
    <mergeCell ref="C195:J195"/>
    <mergeCell ref="A117:A118"/>
    <mergeCell ref="C93:F93"/>
    <mergeCell ref="G93:J93"/>
    <mergeCell ref="C150:J150"/>
    <mergeCell ref="C151:J151"/>
    <mergeCell ref="K210:K211"/>
    <mergeCell ref="C208:F208"/>
    <mergeCell ref="B207:B209"/>
    <mergeCell ref="C207:F207"/>
    <mergeCell ref="G207:J207"/>
    <mergeCell ref="G208:J208"/>
    <mergeCell ref="C209:F209"/>
    <mergeCell ref="G209:J209"/>
    <mergeCell ref="K224:K225"/>
    <mergeCell ref="I225:J225"/>
    <mergeCell ref="K220:K221"/>
    <mergeCell ref="E224:H225"/>
    <mergeCell ref="I224:J224"/>
    <mergeCell ref="K226:K227"/>
    <mergeCell ref="G227:J227"/>
    <mergeCell ref="C213:J213"/>
    <mergeCell ref="B216:B217"/>
    <mergeCell ref="C216:J216"/>
    <mergeCell ref="C217:J217"/>
    <mergeCell ref="B218:B219"/>
    <mergeCell ref="C218:J218"/>
    <mergeCell ref="C219:J219"/>
    <mergeCell ref="B224:B225"/>
    <mergeCell ref="C224:D224"/>
    <mergeCell ref="B226:B227"/>
    <mergeCell ref="A210:A211"/>
    <mergeCell ref="B210:B211"/>
    <mergeCell ref="C210:C211"/>
    <mergeCell ref="D210:H211"/>
    <mergeCell ref="I210:J210"/>
    <mergeCell ref="A224:A225"/>
    <mergeCell ref="A226:A227"/>
    <mergeCell ref="C226:F226"/>
    <mergeCell ref="G226:J226"/>
    <mergeCell ref="C212:J212"/>
    <mergeCell ref="A220:A221"/>
    <mergeCell ref="C279:J279"/>
    <mergeCell ref="K199:K200"/>
    <mergeCell ref="C281:J281"/>
    <mergeCell ref="B66:B67"/>
    <mergeCell ref="C66:J66"/>
    <mergeCell ref="C67:J67"/>
    <mergeCell ref="G104:J104"/>
    <mergeCell ref="G103:J103"/>
    <mergeCell ref="C192:J192"/>
    <mergeCell ref="C193:J193"/>
    <mergeCell ref="C194:J194"/>
    <mergeCell ref="B197:B198"/>
    <mergeCell ref="C197:J197"/>
    <mergeCell ref="C257:J257"/>
    <mergeCell ref="B199:B200"/>
    <mergeCell ref="D199:D200"/>
    <mergeCell ref="E199:E200"/>
    <mergeCell ref="F199:F200"/>
    <mergeCell ref="G199:G200"/>
    <mergeCell ref="H199:H200"/>
    <mergeCell ref="I199:I200"/>
    <mergeCell ref="J199:J200"/>
    <mergeCell ref="B212:B213"/>
    <mergeCell ref="C206:F206"/>
    <mergeCell ref="B142:B149"/>
    <mergeCell ref="C142:J142"/>
    <mergeCell ref="C143:J143"/>
    <mergeCell ref="C144:J144"/>
    <mergeCell ref="C145:J145"/>
    <mergeCell ref="C146:J146"/>
    <mergeCell ref="C147:J147"/>
    <mergeCell ref="C148:J148"/>
    <mergeCell ref="C149:J149"/>
    <mergeCell ref="N14:N15"/>
    <mergeCell ref="N18:N19"/>
    <mergeCell ref="N21:N24"/>
    <mergeCell ref="N26:N28"/>
    <mergeCell ref="N29:N31"/>
    <mergeCell ref="N32:N34"/>
    <mergeCell ref="N35:N36"/>
    <mergeCell ref="N37:N38"/>
    <mergeCell ref="N39:N40"/>
    <mergeCell ref="N60:N61"/>
    <mergeCell ref="N62:N63"/>
    <mergeCell ref="N64:N65"/>
    <mergeCell ref="N66:N67"/>
    <mergeCell ref="N68:N69"/>
    <mergeCell ref="N70:N71"/>
    <mergeCell ref="N41:N42"/>
    <mergeCell ref="N43:N44"/>
    <mergeCell ref="N45:N46"/>
    <mergeCell ref="N47:N48"/>
    <mergeCell ref="N49:N50"/>
    <mergeCell ref="N51:N52"/>
    <mergeCell ref="N54:N55"/>
    <mergeCell ref="N56:N57"/>
    <mergeCell ref="N58:N59"/>
  </mergeCells>
  <phoneticPr fontId="5" type="noConversion"/>
  <printOptions horizontalCentered="1"/>
  <pageMargins left="0.70866141732283472" right="0.70866141732283472" top="0.74803149606299213" bottom="0.74803149606299213" header="0.31496062992125984" footer="0.31496062992125984"/>
  <pageSetup paperSize="9" scale="81" fitToHeight="5"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D1:N35"/>
  <sheetViews>
    <sheetView topLeftCell="D10" workbookViewId="0">
      <selection activeCell="P26" sqref="P26"/>
    </sheetView>
  </sheetViews>
  <sheetFormatPr defaultRowHeight="16.5"/>
  <cols>
    <col min="1" max="3" width="0" hidden="1" customWidth="1"/>
  </cols>
  <sheetData>
    <row r="1" spans="4:14" ht="17.25" thickBot="1">
      <c r="D1" s="975" t="s">
        <v>105</v>
      </c>
      <c r="E1" s="976"/>
      <c r="F1" s="976"/>
      <c r="G1" s="976"/>
      <c r="H1" s="976"/>
      <c r="I1" s="976"/>
      <c r="J1" s="976"/>
      <c r="K1" s="976"/>
      <c r="L1" s="976"/>
      <c r="M1" s="976"/>
      <c r="N1" s="977"/>
    </row>
    <row r="2" spans="4:14">
      <c r="D2" s="79" t="s">
        <v>106</v>
      </c>
      <c r="E2" s="80" t="s">
        <v>122</v>
      </c>
      <c r="G2" s="81"/>
      <c r="H2" s="82"/>
      <c r="I2" s="82"/>
      <c r="J2" s="82"/>
      <c r="K2" s="82"/>
      <c r="L2" s="81"/>
      <c r="M2" s="82" t="s">
        <v>107</v>
      </c>
      <c r="N2" s="83" t="s">
        <v>121</v>
      </c>
    </row>
    <row r="3" spans="4:14">
      <c r="D3" s="75" t="s">
        <v>457</v>
      </c>
      <c r="E3" s="87"/>
      <c r="F3" s="89"/>
      <c r="G3" s="91"/>
      <c r="H3" s="91"/>
      <c r="I3" s="91"/>
      <c r="J3" s="91"/>
      <c r="K3" s="91"/>
      <c r="L3" s="90"/>
      <c r="M3" s="91" t="s">
        <v>109</v>
      </c>
      <c r="N3" s="418" t="s">
        <v>1162</v>
      </c>
    </row>
    <row r="4" spans="4:14" ht="17.25" thickBot="1">
      <c r="D4" s="76"/>
      <c r="E4" s="88"/>
      <c r="F4" s="77"/>
      <c r="G4" s="77"/>
      <c r="H4" s="77"/>
      <c r="I4" s="77"/>
      <c r="J4" s="77"/>
      <c r="K4" s="77"/>
      <c r="L4" s="78"/>
      <c r="M4" s="92" t="s">
        <v>110</v>
      </c>
      <c r="N4" s="212" t="s">
        <v>1163</v>
      </c>
    </row>
    <row r="5" spans="4:14" ht="17.25" thickBot="1">
      <c r="D5" s="519" t="s">
        <v>1212</v>
      </c>
      <c r="E5" s="888" t="s">
        <v>1213</v>
      </c>
      <c r="F5" s="889"/>
      <c r="G5" s="889"/>
      <c r="H5" s="889"/>
      <c r="I5" s="889"/>
      <c r="J5" s="889"/>
      <c r="K5" s="889"/>
      <c r="L5" s="889"/>
      <c r="M5" s="889"/>
      <c r="N5" s="890"/>
    </row>
    <row r="6" spans="4:14" ht="17.25" thickBot="1">
      <c r="D6" s="101" t="s">
        <v>75</v>
      </c>
      <c r="E6" s="94" t="s">
        <v>97</v>
      </c>
      <c r="F6" s="152" t="s">
        <v>458</v>
      </c>
      <c r="G6" s="113" t="s">
        <v>112</v>
      </c>
      <c r="H6" s="113" t="s">
        <v>113</v>
      </c>
      <c r="I6" s="113" t="s">
        <v>114</v>
      </c>
      <c r="J6" s="113" t="s">
        <v>115</v>
      </c>
      <c r="K6" s="113" t="s">
        <v>116</v>
      </c>
      <c r="L6" s="113" t="s">
        <v>117</v>
      </c>
      <c r="M6" s="153" t="s">
        <v>118</v>
      </c>
      <c r="N6" s="97" t="s">
        <v>119</v>
      </c>
    </row>
    <row r="7" spans="4:14">
      <c r="D7" s="504">
        <v>1</v>
      </c>
      <c r="E7" s="503" t="s">
        <v>37</v>
      </c>
      <c r="F7" s="811" t="s">
        <v>294</v>
      </c>
      <c r="G7" s="812"/>
      <c r="H7" s="812"/>
      <c r="I7" s="812"/>
      <c r="J7" s="812"/>
      <c r="K7" s="812"/>
      <c r="L7" s="812"/>
      <c r="M7" s="813"/>
      <c r="N7" s="506">
        <v>1</v>
      </c>
    </row>
    <row r="8" spans="4:14">
      <c r="D8" s="239" t="s">
        <v>398</v>
      </c>
      <c r="E8" s="500" t="s">
        <v>36</v>
      </c>
      <c r="F8" s="814" t="s">
        <v>52</v>
      </c>
      <c r="G8" s="815"/>
      <c r="H8" s="815"/>
      <c r="I8" s="815"/>
      <c r="J8" s="815"/>
      <c r="K8" s="815"/>
      <c r="L8" s="815"/>
      <c r="M8" s="816"/>
      <c r="N8" s="244">
        <v>2</v>
      </c>
    </row>
    <row r="9" spans="4:14">
      <c r="D9" s="239" t="s">
        <v>399</v>
      </c>
      <c r="E9" s="500" t="s">
        <v>39</v>
      </c>
      <c r="F9" s="814" t="s">
        <v>53</v>
      </c>
      <c r="G9" s="815"/>
      <c r="H9" s="815"/>
      <c r="I9" s="815"/>
      <c r="J9" s="815"/>
      <c r="K9" s="815"/>
      <c r="L9" s="815"/>
      <c r="M9" s="816"/>
      <c r="N9" s="244">
        <v>2</v>
      </c>
    </row>
    <row r="10" spans="4:14">
      <c r="D10" s="239" t="s">
        <v>400</v>
      </c>
      <c r="E10" s="500" t="s">
        <v>40</v>
      </c>
      <c r="F10" s="814" t="s">
        <v>54</v>
      </c>
      <c r="G10" s="815"/>
      <c r="H10" s="815"/>
      <c r="I10" s="815"/>
      <c r="J10" s="815"/>
      <c r="K10" s="815"/>
      <c r="L10" s="815"/>
      <c r="M10" s="816"/>
      <c r="N10" s="244">
        <v>2</v>
      </c>
    </row>
    <row r="11" spans="4:14">
      <c r="D11" s="239" t="s">
        <v>401</v>
      </c>
      <c r="E11" s="500" t="s">
        <v>41</v>
      </c>
      <c r="F11" s="906" t="s">
        <v>1161</v>
      </c>
      <c r="G11" s="907"/>
      <c r="H11" s="907"/>
      <c r="I11" s="907"/>
      <c r="J11" s="907"/>
      <c r="K11" s="907"/>
      <c r="L11" s="907"/>
      <c r="M11" s="908"/>
      <c r="N11" s="244">
        <v>2</v>
      </c>
    </row>
    <row r="12" spans="4:14" s="491" customFormat="1">
      <c r="D12" s="239" t="s">
        <v>402</v>
      </c>
      <c r="E12" s="817" t="s">
        <v>42</v>
      </c>
      <c r="F12" s="819" t="s">
        <v>1145</v>
      </c>
      <c r="G12" s="820"/>
      <c r="H12" s="820"/>
      <c r="I12" s="820"/>
      <c r="J12" s="820"/>
      <c r="K12" s="820"/>
      <c r="L12" s="820"/>
      <c r="M12" s="821"/>
      <c r="N12" s="507">
        <v>2</v>
      </c>
    </row>
    <row r="13" spans="4:14" ht="17.25" thickBot="1">
      <c r="D13" s="497" t="s">
        <v>1152</v>
      </c>
      <c r="E13" s="818"/>
      <c r="F13" s="819" t="s">
        <v>1146</v>
      </c>
      <c r="G13" s="820"/>
      <c r="H13" s="820"/>
      <c r="I13" s="820"/>
      <c r="J13" s="820"/>
      <c r="K13" s="820"/>
      <c r="L13" s="820"/>
      <c r="M13" s="821"/>
      <c r="N13" s="507">
        <v>2</v>
      </c>
    </row>
    <row r="14" spans="4:14" ht="17.25" thickBot="1">
      <c r="D14" s="101" t="s">
        <v>1030</v>
      </c>
      <c r="E14" s="94" t="s">
        <v>472</v>
      </c>
      <c r="F14" s="1030" t="s">
        <v>473</v>
      </c>
      <c r="G14" s="1031"/>
      <c r="H14" s="1031"/>
      <c r="I14" s="1031"/>
      <c r="J14" s="1031"/>
      <c r="K14" s="1031"/>
      <c r="L14" s="1031"/>
      <c r="M14" s="1032"/>
      <c r="N14" s="104"/>
    </row>
    <row r="15" spans="4:14">
      <c r="D15" s="109" t="s">
        <v>1039</v>
      </c>
      <c r="E15" s="110" t="s">
        <v>48</v>
      </c>
      <c r="F15" s="811" t="s">
        <v>120</v>
      </c>
      <c r="G15" s="812"/>
      <c r="H15" s="812"/>
      <c r="I15" s="812"/>
      <c r="J15" s="812"/>
      <c r="K15" s="812"/>
      <c r="L15" s="812"/>
      <c r="M15" s="813"/>
      <c r="N15" s="132">
        <v>4</v>
      </c>
    </row>
    <row r="16" spans="4:14" ht="17.25" thickBot="1">
      <c r="D16" s="151">
        <v>18</v>
      </c>
      <c r="E16" s="107" t="s">
        <v>50</v>
      </c>
      <c r="F16" s="797" t="s">
        <v>58</v>
      </c>
      <c r="G16" s="798"/>
      <c r="H16" s="798"/>
      <c r="I16" s="798"/>
      <c r="J16" s="798"/>
      <c r="K16" s="798"/>
      <c r="L16" s="798"/>
      <c r="M16" s="799"/>
      <c r="N16" s="131">
        <v>1</v>
      </c>
    </row>
    <row r="17" spans="4:14" ht="17.25" thickBot="1"/>
    <row r="18" spans="4:14" ht="17.25" thickBot="1">
      <c r="D18" s="519" t="s">
        <v>1212</v>
      </c>
      <c r="E18" s="888" t="s">
        <v>1220</v>
      </c>
      <c r="F18" s="889"/>
      <c r="G18" s="889"/>
      <c r="H18" s="889"/>
      <c r="I18" s="889"/>
      <c r="J18" s="889"/>
      <c r="K18" s="889"/>
      <c r="L18" s="889"/>
      <c r="M18" s="889"/>
      <c r="N18" s="890"/>
    </row>
    <row r="19" spans="4:14" ht="17.25" thickBot="1">
      <c r="D19" s="177" t="s">
        <v>75</v>
      </c>
      <c r="E19" s="175" t="s">
        <v>97</v>
      </c>
      <c r="F19" s="178" t="s">
        <v>458</v>
      </c>
      <c r="G19" s="179" t="s">
        <v>112</v>
      </c>
      <c r="H19" s="179" t="s">
        <v>113</v>
      </c>
      <c r="I19" s="179" t="s">
        <v>114</v>
      </c>
      <c r="J19" s="179" t="s">
        <v>115</v>
      </c>
      <c r="K19" s="179" t="s">
        <v>116</v>
      </c>
      <c r="L19" s="179" t="s">
        <v>117</v>
      </c>
      <c r="M19" s="180" t="s">
        <v>118</v>
      </c>
      <c r="N19" s="175" t="s">
        <v>119</v>
      </c>
    </row>
    <row r="20" spans="4:14">
      <c r="D20" s="504">
        <v>1</v>
      </c>
      <c r="E20" s="503" t="s">
        <v>37</v>
      </c>
      <c r="F20" s="811" t="s">
        <v>294</v>
      </c>
      <c r="G20" s="812"/>
      <c r="H20" s="812"/>
      <c r="I20" s="812"/>
      <c r="J20" s="812"/>
      <c r="K20" s="812"/>
      <c r="L20" s="812"/>
      <c r="M20" s="813"/>
      <c r="N20" s="506">
        <v>1</v>
      </c>
    </row>
    <row r="21" spans="4:14" ht="16.5" customHeight="1">
      <c r="D21" s="239" t="s">
        <v>398</v>
      </c>
      <c r="E21" s="500" t="s">
        <v>36</v>
      </c>
      <c r="F21" s="814" t="s">
        <v>52</v>
      </c>
      <c r="G21" s="815"/>
      <c r="H21" s="815"/>
      <c r="I21" s="815"/>
      <c r="J21" s="815"/>
      <c r="K21" s="815"/>
      <c r="L21" s="815"/>
      <c r="M21" s="816"/>
      <c r="N21" s="244">
        <v>2</v>
      </c>
    </row>
    <row r="22" spans="4:14">
      <c r="D22" s="239" t="s">
        <v>399</v>
      </c>
      <c r="E22" s="500" t="s">
        <v>39</v>
      </c>
      <c r="F22" s="814" t="s">
        <v>53</v>
      </c>
      <c r="G22" s="815"/>
      <c r="H22" s="815"/>
      <c r="I22" s="815"/>
      <c r="J22" s="815"/>
      <c r="K22" s="815"/>
      <c r="L22" s="815"/>
      <c r="M22" s="816"/>
      <c r="N22" s="244">
        <v>2</v>
      </c>
    </row>
    <row r="23" spans="4:14">
      <c r="D23" s="239" t="s">
        <v>400</v>
      </c>
      <c r="E23" s="500" t="s">
        <v>40</v>
      </c>
      <c r="F23" s="814" t="s">
        <v>54</v>
      </c>
      <c r="G23" s="815"/>
      <c r="H23" s="815"/>
      <c r="I23" s="815"/>
      <c r="J23" s="815"/>
      <c r="K23" s="815"/>
      <c r="L23" s="815"/>
      <c r="M23" s="816"/>
      <c r="N23" s="244">
        <v>2</v>
      </c>
    </row>
    <row r="24" spans="4:14">
      <c r="D24" s="239" t="s">
        <v>401</v>
      </c>
      <c r="E24" s="500" t="s">
        <v>41</v>
      </c>
      <c r="F24" s="906" t="s">
        <v>1157</v>
      </c>
      <c r="G24" s="907"/>
      <c r="H24" s="907"/>
      <c r="I24" s="907"/>
      <c r="J24" s="907"/>
      <c r="K24" s="907"/>
      <c r="L24" s="907"/>
      <c r="M24" s="908"/>
      <c r="N24" s="244">
        <v>2</v>
      </c>
    </row>
    <row r="25" spans="4:14" s="491" customFormat="1">
      <c r="D25" s="239" t="s">
        <v>402</v>
      </c>
      <c r="E25" s="817" t="s">
        <v>42</v>
      </c>
      <c r="F25" s="819" t="s">
        <v>1145</v>
      </c>
      <c r="G25" s="820"/>
      <c r="H25" s="820"/>
      <c r="I25" s="820"/>
      <c r="J25" s="820"/>
      <c r="K25" s="820"/>
      <c r="L25" s="820"/>
      <c r="M25" s="821"/>
      <c r="N25" s="507">
        <v>2</v>
      </c>
    </row>
    <row r="26" spans="4:14" ht="17.25" thickBot="1">
      <c r="D26" s="497" t="s">
        <v>1152</v>
      </c>
      <c r="E26" s="818"/>
      <c r="F26" s="819" t="s">
        <v>1146</v>
      </c>
      <c r="G26" s="820"/>
      <c r="H26" s="820"/>
      <c r="I26" s="820"/>
      <c r="J26" s="820"/>
      <c r="K26" s="820"/>
      <c r="L26" s="820"/>
      <c r="M26" s="821"/>
      <c r="N26" s="507">
        <v>2</v>
      </c>
    </row>
    <row r="27" spans="4:14">
      <c r="D27" s="103" t="s">
        <v>1031</v>
      </c>
      <c r="E27" s="928" t="s">
        <v>487</v>
      </c>
      <c r="F27" s="931" t="s">
        <v>648</v>
      </c>
      <c r="G27" s="932"/>
      <c r="H27" s="932"/>
      <c r="I27" s="932"/>
      <c r="J27" s="932"/>
      <c r="K27" s="932"/>
      <c r="L27" s="932"/>
      <c r="M27" s="933"/>
      <c r="N27" s="191">
        <v>2</v>
      </c>
    </row>
    <row r="28" spans="4:14">
      <c r="D28" s="186" t="s">
        <v>1032</v>
      </c>
      <c r="E28" s="929"/>
      <c r="F28" s="896" t="s">
        <v>574</v>
      </c>
      <c r="G28" s="809"/>
      <c r="H28" s="809"/>
      <c r="I28" s="809"/>
      <c r="J28" s="809"/>
      <c r="K28" s="809"/>
      <c r="L28" s="809"/>
      <c r="M28" s="810"/>
      <c r="N28" s="192">
        <v>2</v>
      </c>
    </row>
    <row r="29" spans="4:14" ht="17.25" thickBot="1">
      <c r="D29" s="188" t="s">
        <v>1033</v>
      </c>
      <c r="E29" s="930"/>
      <c r="F29" s="903" t="s">
        <v>573</v>
      </c>
      <c r="G29" s="806"/>
      <c r="H29" s="806"/>
      <c r="I29" s="806"/>
      <c r="J29" s="806"/>
      <c r="K29" s="806"/>
      <c r="L29" s="806"/>
      <c r="M29" s="807"/>
      <c r="N29" s="193">
        <v>2</v>
      </c>
    </row>
    <row r="30" spans="4:14" ht="17.25" thickBot="1">
      <c r="D30" s="238" t="s">
        <v>1034</v>
      </c>
      <c r="E30" s="517" t="s">
        <v>518</v>
      </c>
      <c r="F30" s="939" t="s">
        <v>572</v>
      </c>
      <c r="G30" s="940"/>
      <c r="H30" s="940"/>
      <c r="I30" s="941"/>
      <c r="J30" s="942" t="s">
        <v>522</v>
      </c>
      <c r="K30" s="940"/>
      <c r="L30" s="940"/>
      <c r="M30" s="943"/>
      <c r="N30" s="187">
        <v>2</v>
      </c>
    </row>
    <row r="31" spans="4:14" ht="17.25" thickBot="1">
      <c r="D31" s="257" t="s">
        <v>1035</v>
      </c>
      <c r="E31" s="517" t="s">
        <v>519</v>
      </c>
      <c r="F31" s="947" t="s">
        <v>523</v>
      </c>
      <c r="G31" s="948"/>
      <c r="H31" s="948"/>
      <c r="I31" s="949"/>
      <c r="J31" s="950" t="s">
        <v>524</v>
      </c>
      <c r="K31" s="948"/>
      <c r="L31" s="948"/>
      <c r="M31" s="951"/>
      <c r="N31" s="187">
        <v>2</v>
      </c>
    </row>
    <row r="32" spans="4:14" ht="17.25" thickBot="1">
      <c r="D32" s="259" t="s">
        <v>1036</v>
      </c>
      <c r="E32" s="517" t="s">
        <v>520</v>
      </c>
      <c r="F32" s="934" t="s">
        <v>525</v>
      </c>
      <c r="G32" s="935"/>
      <c r="H32" s="935"/>
      <c r="I32" s="936"/>
      <c r="J32" s="937" t="s">
        <v>526</v>
      </c>
      <c r="K32" s="935"/>
      <c r="L32" s="935"/>
      <c r="M32" s="938"/>
      <c r="N32" s="187">
        <v>2</v>
      </c>
    </row>
    <row r="33" spans="4:14" s="224" customFormat="1">
      <c r="D33" s="351" t="s">
        <v>1037</v>
      </c>
      <c r="E33" s="352" t="s">
        <v>48</v>
      </c>
      <c r="F33" s="925" t="s">
        <v>120</v>
      </c>
      <c r="G33" s="926"/>
      <c r="H33" s="926"/>
      <c r="I33" s="926"/>
      <c r="J33" s="926"/>
      <c r="K33" s="926"/>
      <c r="L33" s="926"/>
      <c r="M33" s="927"/>
      <c r="N33" s="353">
        <v>2</v>
      </c>
    </row>
    <row r="34" spans="4:14" s="224" customFormat="1">
      <c r="D34" s="254" t="s">
        <v>1038</v>
      </c>
      <c r="E34" s="255" t="s">
        <v>48</v>
      </c>
      <c r="F34" s="944" t="s">
        <v>521</v>
      </c>
      <c r="G34" s="945"/>
      <c r="H34" s="945"/>
      <c r="I34" s="945"/>
      <c r="J34" s="945"/>
      <c r="K34" s="945"/>
      <c r="L34" s="945"/>
      <c r="M34" s="946"/>
      <c r="N34" s="349">
        <v>2</v>
      </c>
    </row>
    <row r="35" spans="4:14" s="224" customFormat="1" ht="17.25" thickBot="1">
      <c r="D35" s="265">
        <v>28</v>
      </c>
      <c r="E35" s="260" t="s">
        <v>50</v>
      </c>
      <c r="F35" s="922" t="s">
        <v>58</v>
      </c>
      <c r="G35" s="923"/>
      <c r="H35" s="923"/>
      <c r="I35" s="923"/>
      <c r="J35" s="923"/>
      <c r="K35" s="923"/>
      <c r="L35" s="923"/>
      <c r="M35" s="924"/>
      <c r="N35" s="261">
        <v>1</v>
      </c>
    </row>
  </sheetData>
  <mergeCells count="35">
    <mergeCell ref="F35:M35"/>
    <mergeCell ref="F21:M21"/>
    <mergeCell ref="F22:M22"/>
    <mergeCell ref="F23:M23"/>
    <mergeCell ref="F24:M24"/>
    <mergeCell ref="F26:M26"/>
    <mergeCell ref="F30:I30"/>
    <mergeCell ref="F34:M34"/>
    <mergeCell ref="J31:M31"/>
    <mergeCell ref="F32:I32"/>
    <mergeCell ref="J32:M32"/>
    <mergeCell ref="J30:M30"/>
    <mergeCell ref="F31:I31"/>
    <mergeCell ref="F33:M33"/>
    <mergeCell ref="F15:M15"/>
    <mergeCell ref="F16:M16"/>
    <mergeCell ref="F20:M20"/>
    <mergeCell ref="E27:E29"/>
    <mergeCell ref="F27:M27"/>
    <mergeCell ref="F28:M28"/>
    <mergeCell ref="F29:M29"/>
    <mergeCell ref="E25:E26"/>
    <mergeCell ref="F25:M25"/>
    <mergeCell ref="E18:N18"/>
    <mergeCell ref="F14:M14"/>
    <mergeCell ref="F11:M11"/>
    <mergeCell ref="F13:M13"/>
    <mergeCell ref="D1:N1"/>
    <mergeCell ref="F7:M7"/>
    <mergeCell ref="F8:M8"/>
    <mergeCell ref="F9:M9"/>
    <mergeCell ref="F10:M10"/>
    <mergeCell ref="E12:E13"/>
    <mergeCell ref="F12:M12"/>
    <mergeCell ref="E5:N5"/>
  </mergeCells>
  <phoneticPr fontId="1"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36"/>
  <sheetViews>
    <sheetView workbookViewId="0">
      <selection sqref="A1:K1"/>
    </sheetView>
  </sheetViews>
  <sheetFormatPr defaultRowHeight="16.5"/>
  <sheetData>
    <row r="1" spans="1:11" ht="17.25" thickBot="1">
      <c r="A1" s="975" t="s">
        <v>105</v>
      </c>
      <c r="B1" s="976"/>
      <c r="C1" s="976"/>
      <c r="D1" s="976"/>
      <c r="E1" s="976"/>
      <c r="F1" s="976"/>
      <c r="G1" s="976"/>
      <c r="H1" s="976"/>
      <c r="I1" s="976"/>
      <c r="J1" s="976"/>
      <c r="K1" s="977"/>
    </row>
    <row r="2" spans="1:11">
      <c r="A2" s="201" t="s">
        <v>106</v>
      </c>
      <c r="B2" s="202" t="s">
        <v>122</v>
      </c>
      <c r="D2" s="203"/>
      <c r="E2" s="204"/>
      <c r="F2" s="204"/>
      <c r="G2" s="204"/>
      <c r="H2" s="204"/>
      <c r="I2" s="203"/>
      <c r="J2" s="204" t="s">
        <v>107</v>
      </c>
      <c r="K2" s="205" t="s">
        <v>121</v>
      </c>
    </row>
    <row r="3" spans="1:11">
      <c r="A3" s="197" t="s">
        <v>444</v>
      </c>
      <c r="B3" s="206"/>
      <c r="C3" s="208"/>
      <c r="D3" s="210"/>
      <c r="E3" s="210"/>
      <c r="F3" s="210"/>
      <c r="G3" s="210"/>
      <c r="H3" s="210"/>
      <c r="I3" s="209"/>
      <c r="J3" s="210" t="s">
        <v>109</v>
      </c>
      <c r="K3" s="418" t="s">
        <v>1162</v>
      </c>
    </row>
    <row r="4" spans="1:11" ht="17.25" thickBot="1">
      <c r="A4" s="354"/>
      <c r="B4" s="355"/>
      <c r="C4" s="211"/>
      <c r="D4" s="211"/>
      <c r="E4" s="211"/>
      <c r="F4" s="211"/>
      <c r="G4" s="211"/>
      <c r="H4" s="211"/>
      <c r="I4" s="200"/>
      <c r="J4" s="211" t="s">
        <v>110</v>
      </c>
      <c r="K4" s="212" t="s">
        <v>1163</v>
      </c>
    </row>
    <row r="5" spans="1:11" ht="17.25" thickBot="1"/>
    <row r="6" spans="1:11" s="491" customFormat="1" ht="17.25" thickBot="1">
      <c r="A6" s="519" t="s">
        <v>1212</v>
      </c>
      <c r="B6" s="888" t="s">
        <v>1221</v>
      </c>
      <c r="C6" s="889"/>
      <c r="D6" s="889"/>
      <c r="E6" s="889"/>
      <c r="F6" s="889"/>
      <c r="G6" s="889"/>
      <c r="H6" s="889"/>
      <c r="I6" s="889"/>
      <c r="J6" s="889"/>
      <c r="K6" s="890"/>
    </row>
    <row r="7" spans="1:11" ht="17.25" thickBot="1">
      <c r="A7" s="177" t="s">
        <v>75</v>
      </c>
      <c r="B7" s="215" t="s">
        <v>97</v>
      </c>
      <c r="C7" s="178" t="s">
        <v>445</v>
      </c>
      <c r="D7" s="179" t="s">
        <v>112</v>
      </c>
      <c r="E7" s="179" t="s">
        <v>113</v>
      </c>
      <c r="F7" s="179" t="s">
        <v>114</v>
      </c>
      <c r="G7" s="179" t="s">
        <v>115</v>
      </c>
      <c r="H7" s="179" t="s">
        <v>116</v>
      </c>
      <c r="I7" s="179" t="s">
        <v>117</v>
      </c>
      <c r="J7" s="180" t="s">
        <v>118</v>
      </c>
      <c r="K7" s="215" t="s">
        <v>119</v>
      </c>
    </row>
    <row r="8" spans="1:11">
      <c r="A8" s="504">
        <v>1</v>
      </c>
      <c r="B8" s="503" t="s">
        <v>37</v>
      </c>
      <c r="C8" s="811" t="s">
        <v>294</v>
      </c>
      <c r="D8" s="812"/>
      <c r="E8" s="812"/>
      <c r="F8" s="812"/>
      <c r="G8" s="812"/>
      <c r="H8" s="812"/>
      <c r="I8" s="812"/>
      <c r="J8" s="813"/>
      <c r="K8" s="506">
        <v>1</v>
      </c>
    </row>
    <row r="9" spans="1:11">
      <c r="A9" s="239" t="s">
        <v>398</v>
      </c>
      <c r="B9" s="500" t="s">
        <v>36</v>
      </c>
      <c r="C9" s="814" t="s">
        <v>52</v>
      </c>
      <c r="D9" s="815"/>
      <c r="E9" s="815"/>
      <c r="F9" s="815"/>
      <c r="G9" s="815"/>
      <c r="H9" s="815"/>
      <c r="I9" s="815"/>
      <c r="J9" s="816"/>
      <c r="K9" s="244">
        <v>2</v>
      </c>
    </row>
    <row r="10" spans="1:11">
      <c r="A10" s="239" t="s">
        <v>399</v>
      </c>
      <c r="B10" s="500" t="s">
        <v>39</v>
      </c>
      <c r="C10" s="814" t="s">
        <v>53</v>
      </c>
      <c r="D10" s="815"/>
      <c r="E10" s="815"/>
      <c r="F10" s="815"/>
      <c r="G10" s="815"/>
      <c r="H10" s="815"/>
      <c r="I10" s="815"/>
      <c r="J10" s="816"/>
      <c r="K10" s="244">
        <v>2</v>
      </c>
    </row>
    <row r="11" spans="1:11">
      <c r="A11" s="239" t="s">
        <v>400</v>
      </c>
      <c r="B11" s="500" t="s">
        <v>40</v>
      </c>
      <c r="C11" s="814" t="s">
        <v>54</v>
      </c>
      <c r="D11" s="815"/>
      <c r="E11" s="815"/>
      <c r="F11" s="815"/>
      <c r="G11" s="815"/>
      <c r="H11" s="815"/>
      <c r="I11" s="815"/>
      <c r="J11" s="816"/>
      <c r="K11" s="244">
        <v>2</v>
      </c>
    </row>
    <row r="12" spans="1:11">
      <c r="A12" s="239" t="s">
        <v>401</v>
      </c>
      <c r="B12" s="500" t="s">
        <v>41</v>
      </c>
      <c r="C12" s="906" t="s">
        <v>1211</v>
      </c>
      <c r="D12" s="907"/>
      <c r="E12" s="907"/>
      <c r="F12" s="907"/>
      <c r="G12" s="907"/>
      <c r="H12" s="907"/>
      <c r="I12" s="907"/>
      <c r="J12" s="908"/>
      <c r="K12" s="244">
        <v>2</v>
      </c>
    </row>
    <row r="13" spans="1:11" s="491" customFormat="1">
      <c r="A13" s="239" t="s">
        <v>402</v>
      </c>
      <c r="B13" s="817" t="s">
        <v>42</v>
      </c>
      <c r="C13" s="819" t="s">
        <v>1145</v>
      </c>
      <c r="D13" s="820"/>
      <c r="E13" s="820"/>
      <c r="F13" s="820"/>
      <c r="G13" s="820"/>
      <c r="H13" s="820"/>
      <c r="I13" s="820"/>
      <c r="J13" s="821"/>
      <c r="K13" s="507">
        <v>2</v>
      </c>
    </row>
    <row r="14" spans="1:11" ht="17.25" thickBot="1">
      <c r="A14" s="516" t="s">
        <v>1152</v>
      </c>
      <c r="B14" s="909"/>
      <c r="C14" s="819" t="s">
        <v>1146</v>
      </c>
      <c r="D14" s="820"/>
      <c r="E14" s="820"/>
      <c r="F14" s="820"/>
      <c r="G14" s="820"/>
      <c r="H14" s="820"/>
      <c r="I14" s="820"/>
      <c r="J14" s="821"/>
      <c r="K14" s="507">
        <v>2</v>
      </c>
    </row>
    <row r="15" spans="1:11">
      <c r="A15" s="351" t="s">
        <v>406</v>
      </c>
      <c r="B15" s="352" t="s">
        <v>48</v>
      </c>
      <c r="C15" s="1033" t="s">
        <v>521</v>
      </c>
      <c r="D15" s="1034"/>
      <c r="E15" s="1034"/>
      <c r="F15" s="1034"/>
      <c r="G15" s="1034"/>
      <c r="H15" s="1034"/>
      <c r="I15" s="1034"/>
      <c r="J15" s="1035"/>
      <c r="K15" s="353">
        <v>4</v>
      </c>
    </row>
    <row r="16" spans="1:11" ht="17.25" thickBot="1">
      <c r="A16" s="265">
        <v>16</v>
      </c>
      <c r="B16" s="260" t="s">
        <v>50</v>
      </c>
      <c r="C16" s="797" t="s">
        <v>58</v>
      </c>
      <c r="D16" s="798"/>
      <c r="E16" s="798"/>
      <c r="F16" s="798"/>
      <c r="G16" s="798"/>
      <c r="H16" s="798"/>
      <c r="I16" s="798"/>
      <c r="J16" s="799"/>
      <c r="K16" s="261">
        <v>1</v>
      </c>
    </row>
    <row r="17" spans="1:11" ht="17.25" thickBot="1"/>
    <row r="18" spans="1:11" s="491" customFormat="1" ht="17.25" thickBot="1">
      <c r="A18" s="519" t="s">
        <v>1212</v>
      </c>
      <c r="B18" s="888" t="s">
        <v>1222</v>
      </c>
      <c r="C18" s="889"/>
      <c r="D18" s="889"/>
      <c r="E18" s="889"/>
      <c r="F18" s="889"/>
      <c r="G18" s="889"/>
      <c r="H18" s="889"/>
      <c r="I18" s="889"/>
      <c r="J18" s="889"/>
      <c r="K18" s="890"/>
    </row>
    <row r="19" spans="1:11" ht="17.25" thickBot="1">
      <c r="A19" s="177" t="s">
        <v>75</v>
      </c>
      <c r="B19" s="215" t="s">
        <v>97</v>
      </c>
      <c r="C19" s="178" t="s">
        <v>445</v>
      </c>
      <c r="D19" s="179" t="s">
        <v>112</v>
      </c>
      <c r="E19" s="179" t="s">
        <v>113</v>
      </c>
      <c r="F19" s="179" t="s">
        <v>114</v>
      </c>
      <c r="G19" s="179" t="s">
        <v>115</v>
      </c>
      <c r="H19" s="179" t="s">
        <v>116</v>
      </c>
      <c r="I19" s="179" t="s">
        <v>117</v>
      </c>
      <c r="J19" s="180" t="s">
        <v>118</v>
      </c>
      <c r="K19" s="215" t="s">
        <v>119</v>
      </c>
    </row>
    <row r="20" spans="1:11">
      <c r="A20" s="504">
        <v>1</v>
      </c>
      <c r="B20" s="503" t="s">
        <v>37</v>
      </c>
      <c r="C20" s="811" t="s">
        <v>294</v>
      </c>
      <c r="D20" s="812"/>
      <c r="E20" s="812"/>
      <c r="F20" s="812"/>
      <c r="G20" s="812"/>
      <c r="H20" s="812"/>
      <c r="I20" s="812"/>
      <c r="J20" s="813"/>
      <c r="K20" s="506">
        <v>1</v>
      </c>
    </row>
    <row r="21" spans="1:11">
      <c r="A21" s="239" t="s">
        <v>398</v>
      </c>
      <c r="B21" s="500" t="s">
        <v>36</v>
      </c>
      <c r="C21" s="814" t="s">
        <v>52</v>
      </c>
      <c r="D21" s="815"/>
      <c r="E21" s="815"/>
      <c r="F21" s="815"/>
      <c r="G21" s="815"/>
      <c r="H21" s="815"/>
      <c r="I21" s="815"/>
      <c r="J21" s="816"/>
      <c r="K21" s="244">
        <v>2</v>
      </c>
    </row>
    <row r="22" spans="1:11">
      <c r="A22" s="239" t="s">
        <v>399</v>
      </c>
      <c r="B22" s="500" t="s">
        <v>39</v>
      </c>
      <c r="C22" s="814" t="s">
        <v>53</v>
      </c>
      <c r="D22" s="815"/>
      <c r="E22" s="815"/>
      <c r="F22" s="815"/>
      <c r="G22" s="815"/>
      <c r="H22" s="815"/>
      <c r="I22" s="815"/>
      <c r="J22" s="816"/>
      <c r="K22" s="244">
        <v>2</v>
      </c>
    </row>
    <row r="23" spans="1:11">
      <c r="A23" s="239" t="s">
        <v>400</v>
      </c>
      <c r="B23" s="500" t="s">
        <v>40</v>
      </c>
      <c r="C23" s="814" t="s">
        <v>54</v>
      </c>
      <c r="D23" s="815"/>
      <c r="E23" s="815"/>
      <c r="F23" s="815"/>
      <c r="G23" s="815"/>
      <c r="H23" s="815"/>
      <c r="I23" s="815"/>
      <c r="J23" s="816"/>
      <c r="K23" s="244">
        <v>2</v>
      </c>
    </row>
    <row r="24" spans="1:11">
      <c r="A24" s="239" t="s">
        <v>401</v>
      </c>
      <c r="B24" s="500" t="s">
        <v>41</v>
      </c>
      <c r="C24" s="906" t="s">
        <v>1158</v>
      </c>
      <c r="D24" s="907"/>
      <c r="E24" s="907"/>
      <c r="F24" s="907"/>
      <c r="G24" s="907"/>
      <c r="H24" s="907"/>
      <c r="I24" s="907"/>
      <c r="J24" s="908"/>
      <c r="K24" s="244">
        <v>2</v>
      </c>
    </row>
    <row r="25" spans="1:11" s="491" customFormat="1">
      <c r="A25" s="239" t="s">
        <v>402</v>
      </c>
      <c r="B25" s="817" t="s">
        <v>42</v>
      </c>
      <c r="C25" s="819" t="s">
        <v>1145</v>
      </c>
      <c r="D25" s="820"/>
      <c r="E25" s="820"/>
      <c r="F25" s="820"/>
      <c r="G25" s="820"/>
      <c r="H25" s="820"/>
      <c r="I25" s="820"/>
      <c r="J25" s="821"/>
      <c r="K25" s="507">
        <v>2</v>
      </c>
    </row>
    <row r="26" spans="1:11" ht="17.25" thickBot="1">
      <c r="A26" s="497" t="s">
        <v>1152</v>
      </c>
      <c r="B26" s="818"/>
      <c r="C26" s="819" t="s">
        <v>1146</v>
      </c>
      <c r="D26" s="820"/>
      <c r="E26" s="820"/>
      <c r="F26" s="820"/>
      <c r="G26" s="820"/>
      <c r="H26" s="820"/>
      <c r="I26" s="820"/>
      <c r="J26" s="821"/>
      <c r="K26" s="507">
        <v>2</v>
      </c>
    </row>
    <row r="27" spans="1:11">
      <c r="A27" s="218" t="s">
        <v>1031</v>
      </c>
      <c r="B27" s="928" t="s">
        <v>487</v>
      </c>
      <c r="C27" s="931" t="s">
        <v>648</v>
      </c>
      <c r="D27" s="932"/>
      <c r="E27" s="932"/>
      <c r="F27" s="932"/>
      <c r="G27" s="932"/>
      <c r="H27" s="932"/>
      <c r="I27" s="932"/>
      <c r="J27" s="933"/>
      <c r="K27" s="191">
        <v>2</v>
      </c>
    </row>
    <row r="28" spans="1:11">
      <c r="A28" s="214" t="s">
        <v>1032</v>
      </c>
      <c r="B28" s="929"/>
      <c r="C28" s="896" t="s">
        <v>574</v>
      </c>
      <c r="D28" s="809"/>
      <c r="E28" s="809"/>
      <c r="F28" s="809"/>
      <c r="G28" s="809"/>
      <c r="H28" s="809"/>
      <c r="I28" s="809"/>
      <c r="J28" s="810"/>
      <c r="K28" s="192">
        <v>2</v>
      </c>
    </row>
    <row r="29" spans="1:11" ht="17.25" thickBot="1">
      <c r="A29" s="219" t="s">
        <v>1040</v>
      </c>
      <c r="B29" s="930"/>
      <c r="C29" s="903" t="s">
        <v>573</v>
      </c>
      <c r="D29" s="806"/>
      <c r="E29" s="806"/>
      <c r="F29" s="806"/>
      <c r="G29" s="806"/>
      <c r="H29" s="806"/>
      <c r="I29" s="806"/>
      <c r="J29" s="807"/>
      <c r="K29" s="193">
        <v>2</v>
      </c>
    </row>
    <row r="30" spans="1:11" ht="17.25" thickBot="1">
      <c r="A30" s="218" t="s">
        <v>1034</v>
      </c>
      <c r="B30" s="378" t="s">
        <v>518</v>
      </c>
      <c r="C30" s="939" t="s">
        <v>572</v>
      </c>
      <c r="D30" s="940"/>
      <c r="E30" s="940"/>
      <c r="F30" s="941"/>
      <c r="G30" s="942" t="s">
        <v>522</v>
      </c>
      <c r="H30" s="940"/>
      <c r="I30" s="940"/>
      <c r="J30" s="943"/>
      <c r="K30" s="187">
        <v>2</v>
      </c>
    </row>
    <row r="31" spans="1:11" ht="17.25" thickBot="1">
      <c r="A31" s="218" t="s">
        <v>1035</v>
      </c>
      <c r="B31" s="378" t="s">
        <v>519</v>
      </c>
      <c r="C31" s="947" t="s">
        <v>523</v>
      </c>
      <c r="D31" s="948"/>
      <c r="E31" s="948"/>
      <c r="F31" s="949"/>
      <c r="G31" s="950" t="s">
        <v>524</v>
      </c>
      <c r="H31" s="948"/>
      <c r="I31" s="948"/>
      <c r="J31" s="951"/>
      <c r="K31" s="187">
        <v>2</v>
      </c>
    </row>
    <row r="32" spans="1:11" ht="17.25" thickBot="1">
      <c r="A32" s="218" t="s">
        <v>1041</v>
      </c>
      <c r="B32" s="378" t="s">
        <v>520</v>
      </c>
      <c r="C32" s="939" t="s">
        <v>525</v>
      </c>
      <c r="D32" s="940"/>
      <c r="E32" s="940"/>
      <c r="F32" s="941"/>
      <c r="G32" s="942" t="s">
        <v>526</v>
      </c>
      <c r="H32" s="940"/>
      <c r="I32" s="940"/>
      <c r="J32" s="943"/>
      <c r="K32" s="187">
        <v>2</v>
      </c>
    </row>
    <row r="33" spans="1:11" ht="17.25" thickBot="1">
      <c r="A33" s="238" t="s">
        <v>1042</v>
      </c>
      <c r="B33" s="196" t="s">
        <v>635</v>
      </c>
      <c r="C33" s="1036" t="s">
        <v>653</v>
      </c>
      <c r="D33" s="1037"/>
      <c r="E33" s="1037"/>
      <c r="F33" s="1037"/>
      <c r="G33" s="1037"/>
      <c r="H33" s="1037"/>
      <c r="I33" s="1037"/>
      <c r="J33" s="1037"/>
      <c r="K33" s="195">
        <v>12</v>
      </c>
    </row>
    <row r="34" spans="1:11" ht="17.25" thickBot="1">
      <c r="A34" s="238" t="s">
        <v>1043</v>
      </c>
      <c r="B34" s="196" t="s">
        <v>635</v>
      </c>
      <c r="C34" s="1038" t="s">
        <v>654</v>
      </c>
      <c r="D34" s="1039"/>
      <c r="E34" s="1039"/>
      <c r="F34" s="1039"/>
      <c r="G34" s="1039"/>
      <c r="H34" s="1039"/>
      <c r="I34" s="1039"/>
      <c r="J34" s="1039"/>
      <c r="K34" s="195">
        <v>12</v>
      </c>
    </row>
    <row r="35" spans="1:11">
      <c r="A35" s="181" t="s">
        <v>1044</v>
      </c>
      <c r="B35" s="182" t="s">
        <v>48</v>
      </c>
      <c r="C35" s="811" t="s">
        <v>521</v>
      </c>
      <c r="D35" s="812"/>
      <c r="E35" s="812"/>
      <c r="F35" s="812"/>
      <c r="G35" s="812"/>
      <c r="H35" s="812"/>
      <c r="I35" s="812"/>
      <c r="J35" s="813"/>
      <c r="K35" s="183">
        <v>4</v>
      </c>
    </row>
    <row r="36" spans="1:11" ht="17.25" thickBot="1">
      <c r="A36" s="194">
        <v>51</v>
      </c>
      <c r="B36" s="189" t="s">
        <v>50</v>
      </c>
      <c r="C36" s="797" t="s">
        <v>58</v>
      </c>
      <c r="D36" s="798"/>
      <c r="E36" s="798"/>
      <c r="F36" s="798"/>
      <c r="G36" s="798"/>
      <c r="H36" s="798"/>
      <c r="I36" s="798"/>
      <c r="J36" s="799"/>
      <c r="K36" s="190">
        <v>1</v>
      </c>
    </row>
  </sheetData>
  <mergeCells count="35">
    <mergeCell ref="A1:K1"/>
    <mergeCell ref="C8:J8"/>
    <mergeCell ref="C10:J10"/>
    <mergeCell ref="C11:J11"/>
    <mergeCell ref="C9:J9"/>
    <mergeCell ref="B6:K6"/>
    <mergeCell ref="C30:F30"/>
    <mergeCell ref="G30:J30"/>
    <mergeCell ref="C27:J27"/>
    <mergeCell ref="C28:J28"/>
    <mergeCell ref="C29:J29"/>
    <mergeCell ref="C36:J36"/>
    <mergeCell ref="C35:J35"/>
    <mergeCell ref="C31:F31"/>
    <mergeCell ref="G31:J31"/>
    <mergeCell ref="C32:F32"/>
    <mergeCell ref="G32:J32"/>
    <mergeCell ref="C33:J33"/>
    <mergeCell ref="C34:J34"/>
    <mergeCell ref="B27:B29"/>
    <mergeCell ref="C21:J21"/>
    <mergeCell ref="C22:J22"/>
    <mergeCell ref="C20:J20"/>
    <mergeCell ref="C15:J15"/>
    <mergeCell ref="C16:J16"/>
    <mergeCell ref="C26:J26"/>
    <mergeCell ref="C23:J23"/>
    <mergeCell ref="C24:J24"/>
    <mergeCell ref="B18:K18"/>
    <mergeCell ref="B13:B14"/>
    <mergeCell ref="C13:J13"/>
    <mergeCell ref="B25:B26"/>
    <mergeCell ref="C25:J25"/>
    <mergeCell ref="C12:J12"/>
    <mergeCell ref="C14:J14"/>
  </mergeCells>
  <phoneticPr fontId="1"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O70"/>
  <sheetViews>
    <sheetView workbookViewId="0">
      <selection activeCell="F73" sqref="F73:F74"/>
    </sheetView>
  </sheetViews>
  <sheetFormatPr defaultRowHeight="16.5"/>
  <cols>
    <col min="3" max="3" width="10.875" bestFit="1" customWidth="1"/>
  </cols>
  <sheetData>
    <row r="1" spans="1:11" ht="17.25" thickBot="1">
      <c r="A1" s="975" t="s">
        <v>105</v>
      </c>
      <c r="B1" s="976"/>
      <c r="C1" s="976"/>
      <c r="D1" s="976"/>
      <c r="E1" s="976"/>
      <c r="F1" s="976"/>
      <c r="G1" s="976"/>
      <c r="H1" s="976"/>
      <c r="I1" s="976"/>
      <c r="J1" s="976"/>
      <c r="K1" s="977"/>
    </row>
    <row r="2" spans="1:11">
      <c r="A2" s="28" t="s">
        <v>106</v>
      </c>
      <c r="B2" s="29" t="s">
        <v>122</v>
      </c>
      <c r="D2" s="30"/>
      <c r="E2" s="31"/>
      <c r="F2" s="31"/>
      <c r="G2" s="31"/>
      <c r="H2" s="31"/>
      <c r="I2" s="30"/>
      <c r="J2" s="31" t="s">
        <v>107</v>
      </c>
      <c r="K2" s="32" t="s">
        <v>121</v>
      </c>
    </row>
    <row r="3" spans="1:11">
      <c r="A3" s="24" t="s">
        <v>108</v>
      </c>
      <c r="B3" s="33"/>
      <c r="C3" s="35"/>
      <c r="D3" s="37"/>
      <c r="E3" s="37"/>
      <c r="F3" s="37"/>
      <c r="G3" s="37"/>
      <c r="H3" s="37"/>
      <c r="I3" s="36"/>
      <c r="J3" s="37" t="s">
        <v>109</v>
      </c>
      <c r="K3" s="553">
        <v>42080</v>
      </c>
    </row>
    <row r="4" spans="1:11" ht="17.25" thickBot="1">
      <c r="A4" s="25"/>
      <c r="B4" s="34"/>
      <c r="C4" s="26"/>
      <c r="D4" s="26"/>
      <c r="E4" s="26"/>
      <c r="F4" s="26"/>
      <c r="G4" s="26"/>
      <c r="H4" s="26"/>
      <c r="I4" s="27"/>
      <c r="J4" s="38" t="s">
        <v>110</v>
      </c>
      <c r="K4" s="212">
        <v>10</v>
      </c>
    </row>
    <row r="5" spans="1:11" s="491" customFormat="1" ht="17.25" thickBot="1">
      <c r="A5" s="519" t="s">
        <v>1212</v>
      </c>
      <c r="B5" s="888" t="s">
        <v>1230</v>
      </c>
      <c r="C5" s="889"/>
      <c r="D5" s="889"/>
      <c r="E5" s="889"/>
      <c r="F5" s="889"/>
      <c r="G5" s="889"/>
      <c r="H5" s="889"/>
      <c r="I5" s="889"/>
      <c r="J5" s="889"/>
      <c r="K5" s="890"/>
    </row>
    <row r="6" spans="1:11" ht="17.25" thickBot="1">
      <c r="A6" s="495" t="s">
        <v>75</v>
      </c>
      <c r="B6" s="495" t="s">
        <v>1229</v>
      </c>
      <c r="C6" s="84" t="s">
        <v>111</v>
      </c>
      <c r="D6" s="85" t="s">
        <v>112</v>
      </c>
      <c r="E6" s="85" t="s">
        <v>113</v>
      </c>
      <c r="F6" s="85" t="s">
        <v>114</v>
      </c>
      <c r="G6" s="85" t="s">
        <v>115</v>
      </c>
      <c r="H6" s="85" t="s">
        <v>116</v>
      </c>
      <c r="I6" s="85" t="s">
        <v>117</v>
      </c>
      <c r="J6" s="86" t="s">
        <v>118</v>
      </c>
      <c r="K6" s="238" t="s">
        <v>119</v>
      </c>
    </row>
    <row r="7" spans="1:11">
      <c r="A7" s="505">
        <v>1</v>
      </c>
      <c r="B7" s="496" t="s">
        <v>37</v>
      </c>
      <c r="C7" s="1033" t="s">
        <v>294</v>
      </c>
      <c r="D7" s="1034"/>
      <c r="E7" s="1034"/>
      <c r="F7" s="1034"/>
      <c r="G7" s="1034"/>
      <c r="H7" s="1034"/>
      <c r="I7" s="1034"/>
      <c r="J7" s="1035"/>
      <c r="K7" s="498">
        <v>1</v>
      </c>
    </row>
    <row r="8" spans="1:11">
      <c r="A8" s="239" t="s">
        <v>398</v>
      </c>
      <c r="B8" s="500" t="s">
        <v>36</v>
      </c>
      <c r="C8" s="814" t="s">
        <v>52</v>
      </c>
      <c r="D8" s="815"/>
      <c r="E8" s="815"/>
      <c r="F8" s="815"/>
      <c r="G8" s="815"/>
      <c r="H8" s="815"/>
      <c r="I8" s="815"/>
      <c r="J8" s="816"/>
      <c r="K8" s="244">
        <v>2</v>
      </c>
    </row>
    <row r="9" spans="1:11">
      <c r="A9" s="239" t="s">
        <v>399</v>
      </c>
      <c r="B9" s="500" t="s">
        <v>39</v>
      </c>
      <c r="C9" s="814" t="s">
        <v>53</v>
      </c>
      <c r="D9" s="815"/>
      <c r="E9" s="815"/>
      <c r="F9" s="815"/>
      <c r="G9" s="815"/>
      <c r="H9" s="815"/>
      <c r="I9" s="815"/>
      <c r="J9" s="816"/>
      <c r="K9" s="244">
        <v>2</v>
      </c>
    </row>
    <row r="10" spans="1:11">
      <c r="A10" s="239" t="s">
        <v>400</v>
      </c>
      <c r="B10" s="500" t="s">
        <v>40</v>
      </c>
      <c r="C10" s="814" t="s">
        <v>54</v>
      </c>
      <c r="D10" s="815"/>
      <c r="E10" s="815"/>
      <c r="F10" s="815"/>
      <c r="G10" s="815"/>
      <c r="H10" s="815"/>
      <c r="I10" s="815"/>
      <c r="J10" s="816"/>
      <c r="K10" s="244">
        <v>2</v>
      </c>
    </row>
    <row r="11" spans="1:11">
      <c r="A11" s="239" t="s">
        <v>401</v>
      </c>
      <c r="B11" s="500" t="s">
        <v>41</v>
      </c>
      <c r="C11" s="906" t="s">
        <v>123</v>
      </c>
      <c r="D11" s="907"/>
      <c r="E11" s="907"/>
      <c r="F11" s="907"/>
      <c r="G11" s="907"/>
      <c r="H11" s="907"/>
      <c r="I11" s="907"/>
      <c r="J11" s="908"/>
      <c r="K11" s="244">
        <v>2</v>
      </c>
    </row>
    <row r="12" spans="1:11" s="491" customFormat="1">
      <c r="A12" s="239" t="s">
        <v>402</v>
      </c>
      <c r="B12" s="817" t="s">
        <v>42</v>
      </c>
      <c r="C12" s="819" t="s">
        <v>1145</v>
      </c>
      <c r="D12" s="820"/>
      <c r="E12" s="820"/>
      <c r="F12" s="820"/>
      <c r="G12" s="820"/>
      <c r="H12" s="820"/>
      <c r="I12" s="820"/>
      <c r="J12" s="821"/>
      <c r="K12" s="507">
        <v>2</v>
      </c>
    </row>
    <row r="13" spans="1:11" ht="17.25" thickBot="1">
      <c r="A13" s="497" t="s">
        <v>1152</v>
      </c>
      <c r="B13" s="818"/>
      <c r="C13" s="1040" t="s">
        <v>1146</v>
      </c>
      <c r="D13" s="1041"/>
      <c r="E13" s="1041"/>
      <c r="F13" s="1041"/>
      <c r="G13" s="1041"/>
      <c r="H13" s="1041"/>
      <c r="I13" s="1041"/>
      <c r="J13" s="1042"/>
      <c r="K13" s="499">
        <v>2</v>
      </c>
    </row>
    <row r="14" spans="1:11" ht="23.25" thickBot="1">
      <c r="A14" s="94" t="s">
        <v>403</v>
      </c>
      <c r="B14" s="149" t="s">
        <v>471</v>
      </c>
      <c r="C14" s="145" t="s">
        <v>1063</v>
      </c>
      <c r="D14" s="147" t="s">
        <v>1064</v>
      </c>
      <c r="E14" s="146"/>
      <c r="F14" s="146"/>
      <c r="G14" s="147" t="s">
        <v>456</v>
      </c>
      <c r="H14" s="147" t="s">
        <v>306</v>
      </c>
      <c r="I14" s="147" t="s">
        <v>307</v>
      </c>
      <c r="J14" s="148" t="s">
        <v>308</v>
      </c>
      <c r="K14" s="150">
        <v>2</v>
      </c>
    </row>
    <row r="15" spans="1:11" s="224" customFormat="1" ht="17.25" thickBot="1">
      <c r="A15" s="430" t="s">
        <v>1066</v>
      </c>
      <c r="B15" s="149" t="s">
        <v>1065</v>
      </c>
      <c r="C15" s="1043" t="s">
        <v>1065</v>
      </c>
      <c r="D15" s="1044"/>
      <c r="E15" s="1044"/>
      <c r="F15" s="1044"/>
      <c r="G15" s="1044"/>
      <c r="H15" s="1044"/>
      <c r="I15" s="1044"/>
      <c r="J15" s="1045"/>
      <c r="K15" s="150">
        <v>2</v>
      </c>
    </row>
    <row r="16" spans="1:11" ht="16.5" customHeight="1">
      <c r="A16" s="93" t="s">
        <v>1067</v>
      </c>
      <c r="B16" s="93" t="s">
        <v>48</v>
      </c>
      <c r="C16" s="677" t="s">
        <v>120</v>
      </c>
      <c r="D16" s="678"/>
      <c r="E16" s="678"/>
      <c r="F16" s="678"/>
      <c r="G16" s="678"/>
      <c r="H16" s="678"/>
      <c r="I16" s="678"/>
      <c r="J16" s="679"/>
      <c r="K16" s="99">
        <v>4</v>
      </c>
    </row>
    <row r="17" spans="1:11" ht="17.25" thickBot="1">
      <c r="A17" s="96">
        <v>24</v>
      </c>
      <c r="B17" s="96" t="s">
        <v>50</v>
      </c>
      <c r="C17" s="674" t="s">
        <v>58</v>
      </c>
      <c r="D17" s="675"/>
      <c r="E17" s="675"/>
      <c r="F17" s="675"/>
      <c r="G17" s="675"/>
      <c r="H17" s="675"/>
      <c r="I17" s="675"/>
      <c r="J17" s="676"/>
      <c r="K17" s="100">
        <v>1</v>
      </c>
    </row>
    <row r="18" spans="1:11" ht="17.25" thickBot="1"/>
    <row r="19" spans="1:11" s="491" customFormat="1" ht="17.25" thickBot="1">
      <c r="A19" s="519" t="s">
        <v>1212</v>
      </c>
      <c r="B19" s="888" t="s">
        <v>1231</v>
      </c>
      <c r="C19" s="889"/>
      <c r="D19" s="889"/>
      <c r="E19" s="889"/>
      <c r="F19" s="889"/>
      <c r="G19" s="889"/>
      <c r="H19" s="889"/>
      <c r="I19" s="889"/>
      <c r="J19" s="889"/>
      <c r="K19" s="890"/>
    </row>
    <row r="20" spans="1:11" ht="17.25" thickBot="1">
      <c r="A20" s="177" t="s">
        <v>75</v>
      </c>
      <c r="B20" s="175" t="s">
        <v>97</v>
      </c>
      <c r="C20" s="178" t="s">
        <v>445</v>
      </c>
      <c r="D20" s="179" t="s">
        <v>112</v>
      </c>
      <c r="E20" s="179" t="s">
        <v>113</v>
      </c>
      <c r="F20" s="179" t="s">
        <v>114</v>
      </c>
      <c r="G20" s="179" t="s">
        <v>115</v>
      </c>
      <c r="H20" s="179" t="s">
        <v>116</v>
      </c>
      <c r="I20" s="179" t="s">
        <v>117</v>
      </c>
      <c r="J20" s="180" t="s">
        <v>118</v>
      </c>
      <c r="K20" s="175" t="s">
        <v>119</v>
      </c>
    </row>
    <row r="21" spans="1:11">
      <c r="A21" s="504">
        <v>1</v>
      </c>
      <c r="B21" s="503" t="s">
        <v>37</v>
      </c>
      <c r="C21" s="811" t="s">
        <v>294</v>
      </c>
      <c r="D21" s="812"/>
      <c r="E21" s="812"/>
      <c r="F21" s="812"/>
      <c r="G21" s="812"/>
      <c r="H21" s="812"/>
      <c r="I21" s="812"/>
      <c r="J21" s="813"/>
      <c r="K21" s="506">
        <v>1</v>
      </c>
    </row>
    <row r="22" spans="1:11">
      <c r="A22" s="239" t="s">
        <v>398</v>
      </c>
      <c r="B22" s="500" t="s">
        <v>36</v>
      </c>
      <c r="C22" s="814" t="s">
        <v>52</v>
      </c>
      <c r="D22" s="815"/>
      <c r="E22" s="815"/>
      <c r="F22" s="815"/>
      <c r="G22" s="815"/>
      <c r="H22" s="815"/>
      <c r="I22" s="815"/>
      <c r="J22" s="816"/>
      <c r="K22" s="244">
        <v>2</v>
      </c>
    </row>
    <row r="23" spans="1:11">
      <c r="A23" s="239" t="s">
        <v>399</v>
      </c>
      <c r="B23" s="500" t="s">
        <v>39</v>
      </c>
      <c r="C23" s="814" t="s">
        <v>53</v>
      </c>
      <c r="D23" s="815"/>
      <c r="E23" s="815"/>
      <c r="F23" s="815"/>
      <c r="G23" s="815"/>
      <c r="H23" s="815"/>
      <c r="I23" s="815"/>
      <c r="J23" s="816"/>
      <c r="K23" s="244">
        <v>2</v>
      </c>
    </row>
    <row r="24" spans="1:11">
      <c r="A24" s="239" t="s">
        <v>400</v>
      </c>
      <c r="B24" s="500" t="s">
        <v>40</v>
      </c>
      <c r="C24" s="814" t="s">
        <v>54</v>
      </c>
      <c r="D24" s="815"/>
      <c r="E24" s="815"/>
      <c r="F24" s="815"/>
      <c r="G24" s="815"/>
      <c r="H24" s="815"/>
      <c r="I24" s="815"/>
      <c r="J24" s="816"/>
      <c r="K24" s="244">
        <v>2</v>
      </c>
    </row>
    <row r="25" spans="1:11">
      <c r="A25" s="239" t="s">
        <v>401</v>
      </c>
      <c r="B25" s="500" t="s">
        <v>41</v>
      </c>
      <c r="C25" s="906" t="s">
        <v>1158</v>
      </c>
      <c r="D25" s="907"/>
      <c r="E25" s="907"/>
      <c r="F25" s="907"/>
      <c r="G25" s="907"/>
      <c r="H25" s="907"/>
      <c r="I25" s="907"/>
      <c r="J25" s="908"/>
      <c r="K25" s="244">
        <v>2</v>
      </c>
    </row>
    <row r="26" spans="1:11" s="491" customFormat="1">
      <c r="A26" s="239" t="s">
        <v>402</v>
      </c>
      <c r="B26" s="817" t="s">
        <v>42</v>
      </c>
      <c r="C26" s="819" t="s">
        <v>1145</v>
      </c>
      <c r="D26" s="820"/>
      <c r="E26" s="820"/>
      <c r="F26" s="820"/>
      <c r="G26" s="820"/>
      <c r="H26" s="820"/>
      <c r="I26" s="820"/>
      <c r="J26" s="821"/>
      <c r="K26" s="507">
        <v>2</v>
      </c>
    </row>
    <row r="27" spans="1:11" ht="17.25" thickBot="1">
      <c r="A27" s="497" t="s">
        <v>1152</v>
      </c>
      <c r="B27" s="818"/>
      <c r="C27" s="819" t="s">
        <v>1146</v>
      </c>
      <c r="D27" s="820"/>
      <c r="E27" s="820"/>
      <c r="F27" s="820"/>
      <c r="G27" s="820"/>
      <c r="H27" s="820"/>
      <c r="I27" s="820"/>
      <c r="J27" s="821"/>
      <c r="K27" s="507">
        <v>2</v>
      </c>
    </row>
    <row r="28" spans="1:11">
      <c r="A28" s="103" t="s">
        <v>1045</v>
      </c>
      <c r="B28" s="928" t="s">
        <v>487</v>
      </c>
      <c r="C28" s="931" t="s">
        <v>565</v>
      </c>
      <c r="D28" s="932"/>
      <c r="E28" s="932"/>
      <c r="F28" s="932"/>
      <c r="G28" s="932"/>
      <c r="H28" s="932"/>
      <c r="I28" s="932"/>
      <c r="J28" s="933"/>
      <c r="K28" s="191">
        <v>2</v>
      </c>
    </row>
    <row r="29" spans="1:11">
      <c r="A29" s="186" t="s">
        <v>1032</v>
      </c>
      <c r="B29" s="929"/>
      <c r="C29" s="896" t="s">
        <v>566</v>
      </c>
      <c r="D29" s="809"/>
      <c r="E29" s="809"/>
      <c r="F29" s="809"/>
      <c r="G29" s="809"/>
      <c r="H29" s="809"/>
      <c r="I29" s="809"/>
      <c r="J29" s="810"/>
      <c r="K29" s="192">
        <v>2</v>
      </c>
    </row>
    <row r="30" spans="1:11" ht="17.25" thickBot="1">
      <c r="A30" s="188" t="s">
        <v>1046</v>
      </c>
      <c r="B30" s="930"/>
      <c r="C30" s="903" t="s">
        <v>567</v>
      </c>
      <c r="D30" s="806"/>
      <c r="E30" s="806"/>
      <c r="F30" s="806"/>
      <c r="G30" s="806"/>
      <c r="H30" s="806"/>
      <c r="I30" s="806"/>
      <c r="J30" s="807"/>
      <c r="K30" s="193">
        <v>2</v>
      </c>
    </row>
    <row r="31" spans="1:11" ht="17.25" thickBot="1">
      <c r="A31" s="103" t="s">
        <v>1047</v>
      </c>
      <c r="B31" s="378" t="s">
        <v>518</v>
      </c>
      <c r="C31" s="939" t="s">
        <v>564</v>
      </c>
      <c r="D31" s="940"/>
      <c r="E31" s="940"/>
      <c r="F31" s="941"/>
      <c r="G31" s="942" t="s">
        <v>527</v>
      </c>
      <c r="H31" s="940"/>
      <c r="I31" s="940"/>
      <c r="J31" s="943"/>
      <c r="K31" s="187">
        <v>2</v>
      </c>
    </row>
    <row r="32" spans="1:11" ht="17.25" thickBot="1">
      <c r="A32" s="103" t="s">
        <v>1035</v>
      </c>
      <c r="B32" s="378" t="s">
        <v>519</v>
      </c>
      <c r="C32" s="947" t="s">
        <v>528</v>
      </c>
      <c r="D32" s="948"/>
      <c r="E32" s="948"/>
      <c r="F32" s="949"/>
      <c r="G32" s="950" t="s">
        <v>529</v>
      </c>
      <c r="H32" s="948"/>
      <c r="I32" s="948"/>
      <c r="J32" s="951"/>
      <c r="K32" s="187">
        <v>2</v>
      </c>
    </row>
    <row r="33" spans="1:15" ht="17.25" thickBot="1">
      <c r="A33" s="103" t="s">
        <v>1036</v>
      </c>
      <c r="B33" s="378" t="s">
        <v>520</v>
      </c>
      <c r="C33" s="939" t="s">
        <v>530</v>
      </c>
      <c r="D33" s="940"/>
      <c r="E33" s="940"/>
      <c r="F33" s="941"/>
      <c r="G33" s="942" t="s">
        <v>531</v>
      </c>
      <c r="H33" s="940"/>
      <c r="I33" s="940"/>
      <c r="J33" s="943"/>
      <c r="K33" s="187">
        <v>2</v>
      </c>
    </row>
    <row r="34" spans="1:15">
      <c r="A34" s="103" t="s">
        <v>1037</v>
      </c>
      <c r="B34" s="928" t="s">
        <v>487</v>
      </c>
      <c r="C34" s="931" t="s">
        <v>569</v>
      </c>
      <c r="D34" s="932"/>
      <c r="E34" s="932"/>
      <c r="F34" s="932"/>
      <c r="G34" s="932"/>
      <c r="H34" s="932"/>
      <c r="I34" s="932"/>
      <c r="J34" s="933"/>
      <c r="K34" s="191">
        <v>2</v>
      </c>
    </row>
    <row r="35" spans="1:15">
      <c r="A35" s="186" t="s">
        <v>1038</v>
      </c>
      <c r="B35" s="929"/>
      <c r="C35" s="896" t="s">
        <v>570</v>
      </c>
      <c r="D35" s="809"/>
      <c r="E35" s="809"/>
      <c r="F35" s="809"/>
      <c r="G35" s="809"/>
      <c r="H35" s="809"/>
      <c r="I35" s="809"/>
      <c r="J35" s="810"/>
      <c r="K35" s="192">
        <v>2</v>
      </c>
    </row>
    <row r="36" spans="1:15" ht="17.25" thickBot="1">
      <c r="A36" s="188" t="s">
        <v>1048</v>
      </c>
      <c r="B36" s="930"/>
      <c r="C36" s="903" t="s">
        <v>571</v>
      </c>
      <c r="D36" s="806"/>
      <c r="E36" s="806"/>
      <c r="F36" s="806"/>
      <c r="G36" s="806"/>
      <c r="H36" s="806"/>
      <c r="I36" s="806"/>
      <c r="J36" s="807"/>
      <c r="K36" s="193">
        <v>2</v>
      </c>
    </row>
    <row r="37" spans="1:15" ht="17.25" thickBot="1">
      <c r="A37" s="103" t="s">
        <v>1049</v>
      </c>
      <c r="B37" s="378" t="s">
        <v>518</v>
      </c>
      <c r="C37" s="939" t="s">
        <v>568</v>
      </c>
      <c r="D37" s="940"/>
      <c r="E37" s="940"/>
      <c r="F37" s="941"/>
      <c r="G37" s="942" t="s">
        <v>532</v>
      </c>
      <c r="H37" s="940"/>
      <c r="I37" s="940"/>
      <c r="J37" s="943"/>
      <c r="K37" s="187">
        <v>2</v>
      </c>
    </row>
    <row r="38" spans="1:15" ht="17.25" thickBot="1">
      <c r="A38" s="103" t="s">
        <v>1050</v>
      </c>
      <c r="B38" s="378" t="s">
        <v>519</v>
      </c>
      <c r="C38" s="947" t="s">
        <v>533</v>
      </c>
      <c r="D38" s="948"/>
      <c r="E38" s="948"/>
      <c r="F38" s="949"/>
      <c r="G38" s="950" t="s">
        <v>534</v>
      </c>
      <c r="H38" s="948"/>
      <c r="I38" s="948"/>
      <c r="J38" s="951"/>
      <c r="K38" s="187">
        <v>2</v>
      </c>
    </row>
    <row r="39" spans="1:15">
      <c r="A39" s="103" t="s">
        <v>1051</v>
      </c>
      <c r="B39" s="378" t="s">
        <v>520</v>
      </c>
      <c r="C39" s="939" t="s">
        <v>535</v>
      </c>
      <c r="D39" s="940"/>
      <c r="E39" s="940"/>
      <c r="F39" s="941"/>
      <c r="G39" s="942" t="s">
        <v>536</v>
      </c>
      <c r="H39" s="940"/>
      <c r="I39" s="940"/>
      <c r="J39" s="943"/>
      <c r="K39" s="187">
        <v>2</v>
      </c>
    </row>
    <row r="40" spans="1:15">
      <c r="A40" s="181" t="s">
        <v>1052</v>
      </c>
      <c r="B40" s="182" t="s">
        <v>48</v>
      </c>
      <c r="C40" s="811" t="s">
        <v>521</v>
      </c>
      <c r="D40" s="812"/>
      <c r="E40" s="812"/>
      <c r="F40" s="812"/>
      <c r="G40" s="812"/>
      <c r="H40" s="812"/>
      <c r="I40" s="812"/>
      <c r="J40" s="813"/>
      <c r="K40" s="183">
        <v>4</v>
      </c>
    </row>
    <row r="41" spans="1:15" ht="17.25" thickBot="1">
      <c r="A41" s="194">
        <v>40</v>
      </c>
      <c r="B41" s="189" t="s">
        <v>50</v>
      </c>
      <c r="C41" s="797" t="s">
        <v>58</v>
      </c>
      <c r="D41" s="798"/>
      <c r="E41" s="798"/>
      <c r="F41" s="798"/>
      <c r="G41" s="798"/>
      <c r="H41" s="798"/>
      <c r="I41" s="798"/>
      <c r="J41" s="799"/>
      <c r="K41" s="190">
        <v>1</v>
      </c>
    </row>
    <row r="42" spans="1:15" ht="17.25" thickBot="1"/>
    <row r="43" spans="1:15" ht="17.25" thickBot="1">
      <c r="A43" s="519" t="s">
        <v>1212</v>
      </c>
      <c r="B43" s="888" t="s">
        <v>1362</v>
      </c>
      <c r="C43" s="889"/>
      <c r="D43" s="889"/>
      <c r="E43" s="889"/>
      <c r="F43" s="889"/>
      <c r="G43" s="889"/>
      <c r="H43" s="889"/>
      <c r="I43" s="889"/>
      <c r="J43" s="889"/>
      <c r="K43" s="890"/>
    </row>
    <row r="45" spans="1:15">
      <c r="H45">
        <v>1</v>
      </c>
      <c r="I45" s="491" t="s">
        <v>1363</v>
      </c>
      <c r="J45" s="491"/>
      <c r="K45" s="491"/>
      <c r="L45" s="491" t="s">
        <v>1364</v>
      </c>
      <c r="M45" s="491"/>
      <c r="N45" s="491"/>
      <c r="O45" s="491" t="s">
        <v>1365</v>
      </c>
    </row>
    <row r="46" spans="1:15">
      <c r="H46" s="491">
        <v>2</v>
      </c>
      <c r="I46" s="491" t="s">
        <v>1366</v>
      </c>
      <c r="J46" s="491"/>
      <c r="K46" s="491" t="s">
        <v>1367</v>
      </c>
      <c r="L46" s="491"/>
      <c r="M46" s="491" t="s">
        <v>1368</v>
      </c>
      <c r="N46" s="491"/>
      <c r="O46" s="491"/>
    </row>
    <row r="47" spans="1:15">
      <c r="H47" s="491">
        <v>3</v>
      </c>
      <c r="I47" s="491" t="s">
        <v>1369</v>
      </c>
      <c r="J47" s="491"/>
      <c r="K47" s="491"/>
      <c r="L47" s="491" t="s">
        <v>1370</v>
      </c>
      <c r="M47" s="491"/>
      <c r="N47" s="491" t="s">
        <v>1365</v>
      </c>
      <c r="O47" s="491"/>
    </row>
    <row r="48" spans="1:15">
      <c r="H48" s="491">
        <v>4</v>
      </c>
      <c r="I48" s="491" t="s">
        <v>1371</v>
      </c>
      <c r="J48" s="491"/>
      <c r="K48" s="491" t="s">
        <v>1372</v>
      </c>
      <c r="L48" s="491" t="s">
        <v>1365</v>
      </c>
      <c r="M48" s="491"/>
      <c r="N48" s="491"/>
      <c r="O48" s="491"/>
    </row>
    <row r="49" spans="8:15">
      <c r="H49" s="491">
        <v>5</v>
      </c>
      <c r="I49" s="491" t="s">
        <v>1373</v>
      </c>
      <c r="J49" s="491"/>
      <c r="K49" s="491" t="s">
        <v>1374</v>
      </c>
      <c r="L49" s="491"/>
      <c r="M49" s="491" t="s">
        <v>1365</v>
      </c>
      <c r="N49" s="491"/>
      <c r="O49" s="491"/>
    </row>
    <row r="50" spans="8:15">
      <c r="H50" s="491">
        <v>6</v>
      </c>
      <c r="I50" s="491" t="s">
        <v>1375</v>
      </c>
      <c r="J50" s="491"/>
      <c r="K50" s="491" t="s">
        <v>1376</v>
      </c>
      <c r="L50" s="491" t="s">
        <v>1377</v>
      </c>
      <c r="M50" s="491"/>
      <c r="N50" s="491"/>
      <c r="O50" s="491"/>
    </row>
    <row r="51" spans="8:15">
      <c r="H51" s="491">
        <v>7</v>
      </c>
      <c r="I51" s="491" t="s">
        <v>1378</v>
      </c>
      <c r="J51" s="491"/>
      <c r="K51" s="491"/>
      <c r="L51" s="491" t="s">
        <v>1379</v>
      </c>
      <c r="M51" s="491"/>
      <c r="N51" s="491" t="s">
        <v>1365</v>
      </c>
      <c r="O51" s="491"/>
    </row>
    <row r="52" spans="8:15">
      <c r="H52" s="491">
        <v>8</v>
      </c>
      <c r="I52" s="491" t="s">
        <v>1380</v>
      </c>
      <c r="J52" s="491"/>
      <c r="K52" s="491"/>
      <c r="L52" s="491" t="s">
        <v>1381</v>
      </c>
      <c r="M52" s="491"/>
      <c r="N52" s="491" t="s">
        <v>1365</v>
      </c>
      <c r="O52" s="491"/>
    </row>
    <row r="53" spans="8:15">
      <c r="H53" s="491">
        <v>9</v>
      </c>
      <c r="I53" s="491" t="s">
        <v>1382</v>
      </c>
      <c r="J53" s="491"/>
      <c r="K53" s="491"/>
      <c r="L53" s="491" t="s">
        <v>1383</v>
      </c>
      <c r="M53" s="491"/>
      <c r="N53" s="491" t="s">
        <v>1365</v>
      </c>
      <c r="O53" s="491"/>
    </row>
    <row r="54" spans="8:15">
      <c r="H54" s="491">
        <v>10</v>
      </c>
      <c r="I54" s="491" t="s">
        <v>1384</v>
      </c>
      <c r="J54" s="491"/>
      <c r="K54" s="491"/>
      <c r="L54" s="491" t="s">
        <v>1385</v>
      </c>
      <c r="M54" s="491"/>
      <c r="N54" s="491" t="s">
        <v>1365</v>
      </c>
      <c r="O54" s="491"/>
    </row>
    <row r="55" spans="8:15">
      <c r="H55" s="491">
        <v>11</v>
      </c>
      <c r="I55" s="491" t="s">
        <v>1386</v>
      </c>
      <c r="J55" s="491"/>
      <c r="K55" s="491"/>
      <c r="L55" s="491" t="s">
        <v>1387</v>
      </c>
      <c r="M55" s="491"/>
      <c r="N55" s="491" t="s">
        <v>1365</v>
      </c>
      <c r="O55" s="491"/>
    </row>
    <row r="56" spans="8:15">
      <c r="H56" s="491">
        <v>12</v>
      </c>
      <c r="I56" s="491" t="s">
        <v>1388</v>
      </c>
      <c r="J56" s="491"/>
      <c r="K56" s="491"/>
      <c r="L56" s="491" t="s">
        <v>1389</v>
      </c>
      <c r="M56" s="491"/>
      <c r="N56" s="491" t="s">
        <v>1365</v>
      </c>
      <c r="O56" s="491"/>
    </row>
    <row r="57" spans="8:15">
      <c r="H57" s="491">
        <v>13</v>
      </c>
      <c r="I57" s="491" t="s">
        <v>1390</v>
      </c>
      <c r="J57" s="491"/>
      <c r="K57" s="491"/>
      <c r="L57" s="491" t="s">
        <v>1391</v>
      </c>
      <c r="M57" s="491"/>
      <c r="N57" s="491" t="s">
        <v>1365</v>
      </c>
      <c r="O57" s="491"/>
    </row>
    <row r="58" spans="8:15">
      <c r="H58" s="491">
        <v>14</v>
      </c>
      <c r="I58" s="491" t="s">
        <v>1392</v>
      </c>
      <c r="J58" s="491"/>
      <c r="K58" s="491"/>
      <c r="L58" s="491" t="s">
        <v>1393</v>
      </c>
      <c r="M58" s="491"/>
      <c r="N58" s="491" t="s">
        <v>1365</v>
      </c>
      <c r="O58" s="491"/>
    </row>
    <row r="59" spans="8:15">
      <c r="H59" s="491">
        <v>15</v>
      </c>
      <c r="I59" s="491" t="s">
        <v>1394</v>
      </c>
      <c r="J59" s="491"/>
      <c r="K59" s="491"/>
      <c r="L59" s="491" t="s">
        <v>1395</v>
      </c>
      <c r="M59" s="491"/>
      <c r="N59" s="491" t="s">
        <v>1365</v>
      </c>
      <c r="O59" s="491"/>
    </row>
    <row r="60" spans="8:15">
      <c r="H60" s="491">
        <v>16</v>
      </c>
      <c r="I60" s="491" t="s">
        <v>1396</v>
      </c>
      <c r="J60" s="491"/>
      <c r="K60" s="491"/>
      <c r="L60" s="491" t="s">
        <v>1397</v>
      </c>
      <c r="M60" s="491"/>
      <c r="N60" s="491" t="s">
        <v>1365</v>
      </c>
      <c r="O60" s="491"/>
    </row>
    <row r="61" spans="8:15">
      <c r="H61" s="491">
        <v>17</v>
      </c>
      <c r="I61" s="491" t="s">
        <v>1398</v>
      </c>
      <c r="J61" s="491"/>
      <c r="K61" s="491"/>
      <c r="L61" s="491" t="s">
        <v>1399</v>
      </c>
      <c r="M61" s="491"/>
      <c r="N61" s="491" t="s">
        <v>1365</v>
      </c>
      <c r="O61" s="491"/>
    </row>
    <row r="62" spans="8:15">
      <c r="H62" s="491">
        <v>18</v>
      </c>
      <c r="I62" s="491" t="s">
        <v>1400</v>
      </c>
      <c r="J62" s="491"/>
      <c r="K62" s="491"/>
      <c r="L62" s="491" t="s">
        <v>1401</v>
      </c>
      <c r="M62" s="491"/>
      <c r="N62" s="491" t="s">
        <v>1365</v>
      </c>
      <c r="O62" s="491"/>
    </row>
    <row r="63" spans="8:15">
      <c r="H63" s="491">
        <v>19</v>
      </c>
      <c r="I63" s="491" t="s">
        <v>1402</v>
      </c>
      <c r="J63" s="491"/>
      <c r="K63" s="491" t="s">
        <v>1403</v>
      </c>
      <c r="L63" s="491" t="s">
        <v>1365</v>
      </c>
      <c r="M63" s="491"/>
      <c r="N63" s="491"/>
      <c r="O63" s="491"/>
    </row>
    <row r="64" spans="8:15">
      <c r="H64" s="491">
        <v>20</v>
      </c>
      <c r="I64" s="491" t="s">
        <v>1404</v>
      </c>
      <c r="J64" s="491"/>
      <c r="K64" s="491" t="s">
        <v>1405</v>
      </c>
      <c r="L64" s="491" t="s">
        <v>1365</v>
      </c>
      <c r="M64" s="491"/>
      <c r="N64" s="491"/>
      <c r="O64" s="491"/>
    </row>
    <row r="65" spans="8:15">
      <c r="H65" s="491">
        <v>21</v>
      </c>
      <c r="I65" s="491" t="s">
        <v>1406</v>
      </c>
      <c r="J65" s="491"/>
      <c r="K65" s="491"/>
      <c r="L65" s="491" t="s">
        <v>1407</v>
      </c>
      <c r="M65" s="491"/>
      <c r="N65" s="491" t="s">
        <v>1365</v>
      </c>
      <c r="O65" s="491"/>
    </row>
    <row r="66" spans="8:15">
      <c r="H66" s="491">
        <v>22</v>
      </c>
      <c r="I66" s="491" t="s">
        <v>1408</v>
      </c>
      <c r="J66" s="491"/>
      <c r="K66" s="491" t="s">
        <v>1409</v>
      </c>
      <c r="L66" s="491"/>
      <c r="M66" s="491" t="s">
        <v>1365</v>
      </c>
      <c r="N66" s="491"/>
      <c r="O66" s="491"/>
    </row>
    <row r="67" spans="8:15">
      <c r="H67" s="491">
        <v>23</v>
      </c>
      <c r="I67" s="491" t="s">
        <v>1410</v>
      </c>
      <c r="J67" s="491"/>
      <c r="K67" s="491" t="s">
        <v>1411</v>
      </c>
      <c r="L67" s="491"/>
      <c r="M67" s="491" t="s">
        <v>1365</v>
      </c>
      <c r="N67" s="491"/>
      <c r="O67" s="491"/>
    </row>
    <row r="68" spans="8:15">
      <c r="H68" s="491">
        <v>24</v>
      </c>
      <c r="I68" s="491" t="s">
        <v>1412</v>
      </c>
      <c r="J68" s="491" t="s">
        <v>1413</v>
      </c>
      <c r="K68" s="491"/>
      <c r="L68" s="491" t="s">
        <v>1365</v>
      </c>
      <c r="M68" s="491"/>
      <c r="N68" s="491"/>
      <c r="O68" s="491"/>
    </row>
    <row r="69" spans="8:15">
      <c r="H69" s="491">
        <v>25</v>
      </c>
      <c r="I69" s="491" t="s">
        <v>1414</v>
      </c>
      <c r="J69" s="491" t="s">
        <v>1415</v>
      </c>
      <c r="K69" s="491"/>
      <c r="L69" s="491" t="s">
        <v>1365</v>
      </c>
      <c r="M69" s="491"/>
      <c r="N69" s="491"/>
      <c r="O69" s="491"/>
    </row>
    <row r="70" spans="8:15">
      <c r="I70" s="491" t="s">
        <v>1416</v>
      </c>
      <c r="J70" s="491"/>
      <c r="K70" s="491"/>
      <c r="L70" s="491"/>
      <c r="M70" s="491"/>
      <c r="N70" s="491"/>
      <c r="O70" s="491"/>
    </row>
  </sheetData>
  <mergeCells count="45">
    <mergeCell ref="B43:K43"/>
    <mergeCell ref="B19:K19"/>
    <mergeCell ref="C10:J10"/>
    <mergeCell ref="C11:J11"/>
    <mergeCell ref="C13:J13"/>
    <mergeCell ref="C17:J17"/>
    <mergeCell ref="C15:J15"/>
    <mergeCell ref="C16:J16"/>
    <mergeCell ref="B34:B36"/>
    <mergeCell ref="C34:J34"/>
    <mergeCell ref="C35:J35"/>
    <mergeCell ref="C36:J36"/>
    <mergeCell ref="C37:F37"/>
    <mergeCell ref="G37:J37"/>
    <mergeCell ref="C40:J40"/>
    <mergeCell ref="C41:J41"/>
    <mergeCell ref="C39:F39"/>
    <mergeCell ref="G39:J39"/>
    <mergeCell ref="C38:F38"/>
    <mergeCell ref="G38:J38"/>
    <mergeCell ref="C33:F33"/>
    <mergeCell ref="G33:J33"/>
    <mergeCell ref="C32:F32"/>
    <mergeCell ref="G32:J32"/>
    <mergeCell ref="C31:F31"/>
    <mergeCell ref="G31:J31"/>
    <mergeCell ref="A1:K1"/>
    <mergeCell ref="C7:J7"/>
    <mergeCell ref="C8:J8"/>
    <mergeCell ref="C9:J9"/>
    <mergeCell ref="B12:B13"/>
    <mergeCell ref="C12:J12"/>
    <mergeCell ref="B5:K5"/>
    <mergeCell ref="B28:B30"/>
    <mergeCell ref="C28:J28"/>
    <mergeCell ref="C29:J29"/>
    <mergeCell ref="C30:J30"/>
    <mergeCell ref="C21:J21"/>
    <mergeCell ref="C22:J22"/>
    <mergeCell ref="C23:J23"/>
    <mergeCell ref="C24:J24"/>
    <mergeCell ref="B26:B27"/>
    <mergeCell ref="C26:J26"/>
    <mergeCell ref="C25:J25"/>
    <mergeCell ref="C27:J27"/>
  </mergeCells>
  <phoneticPr fontId="5" type="noConversion"/>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Z169"/>
  <sheetViews>
    <sheetView topLeftCell="A74" workbookViewId="0">
      <selection activeCell="C98" sqref="C98:J98"/>
    </sheetView>
  </sheetViews>
  <sheetFormatPr defaultRowHeight="16.5"/>
  <cols>
    <col min="1" max="2" width="9" style="491"/>
    <col min="3" max="3" width="10.875" style="491" bestFit="1" customWidth="1"/>
    <col min="4" max="16384" width="9" style="491"/>
  </cols>
  <sheetData>
    <row r="1" spans="1:26" ht="17.25" thickBot="1">
      <c r="A1" s="975" t="s">
        <v>105</v>
      </c>
      <c r="B1" s="976"/>
      <c r="C1" s="976"/>
      <c r="D1" s="976"/>
      <c r="E1" s="976"/>
      <c r="F1" s="976"/>
      <c r="G1" s="976"/>
      <c r="H1" s="976"/>
      <c r="I1" s="976"/>
      <c r="J1" s="976"/>
      <c r="K1" s="977"/>
    </row>
    <row r="2" spans="1:26">
      <c r="A2" s="201" t="s">
        <v>106</v>
      </c>
      <c r="B2" s="202" t="s">
        <v>122</v>
      </c>
      <c r="D2" s="203"/>
      <c r="E2" s="204"/>
      <c r="F2" s="204"/>
      <c r="G2" s="204"/>
      <c r="H2" s="204"/>
      <c r="I2" s="203"/>
      <c r="J2" s="204" t="s">
        <v>107</v>
      </c>
      <c r="K2" s="418" t="s">
        <v>121</v>
      </c>
    </row>
    <row r="3" spans="1:26">
      <c r="A3" s="197" t="s">
        <v>108</v>
      </c>
      <c r="B3" s="206"/>
      <c r="C3" s="208"/>
      <c r="D3" s="210"/>
      <c r="E3" s="210"/>
      <c r="F3" s="210"/>
      <c r="G3" s="210"/>
      <c r="H3" s="210"/>
      <c r="I3" s="209"/>
      <c r="J3" s="210" t="s">
        <v>109</v>
      </c>
      <c r="K3" s="553">
        <v>42080</v>
      </c>
    </row>
    <row r="4" spans="1:26" ht="17.25" thickBot="1">
      <c r="A4" s="198"/>
      <c r="B4" s="207"/>
      <c r="C4" s="199"/>
      <c r="D4" s="199"/>
      <c r="E4" s="199"/>
      <c r="F4" s="199"/>
      <c r="G4" s="199"/>
      <c r="H4" s="199"/>
      <c r="I4" s="200"/>
      <c r="J4" s="211" t="s">
        <v>110</v>
      </c>
      <c r="K4" s="212">
        <v>10</v>
      </c>
    </row>
    <row r="5" spans="1:26" ht="17.25" thickBot="1">
      <c r="P5" s="519" t="s">
        <v>1212</v>
      </c>
      <c r="Q5" s="888" t="s">
        <v>1230</v>
      </c>
      <c r="R5" s="889"/>
      <c r="S5" s="889"/>
      <c r="T5" s="889"/>
      <c r="U5" s="889"/>
      <c r="V5" s="889"/>
      <c r="W5" s="889"/>
      <c r="X5" s="889"/>
      <c r="Y5" s="889"/>
      <c r="Z5" s="890"/>
    </row>
    <row r="6" spans="1:26" ht="17.25" thickBot="1">
      <c r="A6" s="576"/>
      <c r="B6" s="577" t="s">
        <v>1417</v>
      </c>
      <c r="C6" s="577"/>
      <c r="D6" s="577" t="s">
        <v>1418</v>
      </c>
      <c r="E6" s="577"/>
      <c r="F6" s="577"/>
      <c r="G6" s="577" t="s">
        <v>1613</v>
      </c>
      <c r="H6" s="577"/>
      <c r="I6" s="577" t="s">
        <v>1421</v>
      </c>
      <c r="J6" s="577"/>
      <c r="K6" s="578"/>
      <c r="P6" s="620" t="s">
        <v>75</v>
      </c>
      <c r="Q6" s="620" t="s">
        <v>98</v>
      </c>
      <c r="R6" s="226" t="s">
        <v>111</v>
      </c>
      <c r="S6" s="227" t="s">
        <v>112</v>
      </c>
      <c r="T6" s="227" t="s">
        <v>113</v>
      </c>
      <c r="U6" s="227" t="s">
        <v>114</v>
      </c>
      <c r="V6" s="227" t="s">
        <v>115</v>
      </c>
      <c r="W6" s="227" t="s">
        <v>116</v>
      </c>
      <c r="X6" s="227" t="s">
        <v>117</v>
      </c>
      <c r="Y6" s="228" t="s">
        <v>118</v>
      </c>
      <c r="Z6" s="238" t="s">
        <v>119</v>
      </c>
    </row>
    <row r="7" spans="1:26">
      <c r="A7" s="576"/>
      <c r="B7" s="577" t="s">
        <v>1419</v>
      </c>
      <c r="C7" s="577"/>
      <c r="D7" s="577" t="s">
        <v>1420</v>
      </c>
      <c r="E7" s="577"/>
      <c r="F7" s="577"/>
      <c r="G7" s="577" t="s">
        <v>1422</v>
      </c>
      <c r="H7" s="577"/>
      <c r="I7" s="577" t="s">
        <v>1614</v>
      </c>
      <c r="J7" s="577"/>
      <c r="K7" s="578"/>
      <c r="P7" s="636">
        <v>1</v>
      </c>
      <c r="Q7" s="625" t="s">
        <v>37</v>
      </c>
      <c r="R7" s="1033" t="s">
        <v>294</v>
      </c>
      <c r="S7" s="1034"/>
      <c r="T7" s="1034"/>
      <c r="U7" s="1034"/>
      <c r="V7" s="1034"/>
      <c r="W7" s="1034"/>
      <c r="X7" s="1034"/>
      <c r="Y7" s="1035"/>
      <c r="Z7" s="628">
        <v>1</v>
      </c>
    </row>
    <row r="8" spans="1:26" ht="17.25" thickBot="1">
      <c r="A8" s="579"/>
      <c r="B8" s="580"/>
      <c r="C8" s="580"/>
      <c r="D8" s="580"/>
      <c r="E8" s="580"/>
      <c r="F8" s="580"/>
      <c r="G8" s="580"/>
      <c r="H8" s="580"/>
      <c r="I8" s="580"/>
      <c r="J8" s="580"/>
      <c r="K8" s="581"/>
      <c r="P8" s="239" t="s">
        <v>398</v>
      </c>
      <c r="Q8" s="626" t="s">
        <v>36</v>
      </c>
      <c r="R8" s="814" t="s">
        <v>52</v>
      </c>
      <c r="S8" s="815"/>
      <c r="T8" s="815"/>
      <c r="U8" s="815"/>
      <c r="V8" s="815"/>
      <c r="W8" s="815"/>
      <c r="X8" s="815"/>
      <c r="Y8" s="816"/>
      <c r="Z8" s="244">
        <v>2</v>
      </c>
    </row>
    <row r="9" spans="1:26" ht="17.25" thickBot="1">
      <c r="A9" s="1046" t="s">
        <v>1423</v>
      </c>
      <c r="B9" s="1047"/>
      <c r="C9" s="1047"/>
      <c r="D9" s="1047"/>
      <c r="E9" s="1047"/>
      <c r="F9" s="1047"/>
      <c r="G9" s="1047"/>
      <c r="H9" s="1047"/>
      <c r="I9" s="1047"/>
      <c r="J9" s="1047"/>
      <c r="K9" s="1048"/>
      <c r="P9" s="239" t="s">
        <v>399</v>
      </c>
      <c r="Q9" s="626" t="s">
        <v>39</v>
      </c>
      <c r="R9" s="814" t="s">
        <v>53</v>
      </c>
      <c r="S9" s="815"/>
      <c r="T9" s="815"/>
      <c r="U9" s="815"/>
      <c r="V9" s="815"/>
      <c r="W9" s="815"/>
      <c r="X9" s="815"/>
      <c r="Y9" s="816"/>
      <c r="Z9" s="244">
        <v>2</v>
      </c>
    </row>
    <row r="10" spans="1:26">
      <c r="A10" s="1049" t="s">
        <v>1424</v>
      </c>
      <c r="B10" s="1050"/>
      <c r="C10" s="582" t="s">
        <v>1425</v>
      </c>
      <c r="D10" s="583"/>
      <c r="E10" s="584"/>
      <c r="F10" s="584"/>
      <c r="G10" s="584"/>
      <c r="H10" s="584"/>
      <c r="I10" s="585"/>
      <c r="J10" s="586" t="s">
        <v>107</v>
      </c>
      <c r="K10" s="589" t="s">
        <v>1589</v>
      </c>
      <c r="P10" s="239" t="s">
        <v>400</v>
      </c>
      <c r="Q10" s="626" t="s">
        <v>40</v>
      </c>
      <c r="R10" s="814" t="s">
        <v>54</v>
      </c>
      <c r="S10" s="815"/>
      <c r="T10" s="815"/>
      <c r="U10" s="815"/>
      <c r="V10" s="815"/>
      <c r="W10" s="815"/>
      <c r="X10" s="815"/>
      <c r="Y10" s="816"/>
      <c r="Z10" s="244">
        <v>2</v>
      </c>
    </row>
    <row r="11" spans="1:26">
      <c r="A11" s="1051" t="s">
        <v>1426</v>
      </c>
      <c r="B11" s="1052"/>
      <c r="C11" s="587"/>
      <c r="D11" s="588"/>
      <c r="E11" s="588"/>
      <c r="F11" s="588"/>
      <c r="G11" s="588"/>
      <c r="H11" s="588"/>
      <c r="I11" s="1053" t="s">
        <v>1427</v>
      </c>
      <c r="J11" s="1054"/>
      <c r="K11" s="589" t="s">
        <v>1589</v>
      </c>
      <c r="P11" s="239" t="s">
        <v>401</v>
      </c>
      <c r="Q11" s="626" t="s">
        <v>41</v>
      </c>
      <c r="R11" s="906" t="s">
        <v>123</v>
      </c>
      <c r="S11" s="907"/>
      <c r="T11" s="907"/>
      <c r="U11" s="907"/>
      <c r="V11" s="907"/>
      <c r="W11" s="907"/>
      <c r="X11" s="907"/>
      <c r="Y11" s="908"/>
      <c r="Z11" s="244">
        <v>2</v>
      </c>
    </row>
    <row r="12" spans="1:26" ht="17.25" thickBot="1">
      <c r="A12" s="590"/>
      <c r="B12" s="591"/>
      <c r="C12" s="592"/>
      <c r="D12" s="592"/>
      <c r="E12" s="592"/>
      <c r="F12" s="592"/>
      <c r="G12" s="592"/>
      <c r="H12" s="592"/>
      <c r="I12" s="593"/>
      <c r="J12" s="594" t="s">
        <v>1428</v>
      </c>
      <c r="K12" s="595" t="s">
        <v>1590</v>
      </c>
      <c r="P12" s="239" t="s">
        <v>402</v>
      </c>
      <c r="Q12" s="817" t="s">
        <v>42</v>
      </c>
      <c r="R12" s="819" t="s">
        <v>1145</v>
      </c>
      <c r="S12" s="820"/>
      <c r="T12" s="820"/>
      <c r="U12" s="820"/>
      <c r="V12" s="820"/>
      <c r="W12" s="820"/>
      <c r="X12" s="820"/>
      <c r="Y12" s="821"/>
      <c r="Z12" s="635">
        <v>2</v>
      </c>
    </row>
    <row r="13" spans="1:26" ht="17.25" thickBot="1">
      <c r="A13" s="596"/>
      <c r="B13" s="579"/>
      <c r="C13" s="579"/>
      <c r="D13" s="596"/>
      <c r="E13" s="596"/>
      <c r="F13" s="579"/>
      <c r="G13" s="579"/>
      <c r="H13" s="596"/>
      <c r="I13" s="596"/>
      <c r="J13" s="579"/>
      <c r="K13" s="579"/>
      <c r="P13" s="624" t="s">
        <v>1022</v>
      </c>
      <c r="Q13" s="818"/>
      <c r="R13" s="1040" t="s">
        <v>1146</v>
      </c>
      <c r="S13" s="1041"/>
      <c r="T13" s="1041"/>
      <c r="U13" s="1041"/>
      <c r="V13" s="1041"/>
      <c r="W13" s="1041"/>
      <c r="X13" s="1041"/>
      <c r="Y13" s="1042"/>
      <c r="Z13" s="629">
        <v>2</v>
      </c>
    </row>
    <row r="14" spans="1:26" ht="23.25" thickBot="1">
      <c r="A14" s="1055" t="s">
        <v>1429</v>
      </c>
      <c r="B14" s="1056"/>
      <c r="C14" s="1056"/>
      <c r="D14" s="1056"/>
      <c r="E14" s="1056"/>
      <c r="F14" s="1056"/>
      <c r="G14" s="1056"/>
      <c r="H14" s="1056"/>
      <c r="I14" s="1056"/>
      <c r="J14" s="1056"/>
      <c r="K14" s="1057"/>
      <c r="P14" s="230" t="s">
        <v>403</v>
      </c>
      <c r="Q14" s="149" t="s">
        <v>471</v>
      </c>
      <c r="R14" s="145" t="s">
        <v>395</v>
      </c>
      <c r="S14" s="147" t="s">
        <v>1064</v>
      </c>
      <c r="T14" s="146"/>
      <c r="U14" s="146"/>
      <c r="V14" s="147" t="s">
        <v>456</v>
      </c>
      <c r="W14" s="147" t="s">
        <v>306</v>
      </c>
      <c r="X14" s="147" t="s">
        <v>307</v>
      </c>
      <c r="Y14" s="148" t="s">
        <v>308</v>
      </c>
      <c r="Z14" s="150">
        <v>2</v>
      </c>
    </row>
    <row r="15" spans="1:26" ht="17.25" thickBot="1">
      <c r="A15" s="597" t="s">
        <v>1430</v>
      </c>
      <c r="B15" s="598" t="s">
        <v>1431</v>
      </c>
      <c r="C15" s="598" t="s">
        <v>1432</v>
      </c>
      <c r="D15" s="598" t="s">
        <v>1433</v>
      </c>
      <c r="E15" s="598" t="s">
        <v>1434</v>
      </c>
      <c r="F15" s="598" t="s">
        <v>1435</v>
      </c>
      <c r="G15" s="598" t="s">
        <v>1436</v>
      </c>
      <c r="H15" s="598" t="s">
        <v>1437</v>
      </c>
      <c r="I15" s="598" t="s">
        <v>1438</v>
      </c>
      <c r="J15" s="598" t="s">
        <v>1439</v>
      </c>
      <c r="K15" s="599" t="s">
        <v>1440</v>
      </c>
      <c r="P15" s="620" t="s">
        <v>406</v>
      </c>
      <c r="Q15" s="149" t="s">
        <v>1065</v>
      </c>
      <c r="R15" s="1043" t="s">
        <v>1065</v>
      </c>
      <c r="S15" s="1044"/>
      <c r="T15" s="1044"/>
      <c r="U15" s="1044"/>
      <c r="V15" s="1044"/>
      <c r="W15" s="1044"/>
      <c r="X15" s="1044"/>
      <c r="Y15" s="1045"/>
      <c r="Z15" s="150">
        <v>2</v>
      </c>
    </row>
    <row r="16" spans="1:26" ht="16.5" customHeight="1">
      <c r="A16" s="627">
        <v>0</v>
      </c>
      <c r="B16" s="600" t="s">
        <v>1441</v>
      </c>
      <c r="C16" s="1069" t="s">
        <v>1442</v>
      </c>
      <c r="D16" s="1070"/>
      <c r="E16" s="1070"/>
      <c r="F16" s="1070"/>
      <c r="G16" s="1070"/>
      <c r="H16" s="1070"/>
      <c r="I16" s="1070"/>
      <c r="J16" s="1071"/>
      <c r="K16" s="627">
        <v>1</v>
      </c>
      <c r="P16" s="620" t="s">
        <v>1067</v>
      </c>
      <c r="Q16" s="620" t="s">
        <v>48</v>
      </c>
      <c r="R16" s="677" t="s">
        <v>120</v>
      </c>
      <c r="S16" s="678"/>
      <c r="T16" s="678"/>
      <c r="U16" s="678"/>
      <c r="V16" s="678"/>
      <c r="W16" s="678"/>
      <c r="X16" s="678"/>
      <c r="Y16" s="679"/>
      <c r="Z16" s="630">
        <v>4</v>
      </c>
    </row>
    <row r="17" spans="1:26" ht="17.25" thickBot="1">
      <c r="A17" s="622" t="s">
        <v>1443</v>
      </c>
      <c r="B17" s="601" t="s">
        <v>1444</v>
      </c>
      <c r="C17" s="1072" t="s">
        <v>1445</v>
      </c>
      <c r="D17" s="1073"/>
      <c r="E17" s="1073"/>
      <c r="F17" s="1073"/>
      <c r="G17" s="1073"/>
      <c r="H17" s="1073"/>
      <c r="I17" s="1073"/>
      <c r="J17" s="1074"/>
      <c r="K17" s="622">
        <v>2</v>
      </c>
      <c r="P17" s="233">
        <v>24</v>
      </c>
      <c r="Q17" s="233" t="s">
        <v>50</v>
      </c>
      <c r="R17" s="674" t="s">
        <v>58</v>
      </c>
      <c r="S17" s="675"/>
      <c r="T17" s="675"/>
      <c r="U17" s="675"/>
      <c r="V17" s="675"/>
      <c r="W17" s="675"/>
      <c r="X17" s="675"/>
      <c r="Y17" s="676"/>
      <c r="Z17" s="631">
        <v>1</v>
      </c>
    </row>
    <row r="18" spans="1:26" ht="17.25" thickBot="1">
      <c r="A18" s="622" t="s">
        <v>1446</v>
      </c>
      <c r="B18" s="601" t="s">
        <v>1447</v>
      </c>
      <c r="C18" s="1072" t="s">
        <v>1448</v>
      </c>
      <c r="D18" s="1073"/>
      <c r="E18" s="1073"/>
      <c r="F18" s="1073"/>
      <c r="G18" s="1073"/>
      <c r="H18" s="1073"/>
      <c r="I18" s="1073"/>
      <c r="J18" s="1074"/>
      <c r="K18" s="622">
        <v>2</v>
      </c>
    </row>
    <row r="19" spans="1:26" ht="17.25" thickBot="1">
      <c r="A19" s="622" t="s">
        <v>1449</v>
      </c>
      <c r="B19" s="601" t="s">
        <v>1450</v>
      </c>
      <c r="C19" s="1075" t="s">
        <v>1451</v>
      </c>
      <c r="D19" s="1075"/>
      <c r="E19" s="1075"/>
      <c r="F19" s="1075"/>
      <c r="G19" s="1075"/>
      <c r="H19" s="1075"/>
      <c r="I19" s="1075"/>
      <c r="J19" s="1076"/>
      <c r="K19" s="602">
        <v>2</v>
      </c>
      <c r="P19" s="519" t="s">
        <v>1212</v>
      </c>
      <c r="Q19" s="888" t="s">
        <v>1231</v>
      </c>
      <c r="R19" s="889"/>
      <c r="S19" s="889"/>
      <c r="T19" s="889"/>
      <c r="U19" s="889"/>
      <c r="V19" s="889"/>
      <c r="W19" s="889"/>
      <c r="X19" s="889"/>
      <c r="Y19" s="889"/>
      <c r="Z19" s="890"/>
    </row>
    <row r="20" spans="1:26" ht="17.25" thickBot="1">
      <c r="A20" s="622" t="s">
        <v>1452</v>
      </c>
      <c r="B20" s="601" t="s">
        <v>1453</v>
      </c>
      <c r="C20" s="1077" t="s">
        <v>1454</v>
      </c>
      <c r="D20" s="1078"/>
      <c r="E20" s="1078"/>
      <c r="F20" s="1078"/>
      <c r="G20" s="1078"/>
      <c r="H20" s="1078"/>
      <c r="I20" s="1078"/>
      <c r="J20" s="1079"/>
      <c r="K20" s="622">
        <v>2</v>
      </c>
      <c r="P20" s="250" t="s">
        <v>75</v>
      </c>
      <c r="Q20" s="234" t="s">
        <v>97</v>
      </c>
      <c r="R20" s="251" t="s">
        <v>445</v>
      </c>
      <c r="S20" s="252" t="s">
        <v>112</v>
      </c>
      <c r="T20" s="252" t="s">
        <v>113</v>
      </c>
      <c r="U20" s="252" t="s">
        <v>114</v>
      </c>
      <c r="V20" s="252" t="s">
        <v>115</v>
      </c>
      <c r="W20" s="252" t="s">
        <v>116</v>
      </c>
      <c r="X20" s="252" t="s">
        <v>117</v>
      </c>
      <c r="Y20" s="253" t="s">
        <v>118</v>
      </c>
      <c r="Z20" s="234" t="s">
        <v>119</v>
      </c>
    </row>
    <row r="21" spans="1:26">
      <c r="A21" s="622" t="s">
        <v>1455</v>
      </c>
      <c r="B21" s="1080" t="s">
        <v>1456</v>
      </c>
      <c r="C21" s="1075" t="s">
        <v>1457</v>
      </c>
      <c r="D21" s="1075"/>
      <c r="E21" s="1075"/>
      <c r="F21" s="1075"/>
      <c r="G21" s="1075"/>
      <c r="H21" s="1075"/>
      <c r="I21" s="1075"/>
      <c r="J21" s="1076"/>
      <c r="K21" s="602">
        <v>2</v>
      </c>
      <c r="P21" s="637">
        <v>1</v>
      </c>
      <c r="Q21" s="638" t="s">
        <v>37</v>
      </c>
      <c r="R21" s="811" t="s">
        <v>294</v>
      </c>
      <c r="S21" s="812"/>
      <c r="T21" s="812"/>
      <c r="U21" s="812"/>
      <c r="V21" s="812"/>
      <c r="W21" s="812"/>
      <c r="X21" s="812"/>
      <c r="Y21" s="813"/>
      <c r="Z21" s="634">
        <v>1</v>
      </c>
    </row>
    <row r="22" spans="1:26">
      <c r="A22" s="633" t="s">
        <v>1458</v>
      </c>
      <c r="B22" s="1081"/>
      <c r="C22" s="1082" t="s">
        <v>1459</v>
      </c>
      <c r="D22" s="1083"/>
      <c r="E22" s="1083"/>
      <c r="F22" s="1083"/>
      <c r="G22" s="1083"/>
      <c r="H22" s="1083"/>
      <c r="I22" s="1083"/>
      <c r="J22" s="1084"/>
      <c r="K22" s="633">
        <v>2</v>
      </c>
      <c r="P22" s="239" t="s">
        <v>398</v>
      </c>
      <c r="Q22" s="626" t="s">
        <v>36</v>
      </c>
      <c r="R22" s="814" t="s">
        <v>52</v>
      </c>
      <c r="S22" s="815"/>
      <c r="T22" s="815"/>
      <c r="U22" s="815"/>
      <c r="V22" s="815"/>
      <c r="W22" s="815"/>
      <c r="X22" s="815"/>
      <c r="Y22" s="816"/>
      <c r="Z22" s="244">
        <v>2</v>
      </c>
    </row>
    <row r="23" spans="1:26" ht="17.25" thickBot="1">
      <c r="A23" s="623" t="s">
        <v>1460</v>
      </c>
      <c r="B23" s="623" t="s">
        <v>1453</v>
      </c>
      <c r="C23" s="1058" t="s">
        <v>1461</v>
      </c>
      <c r="D23" s="1059"/>
      <c r="E23" s="1059"/>
      <c r="F23" s="1059"/>
      <c r="G23" s="1059"/>
      <c r="H23" s="1059"/>
      <c r="I23" s="1059"/>
      <c r="J23" s="1060"/>
      <c r="K23" s="623">
        <v>2</v>
      </c>
      <c r="P23" s="239" t="s">
        <v>399</v>
      </c>
      <c r="Q23" s="626" t="s">
        <v>39</v>
      </c>
      <c r="R23" s="814" t="s">
        <v>53</v>
      </c>
      <c r="S23" s="815"/>
      <c r="T23" s="815"/>
      <c r="U23" s="815"/>
      <c r="V23" s="815"/>
      <c r="W23" s="815"/>
      <c r="X23" s="815"/>
      <c r="Y23" s="816"/>
      <c r="Z23" s="244">
        <v>2</v>
      </c>
    </row>
    <row r="24" spans="1:26" ht="17.25" thickBot="1">
      <c r="A24" s="623" t="s">
        <v>1462</v>
      </c>
      <c r="B24" s="623" t="s">
        <v>1463</v>
      </c>
      <c r="C24" s="1061" t="s">
        <v>1464</v>
      </c>
      <c r="D24" s="1062"/>
      <c r="E24" s="1062"/>
      <c r="F24" s="1062"/>
      <c r="G24" s="1062"/>
      <c r="H24" s="1062"/>
      <c r="I24" s="1062"/>
      <c r="J24" s="1063"/>
      <c r="K24" s="623">
        <v>2</v>
      </c>
      <c r="P24" s="239" t="s">
        <v>400</v>
      </c>
      <c r="Q24" s="626" t="s">
        <v>40</v>
      </c>
      <c r="R24" s="814" t="s">
        <v>54</v>
      </c>
      <c r="S24" s="815"/>
      <c r="T24" s="815"/>
      <c r="U24" s="815"/>
      <c r="V24" s="815"/>
      <c r="W24" s="815"/>
      <c r="X24" s="815"/>
      <c r="Y24" s="816"/>
      <c r="Z24" s="244">
        <v>2</v>
      </c>
    </row>
    <row r="25" spans="1:26">
      <c r="A25" s="627" t="s">
        <v>1465</v>
      </c>
      <c r="B25" s="625" t="s">
        <v>48</v>
      </c>
      <c r="C25" s="925" t="s">
        <v>120</v>
      </c>
      <c r="D25" s="926"/>
      <c r="E25" s="926"/>
      <c r="F25" s="926"/>
      <c r="G25" s="926"/>
      <c r="H25" s="926"/>
      <c r="I25" s="926"/>
      <c r="J25" s="927"/>
      <c r="K25" s="39">
        <v>4</v>
      </c>
      <c r="P25" s="239" t="s">
        <v>401</v>
      </c>
      <c r="Q25" s="626" t="s">
        <v>41</v>
      </c>
      <c r="R25" s="906" t="s">
        <v>1157</v>
      </c>
      <c r="S25" s="907"/>
      <c r="T25" s="907"/>
      <c r="U25" s="907"/>
      <c r="V25" s="907"/>
      <c r="W25" s="907"/>
      <c r="X25" s="907"/>
      <c r="Y25" s="908"/>
      <c r="Z25" s="244">
        <v>2</v>
      </c>
    </row>
    <row r="26" spans="1:26" ht="17.25" thickBot="1">
      <c r="A26" s="623" t="s">
        <v>1466</v>
      </c>
      <c r="B26" s="603" t="s">
        <v>1467</v>
      </c>
      <c r="C26" s="1064" t="s">
        <v>1468</v>
      </c>
      <c r="D26" s="1064"/>
      <c r="E26" s="1064"/>
      <c r="F26" s="1064"/>
      <c r="G26" s="1064"/>
      <c r="H26" s="1064"/>
      <c r="I26" s="1064"/>
      <c r="J26" s="1065"/>
      <c r="K26" s="623">
        <v>1</v>
      </c>
      <c r="P26" s="239" t="s">
        <v>402</v>
      </c>
      <c r="Q26" s="817" t="s">
        <v>42</v>
      </c>
      <c r="R26" s="819" t="s">
        <v>1145</v>
      </c>
      <c r="S26" s="820"/>
      <c r="T26" s="820"/>
      <c r="U26" s="820"/>
      <c r="V26" s="820"/>
      <c r="W26" s="820"/>
      <c r="X26" s="820"/>
      <c r="Y26" s="821"/>
      <c r="Z26" s="635">
        <v>2</v>
      </c>
    </row>
    <row r="27" spans="1:26" ht="17.25" thickBot="1">
      <c r="A27" s="596"/>
      <c r="B27" s="579"/>
      <c r="C27" s="579"/>
      <c r="D27" s="596"/>
      <c r="E27" s="596"/>
      <c r="F27" s="579"/>
      <c r="G27" s="579"/>
      <c r="H27" s="596"/>
      <c r="I27" s="596"/>
      <c r="J27" s="579"/>
      <c r="K27" s="579"/>
      <c r="P27" s="624" t="s">
        <v>1022</v>
      </c>
      <c r="Q27" s="818"/>
      <c r="R27" s="819" t="s">
        <v>1146</v>
      </c>
      <c r="S27" s="820"/>
      <c r="T27" s="820"/>
      <c r="U27" s="820"/>
      <c r="V27" s="820"/>
      <c r="W27" s="820"/>
      <c r="X27" s="820"/>
      <c r="Y27" s="821"/>
      <c r="Z27" s="635">
        <v>2</v>
      </c>
    </row>
    <row r="28" spans="1:26">
      <c r="A28" s="1055" t="s">
        <v>1469</v>
      </c>
      <c r="B28" s="1056"/>
      <c r="C28" s="1056"/>
      <c r="D28" s="1056"/>
      <c r="E28" s="1056"/>
      <c r="F28" s="1056"/>
      <c r="G28" s="1056"/>
      <c r="H28" s="1056"/>
      <c r="I28" s="1056"/>
      <c r="J28" s="1056"/>
      <c r="K28" s="1057"/>
      <c r="P28" s="238" t="s">
        <v>404</v>
      </c>
      <c r="Q28" s="928" t="s">
        <v>487</v>
      </c>
      <c r="R28" s="931" t="s">
        <v>565</v>
      </c>
      <c r="S28" s="932"/>
      <c r="T28" s="932"/>
      <c r="U28" s="932"/>
      <c r="V28" s="932"/>
      <c r="W28" s="932"/>
      <c r="X28" s="932"/>
      <c r="Y28" s="933"/>
      <c r="Z28" s="262">
        <v>2</v>
      </c>
    </row>
    <row r="29" spans="1:26" ht="17.25" thickBot="1">
      <c r="A29" s="597" t="s">
        <v>1430</v>
      </c>
      <c r="B29" s="598" t="s">
        <v>1431</v>
      </c>
      <c r="C29" s="598" t="s">
        <v>1432</v>
      </c>
      <c r="D29" s="598" t="s">
        <v>1433</v>
      </c>
      <c r="E29" s="598" t="s">
        <v>1434</v>
      </c>
      <c r="F29" s="598" t="s">
        <v>1435</v>
      </c>
      <c r="G29" s="598" t="s">
        <v>1436</v>
      </c>
      <c r="H29" s="598" t="s">
        <v>1437</v>
      </c>
      <c r="I29" s="598" t="s">
        <v>1438</v>
      </c>
      <c r="J29" s="598" t="s">
        <v>1439</v>
      </c>
      <c r="K29" s="599" t="s">
        <v>1440</v>
      </c>
      <c r="P29" s="257" t="s">
        <v>1032</v>
      </c>
      <c r="Q29" s="929"/>
      <c r="R29" s="896" t="s">
        <v>566</v>
      </c>
      <c r="S29" s="809"/>
      <c r="T29" s="809"/>
      <c r="U29" s="809"/>
      <c r="V29" s="809"/>
      <c r="W29" s="809"/>
      <c r="X29" s="809"/>
      <c r="Y29" s="810"/>
      <c r="Z29" s="263">
        <v>2</v>
      </c>
    </row>
    <row r="30" spans="1:26" ht="17.25" thickBot="1">
      <c r="A30" s="627">
        <v>0</v>
      </c>
      <c r="B30" s="604" t="s">
        <v>1441</v>
      </c>
      <c r="C30" s="1066" t="s">
        <v>1442</v>
      </c>
      <c r="D30" s="1067"/>
      <c r="E30" s="1067"/>
      <c r="F30" s="1067"/>
      <c r="G30" s="1067"/>
      <c r="H30" s="1067"/>
      <c r="I30" s="1067"/>
      <c r="J30" s="1068"/>
      <c r="K30" s="627">
        <v>1</v>
      </c>
      <c r="P30" s="259" t="s">
        <v>824</v>
      </c>
      <c r="Q30" s="930"/>
      <c r="R30" s="903" t="s">
        <v>567</v>
      </c>
      <c r="S30" s="806"/>
      <c r="T30" s="806"/>
      <c r="U30" s="806"/>
      <c r="V30" s="806"/>
      <c r="W30" s="806"/>
      <c r="X30" s="806"/>
      <c r="Y30" s="807"/>
      <c r="Z30" s="264">
        <v>2</v>
      </c>
    </row>
    <row r="31" spans="1:26" ht="17.25" thickBot="1">
      <c r="A31" s="622" t="s">
        <v>1443</v>
      </c>
      <c r="B31" s="601" t="s">
        <v>1444</v>
      </c>
      <c r="C31" s="1072" t="s">
        <v>1445</v>
      </c>
      <c r="D31" s="1073"/>
      <c r="E31" s="1073"/>
      <c r="F31" s="1073"/>
      <c r="G31" s="1073"/>
      <c r="H31" s="1073"/>
      <c r="I31" s="1073"/>
      <c r="J31" s="1074"/>
      <c r="K31" s="622">
        <v>2</v>
      </c>
      <c r="P31" s="238" t="s">
        <v>1034</v>
      </c>
      <c r="Q31" s="378" t="s">
        <v>518</v>
      </c>
      <c r="R31" s="939" t="s">
        <v>564</v>
      </c>
      <c r="S31" s="940"/>
      <c r="T31" s="940"/>
      <c r="U31" s="941"/>
      <c r="V31" s="942" t="s">
        <v>527</v>
      </c>
      <c r="W31" s="940"/>
      <c r="X31" s="940"/>
      <c r="Y31" s="943"/>
      <c r="Z31" s="378">
        <v>2</v>
      </c>
    </row>
    <row r="32" spans="1:26" ht="17.25" thickBot="1">
      <c r="A32" s="622" t="s">
        <v>1446</v>
      </c>
      <c r="B32" s="601" t="s">
        <v>1447</v>
      </c>
      <c r="C32" s="1072" t="s">
        <v>1448</v>
      </c>
      <c r="D32" s="1073"/>
      <c r="E32" s="1073"/>
      <c r="F32" s="1073"/>
      <c r="G32" s="1073"/>
      <c r="H32" s="1073"/>
      <c r="I32" s="1073"/>
      <c r="J32" s="1074"/>
      <c r="K32" s="622">
        <v>2</v>
      </c>
      <c r="P32" s="238" t="s">
        <v>1035</v>
      </c>
      <c r="Q32" s="378" t="s">
        <v>519</v>
      </c>
      <c r="R32" s="947" t="s">
        <v>528</v>
      </c>
      <c r="S32" s="948"/>
      <c r="T32" s="948"/>
      <c r="U32" s="949"/>
      <c r="V32" s="950" t="s">
        <v>529</v>
      </c>
      <c r="W32" s="948"/>
      <c r="X32" s="948"/>
      <c r="Y32" s="951"/>
      <c r="Z32" s="378">
        <v>2</v>
      </c>
    </row>
    <row r="33" spans="1:26" ht="17.25" thickBot="1">
      <c r="A33" s="622" t="s">
        <v>1449</v>
      </c>
      <c r="B33" s="601" t="s">
        <v>1450</v>
      </c>
      <c r="C33" s="1075" t="s">
        <v>1451</v>
      </c>
      <c r="D33" s="1075"/>
      <c r="E33" s="1075"/>
      <c r="F33" s="1075"/>
      <c r="G33" s="1075"/>
      <c r="H33" s="1075"/>
      <c r="I33" s="1075"/>
      <c r="J33" s="1076"/>
      <c r="K33" s="602">
        <v>2</v>
      </c>
      <c r="P33" s="238" t="s">
        <v>676</v>
      </c>
      <c r="Q33" s="378" t="s">
        <v>520</v>
      </c>
      <c r="R33" s="939" t="s">
        <v>530</v>
      </c>
      <c r="S33" s="940"/>
      <c r="T33" s="940"/>
      <c r="U33" s="941"/>
      <c r="V33" s="942" t="s">
        <v>531</v>
      </c>
      <c r="W33" s="940"/>
      <c r="X33" s="940"/>
      <c r="Y33" s="943"/>
      <c r="Z33" s="378">
        <v>2</v>
      </c>
    </row>
    <row r="34" spans="1:26">
      <c r="A34" s="622" t="s">
        <v>1452</v>
      </c>
      <c r="B34" s="601" t="s">
        <v>1453</v>
      </c>
      <c r="C34" s="1077" t="s">
        <v>1454</v>
      </c>
      <c r="D34" s="1078"/>
      <c r="E34" s="1078"/>
      <c r="F34" s="1078"/>
      <c r="G34" s="1078"/>
      <c r="H34" s="1078"/>
      <c r="I34" s="1078"/>
      <c r="J34" s="1079"/>
      <c r="K34" s="622">
        <v>2</v>
      </c>
      <c r="P34" s="238" t="s">
        <v>1037</v>
      </c>
      <c r="Q34" s="928" t="s">
        <v>487</v>
      </c>
      <c r="R34" s="931" t="s">
        <v>569</v>
      </c>
      <c r="S34" s="932"/>
      <c r="T34" s="932"/>
      <c r="U34" s="932"/>
      <c r="V34" s="932"/>
      <c r="W34" s="932"/>
      <c r="X34" s="932"/>
      <c r="Y34" s="933"/>
      <c r="Z34" s="262">
        <v>2</v>
      </c>
    </row>
    <row r="35" spans="1:26">
      <c r="A35" s="622" t="s">
        <v>1455</v>
      </c>
      <c r="B35" s="1080" t="s">
        <v>1456</v>
      </c>
      <c r="C35" s="1075" t="s">
        <v>1457</v>
      </c>
      <c r="D35" s="1075"/>
      <c r="E35" s="1075"/>
      <c r="F35" s="1075"/>
      <c r="G35" s="1075"/>
      <c r="H35" s="1075"/>
      <c r="I35" s="1075"/>
      <c r="J35" s="1076"/>
      <c r="K35" s="602">
        <v>2</v>
      </c>
      <c r="P35" s="257" t="s">
        <v>677</v>
      </c>
      <c r="Q35" s="929"/>
      <c r="R35" s="896" t="s">
        <v>570</v>
      </c>
      <c r="S35" s="809"/>
      <c r="T35" s="809"/>
      <c r="U35" s="809"/>
      <c r="V35" s="809"/>
      <c r="W35" s="809"/>
      <c r="X35" s="809"/>
      <c r="Y35" s="810"/>
      <c r="Z35" s="263">
        <v>2</v>
      </c>
    </row>
    <row r="36" spans="1:26" ht="17.25" thickBot="1">
      <c r="A36" s="622" t="s">
        <v>1458</v>
      </c>
      <c r="B36" s="991"/>
      <c r="C36" s="1072" t="s">
        <v>1459</v>
      </c>
      <c r="D36" s="1073"/>
      <c r="E36" s="1073"/>
      <c r="F36" s="1073"/>
      <c r="G36" s="1073"/>
      <c r="H36" s="1073"/>
      <c r="I36" s="1073"/>
      <c r="J36" s="1074"/>
      <c r="K36" s="622">
        <v>2</v>
      </c>
      <c r="P36" s="259" t="s">
        <v>1048</v>
      </c>
      <c r="Q36" s="930"/>
      <c r="R36" s="903" t="s">
        <v>571</v>
      </c>
      <c r="S36" s="806"/>
      <c r="T36" s="806"/>
      <c r="U36" s="806"/>
      <c r="V36" s="806"/>
      <c r="W36" s="806"/>
      <c r="X36" s="806"/>
      <c r="Y36" s="807"/>
      <c r="Z36" s="264">
        <v>2</v>
      </c>
    </row>
    <row r="37" spans="1:26" ht="17.25" thickBot="1">
      <c r="A37" s="627" t="s">
        <v>1460</v>
      </c>
      <c r="B37" s="627" t="s">
        <v>1453</v>
      </c>
      <c r="C37" s="1085" t="s">
        <v>1470</v>
      </c>
      <c r="D37" s="1086"/>
      <c r="E37" s="1086"/>
      <c r="F37" s="1086"/>
      <c r="G37" s="1086"/>
      <c r="H37" s="1086"/>
      <c r="I37" s="1086"/>
      <c r="J37" s="1087"/>
      <c r="K37" s="627">
        <v>2</v>
      </c>
      <c r="P37" s="238" t="s">
        <v>1049</v>
      </c>
      <c r="Q37" s="378" t="s">
        <v>518</v>
      </c>
      <c r="R37" s="939" t="s">
        <v>568</v>
      </c>
      <c r="S37" s="940"/>
      <c r="T37" s="940"/>
      <c r="U37" s="941"/>
      <c r="V37" s="942" t="s">
        <v>532</v>
      </c>
      <c r="W37" s="940"/>
      <c r="X37" s="940"/>
      <c r="Y37" s="943"/>
      <c r="Z37" s="378">
        <v>2</v>
      </c>
    </row>
    <row r="38" spans="1:26" ht="17.25" thickBot="1">
      <c r="A38" s="619" t="s">
        <v>1629</v>
      </c>
      <c r="B38" s="837" t="s">
        <v>305</v>
      </c>
      <c r="C38" s="931" t="s">
        <v>793</v>
      </c>
      <c r="D38" s="932"/>
      <c r="E38" s="932"/>
      <c r="F38" s="1088"/>
      <c r="G38" s="1089" t="s">
        <v>129</v>
      </c>
      <c r="H38" s="932"/>
      <c r="I38" s="932"/>
      <c r="J38" s="933"/>
      <c r="K38" s="641">
        <v>2</v>
      </c>
      <c r="P38" s="238" t="s">
        <v>459</v>
      </c>
      <c r="Q38" s="378" t="s">
        <v>519</v>
      </c>
      <c r="R38" s="947" t="s">
        <v>533</v>
      </c>
      <c r="S38" s="948"/>
      <c r="T38" s="948"/>
      <c r="U38" s="949"/>
      <c r="V38" s="950" t="s">
        <v>534</v>
      </c>
      <c r="W38" s="948"/>
      <c r="X38" s="948"/>
      <c r="Y38" s="951"/>
      <c r="Z38" s="378">
        <v>2</v>
      </c>
    </row>
    <row r="39" spans="1:26" ht="17.25" thickBot="1">
      <c r="A39" s="618" t="s">
        <v>1630</v>
      </c>
      <c r="B39" s="909"/>
      <c r="C39" s="1090" t="s">
        <v>794</v>
      </c>
      <c r="D39" s="1091"/>
      <c r="E39" s="1091"/>
      <c r="F39" s="1092"/>
      <c r="G39" s="1093" t="s">
        <v>130</v>
      </c>
      <c r="H39" s="1091"/>
      <c r="I39" s="1091"/>
      <c r="J39" s="1094"/>
      <c r="K39" s="642">
        <v>2</v>
      </c>
      <c r="P39" s="238" t="s">
        <v>460</v>
      </c>
      <c r="Q39" s="378" t="s">
        <v>520</v>
      </c>
      <c r="R39" s="939" t="s">
        <v>535</v>
      </c>
      <c r="S39" s="940"/>
      <c r="T39" s="940"/>
      <c r="U39" s="941"/>
      <c r="V39" s="942" t="s">
        <v>536</v>
      </c>
      <c r="W39" s="940"/>
      <c r="X39" s="940"/>
      <c r="Y39" s="943"/>
      <c r="Z39" s="378">
        <v>2</v>
      </c>
    </row>
    <row r="40" spans="1:26" ht="23.25" thickBot="1">
      <c r="A40" s="605" t="s">
        <v>1472</v>
      </c>
      <c r="B40" s="606" t="s">
        <v>1473</v>
      </c>
      <c r="C40" s="607"/>
      <c r="D40" s="608"/>
      <c r="E40" s="608"/>
      <c r="F40" s="608"/>
      <c r="G40" s="609" t="s">
        <v>1474</v>
      </c>
      <c r="H40" s="609" t="s">
        <v>1475</v>
      </c>
      <c r="I40" s="609" t="s">
        <v>1476</v>
      </c>
      <c r="J40" s="610" t="s">
        <v>1477</v>
      </c>
      <c r="K40" s="611"/>
      <c r="P40" s="254" t="s">
        <v>1052</v>
      </c>
      <c r="Q40" s="255" t="s">
        <v>48</v>
      </c>
      <c r="R40" s="811" t="s">
        <v>120</v>
      </c>
      <c r="S40" s="812"/>
      <c r="T40" s="812"/>
      <c r="U40" s="812"/>
      <c r="V40" s="812"/>
      <c r="W40" s="812"/>
      <c r="X40" s="812"/>
      <c r="Y40" s="813"/>
      <c r="Z40" s="639">
        <v>4</v>
      </c>
    </row>
    <row r="41" spans="1:26" ht="17.25" thickBot="1">
      <c r="A41" s="627" t="s">
        <v>1478</v>
      </c>
      <c r="B41" s="625" t="s">
        <v>48</v>
      </c>
      <c r="C41" s="925" t="s">
        <v>120</v>
      </c>
      <c r="D41" s="926"/>
      <c r="E41" s="926"/>
      <c r="F41" s="926"/>
      <c r="G41" s="926"/>
      <c r="H41" s="926"/>
      <c r="I41" s="926"/>
      <c r="J41" s="927"/>
      <c r="K41" s="39">
        <v>4</v>
      </c>
      <c r="P41" s="265">
        <v>40</v>
      </c>
      <c r="Q41" s="260" t="s">
        <v>50</v>
      </c>
      <c r="R41" s="797" t="s">
        <v>58</v>
      </c>
      <c r="S41" s="798"/>
      <c r="T41" s="798"/>
      <c r="U41" s="798"/>
      <c r="V41" s="798"/>
      <c r="W41" s="798"/>
      <c r="X41" s="798"/>
      <c r="Y41" s="799"/>
      <c r="Z41" s="261">
        <v>1</v>
      </c>
    </row>
    <row r="42" spans="1:26" ht="17.25" thickBot="1">
      <c r="A42" s="623" t="s">
        <v>1479</v>
      </c>
      <c r="B42" s="603" t="s">
        <v>1467</v>
      </c>
      <c r="C42" s="1064" t="s">
        <v>1468</v>
      </c>
      <c r="D42" s="1064"/>
      <c r="E42" s="1064"/>
      <c r="F42" s="1064"/>
      <c r="G42" s="1064"/>
      <c r="H42" s="1064"/>
      <c r="I42" s="1064"/>
      <c r="J42" s="1065"/>
      <c r="K42" s="623">
        <v>1</v>
      </c>
    </row>
    <row r="43" spans="1:26" ht="17.25" thickBot="1">
      <c r="A43" s="596"/>
      <c r="B43" s="579"/>
      <c r="C43" s="579"/>
      <c r="D43" s="596"/>
      <c r="E43" s="596"/>
      <c r="F43" s="579"/>
      <c r="G43" s="579"/>
      <c r="H43" s="596"/>
      <c r="I43" s="596"/>
      <c r="J43" s="579"/>
      <c r="K43" s="579"/>
      <c r="P43" s="519" t="s">
        <v>1212</v>
      </c>
      <c r="Q43" s="888" t="s">
        <v>1362</v>
      </c>
      <c r="R43" s="889"/>
      <c r="S43" s="889"/>
      <c r="T43" s="889"/>
      <c r="U43" s="889"/>
      <c r="V43" s="889"/>
      <c r="W43" s="889"/>
      <c r="X43" s="889"/>
      <c r="Y43" s="889"/>
      <c r="Z43" s="890"/>
    </row>
    <row r="44" spans="1:26">
      <c r="A44" s="1055" t="s">
        <v>1480</v>
      </c>
      <c r="B44" s="1056"/>
      <c r="C44" s="1056"/>
      <c r="D44" s="1056"/>
      <c r="E44" s="1056"/>
      <c r="F44" s="1056"/>
      <c r="G44" s="1056"/>
      <c r="H44" s="1056"/>
      <c r="I44" s="1056"/>
      <c r="J44" s="1056"/>
      <c r="K44" s="1057"/>
    </row>
    <row r="45" spans="1:26" ht="17.25" thickBot="1">
      <c r="A45" s="597" t="s">
        <v>1430</v>
      </c>
      <c r="B45" s="598" t="s">
        <v>1431</v>
      </c>
      <c r="C45" s="598" t="s">
        <v>1432</v>
      </c>
      <c r="D45" s="598" t="s">
        <v>1433</v>
      </c>
      <c r="E45" s="598" t="s">
        <v>1434</v>
      </c>
      <c r="F45" s="598" t="s">
        <v>1435</v>
      </c>
      <c r="G45" s="598" t="s">
        <v>1436</v>
      </c>
      <c r="H45" s="598" t="s">
        <v>1437</v>
      </c>
      <c r="I45" s="598" t="s">
        <v>1438</v>
      </c>
      <c r="J45" s="598" t="s">
        <v>1439</v>
      </c>
      <c r="K45" s="599" t="s">
        <v>1440</v>
      </c>
      <c r="L45" s="491">
        <v>24</v>
      </c>
    </row>
    <row r="46" spans="1:26">
      <c r="A46" s="627">
        <v>0</v>
      </c>
      <c r="B46" s="604" t="s">
        <v>1441</v>
      </c>
      <c r="C46" s="1066" t="s">
        <v>1442</v>
      </c>
      <c r="D46" s="1067"/>
      <c r="E46" s="1067"/>
      <c r="F46" s="1067"/>
      <c r="G46" s="1067"/>
      <c r="H46" s="1067"/>
      <c r="I46" s="1067"/>
      <c r="J46" s="1068"/>
      <c r="K46" s="627">
        <v>1</v>
      </c>
      <c r="L46" s="491">
        <v>22</v>
      </c>
    </row>
    <row r="47" spans="1:26">
      <c r="A47" s="622" t="s">
        <v>1443</v>
      </c>
      <c r="B47" s="601" t="s">
        <v>1444</v>
      </c>
      <c r="C47" s="1072" t="s">
        <v>1445</v>
      </c>
      <c r="D47" s="1073"/>
      <c r="E47" s="1073"/>
      <c r="F47" s="1073"/>
      <c r="G47" s="1073"/>
      <c r="H47" s="1073"/>
      <c r="I47" s="1073"/>
      <c r="J47" s="1074"/>
      <c r="K47" s="622">
        <v>2</v>
      </c>
      <c r="L47" s="491">
        <v>0</v>
      </c>
      <c r="M47" s="491">
        <v>0</v>
      </c>
      <c r="O47" s="491">
        <v>24</v>
      </c>
      <c r="P47" s="491">
        <v>24</v>
      </c>
    </row>
    <row r="48" spans="1:26">
      <c r="A48" s="622" t="s">
        <v>1446</v>
      </c>
      <c r="B48" s="601" t="s">
        <v>1447</v>
      </c>
      <c r="C48" s="1072" t="s">
        <v>1448</v>
      </c>
      <c r="D48" s="1073"/>
      <c r="E48" s="1073"/>
      <c r="F48" s="1073"/>
      <c r="G48" s="1073"/>
      <c r="H48" s="1073"/>
      <c r="I48" s="1073"/>
      <c r="J48" s="1074"/>
      <c r="K48" s="622">
        <v>2</v>
      </c>
      <c r="L48" s="491">
        <v>11</v>
      </c>
      <c r="O48" s="491">
        <v>22</v>
      </c>
      <c r="P48" s="491">
        <v>22</v>
      </c>
    </row>
    <row r="49" spans="1:16">
      <c r="A49" s="622" t="s">
        <v>1449</v>
      </c>
      <c r="B49" s="601" t="s">
        <v>1450</v>
      </c>
      <c r="C49" s="1075" t="s">
        <v>1451</v>
      </c>
      <c r="D49" s="1075"/>
      <c r="E49" s="1075"/>
      <c r="F49" s="1075"/>
      <c r="G49" s="1075"/>
      <c r="H49" s="1075"/>
      <c r="I49" s="1075"/>
      <c r="J49" s="1076"/>
      <c r="K49" s="602">
        <v>2</v>
      </c>
      <c r="L49" s="491">
        <v>0</v>
      </c>
      <c r="O49" s="491" t="s">
        <v>1638</v>
      </c>
      <c r="P49" s="491" t="s">
        <v>1638</v>
      </c>
    </row>
    <row r="50" spans="1:16">
      <c r="A50" s="622" t="s">
        <v>1452</v>
      </c>
      <c r="B50" s="601" t="s">
        <v>1453</v>
      </c>
      <c r="C50" s="1077" t="s">
        <v>1454</v>
      </c>
      <c r="D50" s="1078"/>
      <c r="E50" s="1078"/>
      <c r="F50" s="1078"/>
      <c r="G50" s="1078"/>
      <c r="H50" s="1078"/>
      <c r="I50" s="1078"/>
      <c r="J50" s="1079"/>
      <c r="K50" s="622">
        <v>2</v>
      </c>
      <c r="L50" s="491" t="s">
        <v>1353</v>
      </c>
      <c r="M50" s="491">
        <v>138</v>
      </c>
      <c r="O50" s="491">
        <v>11</v>
      </c>
      <c r="P50" s="491">
        <v>11</v>
      </c>
    </row>
    <row r="51" spans="1:16">
      <c r="A51" s="622" t="s">
        <v>1455</v>
      </c>
      <c r="B51" s="1080" t="s">
        <v>1456</v>
      </c>
      <c r="C51" s="1075" t="s">
        <v>1457</v>
      </c>
      <c r="D51" s="1075"/>
      <c r="E51" s="1075"/>
      <c r="F51" s="1075"/>
      <c r="G51" s="1075"/>
      <c r="H51" s="1075"/>
      <c r="I51" s="1075"/>
      <c r="J51" s="1076"/>
      <c r="K51" s="602">
        <v>2</v>
      </c>
      <c r="L51" s="491">
        <v>9</v>
      </c>
      <c r="O51" s="491">
        <v>0</v>
      </c>
      <c r="P51" s="491">
        <v>0</v>
      </c>
    </row>
    <row r="52" spans="1:16" ht="17.25" thickBot="1">
      <c r="A52" s="622" t="s">
        <v>1458</v>
      </c>
      <c r="B52" s="991"/>
      <c r="C52" s="1072" t="s">
        <v>1459</v>
      </c>
      <c r="D52" s="1073"/>
      <c r="E52" s="1073"/>
      <c r="F52" s="1073"/>
      <c r="G52" s="1073"/>
      <c r="H52" s="1073"/>
      <c r="I52" s="1073"/>
      <c r="J52" s="1074"/>
      <c r="K52" s="622">
        <v>2</v>
      </c>
      <c r="L52" s="491" t="s">
        <v>1349</v>
      </c>
      <c r="O52" s="491" t="s">
        <v>1634</v>
      </c>
      <c r="P52" s="491" t="s">
        <v>1634</v>
      </c>
    </row>
    <row r="53" spans="1:16" ht="17.25" thickBot="1">
      <c r="A53" s="612" t="s">
        <v>1481</v>
      </c>
      <c r="B53" s="613" t="s">
        <v>1453</v>
      </c>
      <c r="C53" s="1095" t="s">
        <v>1482</v>
      </c>
      <c r="D53" s="1096"/>
      <c r="E53" s="1096"/>
      <c r="F53" s="1096"/>
      <c r="G53" s="1096"/>
      <c r="H53" s="1096"/>
      <c r="I53" s="1096"/>
      <c r="J53" s="1097"/>
      <c r="K53" s="613">
        <v>2</v>
      </c>
      <c r="L53" s="491" t="s">
        <v>1350</v>
      </c>
      <c r="O53" s="491">
        <v>9</v>
      </c>
      <c r="P53" s="491">
        <v>9</v>
      </c>
    </row>
    <row r="54" spans="1:16">
      <c r="A54" s="612" t="s">
        <v>1483</v>
      </c>
      <c r="B54" s="1098" t="s">
        <v>1484</v>
      </c>
      <c r="C54" s="1099" t="s">
        <v>1485</v>
      </c>
      <c r="D54" s="1100"/>
      <c r="E54" s="1100"/>
      <c r="F54" s="1100"/>
      <c r="G54" s="1100"/>
      <c r="H54" s="1100"/>
      <c r="I54" s="1100"/>
      <c r="J54" s="1101"/>
      <c r="K54" s="622">
        <v>2</v>
      </c>
      <c r="L54" s="491" t="s">
        <v>1346</v>
      </c>
      <c r="M54" s="491">
        <f>HEX2DEC(L54)</f>
        <v>29</v>
      </c>
      <c r="O54" s="491" t="s">
        <v>1635</v>
      </c>
      <c r="P54" s="491" t="s">
        <v>1635</v>
      </c>
    </row>
    <row r="55" spans="1:16">
      <c r="A55" s="612" t="s">
        <v>1486</v>
      </c>
      <c r="B55" s="990"/>
      <c r="C55" s="1102" t="s">
        <v>1487</v>
      </c>
      <c r="D55" s="1103"/>
      <c r="E55" s="1103"/>
      <c r="F55" s="1103"/>
      <c r="G55" s="1103"/>
      <c r="H55" s="1103"/>
      <c r="I55" s="1103"/>
      <c r="J55" s="1104"/>
      <c r="K55" s="614">
        <v>2</v>
      </c>
      <c r="L55" s="491">
        <v>10</v>
      </c>
      <c r="M55" s="491">
        <f t="shared" ref="M55:M57" si="0">HEX2DEC(L55)</f>
        <v>16</v>
      </c>
      <c r="O55" s="491" t="s">
        <v>1636</v>
      </c>
      <c r="P55" s="491" t="s">
        <v>1636</v>
      </c>
    </row>
    <row r="56" spans="1:16">
      <c r="A56" s="612" t="s">
        <v>1488</v>
      </c>
      <c r="B56" s="990"/>
      <c r="C56" s="1102" t="s">
        <v>1489</v>
      </c>
      <c r="D56" s="1103"/>
      <c r="E56" s="1103"/>
      <c r="F56" s="1103"/>
      <c r="G56" s="1103"/>
      <c r="H56" s="1103"/>
      <c r="I56" s="1103"/>
      <c r="J56" s="1104"/>
      <c r="K56" s="614">
        <v>2</v>
      </c>
      <c r="L56" s="491">
        <v>21</v>
      </c>
      <c r="M56" s="491">
        <f t="shared" si="0"/>
        <v>33</v>
      </c>
      <c r="O56" s="491" t="s">
        <v>1637</v>
      </c>
      <c r="P56" s="491" t="s">
        <v>1637</v>
      </c>
    </row>
    <row r="57" spans="1:16">
      <c r="A57" s="612" t="s">
        <v>1490</v>
      </c>
      <c r="B57" s="990"/>
      <c r="C57" s="1102" t="s">
        <v>1491</v>
      </c>
      <c r="D57" s="1103"/>
      <c r="E57" s="1103"/>
      <c r="F57" s="1103"/>
      <c r="G57" s="1103"/>
      <c r="H57" s="1103"/>
      <c r="I57" s="1103"/>
      <c r="J57" s="1104"/>
      <c r="K57" s="615">
        <v>2</v>
      </c>
      <c r="L57" s="491" t="s">
        <v>1348</v>
      </c>
      <c r="M57" s="491">
        <f t="shared" si="0"/>
        <v>13</v>
      </c>
      <c r="O57" s="491">
        <v>10</v>
      </c>
      <c r="P57" s="491">
        <v>13</v>
      </c>
    </row>
    <row r="58" spans="1:16">
      <c r="A58" s="612" t="s">
        <v>1492</v>
      </c>
      <c r="B58" s="990"/>
      <c r="C58" s="1102" t="s">
        <v>1493</v>
      </c>
      <c r="D58" s="1103"/>
      <c r="E58" s="1103"/>
      <c r="F58" s="1103"/>
      <c r="G58" s="1103"/>
      <c r="H58" s="1103"/>
      <c r="I58" s="1103"/>
      <c r="J58" s="1104"/>
      <c r="K58" s="622">
        <v>2</v>
      </c>
      <c r="L58" s="491">
        <v>0</v>
      </c>
      <c r="O58" s="491">
        <v>2</v>
      </c>
      <c r="P58" s="491">
        <v>32</v>
      </c>
    </row>
    <row r="59" spans="1:16" ht="17.25" thickBot="1">
      <c r="A59" s="612" t="s">
        <v>1494</v>
      </c>
      <c r="B59" s="991"/>
      <c r="C59" s="1105" t="s">
        <v>1495</v>
      </c>
      <c r="D59" s="1106"/>
      <c r="E59" s="1106"/>
      <c r="F59" s="1106"/>
      <c r="G59" s="1106"/>
      <c r="H59" s="1106"/>
      <c r="I59" s="1106"/>
      <c r="J59" s="1107"/>
      <c r="K59" s="632">
        <v>2</v>
      </c>
      <c r="L59" s="491">
        <v>1</v>
      </c>
      <c r="O59" s="491">
        <v>1</v>
      </c>
      <c r="P59" s="491" t="s">
        <v>1651</v>
      </c>
    </row>
    <row r="60" spans="1:16" ht="17.25" thickBot="1">
      <c r="A60" s="612" t="s">
        <v>1496</v>
      </c>
      <c r="B60" s="627" t="s">
        <v>1497</v>
      </c>
      <c r="C60" s="1116" t="s">
        <v>1498</v>
      </c>
      <c r="D60" s="1117"/>
      <c r="E60" s="1117"/>
      <c r="F60" s="1117"/>
      <c r="G60" s="1117"/>
      <c r="H60" s="1117"/>
      <c r="I60" s="1117"/>
      <c r="J60" s="1118"/>
      <c r="K60" s="623">
        <v>2</v>
      </c>
      <c r="L60" s="491">
        <v>0</v>
      </c>
      <c r="O60" s="491">
        <v>0</v>
      </c>
      <c r="P60" s="491">
        <v>0</v>
      </c>
    </row>
    <row r="61" spans="1:16" ht="17.25" thickBot="1">
      <c r="A61" s="612" t="s">
        <v>1499</v>
      </c>
      <c r="B61" s="627" t="s">
        <v>1500</v>
      </c>
      <c r="C61" s="1119" t="s">
        <v>1501</v>
      </c>
      <c r="D61" s="1120"/>
      <c r="E61" s="1120"/>
      <c r="F61" s="1120"/>
      <c r="G61" s="1120"/>
      <c r="H61" s="1120"/>
      <c r="I61" s="1120"/>
      <c r="J61" s="1121"/>
      <c r="K61" s="623">
        <v>2</v>
      </c>
      <c r="L61" s="491">
        <v>0</v>
      </c>
      <c r="O61" s="491">
        <v>1</v>
      </c>
      <c r="P61" s="491">
        <v>1</v>
      </c>
    </row>
    <row r="62" spans="1:16">
      <c r="A62" s="612" t="s">
        <v>1502</v>
      </c>
      <c r="B62" s="1122" t="s">
        <v>1503</v>
      </c>
      <c r="C62" s="1123" t="s">
        <v>1504</v>
      </c>
      <c r="D62" s="1124"/>
      <c r="E62" s="1124"/>
      <c r="F62" s="1124"/>
      <c r="G62" s="1124"/>
      <c r="H62" s="1124"/>
      <c r="I62" s="1124"/>
      <c r="J62" s="1125"/>
      <c r="K62" s="1122" t="s">
        <v>1505</v>
      </c>
      <c r="L62" s="491">
        <v>0</v>
      </c>
      <c r="O62" s="491" t="s">
        <v>1639</v>
      </c>
      <c r="P62" s="491" t="s">
        <v>1639</v>
      </c>
    </row>
    <row r="63" spans="1:16">
      <c r="A63" s="612" t="s">
        <v>1506</v>
      </c>
      <c r="B63" s="1098"/>
      <c r="C63" s="1126"/>
      <c r="D63" s="1127"/>
      <c r="E63" s="1127"/>
      <c r="F63" s="1127"/>
      <c r="G63" s="1127"/>
      <c r="H63" s="1127"/>
      <c r="I63" s="1127"/>
      <c r="J63" s="1128"/>
      <c r="K63" s="990"/>
      <c r="L63" s="491">
        <v>0</v>
      </c>
    </row>
    <row r="64" spans="1:16">
      <c r="A64" s="612" t="s">
        <v>1507</v>
      </c>
      <c r="B64" s="1098"/>
      <c r="C64" s="1126"/>
      <c r="D64" s="1127"/>
      <c r="E64" s="1127"/>
      <c r="F64" s="1127"/>
      <c r="G64" s="1127"/>
      <c r="H64" s="1127"/>
      <c r="I64" s="1127"/>
      <c r="J64" s="1128"/>
      <c r="K64" s="990"/>
      <c r="L64" s="491" t="s">
        <v>1615</v>
      </c>
      <c r="M64" s="491" t="s">
        <v>1616</v>
      </c>
    </row>
    <row r="65" spans="1:16" ht="17.25" thickBot="1">
      <c r="A65" s="612" t="s">
        <v>1508</v>
      </c>
      <c r="B65" s="1098"/>
      <c r="C65" s="1126"/>
      <c r="D65" s="1127"/>
      <c r="E65" s="1127"/>
      <c r="F65" s="1127"/>
      <c r="G65" s="1127"/>
      <c r="H65" s="1127"/>
      <c r="I65" s="1127"/>
      <c r="J65" s="1128"/>
      <c r="K65" s="990"/>
      <c r="L65" s="491">
        <v>0</v>
      </c>
      <c r="M65" s="491">
        <v>0</v>
      </c>
      <c r="N65" s="491">
        <v>0</v>
      </c>
    </row>
    <row r="66" spans="1:16">
      <c r="A66" s="616" t="s">
        <v>1509</v>
      </c>
      <c r="B66" s="1111" t="s">
        <v>1591</v>
      </c>
      <c r="C66" s="1113" t="s">
        <v>1510</v>
      </c>
      <c r="D66" s="1114"/>
      <c r="E66" s="1114"/>
      <c r="F66" s="1114"/>
      <c r="G66" s="1114"/>
      <c r="H66" s="1114"/>
      <c r="I66" s="1114"/>
      <c r="J66" s="1115"/>
      <c r="K66" s="616">
        <v>4</v>
      </c>
      <c r="L66" s="491">
        <v>0</v>
      </c>
      <c r="M66" s="491">
        <v>30</v>
      </c>
      <c r="O66" s="491" t="s">
        <v>1640</v>
      </c>
      <c r="P66" s="491" t="s">
        <v>1640</v>
      </c>
    </row>
    <row r="67" spans="1:16" ht="17.25" thickBot="1">
      <c r="A67" s="617" t="s">
        <v>1511</v>
      </c>
      <c r="B67" s="1112"/>
      <c r="C67" s="1108" t="s">
        <v>1512</v>
      </c>
      <c r="D67" s="1109"/>
      <c r="E67" s="1109"/>
      <c r="F67" s="1109"/>
      <c r="G67" s="1109"/>
      <c r="H67" s="1109"/>
      <c r="I67" s="1109"/>
      <c r="J67" s="1110"/>
      <c r="K67" s="617">
        <v>6</v>
      </c>
      <c r="L67" s="491">
        <v>0</v>
      </c>
      <c r="M67" s="491" t="s">
        <v>1617</v>
      </c>
      <c r="N67" s="491">
        <v>0</v>
      </c>
      <c r="O67" s="491" t="s">
        <v>1641</v>
      </c>
      <c r="P67" s="491" t="s">
        <v>1652</v>
      </c>
    </row>
    <row r="68" spans="1:16">
      <c r="A68" s="616" t="s">
        <v>1513</v>
      </c>
      <c r="B68" s="1111" t="s">
        <v>1594</v>
      </c>
      <c r="C68" s="1113" t="s">
        <v>1595</v>
      </c>
      <c r="D68" s="1114"/>
      <c r="E68" s="1114"/>
      <c r="F68" s="1114"/>
      <c r="G68" s="1114"/>
      <c r="H68" s="1114"/>
      <c r="I68" s="1114"/>
      <c r="J68" s="1115"/>
      <c r="K68" s="616">
        <v>4</v>
      </c>
      <c r="L68" s="491" t="s">
        <v>1618</v>
      </c>
      <c r="M68" s="491" t="s">
        <v>1619</v>
      </c>
      <c r="O68" s="491" t="s">
        <v>1642</v>
      </c>
      <c r="P68" s="491" t="s">
        <v>1642</v>
      </c>
    </row>
    <row r="69" spans="1:16" ht="17.25" thickBot="1">
      <c r="A69" s="617" t="s">
        <v>1514</v>
      </c>
      <c r="B69" s="1112"/>
      <c r="C69" s="1108" t="s">
        <v>1512</v>
      </c>
      <c r="D69" s="1109"/>
      <c r="E69" s="1109"/>
      <c r="F69" s="1109"/>
      <c r="G69" s="1109"/>
      <c r="H69" s="1109"/>
      <c r="I69" s="1109"/>
      <c r="J69" s="1110"/>
      <c r="K69" s="617">
        <v>6</v>
      </c>
      <c r="L69" s="491" t="s">
        <v>1620</v>
      </c>
      <c r="M69" s="491" t="s">
        <v>1621</v>
      </c>
      <c r="N69" s="491">
        <v>1</v>
      </c>
      <c r="O69" s="491" t="s">
        <v>1641</v>
      </c>
      <c r="P69" s="491" t="s">
        <v>1653</v>
      </c>
    </row>
    <row r="70" spans="1:16">
      <c r="A70" s="616" t="s">
        <v>1515</v>
      </c>
      <c r="B70" s="1111" t="s">
        <v>1596</v>
      </c>
      <c r="C70" s="1113" t="s">
        <v>1595</v>
      </c>
      <c r="D70" s="1114"/>
      <c r="E70" s="1114"/>
      <c r="F70" s="1114"/>
      <c r="G70" s="1114"/>
      <c r="H70" s="1114"/>
      <c r="I70" s="1114"/>
      <c r="J70" s="1115"/>
      <c r="K70" s="616">
        <v>4</v>
      </c>
      <c r="L70" s="491">
        <v>78</v>
      </c>
      <c r="M70" s="491">
        <v>47</v>
      </c>
      <c r="O70" s="491" t="s">
        <v>1640</v>
      </c>
      <c r="P70" s="491" t="s">
        <v>1640</v>
      </c>
    </row>
    <row r="71" spans="1:16" ht="17.25" thickBot="1">
      <c r="A71" s="617" t="s">
        <v>1516</v>
      </c>
      <c r="B71" s="1112"/>
      <c r="C71" s="1108" t="s">
        <v>1512</v>
      </c>
      <c r="D71" s="1109"/>
      <c r="E71" s="1109"/>
      <c r="F71" s="1109"/>
      <c r="G71" s="1109"/>
      <c r="H71" s="1109"/>
      <c r="I71" s="1109"/>
      <c r="J71" s="1110"/>
      <c r="K71" s="617">
        <v>6</v>
      </c>
      <c r="L71" s="491">
        <v>0</v>
      </c>
      <c r="M71" s="491" t="s">
        <v>1352</v>
      </c>
      <c r="N71" s="491" t="s">
        <v>1352</v>
      </c>
      <c r="O71" s="491" t="s">
        <v>1641</v>
      </c>
      <c r="P71" s="491" t="s">
        <v>1654</v>
      </c>
    </row>
    <row r="72" spans="1:16">
      <c r="A72" s="616" t="s">
        <v>1517</v>
      </c>
      <c r="B72" s="1111" t="s">
        <v>1597</v>
      </c>
      <c r="C72" s="1113" t="s">
        <v>1595</v>
      </c>
      <c r="D72" s="1114"/>
      <c r="E72" s="1114"/>
      <c r="F72" s="1114"/>
      <c r="G72" s="1114"/>
      <c r="H72" s="1114"/>
      <c r="I72" s="1114"/>
      <c r="J72" s="1115"/>
      <c r="K72" s="616">
        <v>4</v>
      </c>
      <c r="L72" s="491">
        <v>2</v>
      </c>
      <c r="M72" s="491">
        <v>0</v>
      </c>
      <c r="O72" s="491" t="s">
        <v>1640</v>
      </c>
      <c r="P72" s="491" t="s">
        <v>1640</v>
      </c>
    </row>
    <row r="73" spans="1:16" ht="17.25" thickBot="1">
      <c r="A73" s="617" t="s">
        <v>1518</v>
      </c>
      <c r="B73" s="1112"/>
      <c r="C73" s="1129" t="s">
        <v>1512</v>
      </c>
      <c r="D73" s="1130"/>
      <c r="E73" s="1130"/>
      <c r="F73" s="1130"/>
      <c r="G73" s="1130"/>
      <c r="H73" s="1130"/>
      <c r="I73" s="1130"/>
      <c r="J73" s="1131"/>
      <c r="K73" s="617">
        <v>6</v>
      </c>
      <c r="L73" s="491">
        <v>0</v>
      </c>
      <c r="M73" s="491">
        <v>0</v>
      </c>
      <c r="N73" s="491">
        <v>0</v>
      </c>
      <c r="O73" s="491" t="s">
        <v>1641</v>
      </c>
      <c r="P73" s="491" t="s">
        <v>1655</v>
      </c>
    </row>
    <row r="74" spans="1:16">
      <c r="A74" s="616" t="s">
        <v>1519</v>
      </c>
      <c r="B74" s="1111" t="s">
        <v>1598</v>
      </c>
      <c r="C74" s="1113" t="s">
        <v>1595</v>
      </c>
      <c r="D74" s="1114"/>
      <c r="E74" s="1114"/>
      <c r="F74" s="1114"/>
      <c r="G74" s="1114"/>
      <c r="H74" s="1114"/>
      <c r="I74" s="1114"/>
      <c r="J74" s="1115"/>
      <c r="K74" s="616">
        <v>4</v>
      </c>
      <c r="L74" s="491">
        <v>0</v>
      </c>
      <c r="M74" s="491">
        <v>0</v>
      </c>
      <c r="O74" s="491" t="s">
        <v>1640</v>
      </c>
      <c r="P74" s="491" t="s">
        <v>1640</v>
      </c>
    </row>
    <row r="75" spans="1:16" ht="17.25" thickBot="1">
      <c r="A75" s="617" t="s">
        <v>1520</v>
      </c>
      <c r="B75" s="1112"/>
      <c r="C75" s="1108" t="s">
        <v>1512</v>
      </c>
      <c r="D75" s="1109"/>
      <c r="E75" s="1109"/>
      <c r="F75" s="1109"/>
      <c r="G75" s="1109"/>
      <c r="H75" s="1109"/>
      <c r="I75" s="1109"/>
      <c r="J75" s="1110"/>
      <c r="K75" s="617">
        <v>6</v>
      </c>
      <c r="L75" s="491">
        <v>0</v>
      </c>
      <c r="M75" s="491">
        <v>0</v>
      </c>
      <c r="N75" s="491">
        <v>0</v>
      </c>
      <c r="O75" s="491" t="s">
        <v>1641</v>
      </c>
      <c r="P75" s="491" t="s">
        <v>1656</v>
      </c>
    </row>
    <row r="76" spans="1:16">
      <c r="A76" s="616" t="s">
        <v>1521</v>
      </c>
      <c r="B76" s="1111" t="s">
        <v>1599</v>
      </c>
      <c r="C76" s="1113" t="s">
        <v>1595</v>
      </c>
      <c r="D76" s="1114"/>
      <c r="E76" s="1114"/>
      <c r="F76" s="1114"/>
      <c r="G76" s="1114"/>
      <c r="H76" s="1114"/>
      <c r="I76" s="1114"/>
      <c r="J76" s="1115"/>
      <c r="K76" s="616">
        <v>4</v>
      </c>
      <c r="L76" s="491">
        <v>0</v>
      </c>
      <c r="M76" s="491" t="s">
        <v>231</v>
      </c>
      <c r="O76" s="491" t="s">
        <v>1643</v>
      </c>
      <c r="P76" s="491" t="s">
        <v>1643</v>
      </c>
    </row>
    <row r="77" spans="1:16" ht="17.25" thickBot="1">
      <c r="A77" s="617" t="s">
        <v>1522</v>
      </c>
      <c r="B77" s="1112"/>
      <c r="C77" s="1108" t="s">
        <v>1512</v>
      </c>
      <c r="D77" s="1109"/>
      <c r="E77" s="1109"/>
      <c r="F77" s="1109"/>
      <c r="G77" s="1109"/>
      <c r="H77" s="1109"/>
      <c r="I77" s="1109"/>
      <c r="J77" s="1110"/>
      <c r="K77" s="617">
        <v>6</v>
      </c>
      <c r="L77" s="491" t="s">
        <v>1622</v>
      </c>
      <c r="M77" s="491">
        <v>42</v>
      </c>
      <c r="N77" s="491">
        <v>0</v>
      </c>
      <c r="O77" s="491" t="s">
        <v>1641</v>
      </c>
      <c r="P77" s="491" t="s">
        <v>1657</v>
      </c>
    </row>
    <row r="78" spans="1:16">
      <c r="A78" s="616" t="s">
        <v>1523</v>
      </c>
      <c r="B78" s="1111" t="s">
        <v>1600</v>
      </c>
      <c r="C78" s="1113" t="s">
        <v>1595</v>
      </c>
      <c r="D78" s="1114"/>
      <c r="E78" s="1114"/>
      <c r="F78" s="1114"/>
      <c r="G78" s="1114"/>
      <c r="H78" s="1114"/>
      <c r="I78" s="1114"/>
      <c r="J78" s="1115"/>
      <c r="K78" s="616">
        <v>4</v>
      </c>
      <c r="L78" s="491">
        <v>0</v>
      </c>
      <c r="M78" s="491">
        <v>0</v>
      </c>
      <c r="O78" s="491" t="s">
        <v>1640</v>
      </c>
      <c r="P78" s="491" t="s">
        <v>1640</v>
      </c>
    </row>
    <row r="79" spans="1:16" ht="17.25" thickBot="1">
      <c r="A79" s="617" t="s">
        <v>1524</v>
      </c>
      <c r="B79" s="1112"/>
      <c r="C79" s="1108" t="s">
        <v>1512</v>
      </c>
      <c r="D79" s="1109"/>
      <c r="E79" s="1109"/>
      <c r="F79" s="1109"/>
      <c r="G79" s="1109"/>
      <c r="H79" s="1109"/>
      <c r="I79" s="1109"/>
      <c r="J79" s="1110"/>
      <c r="K79" s="617">
        <v>6</v>
      </c>
      <c r="L79" s="491" t="s">
        <v>1623</v>
      </c>
      <c r="M79" s="491">
        <v>2</v>
      </c>
      <c r="N79" s="491">
        <v>2</v>
      </c>
      <c r="O79" s="491" t="s">
        <v>1641</v>
      </c>
      <c r="P79" s="491" t="s">
        <v>1658</v>
      </c>
    </row>
    <row r="80" spans="1:16">
      <c r="A80" s="616" t="s">
        <v>1525</v>
      </c>
      <c r="B80" s="1111" t="s">
        <v>1601</v>
      </c>
      <c r="C80" s="1113" t="s">
        <v>1595</v>
      </c>
      <c r="D80" s="1114"/>
      <c r="E80" s="1114"/>
      <c r="F80" s="1114"/>
      <c r="G80" s="1114"/>
      <c r="H80" s="1114"/>
      <c r="I80" s="1114"/>
      <c r="J80" s="1115"/>
      <c r="K80" s="616">
        <v>4</v>
      </c>
      <c r="L80" s="491">
        <v>0</v>
      </c>
      <c r="M80" s="491" t="s">
        <v>1624</v>
      </c>
      <c r="O80" s="491" t="s">
        <v>1640</v>
      </c>
      <c r="P80" s="491" t="s">
        <v>1640</v>
      </c>
    </row>
    <row r="81" spans="1:16" ht="17.25" thickBot="1">
      <c r="A81" s="617" t="s">
        <v>1526</v>
      </c>
      <c r="B81" s="1112"/>
      <c r="C81" s="1108" t="s">
        <v>1512</v>
      </c>
      <c r="D81" s="1109"/>
      <c r="E81" s="1109"/>
      <c r="F81" s="1109"/>
      <c r="G81" s="1109"/>
      <c r="H81" s="1109"/>
      <c r="I81" s="1109"/>
      <c r="J81" s="1110"/>
      <c r="K81" s="617">
        <v>6</v>
      </c>
      <c r="L81" s="491">
        <v>8</v>
      </c>
      <c r="M81" s="491">
        <v>0</v>
      </c>
      <c r="N81" s="491">
        <v>0</v>
      </c>
      <c r="O81" s="491" t="s">
        <v>1641</v>
      </c>
      <c r="P81" s="491" t="s">
        <v>1659</v>
      </c>
    </row>
    <row r="82" spans="1:16">
      <c r="A82" s="616" t="s">
        <v>1527</v>
      </c>
      <c r="B82" s="1111" t="s">
        <v>1602</v>
      </c>
      <c r="C82" s="1113" t="s">
        <v>1595</v>
      </c>
      <c r="D82" s="1114"/>
      <c r="E82" s="1114"/>
      <c r="F82" s="1114"/>
      <c r="G82" s="1114"/>
      <c r="H82" s="1114"/>
      <c r="I82" s="1114"/>
      <c r="J82" s="1115"/>
      <c r="K82" s="616">
        <v>4</v>
      </c>
      <c r="L82" s="491" t="s">
        <v>1625</v>
      </c>
      <c r="M82" s="491">
        <v>0</v>
      </c>
      <c r="O82" s="491" t="s">
        <v>1640</v>
      </c>
      <c r="P82" s="491" t="s">
        <v>1640</v>
      </c>
    </row>
    <row r="83" spans="1:16" ht="17.25" thickBot="1">
      <c r="A83" s="617" t="s">
        <v>1528</v>
      </c>
      <c r="B83" s="1112"/>
      <c r="C83" s="1108" t="s">
        <v>1512</v>
      </c>
      <c r="D83" s="1109"/>
      <c r="E83" s="1109"/>
      <c r="F83" s="1109"/>
      <c r="G83" s="1109"/>
      <c r="H83" s="1109"/>
      <c r="I83" s="1109"/>
      <c r="J83" s="1110"/>
      <c r="K83" s="617">
        <v>6</v>
      </c>
      <c r="L83" s="491">
        <v>0</v>
      </c>
      <c r="M83" s="491">
        <v>0</v>
      </c>
      <c r="N83" s="491">
        <v>1</v>
      </c>
      <c r="O83" s="491" t="s">
        <v>1641</v>
      </c>
      <c r="P83" s="491" t="s">
        <v>1659</v>
      </c>
    </row>
    <row r="84" spans="1:16">
      <c r="A84" s="616" t="s">
        <v>1529</v>
      </c>
      <c r="B84" s="1111" t="s">
        <v>1592</v>
      </c>
      <c r="C84" s="1113" t="s">
        <v>1510</v>
      </c>
      <c r="D84" s="1114"/>
      <c r="E84" s="1114"/>
      <c r="F84" s="1114"/>
      <c r="G84" s="1114"/>
      <c r="H84" s="1114"/>
      <c r="I84" s="1114"/>
      <c r="J84" s="1115"/>
      <c r="K84" s="616">
        <v>4</v>
      </c>
      <c r="L84" s="491">
        <v>0</v>
      </c>
      <c r="M84" s="491">
        <v>0</v>
      </c>
      <c r="O84" s="491" t="s">
        <v>1640</v>
      </c>
      <c r="P84" s="491" t="s">
        <v>1640</v>
      </c>
    </row>
    <row r="85" spans="1:16" ht="17.25" thickBot="1">
      <c r="A85" s="617" t="s">
        <v>1530</v>
      </c>
      <c r="B85" s="1112"/>
      <c r="C85" s="1108" t="s">
        <v>1512</v>
      </c>
      <c r="D85" s="1109"/>
      <c r="E85" s="1109"/>
      <c r="F85" s="1109"/>
      <c r="G85" s="1109"/>
      <c r="H85" s="1109"/>
      <c r="I85" s="1109"/>
      <c r="J85" s="1110"/>
      <c r="K85" s="617">
        <v>6</v>
      </c>
      <c r="L85" s="491">
        <v>0</v>
      </c>
      <c r="M85" s="491">
        <v>0</v>
      </c>
      <c r="N85" s="491">
        <v>0</v>
      </c>
      <c r="O85" s="491" t="s">
        <v>1641</v>
      </c>
      <c r="P85" s="491" t="s">
        <v>1659</v>
      </c>
    </row>
    <row r="86" spans="1:16">
      <c r="A86" s="616" t="s">
        <v>1531</v>
      </c>
      <c r="B86" s="1111" t="s">
        <v>1593</v>
      </c>
      <c r="C86" s="1113" t="s">
        <v>1510</v>
      </c>
      <c r="D86" s="1114"/>
      <c r="E86" s="1114"/>
      <c r="F86" s="1114"/>
      <c r="G86" s="1114"/>
      <c r="H86" s="1114"/>
      <c r="I86" s="1114"/>
      <c r="J86" s="1115"/>
      <c r="K86" s="616">
        <v>4</v>
      </c>
      <c r="L86" s="491">
        <v>0</v>
      </c>
      <c r="M86" s="491">
        <v>0</v>
      </c>
      <c r="O86" s="491" t="s">
        <v>1640</v>
      </c>
      <c r="P86" s="491" t="s">
        <v>1640</v>
      </c>
    </row>
    <row r="87" spans="1:16" ht="17.25" thickBot="1">
      <c r="A87" s="617" t="s">
        <v>1532</v>
      </c>
      <c r="B87" s="1112"/>
      <c r="C87" s="1108" t="s">
        <v>1512</v>
      </c>
      <c r="D87" s="1109"/>
      <c r="E87" s="1109"/>
      <c r="F87" s="1109"/>
      <c r="G87" s="1109"/>
      <c r="H87" s="1109"/>
      <c r="I87" s="1109"/>
      <c r="J87" s="1110"/>
      <c r="K87" s="617">
        <v>6</v>
      </c>
      <c r="L87" s="491">
        <v>0</v>
      </c>
      <c r="M87" s="491">
        <v>0</v>
      </c>
      <c r="N87" s="491" t="s">
        <v>230</v>
      </c>
      <c r="O87" s="491" t="s">
        <v>1641</v>
      </c>
      <c r="P87" s="491" t="s">
        <v>1659</v>
      </c>
    </row>
    <row r="88" spans="1:16">
      <c r="A88" s="616" t="s">
        <v>1533</v>
      </c>
      <c r="B88" s="1111" t="s">
        <v>1550</v>
      </c>
      <c r="C88" s="1113" t="s">
        <v>1510</v>
      </c>
      <c r="D88" s="1114"/>
      <c r="E88" s="1114"/>
      <c r="F88" s="1114"/>
      <c r="G88" s="1114"/>
      <c r="H88" s="1114"/>
      <c r="I88" s="1114"/>
      <c r="J88" s="1115"/>
      <c r="K88" s="616">
        <v>4</v>
      </c>
      <c r="L88" s="491">
        <v>5</v>
      </c>
      <c r="M88" s="491">
        <v>0</v>
      </c>
      <c r="O88" s="491" t="s">
        <v>1640</v>
      </c>
      <c r="P88" s="491" t="s">
        <v>1640</v>
      </c>
    </row>
    <row r="89" spans="1:16" ht="17.25" thickBot="1">
      <c r="A89" s="617" t="s">
        <v>1534</v>
      </c>
      <c r="B89" s="1112"/>
      <c r="C89" s="1108" t="s">
        <v>1512</v>
      </c>
      <c r="D89" s="1109"/>
      <c r="E89" s="1109"/>
      <c r="F89" s="1109"/>
      <c r="G89" s="1109"/>
      <c r="H89" s="1109"/>
      <c r="I89" s="1109"/>
      <c r="J89" s="1110"/>
      <c r="K89" s="617">
        <v>6</v>
      </c>
      <c r="L89" s="491">
        <v>0</v>
      </c>
      <c r="M89" s="491">
        <v>46</v>
      </c>
      <c r="N89" s="491">
        <v>0</v>
      </c>
      <c r="O89" s="491" t="s">
        <v>1641</v>
      </c>
      <c r="P89" s="491" t="s">
        <v>1660</v>
      </c>
    </row>
    <row r="90" spans="1:16">
      <c r="A90" s="616" t="s">
        <v>1535</v>
      </c>
      <c r="B90" s="1111" t="s">
        <v>1603</v>
      </c>
      <c r="C90" s="1113" t="s">
        <v>1510</v>
      </c>
      <c r="D90" s="1114"/>
      <c r="E90" s="1114"/>
      <c r="F90" s="1114"/>
      <c r="G90" s="1114"/>
      <c r="H90" s="1114"/>
      <c r="I90" s="1114"/>
      <c r="J90" s="1115"/>
      <c r="K90" s="616">
        <v>4</v>
      </c>
      <c r="L90" s="491">
        <v>0</v>
      </c>
      <c r="M90" s="491">
        <v>0</v>
      </c>
      <c r="O90" s="491" t="s">
        <v>1640</v>
      </c>
      <c r="P90" s="491" t="s">
        <v>1640</v>
      </c>
    </row>
    <row r="91" spans="1:16" ht="17.25" thickBot="1">
      <c r="A91" s="617" t="s">
        <v>1536</v>
      </c>
      <c r="B91" s="1112"/>
      <c r="C91" s="1108" t="s">
        <v>1512</v>
      </c>
      <c r="D91" s="1109"/>
      <c r="E91" s="1109"/>
      <c r="F91" s="1109"/>
      <c r="G91" s="1109"/>
      <c r="H91" s="1109"/>
      <c r="I91" s="1109"/>
      <c r="J91" s="1110"/>
      <c r="K91" s="617">
        <v>6</v>
      </c>
      <c r="L91" s="640">
        <v>0</v>
      </c>
      <c r="M91" s="640">
        <v>0</v>
      </c>
      <c r="N91" s="640">
        <v>0</v>
      </c>
      <c r="O91" s="491" t="s">
        <v>1641</v>
      </c>
      <c r="P91" s="491" t="s">
        <v>1660</v>
      </c>
    </row>
    <row r="92" spans="1:16">
      <c r="A92" s="616" t="s">
        <v>1537</v>
      </c>
      <c r="B92" s="1111" t="s">
        <v>1604</v>
      </c>
      <c r="C92" s="1113" t="s">
        <v>1510</v>
      </c>
      <c r="D92" s="1114"/>
      <c r="E92" s="1114"/>
      <c r="F92" s="1114"/>
      <c r="G92" s="1114"/>
      <c r="H92" s="1114"/>
      <c r="I92" s="1114"/>
      <c r="J92" s="1115"/>
      <c r="K92" s="616">
        <v>4</v>
      </c>
      <c r="L92" s="640">
        <v>0</v>
      </c>
      <c r="M92" s="640">
        <v>73</v>
      </c>
      <c r="O92" s="491" t="s">
        <v>1640</v>
      </c>
      <c r="P92" s="491" t="s">
        <v>1640</v>
      </c>
    </row>
    <row r="93" spans="1:16" ht="17.25" thickBot="1">
      <c r="A93" s="617" t="s">
        <v>1538</v>
      </c>
      <c r="B93" s="1112"/>
      <c r="C93" s="1108" t="s">
        <v>1512</v>
      </c>
      <c r="D93" s="1109"/>
      <c r="E93" s="1109"/>
      <c r="F93" s="1109"/>
      <c r="G93" s="1109"/>
      <c r="H93" s="1109"/>
      <c r="I93" s="1109"/>
      <c r="J93" s="1110"/>
      <c r="K93" s="617">
        <v>6</v>
      </c>
      <c r="L93" s="640">
        <v>0</v>
      </c>
      <c r="M93" s="640" t="s">
        <v>1617</v>
      </c>
      <c r="N93" s="640">
        <v>0</v>
      </c>
      <c r="O93" s="491" t="s">
        <v>1641</v>
      </c>
      <c r="P93" s="491" t="s">
        <v>1661</v>
      </c>
    </row>
    <row r="94" spans="1:16">
      <c r="A94" s="616" t="s">
        <v>1539</v>
      </c>
      <c r="B94" s="1111" t="s">
        <v>1605</v>
      </c>
      <c r="C94" s="1113" t="s">
        <v>1510</v>
      </c>
      <c r="D94" s="1114"/>
      <c r="E94" s="1114"/>
      <c r="F94" s="1114"/>
      <c r="G94" s="1114"/>
      <c r="H94" s="1114"/>
      <c r="I94" s="1114"/>
      <c r="J94" s="1115"/>
      <c r="K94" s="616">
        <v>4</v>
      </c>
      <c r="L94" s="640">
        <v>63</v>
      </c>
      <c r="M94" s="640">
        <v>0</v>
      </c>
      <c r="O94" s="491" t="s">
        <v>1640</v>
      </c>
      <c r="P94" s="491" t="s">
        <v>1640</v>
      </c>
    </row>
    <row r="95" spans="1:16" ht="17.25" thickBot="1">
      <c r="A95" s="617" t="s">
        <v>1540</v>
      </c>
      <c r="B95" s="1112"/>
      <c r="C95" s="1108" t="s">
        <v>1512</v>
      </c>
      <c r="D95" s="1109"/>
      <c r="E95" s="1109"/>
      <c r="F95" s="1109"/>
      <c r="G95" s="1109"/>
      <c r="H95" s="1109"/>
      <c r="I95" s="1109"/>
      <c r="J95" s="1110"/>
      <c r="K95" s="617">
        <v>6</v>
      </c>
      <c r="L95" s="640">
        <v>65</v>
      </c>
      <c r="M95" s="640">
        <v>0</v>
      </c>
      <c r="N95" s="640">
        <v>73</v>
      </c>
      <c r="O95" s="491" t="s">
        <v>1641</v>
      </c>
      <c r="P95" s="491" t="s">
        <v>1661</v>
      </c>
    </row>
    <row r="96" spans="1:16">
      <c r="A96" s="616" t="s">
        <v>1541</v>
      </c>
      <c r="B96" s="1111" t="s">
        <v>1606</v>
      </c>
      <c r="C96" s="1113" t="s">
        <v>1510</v>
      </c>
      <c r="D96" s="1114"/>
      <c r="E96" s="1114"/>
      <c r="F96" s="1114"/>
      <c r="G96" s="1114"/>
      <c r="H96" s="1114"/>
      <c r="I96" s="1114"/>
      <c r="J96" s="1115"/>
      <c r="K96" s="616">
        <v>4</v>
      </c>
      <c r="L96" s="640">
        <v>0</v>
      </c>
      <c r="M96" s="640">
        <v>22</v>
      </c>
      <c r="O96" s="491" t="s">
        <v>1640</v>
      </c>
      <c r="P96" s="491" t="s">
        <v>1640</v>
      </c>
    </row>
    <row r="97" spans="1:16" ht="17.25" thickBot="1">
      <c r="A97" s="617" t="s">
        <v>1542</v>
      </c>
      <c r="B97" s="1112"/>
      <c r="C97" s="1108" t="s">
        <v>1512</v>
      </c>
      <c r="D97" s="1109"/>
      <c r="E97" s="1109"/>
      <c r="F97" s="1109"/>
      <c r="G97" s="1109"/>
      <c r="H97" s="1109"/>
      <c r="I97" s="1109"/>
      <c r="J97" s="1110"/>
      <c r="K97" s="617">
        <v>6</v>
      </c>
      <c r="L97" s="640">
        <v>0</v>
      </c>
      <c r="M97" s="640" t="s">
        <v>1625</v>
      </c>
      <c r="N97" s="640">
        <v>0</v>
      </c>
      <c r="O97" s="491" t="s">
        <v>1641</v>
      </c>
      <c r="P97" s="491" t="s">
        <v>1661</v>
      </c>
    </row>
    <row r="98" spans="1:16">
      <c r="A98" s="616" t="s">
        <v>1543</v>
      </c>
      <c r="B98" s="1111" t="s">
        <v>1607</v>
      </c>
      <c r="C98" s="1113" t="s">
        <v>1510</v>
      </c>
      <c r="D98" s="1114"/>
      <c r="E98" s="1114"/>
      <c r="F98" s="1114"/>
      <c r="G98" s="1114"/>
      <c r="H98" s="1114"/>
      <c r="I98" s="1114"/>
      <c r="J98" s="1115"/>
      <c r="K98" s="616">
        <v>4</v>
      </c>
      <c r="L98" s="640">
        <v>0</v>
      </c>
      <c r="M98" s="640">
        <v>30</v>
      </c>
      <c r="O98" s="491" t="s">
        <v>1640</v>
      </c>
      <c r="P98" s="491" t="s">
        <v>1640</v>
      </c>
    </row>
    <row r="99" spans="1:16" ht="17.25" thickBot="1">
      <c r="A99" s="617" t="s">
        <v>1544</v>
      </c>
      <c r="B99" s="1112"/>
      <c r="C99" s="1108" t="s">
        <v>1512</v>
      </c>
      <c r="D99" s="1109"/>
      <c r="E99" s="1109"/>
      <c r="F99" s="1109"/>
      <c r="G99" s="1109"/>
      <c r="H99" s="1109"/>
      <c r="I99" s="1109"/>
      <c r="J99" s="1110"/>
      <c r="K99" s="617">
        <v>6</v>
      </c>
      <c r="L99" s="640">
        <v>0</v>
      </c>
      <c r="M99" s="640">
        <v>22</v>
      </c>
      <c r="N99" s="640">
        <v>0</v>
      </c>
      <c r="O99" s="491" t="s">
        <v>1641</v>
      </c>
      <c r="P99" s="491" t="s">
        <v>1661</v>
      </c>
    </row>
    <row r="100" spans="1:16">
      <c r="A100" s="616" t="s">
        <v>1545</v>
      </c>
      <c r="B100" s="1111" t="s">
        <v>1608</v>
      </c>
      <c r="C100" s="1113" t="s">
        <v>1510</v>
      </c>
      <c r="D100" s="1114"/>
      <c r="E100" s="1114"/>
      <c r="F100" s="1114"/>
      <c r="G100" s="1114"/>
      <c r="H100" s="1114"/>
      <c r="I100" s="1114"/>
      <c r="J100" s="1115"/>
      <c r="K100" s="616">
        <v>4</v>
      </c>
      <c r="L100" s="640">
        <v>73</v>
      </c>
      <c r="M100" s="640">
        <v>0</v>
      </c>
      <c r="O100" s="491" t="s">
        <v>1640</v>
      </c>
      <c r="P100" s="491" t="s">
        <v>1640</v>
      </c>
    </row>
    <row r="101" spans="1:16" ht="17.25" thickBot="1">
      <c r="A101" s="617" t="s">
        <v>1546</v>
      </c>
      <c r="B101" s="1112"/>
      <c r="C101" s="1108" t="s">
        <v>1512</v>
      </c>
      <c r="D101" s="1109"/>
      <c r="E101" s="1109"/>
      <c r="F101" s="1109"/>
      <c r="G101" s="1109"/>
      <c r="H101" s="1109"/>
      <c r="I101" s="1109"/>
      <c r="J101" s="1110"/>
      <c r="K101" s="617">
        <v>6</v>
      </c>
      <c r="L101" s="640" t="s">
        <v>1617</v>
      </c>
      <c r="M101" s="640">
        <v>0</v>
      </c>
      <c r="N101" s="640">
        <v>47</v>
      </c>
      <c r="O101" s="491" t="s">
        <v>1641</v>
      </c>
      <c r="P101" s="491" t="s">
        <v>1661</v>
      </c>
    </row>
    <row r="102" spans="1:16">
      <c r="A102" s="616" t="s">
        <v>1547</v>
      </c>
      <c r="B102" s="1111" t="s">
        <v>1564</v>
      </c>
      <c r="C102" s="1113" t="s">
        <v>1510</v>
      </c>
      <c r="D102" s="1114"/>
      <c r="E102" s="1114"/>
      <c r="F102" s="1114"/>
      <c r="G102" s="1114"/>
      <c r="H102" s="1114"/>
      <c r="I102" s="1114"/>
      <c r="J102" s="1115"/>
      <c r="K102" s="616">
        <v>4</v>
      </c>
      <c r="L102" s="640">
        <v>0</v>
      </c>
      <c r="M102" s="640">
        <v>34</v>
      </c>
      <c r="O102" s="491" t="s">
        <v>1644</v>
      </c>
      <c r="P102" s="491" t="s">
        <v>1662</v>
      </c>
    </row>
    <row r="103" spans="1:16" ht="17.25" thickBot="1">
      <c r="A103" s="617" t="s">
        <v>1548</v>
      </c>
      <c r="B103" s="1112"/>
      <c r="C103" s="1108" t="s">
        <v>1512</v>
      </c>
      <c r="D103" s="1109"/>
      <c r="E103" s="1109"/>
      <c r="F103" s="1109"/>
      <c r="G103" s="1109"/>
      <c r="H103" s="1109"/>
      <c r="I103" s="1109"/>
      <c r="J103" s="1110"/>
      <c r="K103" s="617">
        <v>6</v>
      </c>
      <c r="L103" s="640">
        <v>0</v>
      </c>
      <c r="M103" s="640">
        <v>34</v>
      </c>
      <c r="N103" s="640">
        <v>0</v>
      </c>
      <c r="O103" s="491" t="s">
        <v>1645</v>
      </c>
      <c r="P103" s="491" t="s">
        <v>1663</v>
      </c>
    </row>
    <row r="104" spans="1:16">
      <c r="A104" s="616" t="s">
        <v>1549</v>
      </c>
      <c r="B104" s="1111" t="s">
        <v>1565</v>
      </c>
      <c r="C104" s="1113" t="s">
        <v>1510</v>
      </c>
      <c r="D104" s="1114"/>
      <c r="E104" s="1114"/>
      <c r="F104" s="1114"/>
      <c r="G104" s="1114"/>
      <c r="H104" s="1114"/>
      <c r="I104" s="1114"/>
      <c r="J104" s="1115"/>
      <c r="K104" s="616">
        <v>4</v>
      </c>
      <c r="L104" s="640" t="s">
        <v>1617</v>
      </c>
      <c r="M104" s="640">
        <v>0</v>
      </c>
      <c r="O104" s="491" t="s">
        <v>1646</v>
      </c>
      <c r="P104" s="491" t="s">
        <v>1664</v>
      </c>
    </row>
    <row r="105" spans="1:16" ht="17.25" thickBot="1">
      <c r="A105" s="617" t="s">
        <v>1551</v>
      </c>
      <c r="B105" s="1112"/>
      <c r="C105" s="1108" t="s">
        <v>1512</v>
      </c>
      <c r="D105" s="1109"/>
      <c r="E105" s="1109"/>
      <c r="F105" s="1109"/>
      <c r="G105" s="1109"/>
      <c r="H105" s="1109"/>
      <c r="I105" s="1109"/>
      <c r="J105" s="1110"/>
      <c r="K105" s="617">
        <v>6</v>
      </c>
      <c r="L105" s="640">
        <v>35</v>
      </c>
      <c r="M105" s="491">
        <v>0</v>
      </c>
      <c r="N105" s="491">
        <v>35</v>
      </c>
      <c r="O105" s="491" t="s">
        <v>1647</v>
      </c>
      <c r="P105" s="491" t="s">
        <v>1665</v>
      </c>
    </row>
    <row r="106" spans="1:16">
      <c r="A106" s="616" t="s">
        <v>1552</v>
      </c>
      <c r="B106" s="1111" t="s">
        <v>1566</v>
      </c>
      <c r="C106" s="1113" t="s">
        <v>1510</v>
      </c>
      <c r="D106" s="1114"/>
      <c r="E106" s="1114"/>
      <c r="F106" s="1114"/>
      <c r="G106" s="1114"/>
      <c r="H106" s="1114"/>
      <c r="I106" s="1114"/>
      <c r="J106" s="1115"/>
      <c r="K106" s="616">
        <v>4</v>
      </c>
      <c r="L106" s="491">
        <v>0</v>
      </c>
      <c r="M106" s="491">
        <v>63</v>
      </c>
      <c r="O106" s="491" t="s">
        <v>1648</v>
      </c>
      <c r="P106" s="491" t="s">
        <v>1666</v>
      </c>
    </row>
    <row r="107" spans="1:16" ht="17.25" thickBot="1">
      <c r="A107" s="617" t="s">
        <v>1553</v>
      </c>
      <c r="B107" s="1112"/>
      <c r="C107" s="1108" t="s">
        <v>1512</v>
      </c>
      <c r="D107" s="1109"/>
      <c r="E107" s="1109"/>
      <c r="F107" s="1109"/>
      <c r="G107" s="1109"/>
      <c r="H107" s="1109"/>
      <c r="I107" s="1109"/>
      <c r="J107" s="1110"/>
      <c r="K107" s="617">
        <v>6</v>
      </c>
      <c r="L107" s="491">
        <v>0</v>
      </c>
      <c r="M107" s="491">
        <v>0</v>
      </c>
      <c r="N107" s="491">
        <v>0</v>
      </c>
      <c r="O107" s="491" t="s">
        <v>1649</v>
      </c>
      <c r="P107" s="491" t="s">
        <v>1667</v>
      </c>
    </row>
    <row r="108" spans="1:16">
      <c r="A108" s="616" t="s">
        <v>1554</v>
      </c>
      <c r="B108" s="1111" t="s">
        <v>1567</v>
      </c>
      <c r="C108" s="1113" t="s">
        <v>1510</v>
      </c>
      <c r="D108" s="1114"/>
      <c r="E108" s="1114"/>
      <c r="F108" s="1114"/>
      <c r="G108" s="1114"/>
      <c r="H108" s="1114"/>
      <c r="I108" s="1114"/>
      <c r="J108" s="1115"/>
      <c r="K108" s="616">
        <v>4</v>
      </c>
      <c r="L108" s="491" t="s">
        <v>1626</v>
      </c>
      <c r="M108" s="491">
        <v>0</v>
      </c>
      <c r="O108" s="491" t="s">
        <v>1648</v>
      </c>
      <c r="P108" s="491" t="s">
        <v>1668</v>
      </c>
    </row>
    <row r="109" spans="1:16" ht="17.25" thickBot="1">
      <c r="A109" s="617" t="s">
        <v>1555</v>
      </c>
      <c r="B109" s="1112"/>
      <c r="C109" s="1108" t="s">
        <v>1512</v>
      </c>
      <c r="D109" s="1109"/>
      <c r="E109" s="1109"/>
      <c r="F109" s="1109"/>
      <c r="G109" s="1109"/>
      <c r="H109" s="1109"/>
      <c r="I109" s="1109"/>
      <c r="J109" s="1110"/>
      <c r="K109" s="617">
        <v>6</v>
      </c>
      <c r="L109" s="491">
        <v>77</v>
      </c>
      <c r="M109" s="491">
        <v>0</v>
      </c>
      <c r="N109" s="491">
        <v>73</v>
      </c>
      <c r="O109" s="491" t="s">
        <v>1649</v>
      </c>
      <c r="P109" s="491" t="s">
        <v>1669</v>
      </c>
    </row>
    <row r="110" spans="1:16">
      <c r="A110" s="616" t="s">
        <v>1556</v>
      </c>
      <c r="B110" s="1111" t="s">
        <v>1568</v>
      </c>
      <c r="C110" s="1113" t="s">
        <v>1510</v>
      </c>
      <c r="D110" s="1114"/>
      <c r="E110" s="1114"/>
      <c r="F110" s="1114"/>
      <c r="G110" s="1114"/>
      <c r="H110" s="1114"/>
      <c r="I110" s="1114"/>
      <c r="J110" s="1115"/>
      <c r="K110" s="616">
        <v>4</v>
      </c>
      <c r="L110" s="491">
        <v>0</v>
      </c>
      <c r="M110" s="491">
        <v>52</v>
      </c>
      <c r="O110" s="491" t="s">
        <v>1648</v>
      </c>
      <c r="P110" s="491" t="s">
        <v>1670</v>
      </c>
    </row>
    <row r="111" spans="1:16" ht="17.25" thickBot="1">
      <c r="A111" s="617" t="s">
        <v>1557</v>
      </c>
      <c r="B111" s="1112"/>
      <c r="C111" s="1108" t="s">
        <v>1512</v>
      </c>
      <c r="D111" s="1109"/>
      <c r="E111" s="1109"/>
      <c r="F111" s="1109"/>
      <c r="G111" s="1109"/>
      <c r="H111" s="1109"/>
      <c r="I111" s="1109"/>
      <c r="J111" s="1110"/>
      <c r="K111" s="617">
        <v>6</v>
      </c>
      <c r="L111" s="491">
        <v>0</v>
      </c>
      <c r="M111" s="491">
        <v>74</v>
      </c>
      <c r="N111" s="491">
        <v>0</v>
      </c>
      <c r="O111" s="491" t="s">
        <v>1649</v>
      </c>
      <c r="P111" s="491" t="s">
        <v>1669</v>
      </c>
    </row>
    <row r="112" spans="1:16">
      <c r="A112" s="616" t="s">
        <v>1558</v>
      </c>
      <c r="B112" s="1111" t="s">
        <v>1569</v>
      </c>
      <c r="C112" s="1113" t="s">
        <v>1510</v>
      </c>
      <c r="D112" s="1114"/>
      <c r="E112" s="1114"/>
      <c r="F112" s="1114"/>
      <c r="G112" s="1114"/>
      <c r="H112" s="1114"/>
      <c r="I112" s="1114"/>
      <c r="J112" s="1115"/>
      <c r="K112" s="616">
        <v>4</v>
      </c>
      <c r="L112" s="491">
        <v>0</v>
      </c>
      <c r="M112" s="491">
        <v>0</v>
      </c>
      <c r="O112" s="491" t="s">
        <v>1648</v>
      </c>
      <c r="P112" s="491" t="s">
        <v>1671</v>
      </c>
    </row>
    <row r="113" spans="1:16" ht="17.25" thickBot="1">
      <c r="A113" s="617" t="s">
        <v>1559</v>
      </c>
      <c r="B113" s="1112"/>
      <c r="C113" s="1108" t="s">
        <v>1512</v>
      </c>
      <c r="D113" s="1109"/>
      <c r="E113" s="1109"/>
      <c r="F113" s="1109"/>
      <c r="G113" s="1109"/>
      <c r="H113" s="1109"/>
      <c r="I113" s="1109"/>
      <c r="J113" s="1110"/>
      <c r="K113" s="617">
        <v>6</v>
      </c>
      <c r="L113" s="491">
        <v>0</v>
      </c>
      <c r="M113" s="491" t="s">
        <v>1627</v>
      </c>
      <c r="N113" s="491">
        <v>46</v>
      </c>
      <c r="O113" s="491" t="s">
        <v>1649</v>
      </c>
      <c r="P113" s="491" t="s">
        <v>1672</v>
      </c>
    </row>
    <row r="114" spans="1:16">
      <c r="A114" s="616" t="s">
        <v>1560</v>
      </c>
      <c r="B114" s="1111" t="s">
        <v>1570</v>
      </c>
      <c r="C114" s="1113" t="s">
        <v>1510</v>
      </c>
      <c r="D114" s="1114"/>
      <c r="E114" s="1114"/>
      <c r="F114" s="1114"/>
      <c r="G114" s="1114"/>
      <c r="H114" s="1114"/>
      <c r="I114" s="1114"/>
      <c r="J114" s="1115"/>
      <c r="K114" s="616">
        <v>4</v>
      </c>
      <c r="O114" s="491" t="s">
        <v>1648</v>
      </c>
      <c r="P114" s="491" t="s">
        <v>1673</v>
      </c>
    </row>
    <row r="115" spans="1:16" ht="17.25" thickBot="1">
      <c r="A115" s="617" t="s">
        <v>1561</v>
      </c>
      <c r="B115" s="1112"/>
      <c r="C115" s="1108" t="s">
        <v>1512</v>
      </c>
      <c r="D115" s="1109"/>
      <c r="E115" s="1109"/>
      <c r="F115" s="1109"/>
      <c r="G115" s="1109"/>
      <c r="H115" s="1109"/>
      <c r="I115" s="1109"/>
      <c r="J115" s="1110"/>
      <c r="K115" s="617">
        <v>6</v>
      </c>
      <c r="O115" s="491" t="s">
        <v>1649</v>
      </c>
      <c r="P115" s="491" t="s">
        <v>1663</v>
      </c>
    </row>
    <row r="116" spans="1:16">
      <c r="A116" s="619" t="s">
        <v>1562</v>
      </c>
      <c r="B116" s="837" t="s">
        <v>305</v>
      </c>
      <c r="C116" s="931" t="s">
        <v>793</v>
      </c>
      <c r="D116" s="932"/>
      <c r="E116" s="932"/>
      <c r="F116" s="1088"/>
      <c r="G116" s="1089" t="s">
        <v>129</v>
      </c>
      <c r="H116" s="932"/>
      <c r="I116" s="932"/>
      <c r="J116" s="933"/>
      <c r="K116" s="620">
        <v>2</v>
      </c>
      <c r="L116" s="491">
        <v>29</v>
      </c>
      <c r="O116" s="491" t="s">
        <v>1650</v>
      </c>
      <c r="P116" s="491" t="s">
        <v>1674</v>
      </c>
    </row>
    <row r="117" spans="1:16" ht="17.25" thickBot="1">
      <c r="A117" s="618" t="s">
        <v>1563</v>
      </c>
      <c r="B117" s="909"/>
      <c r="C117" s="1090" t="s">
        <v>794</v>
      </c>
      <c r="D117" s="1091"/>
      <c r="E117" s="1091"/>
      <c r="F117" s="1092"/>
      <c r="G117" s="1093" t="s">
        <v>130</v>
      </c>
      <c r="H117" s="1091"/>
      <c r="I117" s="1091"/>
      <c r="J117" s="1094"/>
      <c r="K117" s="621">
        <v>2</v>
      </c>
      <c r="L117" s="491" t="s">
        <v>1628</v>
      </c>
      <c r="P117" s="491" t="s">
        <v>1675</v>
      </c>
    </row>
    <row r="118" spans="1:16">
      <c r="A118" s="622" t="s">
        <v>1571</v>
      </c>
      <c r="B118" s="625" t="s">
        <v>48</v>
      </c>
      <c r="C118" s="925" t="s">
        <v>120</v>
      </c>
      <c r="D118" s="926"/>
      <c r="E118" s="926"/>
      <c r="F118" s="926"/>
      <c r="G118" s="926"/>
      <c r="H118" s="926"/>
      <c r="I118" s="926"/>
      <c r="J118" s="927"/>
      <c r="K118" s="39">
        <v>4</v>
      </c>
    </row>
    <row r="119" spans="1:16" ht="17.25" thickBot="1">
      <c r="A119" s="603">
        <v>463</v>
      </c>
      <c r="B119" s="603" t="s">
        <v>1467</v>
      </c>
      <c r="C119" s="1064" t="s">
        <v>1468</v>
      </c>
      <c r="D119" s="1064"/>
      <c r="E119" s="1064"/>
      <c r="F119" s="1064"/>
      <c r="G119" s="1064"/>
      <c r="H119" s="1064"/>
      <c r="I119" s="1064"/>
      <c r="J119" s="1065"/>
      <c r="K119" s="623">
        <v>1</v>
      </c>
    </row>
    <row r="120" spans="1:16" ht="17.25" thickBot="1">
      <c r="A120" s="596"/>
      <c r="B120" s="579"/>
      <c r="C120" s="579"/>
      <c r="D120" s="596"/>
      <c r="E120" s="596"/>
      <c r="F120" s="579"/>
      <c r="G120" s="579"/>
      <c r="H120" s="596"/>
      <c r="I120" s="596"/>
      <c r="J120" s="579"/>
      <c r="K120" s="579"/>
    </row>
    <row r="121" spans="1:16">
      <c r="A121" s="1132" t="s">
        <v>1572</v>
      </c>
      <c r="B121" s="1133"/>
      <c r="C121" s="1133"/>
      <c r="D121" s="1133"/>
      <c r="E121" s="1133"/>
      <c r="F121" s="1133"/>
      <c r="G121" s="1133"/>
      <c r="H121" s="1133"/>
      <c r="I121" s="1133"/>
      <c r="J121" s="1133"/>
      <c r="K121" s="1134"/>
    </row>
    <row r="122" spans="1:16" ht="17.25" thickBot="1">
      <c r="A122" s="597" t="s">
        <v>1430</v>
      </c>
      <c r="B122" s="598" t="s">
        <v>1431</v>
      </c>
      <c r="C122" s="598" t="s">
        <v>1432</v>
      </c>
      <c r="D122" s="598" t="s">
        <v>1433</v>
      </c>
      <c r="E122" s="598" t="s">
        <v>1434</v>
      </c>
      <c r="F122" s="598" t="s">
        <v>1435</v>
      </c>
      <c r="G122" s="598" t="s">
        <v>1436</v>
      </c>
      <c r="H122" s="598" t="s">
        <v>1437</v>
      </c>
      <c r="I122" s="598" t="s">
        <v>1438</v>
      </c>
      <c r="J122" s="598" t="s">
        <v>1439</v>
      </c>
      <c r="K122" s="599" t="s">
        <v>1440</v>
      </c>
    </row>
    <row r="123" spans="1:16">
      <c r="A123" s="627">
        <v>0</v>
      </c>
      <c r="B123" s="604" t="s">
        <v>1441</v>
      </c>
      <c r="C123" s="1066" t="s">
        <v>1442</v>
      </c>
      <c r="D123" s="1067"/>
      <c r="E123" s="1067"/>
      <c r="F123" s="1067"/>
      <c r="G123" s="1067"/>
      <c r="H123" s="1067"/>
      <c r="I123" s="1067"/>
      <c r="J123" s="1068"/>
      <c r="K123" s="627">
        <v>1</v>
      </c>
    </row>
    <row r="124" spans="1:16">
      <c r="A124" s="622" t="s">
        <v>1443</v>
      </c>
      <c r="B124" s="601" t="s">
        <v>1444</v>
      </c>
      <c r="C124" s="1072" t="s">
        <v>1445</v>
      </c>
      <c r="D124" s="1073"/>
      <c r="E124" s="1073"/>
      <c r="F124" s="1073"/>
      <c r="G124" s="1073"/>
      <c r="H124" s="1073"/>
      <c r="I124" s="1073"/>
      <c r="J124" s="1074"/>
      <c r="K124" s="622">
        <v>2</v>
      </c>
    </row>
    <row r="125" spans="1:16">
      <c r="A125" s="622" t="s">
        <v>1446</v>
      </c>
      <c r="B125" s="601" t="s">
        <v>1447</v>
      </c>
      <c r="C125" s="1072" t="s">
        <v>1448</v>
      </c>
      <c r="D125" s="1073"/>
      <c r="E125" s="1073"/>
      <c r="F125" s="1073"/>
      <c r="G125" s="1073"/>
      <c r="H125" s="1073"/>
      <c r="I125" s="1073"/>
      <c r="J125" s="1074"/>
      <c r="K125" s="622">
        <v>2</v>
      </c>
      <c r="O125" s="491">
        <v>1</v>
      </c>
    </row>
    <row r="126" spans="1:16">
      <c r="A126" s="622" t="s">
        <v>1449</v>
      </c>
      <c r="B126" s="601" t="s">
        <v>1450</v>
      </c>
      <c r="C126" s="1075" t="s">
        <v>1451</v>
      </c>
      <c r="D126" s="1075"/>
      <c r="E126" s="1075"/>
      <c r="F126" s="1075"/>
      <c r="G126" s="1075"/>
      <c r="H126" s="1075"/>
      <c r="I126" s="1075"/>
      <c r="J126" s="1076"/>
      <c r="K126" s="602">
        <v>2</v>
      </c>
      <c r="O126" s="491">
        <v>2</v>
      </c>
    </row>
    <row r="127" spans="1:16">
      <c r="A127" s="622" t="s">
        <v>1452</v>
      </c>
      <c r="B127" s="601" t="s">
        <v>1453</v>
      </c>
      <c r="C127" s="1077" t="s">
        <v>1454</v>
      </c>
      <c r="D127" s="1078"/>
      <c r="E127" s="1078"/>
      <c r="F127" s="1078"/>
      <c r="G127" s="1078"/>
      <c r="H127" s="1078"/>
      <c r="I127" s="1078"/>
      <c r="J127" s="1079"/>
      <c r="K127" s="622">
        <v>2</v>
      </c>
      <c r="O127" s="491">
        <v>3</v>
      </c>
    </row>
    <row r="128" spans="1:16">
      <c r="A128" s="622" t="s">
        <v>1455</v>
      </c>
      <c r="B128" s="1080" t="s">
        <v>1456</v>
      </c>
      <c r="C128" s="1075" t="s">
        <v>1457</v>
      </c>
      <c r="D128" s="1075"/>
      <c r="E128" s="1075"/>
      <c r="F128" s="1075"/>
      <c r="G128" s="1075"/>
      <c r="H128" s="1075"/>
      <c r="I128" s="1075"/>
      <c r="J128" s="1076"/>
      <c r="K128" s="602">
        <v>2</v>
      </c>
      <c r="O128" s="491">
        <v>4</v>
      </c>
    </row>
    <row r="129" spans="1:22" ht="17.25" thickBot="1">
      <c r="A129" s="622" t="s">
        <v>1458</v>
      </c>
      <c r="B129" s="991"/>
      <c r="C129" s="1072" t="s">
        <v>1459</v>
      </c>
      <c r="D129" s="1073"/>
      <c r="E129" s="1073"/>
      <c r="F129" s="1073"/>
      <c r="G129" s="1073"/>
      <c r="H129" s="1073"/>
      <c r="I129" s="1073"/>
      <c r="J129" s="1074"/>
      <c r="K129" s="622">
        <v>2</v>
      </c>
      <c r="O129" s="491">
        <v>5</v>
      </c>
    </row>
    <row r="130" spans="1:22" ht="17.25" thickBot="1">
      <c r="A130" s="627" t="s">
        <v>1455</v>
      </c>
      <c r="B130" s="627" t="s">
        <v>1453</v>
      </c>
      <c r="C130" s="1085" t="s">
        <v>1573</v>
      </c>
      <c r="D130" s="1086"/>
      <c r="E130" s="1086"/>
      <c r="F130" s="1086"/>
      <c r="G130" s="1086"/>
      <c r="H130" s="1086"/>
      <c r="I130" s="1086"/>
      <c r="J130" s="1087"/>
      <c r="K130" s="627">
        <v>2</v>
      </c>
      <c r="O130" s="491">
        <v>6</v>
      </c>
    </row>
    <row r="131" spans="1:22" ht="17.25" thickBot="1">
      <c r="A131" s="627" t="s">
        <v>1458</v>
      </c>
      <c r="B131" s="627" t="s">
        <v>1574</v>
      </c>
      <c r="C131" s="1135" t="s">
        <v>1575</v>
      </c>
      <c r="D131" s="1136"/>
      <c r="E131" s="1136"/>
      <c r="F131" s="1136"/>
      <c r="G131" s="1136"/>
      <c r="H131" s="1136"/>
      <c r="I131" s="1136"/>
      <c r="J131" s="1137"/>
      <c r="K131" s="627">
        <v>2</v>
      </c>
      <c r="O131" s="491">
        <v>7</v>
      </c>
    </row>
    <row r="132" spans="1:22" ht="17.25" thickBot="1">
      <c r="A132" s="627" t="s">
        <v>1576</v>
      </c>
      <c r="B132" s="627" t="s">
        <v>1577</v>
      </c>
      <c r="C132" s="1138" t="s">
        <v>1577</v>
      </c>
      <c r="D132" s="1139"/>
      <c r="E132" s="1139"/>
      <c r="F132" s="1139"/>
      <c r="G132" s="1139"/>
      <c r="H132" s="1139"/>
      <c r="I132" s="1139"/>
      <c r="J132" s="1140"/>
      <c r="K132" s="627">
        <f>128*2</f>
        <v>256</v>
      </c>
      <c r="O132" s="491">
        <v>8</v>
      </c>
      <c r="S132" s="491" t="s">
        <v>1364</v>
      </c>
      <c r="V132" s="491" t="s">
        <v>1365</v>
      </c>
    </row>
    <row r="133" spans="1:22">
      <c r="A133" s="627" t="s">
        <v>1578</v>
      </c>
      <c r="B133" s="625" t="s">
        <v>48</v>
      </c>
      <c r="C133" s="925" t="s">
        <v>120</v>
      </c>
      <c r="D133" s="926"/>
      <c r="E133" s="926"/>
      <c r="F133" s="926"/>
      <c r="G133" s="926"/>
      <c r="H133" s="926"/>
      <c r="I133" s="926"/>
      <c r="J133" s="927"/>
      <c r="K133" s="39">
        <v>4</v>
      </c>
      <c r="O133" s="491">
        <v>9</v>
      </c>
      <c r="R133" s="491" t="s">
        <v>1367</v>
      </c>
      <c r="T133" s="491" t="s">
        <v>1368</v>
      </c>
    </row>
    <row r="134" spans="1:22" ht="16.5" customHeight="1" thickBot="1">
      <c r="A134" s="623">
        <v>275</v>
      </c>
      <c r="B134" s="603" t="s">
        <v>1467</v>
      </c>
      <c r="C134" s="1064" t="s">
        <v>1468</v>
      </c>
      <c r="D134" s="1064"/>
      <c r="E134" s="1064"/>
      <c r="F134" s="1064"/>
      <c r="G134" s="1064"/>
      <c r="H134" s="1064"/>
      <c r="I134" s="1064"/>
      <c r="J134" s="1065"/>
      <c r="K134" s="623">
        <v>1</v>
      </c>
      <c r="O134" s="491">
        <v>10</v>
      </c>
      <c r="S134" s="491" t="s">
        <v>1370</v>
      </c>
      <c r="U134" s="491" t="s">
        <v>1365</v>
      </c>
    </row>
    <row r="135" spans="1:22" ht="17.25" thickBot="1">
      <c r="A135" s="596"/>
      <c r="B135" s="579"/>
      <c r="C135" s="579"/>
      <c r="D135" s="596"/>
      <c r="E135" s="596"/>
      <c r="F135" s="579"/>
      <c r="G135" s="579"/>
      <c r="H135" s="596"/>
      <c r="I135" s="596"/>
      <c r="J135" s="579"/>
      <c r="K135" s="579"/>
      <c r="O135" s="491">
        <v>11</v>
      </c>
      <c r="P135" s="491" t="s">
        <v>1363</v>
      </c>
      <c r="R135" s="491" t="s">
        <v>1372</v>
      </c>
      <c r="S135" s="491" t="s">
        <v>1365</v>
      </c>
    </row>
    <row r="136" spans="1:22">
      <c r="A136" s="1132" t="s">
        <v>1579</v>
      </c>
      <c r="B136" s="1133"/>
      <c r="C136" s="1133"/>
      <c r="D136" s="1133"/>
      <c r="E136" s="1133"/>
      <c r="F136" s="1133"/>
      <c r="G136" s="1133"/>
      <c r="H136" s="1133"/>
      <c r="I136" s="1133"/>
      <c r="J136" s="1133"/>
      <c r="K136" s="1134"/>
      <c r="O136" s="491">
        <v>12</v>
      </c>
      <c r="P136" s="491" t="s">
        <v>1366</v>
      </c>
      <c r="R136" s="491" t="s">
        <v>1374</v>
      </c>
      <c r="T136" s="491" t="s">
        <v>1365</v>
      </c>
    </row>
    <row r="137" spans="1:22" ht="17.25" thickBot="1">
      <c r="A137" s="597" t="s">
        <v>1430</v>
      </c>
      <c r="B137" s="598" t="s">
        <v>1431</v>
      </c>
      <c r="C137" s="598" t="s">
        <v>1432</v>
      </c>
      <c r="D137" s="598" t="s">
        <v>1433</v>
      </c>
      <c r="E137" s="598" t="s">
        <v>1434</v>
      </c>
      <c r="F137" s="598" t="s">
        <v>1435</v>
      </c>
      <c r="G137" s="598" t="s">
        <v>1436</v>
      </c>
      <c r="H137" s="598" t="s">
        <v>1437</v>
      </c>
      <c r="I137" s="598" t="s">
        <v>1438</v>
      </c>
      <c r="J137" s="598" t="s">
        <v>1439</v>
      </c>
      <c r="K137" s="599" t="s">
        <v>1440</v>
      </c>
      <c r="O137" s="491">
        <v>13</v>
      </c>
      <c r="P137" s="491" t="s">
        <v>1369</v>
      </c>
      <c r="R137" s="491" t="s">
        <v>1376</v>
      </c>
      <c r="S137" s="491" t="s">
        <v>1377</v>
      </c>
    </row>
    <row r="138" spans="1:22" ht="17.25" thickBot="1">
      <c r="A138" s="623"/>
      <c r="B138" s="603"/>
      <c r="C138" s="1064" t="s">
        <v>1580</v>
      </c>
      <c r="D138" s="1064"/>
      <c r="E138" s="1064"/>
      <c r="F138" s="1064"/>
      <c r="G138" s="1064"/>
      <c r="H138" s="1064"/>
      <c r="I138" s="1064"/>
      <c r="J138" s="1065"/>
      <c r="K138" s="623">
        <v>0</v>
      </c>
      <c r="O138" s="491">
        <v>14</v>
      </c>
      <c r="P138" s="491" t="s">
        <v>1371</v>
      </c>
      <c r="S138" s="491" t="s">
        <v>1379</v>
      </c>
      <c r="U138" s="491" t="s">
        <v>1365</v>
      </c>
    </row>
    <row r="139" spans="1:22" ht="17.25" thickBot="1">
      <c r="A139" s="596"/>
      <c r="B139" s="579"/>
      <c r="C139" s="579"/>
      <c r="D139" s="596"/>
      <c r="E139" s="596"/>
      <c r="F139" s="579"/>
      <c r="G139" s="579"/>
      <c r="H139" s="596"/>
      <c r="I139" s="596"/>
      <c r="J139" s="579"/>
      <c r="K139" s="579"/>
      <c r="O139" s="491">
        <v>15</v>
      </c>
      <c r="P139" s="491" t="s">
        <v>1373</v>
      </c>
      <c r="S139" s="491" t="s">
        <v>1381</v>
      </c>
      <c r="U139" s="491" t="s">
        <v>1365</v>
      </c>
    </row>
    <row r="140" spans="1:22">
      <c r="A140" s="1132" t="s">
        <v>1581</v>
      </c>
      <c r="B140" s="1133"/>
      <c r="C140" s="1133"/>
      <c r="D140" s="1133"/>
      <c r="E140" s="1133"/>
      <c r="F140" s="1133"/>
      <c r="G140" s="1133"/>
      <c r="H140" s="1133"/>
      <c r="I140" s="1133"/>
      <c r="J140" s="1133"/>
      <c r="K140" s="1134"/>
      <c r="O140" s="491">
        <v>16</v>
      </c>
      <c r="P140" s="491" t="s">
        <v>1375</v>
      </c>
      <c r="S140" s="491" t="s">
        <v>1383</v>
      </c>
      <c r="U140" s="491" t="s">
        <v>1365</v>
      </c>
    </row>
    <row r="141" spans="1:22" ht="17.25" thickBot="1">
      <c r="A141" s="597" t="s">
        <v>1430</v>
      </c>
      <c r="B141" s="598" t="s">
        <v>1431</v>
      </c>
      <c r="C141" s="598" t="s">
        <v>1432</v>
      </c>
      <c r="D141" s="598" t="s">
        <v>1433</v>
      </c>
      <c r="E141" s="598" t="s">
        <v>1434</v>
      </c>
      <c r="F141" s="598" t="s">
        <v>1435</v>
      </c>
      <c r="G141" s="598" t="s">
        <v>1436</v>
      </c>
      <c r="H141" s="598" t="s">
        <v>1437</v>
      </c>
      <c r="I141" s="598" t="s">
        <v>1438</v>
      </c>
      <c r="J141" s="598" t="s">
        <v>1439</v>
      </c>
      <c r="K141" s="599" t="s">
        <v>1440</v>
      </c>
      <c r="O141" s="491">
        <v>17</v>
      </c>
      <c r="P141" s="491" t="s">
        <v>1378</v>
      </c>
      <c r="S141" s="491" t="s">
        <v>1385</v>
      </c>
      <c r="U141" s="491" t="s">
        <v>1365</v>
      </c>
    </row>
    <row r="142" spans="1:22" ht="16.5" customHeight="1">
      <c r="A142" s="627">
        <v>0</v>
      </c>
      <c r="B142" s="604" t="s">
        <v>1441</v>
      </c>
      <c r="C142" s="1066" t="s">
        <v>1442</v>
      </c>
      <c r="D142" s="1067"/>
      <c r="E142" s="1067"/>
      <c r="F142" s="1067"/>
      <c r="G142" s="1067"/>
      <c r="H142" s="1067"/>
      <c r="I142" s="1067"/>
      <c r="J142" s="1068"/>
      <c r="K142" s="627">
        <v>1</v>
      </c>
      <c r="O142" s="491">
        <v>18</v>
      </c>
      <c r="P142" s="491" t="s">
        <v>1380</v>
      </c>
      <c r="S142" s="491" t="s">
        <v>1387</v>
      </c>
      <c r="U142" s="491" t="s">
        <v>1365</v>
      </c>
    </row>
    <row r="143" spans="1:22">
      <c r="A143" s="622" t="s">
        <v>1443</v>
      </c>
      <c r="B143" s="601" t="s">
        <v>1444</v>
      </c>
      <c r="C143" s="1072" t="s">
        <v>1445</v>
      </c>
      <c r="D143" s="1073"/>
      <c r="E143" s="1073"/>
      <c r="F143" s="1073"/>
      <c r="G143" s="1073"/>
      <c r="H143" s="1073"/>
      <c r="I143" s="1073"/>
      <c r="J143" s="1074"/>
      <c r="K143" s="622">
        <v>2</v>
      </c>
      <c r="O143" s="491">
        <v>19</v>
      </c>
      <c r="P143" s="491" t="s">
        <v>1382</v>
      </c>
      <c r="S143" s="491" t="s">
        <v>1389</v>
      </c>
      <c r="U143" s="491" t="s">
        <v>1365</v>
      </c>
    </row>
    <row r="144" spans="1:22">
      <c r="A144" s="622" t="s">
        <v>1446</v>
      </c>
      <c r="B144" s="601" t="s">
        <v>1447</v>
      </c>
      <c r="C144" s="1072" t="s">
        <v>1448</v>
      </c>
      <c r="D144" s="1073"/>
      <c r="E144" s="1073"/>
      <c r="F144" s="1073"/>
      <c r="G144" s="1073"/>
      <c r="H144" s="1073"/>
      <c r="I144" s="1073"/>
      <c r="J144" s="1074"/>
      <c r="K144" s="622">
        <v>2</v>
      </c>
      <c r="O144" s="491">
        <v>20</v>
      </c>
      <c r="P144" s="491" t="s">
        <v>1384</v>
      </c>
      <c r="S144" s="491" t="s">
        <v>1391</v>
      </c>
      <c r="U144" s="491" t="s">
        <v>1365</v>
      </c>
    </row>
    <row r="145" spans="1:21">
      <c r="A145" s="622" t="s">
        <v>1449</v>
      </c>
      <c r="B145" s="601" t="s">
        <v>1450</v>
      </c>
      <c r="C145" s="1075" t="s">
        <v>1451</v>
      </c>
      <c r="D145" s="1075"/>
      <c r="E145" s="1075"/>
      <c r="F145" s="1075"/>
      <c r="G145" s="1075"/>
      <c r="H145" s="1075"/>
      <c r="I145" s="1075"/>
      <c r="J145" s="1076"/>
      <c r="K145" s="602">
        <v>2</v>
      </c>
      <c r="O145" s="491">
        <v>21</v>
      </c>
      <c r="P145" s="491" t="s">
        <v>1386</v>
      </c>
      <c r="S145" s="491" t="s">
        <v>1393</v>
      </c>
      <c r="U145" s="491" t="s">
        <v>1365</v>
      </c>
    </row>
    <row r="146" spans="1:21">
      <c r="A146" s="622" t="s">
        <v>1452</v>
      </c>
      <c r="B146" s="601" t="s">
        <v>1453</v>
      </c>
      <c r="C146" s="1077" t="s">
        <v>1454</v>
      </c>
      <c r="D146" s="1078"/>
      <c r="E146" s="1078"/>
      <c r="F146" s="1078"/>
      <c r="G146" s="1078"/>
      <c r="H146" s="1078"/>
      <c r="I146" s="1078"/>
      <c r="J146" s="1079"/>
      <c r="K146" s="622">
        <v>2</v>
      </c>
      <c r="O146" s="491">
        <v>22</v>
      </c>
      <c r="P146" s="491" t="s">
        <v>1388</v>
      </c>
      <c r="S146" s="491" t="s">
        <v>1395</v>
      </c>
      <c r="U146" s="491" t="s">
        <v>1365</v>
      </c>
    </row>
    <row r="147" spans="1:21">
      <c r="A147" s="622" t="s">
        <v>1455</v>
      </c>
      <c r="B147" s="1080" t="s">
        <v>1456</v>
      </c>
      <c r="C147" s="1075" t="s">
        <v>1457</v>
      </c>
      <c r="D147" s="1075"/>
      <c r="E147" s="1075"/>
      <c r="F147" s="1075"/>
      <c r="G147" s="1075"/>
      <c r="H147" s="1075"/>
      <c r="I147" s="1075"/>
      <c r="J147" s="1076"/>
      <c r="K147" s="602">
        <v>2</v>
      </c>
      <c r="O147" s="491">
        <v>23</v>
      </c>
      <c r="P147" s="491" t="s">
        <v>1390</v>
      </c>
      <c r="S147" s="491" t="s">
        <v>1397</v>
      </c>
      <c r="U147" s="491" t="s">
        <v>1365</v>
      </c>
    </row>
    <row r="148" spans="1:21" ht="17.25" thickBot="1">
      <c r="A148" s="622" t="s">
        <v>1458</v>
      </c>
      <c r="B148" s="991"/>
      <c r="C148" s="1072" t="s">
        <v>1459</v>
      </c>
      <c r="D148" s="1073"/>
      <c r="E148" s="1073"/>
      <c r="F148" s="1073"/>
      <c r="G148" s="1073"/>
      <c r="H148" s="1073"/>
      <c r="I148" s="1073"/>
      <c r="J148" s="1074"/>
      <c r="K148" s="622">
        <v>2</v>
      </c>
      <c r="O148" s="491">
        <v>24</v>
      </c>
      <c r="P148" s="491" t="s">
        <v>1392</v>
      </c>
      <c r="S148" s="491" t="s">
        <v>1399</v>
      </c>
      <c r="U148" s="491" t="s">
        <v>1365</v>
      </c>
    </row>
    <row r="149" spans="1:21" ht="17.25" thickBot="1">
      <c r="A149" s="627" t="s">
        <v>1455</v>
      </c>
      <c r="B149" s="627" t="s">
        <v>1453</v>
      </c>
      <c r="C149" s="1085" t="s">
        <v>1582</v>
      </c>
      <c r="D149" s="1086"/>
      <c r="E149" s="1086"/>
      <c r="F149" s="1086"/>
      <c r="G149" s="1086"/>
      <c r="H149" s="1086"/>
      <c r="I149" s="1086"/>
      <c r="J149" s="1087"/>
      <c r="K149" s="627">
        <v>2</v>
      </c>
      <c r="O149" s="491">
        <v>25</v>
      </c>
      <c r="P149" s="491" t="s">
        <v>1394</v>
      </c>
      <c r="S149" s="491" t="s">
        <v>1401</v>
      </c>
      <c r="U149" s="491" t="s">
        <v>1365</v>
      </c>
    </row>
    <row r="150" spans="1:21" ht="17.25" thickBot="1">
      <c r="A150" s="627" t="s">
        <v>1458</v>
      </c>
      <c r="B150" s="627" t="s">
        <v>1574</v>
      </c>
      <c r="C150" s="1135" t="s">
        <v>1575</v>
      </c>
      <c r="D150" s="1136"/>
      <c r="E150" s="1136"/>
      <c r="F150" s="1136"/>
      <c r="G150" s="1136"/>
      <c r="H150" s="1136"/>
      <c r="I150" s="1136"/>
      <c r="J150" s="1137"/>
      <c r="K150" s="627">
        <v>2</v>
      </c>
      <c r="P150" s="491" t="s">
        <v>1396</v>
      </c>
      <c r="R150" s="491" t="s">
        <v>1403</v>
      </c>
      <c r="S150" s="491" t="s">
        <v>1365</v>
      </c>
    </row>
    <row r="151" spans="1:21" ht="17.25" thickBot="1">
      <c r="A151" s="627" t="s">
        <v>1576</v>
      </c>
      <c r="B151" s="627" t="s">
        <v>1577</v>
      </c>
      <c r="C151" s="1138" t="s">
        <v>1577</v>
      </c>
      <c r="D151" s="1139"/>
      <c r="E151" s="1139"/>
      <c r="F151" s="1139"/>
      <c r="G151" s="1139"/>
      <c r="H151" s="1139"/>
      <c r="I151" s="1139"/>
      <c r="J151" s="1140"/>
      <c r="K151" s="627">
        <f>128*2</f>
        <v>256</v>
      </c>
      <c r="P151" s="491" t="s">
        <v>1398</v>
      </c>
      <c r="R151" s="491" t="s">
        <v>1405</v>
      </c>
      <c r="S151" s="491" t="s">
        <v>1365</v>
      </c>
    </row>
    <row r="152" spans="1:21">
      <c r="A152" s="627" t="s">
        <v>1578</v>
      </c>
      <c r="B152" s="625" t="s">
        <v>48</v>
      </c>
      <c r="C152" s="925" t="s">
        <v>120</v>
      </c>
      <c r="D152" s="926"/>
      <c r="E152" s="926"/>
      <c r="F152" s="926"/>
      <c r="G152" s="926"/>
      <c r="H152" s="926"/>
      <c r="I152" s="926"/>
      <c r="J152" s="927"/>
      <c r="K152" s="39">
        <v>4</v>
      </c>
      <c r="P152" s="491" t="s">
        <v>1400</v>
      </c>
      <c r="S152" s="491" t="s">
        <v>1407</v>
      </c>
      <c r="U152" s="491" t="s">
        <v>1365</v>
      </c>
    </row>
    <row r="153" spans="1:21" ht="17.25" thickBot="1">
      <c r="A153" s="623">
        <v>275</v>
      </c>
      <c r="B153" s="603" t="s">
        <v>1467</v>
      </c>
      <c r="C153" s="1064" t="s">
        <v>1468</v>
      </c>
      <c r="D153" s="1064"/>
      <c r="E153" s="1064"/>
      <c r="F153" s="1064"/>
      <c r="G153" s="1064"/>
      <c r="H153" s="1064"/>
      <c r="I153" s="1064"/>
      <c r="J153" s="1065"/>
      <c r="K153" s="623">
        <v>1</v>
      </c>
      <c r="P153" s="491" t="s">
        <v>1402</v>
      </c>
      <c r="R153" s="491" t="s">
        <v>1409</v>
      </c>
      <c r="T153" s="491" t="s">
        <v>1365</v>
      </c>
    </row>
    <row r="154" spans="1:21" ht="17.25" thickBot="1">
      <c r="A154" s="596"/>
      <c r="B154" s="579"/>
      <c r="C154" s="579"/>
      <c r="D154" s="596"/>
      <c r="E154" s="596"/>
      <c r="F154" s="579"/>
      <c r="G154" s="579"/>
      <c r="H154" s="596"/>
      <c r="I154" s="596"/>
      <c r="J154" s="579"/>
      <c r="K154" s="579"/>
      <c r="P154" s="491" t="s">
        <v>1404</v>
      </c>
      <c r="R154" s="491" t="s">
        <v>1411</v>
      </c>
      <c r="T154" s="491" t="s">
        <v>1365</v>
      </c>
    </row>
    <row r="155" spans="1:21">
      <c r="A155" s="1132" t="s">
        <v>1583</v>
      </c>
      <c r="B155" s="1133"/>
      <c r="C155" s="1133"/>
      <c r="D155" s="1133"/>
      <c r="E155" s="1133"/>
      <c r="F155" s="1133"/>
      <c r="G155" s="1133"/>
      <c r="H155" s="1133"/>
      <c r="I155" s="1133"/>
      <c r="J155" s="1133"/>
      <c r="K155" s="1134"/>
      <c r="P155" s="491" t="s">
        <v>1406</v>
      </c>
      <c r="Q155" s="491" t="s">
        <v>1413</v>
      </c>
      <c r="S155" s="491" t="s">
        <v>1365</v>
      </c>
    </row>
    <row r="156" spans="1:21" ht="17.25" thickBot="1">
      <c r="A156" s="597" t="s">
        <v>1430</v>
      </c>
      <c r="B156" s="598" t="s">
        <v>1431</v>
      </c>
      <c r="C156" s="598" t="s">
        <v>1432</v>
      </c>
      <c r="D156" s="598" t="s">
        <v>1433</v>
      </c>
      <c r="E156" s="598" t="s">
        <v>1434</v>
      </c>
      <c r="F156" s="598" t="s">
        <v>1435</v>
      </c>
      <c r="G156" s="598" t="s">
        <v>1436</v>
      </c>
      <c r="H156" s="598" t="s">
        <v>1437</v>
      </c>
      <c r="I156" s="598" t="s">
        <v>1438</v>
      </c>
      <c r="J156" s="598" t="s">
        <v>1439</v>
      </c>
      <c r="K156" s="599" t="s">
        <v>1440</v>
      </c>
      <c r="P156" s="491" t="s">
        <v>1408</v>
      </c>
      <c r="Q156" s="491" t="s">
        <v>1415</v>
      </c>
      <c r="S156" s="491" t="s">
        <v>1365</v>
      </c>
    </row>
    <row r="157" spans="1:21">
      <c r="A157" s="627">
        <v>0</v>
      </c>
      <c r="B157" s="604" t="s">
        <v>1441</v>
      </c>
      <c r="C157" s="1066" t="s">
        <v>1442</v>
      </c>
      <c r="D157" s="1067"/>
      <c r="E157" s="1067"/>
      <c r="F157" s="1067"/>
      <c r="G157" s="1067"/>
      <c r="H157" s="1067"/>
      <c r="I157" s="1067"/>
      <c r="J157" s="1068"/>
      <c r="K157" s="627">
        <v>1</v>
      </c>
      <c r="P157" s="491" t="s">
        <v>1410</v>
      </c>
    </row>
    <row r="158" spans="1:21">
      <c r="A158" s="622" t="s">
        <v>1443</v>
      </c>
      <c r="B158" s="601" t="s">
        <v>1444</v>
      </c>
      <c r="C158" s="1072" t="s">
        <v>1445</v>
      </c>
      <c r="D158" s="1073"/>
      <c r="E158" s="1073"/>
      <c r="F158" s="1073"/>
      <c r="G158" s="1073"/>
      <c r="H158" s="1073"/>
      <c r="I158" s="1073"/>
      <c r="J158" s="1074"/>
      <c r="K158" s="622">
        <v>2</v>
      </c>
      <c r="P158" s="491" t="s">
        <v>1412</v>
      </c>
    </row>
    <row r="159" spans="1:21">
      <c r="A159" s="622" t="s">
        <v>1446</v>
      </c>
      <c r="B159" s="601" t="s">
        <v>1447</v>
      </c>
      <c r="C159" s="1072" t="s">
        <v>1448</v>
      </c>
      <c r="D159" s="1073"/>
      <c r="E159" s="1073"/>
      <c r="F159" s="1073"/>
      <c r="G159" s="1073"/>
      <c r="H159" s="1073"/>
      <c r="I159" s="1073"/>
      <c r="J159" s="1074"/>
      <c r="K159" s="622">
        <v>2</v>
      </c>
      <c r="P159" s="491" t="s">
        <v>1414</v>
      </c>
    </row>
    <row r="160" spans="1:21">
      <c r="A160" s="622" t="s">
        <v>1449</v>
      </c>
      <c r="B160" s="601" t="s">
        <v>1450</v>
      </c>
      <c r="C160" s="1075" t="s">
        <v>1451</v>
      </c>
      <c r="D160" s="1075"/>
      <c r="E160" s="1075"/>
      <c r="F160" s="1075"/>
      <c r="G160" s="1075"/>
      <c r="H160" s="1075"/>
      <c r="I160" s="1075"/>
      <c r="J160" s="1076"/>
      <c r="K160" s="602">
        <v>2</v>
      </c>
    </row>
    <row r="161" spans="1:11">
      <c r="A161" s="622" t="s">
        <v>1452</v>
      </c>
      <c r="B161" s="601" t="s">
        <v>1453</v>
      </c>
      <c r="C161" s="1077" t="s">
        <v>1454</v>
      </c>
      <c r="D161" s="1078"/>
      <c r="E161" s="1078"/>
      <c r="F161" s="1078"/>
      <c r="G161" s="1078"/>
      <c r="H161" s="1078"/>
      <c r="I161" s="1078"/>
      <c r="J161" s="1079"/>
      <c r="K161" s="622">
        <v>2</v>
      </c>
    </row>
    <row r="162" spans="1:11">
      <c r="A162" s="622" t="s">
        <v>1455</v>
      </c>
      <c r="B162" s="1080" t="s">
        <v>1456</v>
      </c>
      <c r="C162" s="1075" t="s">
        <v>1457</v>
      </c>
      <c r="D162" s="1075"/>
      <c r="E162" s="1075"/>
      <c r="F162" s="1075"/>
      <c r="G162" s="1075"/>
      <c r="H162" s="1075"/>
      <c r="I162" s="1075"/>
      <c r="J162" s="1076"/>
      <c r="K162" s="602">
        <v>2</v>
      </c>
    </row>
    <row r="163" spans="1:11" ht="17.25" thickBot="1">
      <c r="A163" s="622" t="s">
        <v>1458</v>
      </c>
      <c r="B163" s="991"/>
      <c r="C163" s="1072" t="s">
        <v>1459</v>
      </c>
      <c r="D163" s="1073"/>
      <c r="E163" s="1073"/>
      <c r="F163" s="1073"/>
      <c r="G163" s="1073"/>
      <c r="H163" s="1073"/>
      <c r="I163" s="1073"/>
      <c r="J163" s="1074"/>
      <c r="K163" s="622">
        <v>2</v>
      </c>
    </row>
    <row r="164" spans="1:11" ht="17.25" thickBot="1">
      <c r="A164" s="627" t="s">
        <v>1455</v>
      </c>
      <c r="B164" s="613" t="s">
        <v>1453</v>
      </c>
      <c r="C164" s="1095" t="s">
        <v>1584</v>
      </c>
      <c r="D164" s="1096"/>
      <c r="E164" s="1096"/>
      <c r="F164" s="1096"/>
      <c r="G164" s="1096"/>
      <c r="H164" s="1096"/>
      <c r="I164" s="1096"/>
      <c r="J164" s="1097"/>
      <c r="K164" s="613">
        <v>2</v>
      </c>
    </row>
    <row r="165" spans="1:11">
      <c r="A165" s="989" t="s">
        <v>1585</v>
      </c>
      <c r="B165" s="1122" t="s">
        <v>1586</v>
      </c>
      <c r="C165" s="1141" t="s">
        <v>1587</v>
      </c>
      <c r="D165" s="1142"/>
      <c r="E165" s="1142"/>
      <c r="F165" s="1142"/>
      <c r="G165" s="1142"/>
      <c r="H165" s="1142"/>
      <c r="I165" s="1142"/>
      <c r="J165" s="1143"/>
      <c r="K165" s="1122" t="s">
        <v>1588</v>
      </c>
    </row>
    <row r="166" spans="1:11">
      <c r="A166" s="990"/>
      <c r="B166" s="1098"/>
      <c r="C166" s="1099"/>
      <c r="D166" s="1100"/>
      <c r="E166" s="1100"/>
      <c r="F166" s="1100"/>
      <c r="G166" s="1100"/>
      <c r="H166" s="1100"/>
      <c r="I166" s="1100"/>
      <c r="J166" s="1101"/>
      <c r="K166" s="990"/>
    </row>
    <row r="167" spans="1:11" ht="17.25" thickBot="1">
      <c r="A167" s="990"/>
      <c r="B167" s="1098"/>
      <c r="C167" s="1144"/>
      <c r="D167" s="1145"/>
      <c r="E167" s="1145"/>
      <c r="F167" s="1145"/>
      <c r="G167" s="1145"/>
      <c r="H167" s="1145"/>
      <c r="I167" s="1145"/>
      <c r="J167" s="1146"/>
      <c r="K167" s="1081"/>
    </row>
    <row r="168" spans="1:11">
      <c r="A168" s="627" t="s">
        <v>1462</v>
      </c>
      <c r="B168" s="625" t="s">
        <v>48</v>
      </c>
      <c r="C168" s="925" t="s">
        <v>120</v>
      </c>
      <c r="D168" s="926"/>
      <c r="E168" s="926"/>
      <c r="F168" s="926"/>
      <c r="G168" s="926"/>
      <c r="H168" s="926"/>
      <c r="I168" s="926"/>
      <c r="J168" s="927"/>
      <c r="K168" s="39">
        <v>4</v>
      </c>
    </row>
    <row r="169" spans="1:11" ht="17.25" thickBot="1">
      <c r="A169" s="623" t="s">
        <v>1471</v>
      </c>
      <c r="B169" s="603" t="s">
        <v>1467</v>
      </c>
      <c r="C169" s="1064" t="s">
        <v>1468</v>
      </c>
      <c r="D169" s="1064"/>
      <c r="E169" s="1064"/>
      <c r="F169" s="1064"/>
      <c r="G169" s="1064"/>
      <c r="H169" s="1064"/>
      <c r="I169" s="1064"/>
      <c r="J169" s="1065"/>
      <c r="K169" s="623">
        <v>1</v>
      </c>
    </row>
  </sheetData>
  <mergeCells count="229">
    <mergeCell ref="A165:A167"/>
    <mergeCell ref="B165:B167"/>
    <mergeCell ref="C165:J167"/>
    <mergeCell ref="K165:K167"/>
    <mergeCell ref="C168:J168"/>
    <mergeCell ref="C169:J169"/>
    <mergeCell ref="C160:J160"/>
    <mergeCell ref="C161:J161"/>
    <mergeCell ref="B162:B163"/>
    <mergeCell ref="C162:J162"/>
    <mergeCell ref="C163:J163"/>
    <mergeCell ref="C164:J164"/>
    <mergeCell ref="C152:J152"/>
    <mergeCell ref="C153:J153"/>
    <mergeCell ref="A155:K155"/>
    <mergeCell ref="C157:J157"/>
    <mergeCell ref="C158:J158"/>
    <mergeCell ref="C159:J159"/>
    <mergeCell ref="B147:B148"/>
    <mergeCell ref="C147:J147"/>
    <mergeCell ref="C148:J148"/>
    <mergeCell ref="C149:J149"/>
    <mergeCell ref="C150:J150"/>
    <mergeCell ref="C151:J151"/>
    <mergeCell ref="A140:K140"/>
    <mergeCell ref="C142:J142"/>
    <mergeCell ref="C143:J143"/>
    <mergeCell ref="C144:J144"/>
    <mergeCell ref="C145:J145"/>
    <mergeCell ref="C146:J146"/>
    <mergeCell ref="C131:J131"/>
    <mergeCell ref="C132:J132"/>
    <mergeCell ref="C133:J133"/>
    <mergeCell ref="C134:J134"/>
    <mergeCell ref="A136:K136"/>
    <mergeCell ref="C138:J138"/>
    <mergeCell ref="C126:J126"/>
    <mergeCell ref="C127:J127"/>
    <mergeCell ref="B128:B129"/>
    <mergeCell ref="C128:J128"/>
    <mergeCell ref="C129:J129"/>
    <mergeCell ref="C130:J130"/>
    <mergeCell ref="C118:J118"/>
    <mergeCell ref="C119:J119"/>
    <mergeCell ref="A121:K121"/>
    <mergeCell ref="C123:J123"/>
    <mergeCell ref="C124:J124"/>
    <mergeCell ref="C125:J125"/>
    <mergeCell ref="B114:B115"/>
    <mergeCell ref="C114:J114"/>
    <mergeCell ref="C115:J115"/>
    <mergeCell ref="B116:B117"/>
    <mergeCell ref="C116:F116"/>
    <mergeCell ref="G116:J116"/>
    <mergeCell ref="C117:F117"/>
    <mergeCell ref="G117:J117"/>
    <mergeCell ref="B110:B111"/>
    <mergeCell ref="C110:J110"/>
    <mergeCell ref="C111:J111"/>
    <mergeCell ref="B112:B113"/>
    <mergeCell ref="C112:J112"/>
    <mergeCell ref="C113:J113"/>
    <mergeCell ref="B106:B107"/>
    <mergeCell ref="C106:J106"/>
    <mergeCell ref="C107:J107"/>
    <mergeCell ref="B108:B109"/>
    <mergeCell ref="C108:J108"/>
    <mergeCell ref="C109:J109"/>
    <mergeCell ref="B102:B103"/>
    <mergeCell ref="C102:J102"/>
    <mergeCell ref="C103:J103"/>
    <mergeCell ref="B104:B105"/>
    <mergeCell ref="C104:J104"/>
    <mergeCell ref="C105:J105"/>
    <mergeCell ref="B98:B99"/>
    <mergeCell ref="C98:J98"/>
    <mergeCell ref="C99:J99"/>
    <mergeCell ref="B100:B101"/>
    <mergeCell ref="C100:J100"/>
    <mergeCell ref="C101:J101"/>
    <mergeCell ref="B94:B95"/>
    <mergeCell ref="C94:J94"/>
    <mergeCell ref="C95:J95"/>
    <mergeCell ref="B96:B97"/>
    <mergeCell ref="C96:J96"/>
    <mergeCell ref="C97:J97"/>
    <mergeCell ref="B90:B91"/>
    <mergeCell ref="C90:J90"/>
    <mergeCell ref="C91:J91"/>
    <mergeCell ref="B92:B93"/>
    <mergeCell ref="C92:J92"/>
    <mergeCell ref="C93:J93"/>
    <mergeCell ref="B86:B87"/>
    <mergeCell ref="C86:J86"/>
    <mergeCell ref="C87:J87"/>
    <mergeCell ref="B88:B89"/>
    <mergeCell ref="C88:J88"/>
    <mergeCell ref="C89:J89"/>
    <mergeCell ref="B82:B83"/>
    <mergeCell ref="C82:J82"/>
    <mergeCell ref="C83:J83"/>
    <mergeCell ref="B84:B85"/>
    <mergeCell ref="C84:J84"/>
    <mergeCell ref="C85:J85"/>
    <mergeCell ref="B78:B79"/>
    <mergeCell ref="C78:J78"/>
    <mergeCell ref="C79:J79"/>
    <mergeCell ref="B80:B81"/>
    <mergeCell ref="C80:J80"/>
    <mergeCell ref="C81:J81"/>
    <mergeCell ref="B74:B75"/>
    <mergeCell ref="C74:J74"/>
    <mergeCell ref="C75:J75"/>
    <mergeCell ref="B76:B77"/>
    <mergeCell ref="C76:J76"/>
    <mergeCell ref="C77:J77"/>
    <mergeCell ref="B70:B71"/>
    <mergeCell ref="C70:J70"/>
    <mergeCell ref="C71:J71"/>
    <mergeCell ref="B72:B73"/>
    <mergeCell ref="C72:J72"/>
    <mergeCell ref="C73:J73"/>
    <mergeCell ref="C67:J67"/>
    <mergeCell ref="B68:B69"/>
    <mergeCell ref="C68:J68"/>
    <mergeCell ref="C69:J69"/>
    <mergeCell ref="C60:J60"/>
    <mergeCell ref="C61:J61"/>
    <mergeCell ref="B62:B65"/>
    <mergeCell ref="C62:J65"/>
    <mergeCell ref="K62:K65"/>
    <mergeCell ref="B66:B67"/>
    <mergeCell ref="C66:J66"/>
    <mergeCell ref="C53:J53"/>
    <mergeCell ref="B54:B59"/>
    <mergeCell ref="C54:J54"/>
    <mergeCell ref="C55:J55"/>
    <mergeCell ref="C56:J56"/>
    <mergeCell ref="C57:J57"/>
    <mergeCell ref="C58:J58"/>
    <mergeCell ref="C59:J59"/>
    <mergeCell ref="C48:J48"/>
    <mergeCell ref="C49:J49"/>
    <mergeCell ref="C50:J50"/>
    <mergeCell ref="B51:B52"/>
    <mergeCell ref="C51:J51"/>
    <mergeCell ref="C52:J52"/>
    <mergeCell ref="C37:J37"/>
    <mergeCell ref="C41:J41"/>
    <mergeCell ref="C42:J42"/>
    <mergeCell ref="A44:K44"/>
    <mergeCell ref="C46:J46"/>
    <mergeCell ref="C47:J47"/>
    <mergeCell ref="C31:J31"/>
    <mergeCell ref="C32:J32"/>
    <mergeCell ref="C33:J33"/>
    <mergeCell ref="C34:J34"/>
    <mergeCell ref="B35:B36"/>
    <mergeCell ref="C35:J35"/>
    <mergeCell ref="C36:J36"/>
    <mergeCell ref="B38:B39"/>
    <mergeCell ref="C38:F38"/>
    <mergeCell ref="G38:J38"/>
    <mergeCell ref="C39:F39"/>
    <mergeCell ref="G39:J39"/>
    <mergeCell ref="C23:J23"/>
    <mergeCell ref="C24:J24"/>
    <mergeCell ref="C25:J25"/>
    <mergeCell ref="C26:J26"/>
    <mergeCell ref="A28:K28"/>
    <mergeCell ref="C30:J30"/>
    <mergeCell ref="C16:J16"/>
    <mergeCell ref="C17:J17"/>
    <mergeCell ref="C18:J18"/>
    <mergeCell ref="C19:J19"/>
    <mergeCell ref="C20:J20"/>
    <mergeCell ref="B21:B22"/>
    <mergeCell ref="C21:J21"/>
    <mergeCell ref="C22:J22"/>
    <mergeCell ref="Q43:Z43"/>
    <mergeCell ref="A9:K9"/>
    <mergeCell ref="A10:B10"/>
    <mergeCell ref="A11:B11"/>
    <mergeCell ref="I11:J11"/>
    <mergeCell ref="A14:K14"/>
    <mergeCell ref="R38:U38"/>
    <mergeCell ref="V38:Y38"/>
    <mergeCell ref="R39:U39"/>
    <mergeCell ref="V39:Y39"/>
    <mergeCell ref="R40:Y40"/>
    <mergeCell ref="R41:Y41"/>
    <mergeCell ref="Q34:Q36"/>
    <mergeCell ref="R34:Y34"/>
    <mergeCell ref="R35:Y35"/>
    <mergeCell ref="R36:Y36"/>
    <mergeCell ref="R37:U37"/>
    <mergeCell ref="V37:Y37"/>
    <mergeCell ref="R31:U31"/>
    <mergeCell ref="V31:Y31"/>
    <mergeCell ref="R32:U32"/>
    <mergeCell ref="V32:Y32"/>
    <mergeCell ref="R33:U33"/>
    <mergeCell ref="V33:Y33"/>
    <mergeCell ref="R25:Y25"/>
    <mergeCell ref="Q26:Q27"/>
    <mergeCell ref="R26:Y26"/>
    <mergeCell ref="R27:Y27"/>
    <mergeCell ref="Q28:Q30"/>
    <mergeCell ref="R28:Y28"/>
    <mergeCell ref="R29:Y29"/>
    <mergeCell ref="R30:Y30"/>
    <mergeCell ref="R17:Y17"/>
    <mergeCell ref="Q19:Z19"/>
    <mergeCell ref="R21:Y21"/>
    <mergeCell ref="R22:Y22"/>
    <mergeCell ref="R23:Y23"/>
    <mergeCell ref="R24:Y24"/>
    <mergeCell ref="R11:Y11"/>
    <mergeCell ref="Q12:Q13"/>
    <mergeCell ref="R12:Y12"/>
    <mergeCell ref="R13:Y13"/>
    <mergeCell ref="R15:Y15"/>
    <mergeCell ref="R16:Y16"/>
    <mergeCell ref="A1:K1"/>
    <mergeCell ref="Q5:Z5"/>
    <mergeCell ref="R7:Y7"/>
    <mergeCell ref="R8:Y8"/>
    <mergeCell ref="R9:Y9"/>
    <mergeCell ref="R10:Y10"/>
  </mergeCells>
  <phoneticPr fontId="1" type="noConversion"/>
  <pageMargins left="0.7" right="0.7" top="0.75" bottom="0.75" header="0.3" footer="0.3"/>
  <pageSetup paperSize="9"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5" tint="0.39997558519241921"/>
  </sheetPr>
  <dimension ref="A1:Q150"/>
  <sheetViews>
    <sheetView topLeftCell="A22" workbookViewId="0">
      <selection activeCell="L63" sqref="L63:L64"/>
    </sheetView>
  </sheetViews>
  <sheetFormatPr defaultRowHeight="16.5"/>
  <sheetData>
    <row r="1" spans="1:17" ht="17.25" thickBot="1">
      <c r="A1" s="975" t="s">
        <v>105</v>
      </c>
      <c r="B1" s="976"/>
      <c r="C1" s="976"/>
      <c r="D1" s="976"/>
      <c r="E1" s="976"/>
      <c r="F1" s="976"/>
      <c r="G1" s="976"/>
      <c r="H1" s="976"/>
      <c r="I1" s="976"/>
      <c r="J1" s="976"/>
      <c r="K1" s="977"/>
    </row>
    <row r="2" spans="1:17">
      <c r="A2" s="49" t="s">
        <v>106</v>
      </c>
      <c r="B2" s="50" t="s">
        <v>122</v>
      </c>
      <c r="D2" s="51"/>
      <c r="E2" s="52"/>
      <c r="F2" s="52"/>
      <c r="G2" s="52"/>
      <c r="H2" s="52"/>
      <c r="I2" s="51"/>
      <c r="J2" s="52" t="s">
        <v>107</v>
      </c>
      <c r="K2" s="53" t="s">
        <v>792</v>
      </c>
    </row>
    <row r="3" spans="1:17">
      <c r="A3" s="45" t="s">
        <v>108</v>
      </c>
      <c r="B3" s="54"/>
      <c r="C3" s="56"/>
      <c r="D3" s="58"/>
      <c r="E3" s="58"/>
      <c r="F3" s="58"/>
      <c r="G3" s="58"/>
      <c r="H3" s="58"/>
      <c r="I3" s="57"/>
      <c r="J3" s="58" t="s">
        <v>109</v>
      </c>
      <c r="K3" s="418" t="s">
        <v>1162</v>
      </c>
    </row>
    <row r="4" spans="1:17" ht="17.25" thickBot="1">
      <c r="A4" s="46"/>
      <c r="B4" s="55"/>
      <c r="C4" s="47"/>
      <c r="D4" s="47"/>
      <c r="E4" s="47"/>
      <c r="F4" s="47"/>
      <c r="G4" s="47"/>
      <c r="H4" s="47"/>
      <c r="I4" s="48"/>
      <c r="J4" s="59" t="s">
        <v>110</v>
      </c>
      <c r="K4" s="212" t="s">
        <v>1163</v>
      </c>
    </row>
    <row r="5" spans="1:17" s="491" customFormat="1" ht="17.25" thickBot="1">
      <c r="A5" s="519" t="s">
        <v>1212</v>
      </c>
      <c r="B5" s="888" t="s">
        <v>1232</v>
      </c>
      <c r="C5" s="889"/>
      <c r="D5" s="889"/>
      <c r="E5" s="889"/>
      <c r="F5" s="889"/>
      <c r="G5" s="889"/>
      <c r="H5" s="889"/>
      <c r="I5" s="889"/>
      <c r="J5" s="889"/>
      <c r="K5" s="890"/>
    </row>
    <row r="6" spans="1:17" ht="17.25" thickBot="1">
      <c r="A6" s="102" t="s">
        <v>652</v>
      </c>
      <c r="B6" s="93" t="s">
        <v>97</v>
      </c>
      <c r="C6" s="126" t="s">
        <v>111</v>
      </c>
      <c r="D6" s="119" t="s">
        <v>112</v>
      </c>
      <c r="E6" s="119" t="s">
        <v>113</v>
      </c>
      <c r="F6" s="119" t="s">
        <v>114</v>
      </c>
      <c r="G6" s="119" t="s">
        <v>115</v>
      </c>
      <c r="H6" s="119" t="s">
        <v>116</v>
      </c>
      <c r="I6" s="119" t="s">
        <v>117</v>
      </c>
      <c r="J6" s="128" t="s">
        <v>118</v>
      </c>
      <c r="K6" s="103" t="s">
        <v>119</v>
      </c>
    </row>
    <row r="7" spans="1:17">
      <c r="A7" s="505">
        <v>1</v>
      </c>
      <c r="B7" s="496" t="s">
        <v>37</v>
      </c>
      <c r="C7" s="1033" t="s">
        <v>294</v>
      </c>
      <c r="D7" s="1034"/>
      <c r="E7" s="1034"/>
      <c r="F7" s="1034"/>
      <c r="G7" s="1034"/>
      <c r="H7" s="1034"/>
      <c r="I7" s="1034"/>
      <c r="J7" s="1035"/>
      <c r="K7" s="498">
        <v>1</v>
      </c>
    </row>
    <row r="8" spans="1:17">
      <c r="A8" s="239" t="s">
        <v>398</v>
      </c>
      <c r="B8" s="500" t="s">
        <v>36</v>
      </c>
      <c r="C8" s="814" t="s">
        <v>52</v>
      </c>
      <c r="D8" s="815"/>
      <c r="E8" s="815"/>
      <c r="F8" s="815"/>
      <c r="G8" s="815"/>
      <c r="H8" s="815"/>
      <c r="I8" s="815"/>
      <c r="J8" s="816"/>
      <c r="K8" s="244">
        <v>2</v>
      </c>
    </row>
    <row r="9" spans="1:17">
      <c r="A9" s="239" t="s">
        <v>399</v>
      </c>
      <c r="B9" s="500" t="s">
        <v>39</v>
      </c>
      <c r="C9" s="814" t="s">
        <v>53</v>
      </c>
      <c r="D9" s="815"/>
      <c r="E9" s="815"/>
      <c r="F9" s="815"/>
      <c r="G9" s="815"/>
      <c r="H9" s="815"/>
      <c r="I9" s="815"/>
      <c r="J9" s="816"/>
      <c r="K9" s="244">
        <v>2</v>
      </c>
    </row>
    <row r="10" spans="1:17">
      <c r="A10" s="239" t="s">
        <v>400</v>
      </c>
      <c r="B10" s="500" t="s">
        <v>40</v>
      </c>
      <c r="C10" s="814" t="s">
        <v>54</v>
      </c>
      <c r="D10" s="815"/>
      <c r="E10" s="815"/>
      <c r="F10" s="815"/>
      <c r="G10" s="815"/>
      <c r="H10" s="815"/>
      <c r="I10" s="815"/>
      <c r="J10" s="816"/>
      <c r="K10" s="244">
        <v>2</v>
      </c>
    </row>
    <row r="11" spans="1:17">
      <c r="A11" s="239" t="s">
        <v>401</v>
      </c>
      <c r="B11" s="500" t="s">
        <v>41</v>
      </c>
      <c r="C11" s="906" t="s">
        <v>1159</v>
      </c>
      <c r="D11" s="907"/>
      <c r="E11" s="907"/>
      <c r="F11" s="907"/>
      <c r="G11" s="907"/>
      <c r="H11" s="907"/>
      <c r="I11" s="907"/>
      <c r="J11" s="908"/>
      <c r="K11" s="244">
        <v>2</v>
      </c>
    </row>
    <row r="12" spans="1:17" s="491" customFormat="1">
      <c r="A12" s="239" t="s">
        <v>402</v>
      </c>
      <c r="B12" s="817" t="s">
        <v>42</v>
      </c>
      <c r="C12" s="819" t="s">
        <v>1145</v>
      </c>
      <c r="D12" s="820"/>
      <c r="E12" s="820"/>
      <c r="F12" s="820"/>
      <c r="G12" s="820"/>
      <c r="H12" s="820"/>
      <c r="I12" s="820"/>
      <c r="J12" s="821"/>
      <c r="K12" s="507">
        <v>2</v>
      </c>
    </row>
    <row r="13" spans="1:17" ht="17.25" thickBot="1">
      <c r="A13" s="497" t="s">
        <v>1152</v>
      </c>
      <c r="B13" s="818"/>
      <c r="C13" s="1040" t="s">
        <v>1146</v>
      </c>
      <c r="D13" s="1041"/>
      <c r="E13" s="1041"/>
      <c r="F13" s="1041"/>
      <c r="G13" s="1041"/>
      <c r="H13" s="1041"/>
      <c r="I13" s="1041"/>
      <c r="J13" s="1042"/>
      <c r="K13" s="499">
        <v>2</v>
      </c>
    </row>
    <row r="14" spans="1:17" ht="33.75" thickBot="1">
      <c r="A14" s="123" t="s">
        <v>404</v>
      </c>
      <c r="B14" s="95" t="s">
        <v>230</v>
      </c>
      <c r="C14" s="480" t="s">
        <v>1136</v>
      </c>
      <c r="D14" s="1160" t="s">
        <v>1119</v>
      </c>
      <c r="E14" s="1031"/>
      <c r="F14" s="1161"/>
      <c r="G14" s="509" t="s">
        <v>1140</v>
      </c>
      <c r="H14" s="509" t="s">
        <v>1139</v>
      </c>
      <c r="I14" s="509" t="s">
        <v>1138</v>
      </c>
      <c r="J14" s="510" t="s">
        <v>1137</v>
      </c>
      <c r="K14" s="98">
        <v>2</v>
      </c>
      <c r="L14">
        <v>0</v>
      </c>
      <c r="M14" s="511" t="s">
        <v>1141</v>
      </c>
      <c r="N14" s="511"/>
      <c r="O14" s="511"/>
      <c r="P14" s="511"/>
      <c r="Q14" s="511"/>
    </row>
    <row r="15" spans="1:17" ht="16.5" customHeight="1">
      <c r="A15" s="120" t="s">
        <v>406</v>
      </c>
      <c r="B15" s="833" t="s">
        <v>233</v>
      </c>
      <c r="C15" s="848" t="s">
        <v>234</v>
      </c>
      <c r="D15" s="849"/>
      <c r="E15" s="849"/>
      <c r="F15" s="849"/>
      <c r="G15" s="849" t="s">
        <v>235</v>
      </c>
      <c r="H15" s="849"/>
      <c r="I15" s="849"/>
      <c r="J15" s="850"/>
      <c r="K15" s="129">
        <v>2</v>
      </c>
      <c r="L15" s="1213">
        <v>1</v>
      </c>
    </row>
    <row r="16" spans="1:17" ht="16.5" customHeight="1">
      <c r="A16" s="121" t="s">
        <v>407</v>
      </c>
      <c r="B16" s="834"/>
      <c r="C16" s="854" t="s">
        <v>236</v>
      </c>
      <c r="D16" s="855"/>
      <c r="E16" s="855"/>
      <c r="F16" s="855"/>
      <c r="G16" s="855" t="s">
        <v>446</v>
      </c>
      <c r="H16" s="855"/>
      <c r="I16" s="855"/>
      <c r="J16" s="856"/>
      <c r="K16" s="130">
        <v>2</v>
      </c>
      <c r="L16" s="1213"/>
    </row>
    <row r="17" spans="1:12" ht="17.25" thickBot="1">
      <c r="A17" s="122" t="s">
        <v>408</v>
      </c>
      <c r="B17" s="838"/>
      <c r="C17" s="857" t="s">
        <v>238</v>
      </c>
      <c r="D17" s="858"/>
      <c r="E17" s="858"/>
      <c r="F17" s="858"/>
      <c r="G17" s="858" t="s">
        <v>239</v>
      </c>
      <c r="H17" s="858"/>
      <c r="I17" s="858"/>
      <c r="J17" s="859"/>
      <c r="K17" s="131">
        <v>2</v>
      </c>
      <c r="L17" s="1213"/>
    </row>
    <row r="18" spans="1:12">
      <c r="A18" s="124" t="s">
        <v>409</v>
      </c>
      <c r="B18" s="1150" t="s">
        <v>447</v>
      </c>
      <c r="C18" s="1151" t="s">
        <v>240</v>
      </c>
      <c r="D18" s="1152"/>
      <c r="E18" s="1152"/>
      <c r="F18" s="1152"/>
      <c r="G18" s="1152" t="s">
        <v>241</v>
      </c>
      <c r="H18" s="1152"/>
      <c r="I18" s="1152"/>
      <c r="J18" s="1153"/>
      <c r="K18" s="132">
        <v>2</v>
      </c>
      <c r="L18" s="1213">
        <v>2</v>
      </c>
    </row>
    <row r="19" spans="1:12">
      <c r="A19" s="121" t="s">
        <v>410</v>
      </c>
      <c r="B19" s="834"/>
      <c r="C19" s="1154" t="s">
        <v>242</v>
      </c>
      <c r="D19" s="1155"/>
      <c r="E19" s="1155"/>
      <c r="F19" s="1155"/>
      <c r="G19" s="1155" t="s">
        <v>243</v>
      </c>
      <c r="H19" s="1155"/>
      <c r="I19" s="1155"/>
      <c r="J19" s="1156"/>
      <c r="K19" s="130">
        <v>2</v>
      </c>
      <c r="L19" s="1213"/>
    </row>
    <row r="20" spans="1:12" ht="17.25" thickBot="1">
      <c r="A20" s="125" t="s">
        <v>411</v>
      </c>
      <c r="B20" s="817"/>
      <c r="C20" s="1157" t="s">
        <v>244</v>
      </c>
      <c r="D20" s="1158"/>
      <c r="E20" s="1158"/>
      <c r="F20" s="1158"/>
      <c r="G20" s="1158" t="s">
        <v>245</v>
      </c>
      <c r="H20" s="1158"/>
      <c r="I20" s="1158"/>
      <c r="J20" s="1159"/>
      <c r="K20" s="133">
        <v>2</v>
      </c>
      <c r="L20" s="1213"/>
    </row>
    <row r="21" spans="1:12">
      <c r="A21" s="120" t="s">
        <v>412</v>
      </c>
      <c r="B21" s="837" t="s">
        <v>246</v>
      </c>
      <c r="C21" s="1188" t="s">
        <v>247</v>
      </c>
      <c r="D21" s="1186"/>
      <c r="E21" s="1186"/>
      <c r="F21" s="848"/>
      <c r="G21" s="850" t="s">
        <v>248</v>
      </c>
      <c r="H21" s="1186"/>
      <c r="I21" s="1186"/>
      <c r="J21" s="1187"/>
      <c r="K21" s="105">
        <v>2</v>
      </c>
      <c r="L21" s="1213">
        <v>3</v>
      </c>
    </row>
    <row r="22" spans="1:12">
      <c r="A22" s="121" t="s">
        <v>413</v>
      </c>
      <c r="B22" s="909"/>
      <c r="C22" s="1185" t="s">
        <v>249</v>
      </c>
      <c r="D22" s="1183"/>
      <c r="E22" s="1183"/>
      <c r="F22" s="854"/>
      <c r="G22" s="856" t="s">
        <v>250</v>
      </c>
      <c r="H22" s="1183"/>
      <c r="I22" s="1183"/>
      <c r="J22" s="1184"/>
      <c r="K22" s="106">
        <v>2</v>
      </c>
      <c r="L22" s="1213"/>
    </row>
    <row r="23" spans="1:12" ht="17.25" thickBot="1">
      <c r="A23" s="122" t="s">
        <v>414</v>
      </c>
      <c r="B23" s="818"/>
      <c r="C23" s="1204" t="s">
        <v>448</v>
      </c>
      <c r="D23" s="1202"/>
      <c r="E23" s="1202"/>
      <c r="F23" s="857"/>
      <c r="G23" s="859" t="s">
        <v>252</v>
      </c>
      <c r="H23" s="1202"/>
      <c r="I23" s="1202"/>
      <c r="J23" s="1203"/>
      <c r="K23" s="131">
        <v>2</v>
      </c>
      <c r="L23" s="1213"/>
    </row>
    <row r="24" spans="1:12">
      <c r="A24" s="1162" t="s">
        <v>459</v>
      </c>
      <c r="B24" s="1150" t="s">
        <v>231</v>
      </c>
      <c r="C24" s="1164" t="s">
        <v>304</v>
      </c>
      <c r="D24" s="1165"/>
      <c r="E24" s="1165"/>
      <c r="F24" s="1165"/>
      <c r="G24" s="1165"/>
      <c r="H24" s="1165"/>
      <c r="I24" s="1165" t="s">
        <v>270</v>
      </c>
      <c r="J24" s="1168"/>
      <c r="K24" s="795">
        <v>2</v>
      </c>
      <c r="L24" s="1213">
        <v>4</v>
      </c>
    </row>
    <row r="25" spans="1:12" ht="17.25" thickBot="1">
      <c r="A25" s="1163"/>
      <c r="B25" s="817"/>
      <c r="C25" s="1166"/>
      <c r="D25" s="1167"/>
      <c r="E25" s="1167"/>
      <c r="F25" s="1167"/>
      <c r="G25" s="1167"/>
      <c r="H25" s="1167"/>
      <c r="I25" s="44" t="s">
        <v>269</v>
      </c>
      <c r="J25" s="23" t="s">
        <v>273</v>
      </c>
      <c r="K25" s="796"/>
      <c r="L25" s="1213"/>
    </row>
    <row r="26" spans="1:12" ht="16.5" customHeight="1">
      <c r="A26" s="120" t="s">
        <v>460</v>
      </c>
      <c r="B26" s="833" t="s">
        <v>253</v>
      </c>
      <c r="C26" s="848" t="s">
        <v>295</v>
      </c>
      <c r="D26" s="849"/>
      <c r="E26" s="849"/>
      <c r="F26" s="849"/>
      <c r="G26" s="849"/>
      <c r="H26" s="849"/>
      <c r="I26" s="849"/>
      <c r="J26" s="850"/>
      <c r="K26" s="129">
        <v>2</v>
      </c>
      <c r="L26" s="1213">
        <v>5</v>
      </c>
    </row>
    <row r="27" spans="1:12">
      <c r="A27" s="121" t="s">
        <v>417</v>
      </c>
      <c r="B27" s="834"/>
      <c r="C27" s="854" t="s">
        <v>296</v>
      </c>
      <c r="D27" s="855"/>
      <c r="E27" s="855"/>
      <c r="F27" s="855"/>
      <c r="G27" s="855"/>
      <c r="H27" s="855"/>
      <c r="I27" s="855"/>
      <c r="J27" s="856"/>
      <c r="K27" s="130">
        <v>2</v>
      </c>
      <c r="L27" s="1213"/>
    </row>
    <row r="28" spans="1:12">
      <c r="A28" s="121" t="s">
        <v>418</v>
      </c>
      <c r="B28" s="834" t="s">
        <v>254</v>
      </c>
      <c r="C28" s="854" t="s">
        <v>297</v>
      </c>
      <c r="D28" s="855"/>
      <c r="E28" s="855"/>
      <c r="F28" s="855"/>
      <c r="G28" s="855"/>
      <c r="H28" s="855"/>
      <c r="I28" s="855"/>
      <c r="J28" s="856"/>
      <c r="K28" s="130">
        <v>2</v>
      </c>
      <c r="L28" s="1213">
        <v>6</v>
      </c>
    </row>
    <row r="29" spans="1:12">
      <c r="A29" s="121" t="s">
        <v>419</v>
      </c>
      <c r="B29" s="834"/>
      <c r="C29" s="854" t="s">
        <v>298</v>
      </c>
      <c r="D29" s="855"/>
      <c r="E29" s="855"/>
      <c r="F29" s="855"/>
      <c r="G29" s="855"/>
      <c r="H29" s="855"/>
      <c r="I29" s="855"/>
      <c r="J29" s="856"/>
      <c r="K29" s="130">
        <v>2</v>
      </c>
      <c r="L29" s="1213"/>
    </row>
    <row r="30" spans="1:12">
      <c r="A30" s="121" t="s">
        <v>420</v>
      </c>
      <c r="B30" s="834" t="s">
        <v>255</v>
      </c>
      <c r="C30" s="854" t="s">
        <v>299</v>
      </c>
      <c r="D30" s="855"/>
      <c r="E30" s="855"/>
      <c r="F30" s="855"/>
      <c r="G30" s="855"/>
      <c r="H30" s="855"/>
      <c r="I30" s="855"/>
      <c r="J30" s="856"/>
      <c r="K30" s="130">
        <v>2</v>
      </c>
      <c r="L30" s="1213">
        <v>7</v>
      </c>
    </row>
    <row r="31" spans="1:12">
      <c r="A31" s="121" t="s">
        <v>421</v>
      </c>
      <c r="B31" s="834"/>
      <c r="C31" s="854" t="s">
        <v>300</v>
      </c>
      <c r="D31" s="855"/>
      <c r="E31" s="855"/>
      <c r="F31" s="855"/>
      <c r="G31" s="855"/>
      <c r="H31" s="855"/>
      <c r="I31" s="855"/>
      <c r="J31" s="856"/>
      <c r="K31" s="130">
        <v>2</v>
      </c>
      <c r="L31" s="1213"/>
    </row>
    <row r="32" spans="1:12">
      <c r="A32" s="121" t="s">
        <v>422</v>
      </c>
      <c r="B32" s="834" t="s">
        <v>256</v>
      </c>
      <c r="C32" s="854" t="s">
        <v>301</v>
      </c>
      <c r="D32" s="855"/>
      <c r="E32" s="855"/>
      <c r="F32" s="855"/>
      <c r="G32" s="855"/>
      <c r="H32" s="855"/>
      <c r="I32" s="855"/>
      <c r="J32" s="856"/>
      <c r="K32" s="130">
        <v>2</v>
      </c>
      <c r="L32" s="1213">
        <v>8</v>
      </c>
    </row>
    <row r="33" spans="1:12" ht="17.25" thickBot="1">
      <c r="A33" s="122" t="s">
        <v>423</v>
      </c>
      <c r="B33" s="838"/>
      <c r="C33" s="857" t="s">
        <v>302</v>
      </c>
      <c r="D33" s="858"/>
      <c r="E33" s="858"/>
      <c r="F33" s="858"/>
      <c r="G33" s="858"/>
      <c r="H33" s="858"/>
      <c r="I33" s="858"/>
      <c r="J33" s="859"/>
      <c r="K33" s="131">
        <v>2</v>
      </c>
      <c r="L33" s="1213"/>
    </row>
    <row r="34" spans="1:12" s="224" customFormat="1">
      <c r="A34" s="837" t="s">
        <v>1011</v>
      </c>
      <c r="B34" s="989" t="s">
        <v>859</v>
      </c>
      <c r="C34" s="1207"/>
      <c r="D34" s="1208"/>
      <c r="E34" s="1209"/>
      <c r="F34" s="1205" t="s">
        <v>905</v>
      </c>
      <c r="G34" s="1205"/>
      <c r="H34" s="1205"/>
      <c r="I34" s="1205"/>
      <c r="J34" s="1206"/>
      <c r="K34" s="864">
        <v>2</v>
      </c>
      <c r="L34" s="1213">
        <v>9</v>
      </c>
    </row>
    <row r="35" spans="1:12" s="224" customFormat="1" ht="16.5" customHeight="1" thickBot="1">
      <c r="A35" s="818"/>
      <c r="B35" s="990"/>
      <c r="C35" s="394" t="s">
        <v>987</v>
      </c>
      <c r="D35" s="358" t="s">
        <v>987</v>
      </c>
      <c r="E35" s="359" t="s">
        <v>987</v>
      </c>
      <c r="F35" s="393" t="s">
        <v>906</v>
      </c>
      <c r="G35" s="358" t="s">
        <v>860</v>
      </c>
      <c r="H35" s="358" t="s">
        <v>861</v>
      </c>
      <c r="I35" s="358" t="s">
        <v>863</v>
      </c>
      <c r="J35" s="359" t="s">
        <v>864</v>
      </c>
      <c r="K35" s="865"/>
      <c r="L35" s="1213"/>
    </row>
    <row r="36" spans="1:12" s="224" customFormat="1" ht="16.5" customHeight="1">
      <c r="A36" s="837" t="s">
        <v>1009</v>
      </c>
      <c r="B36" s="990"/>
      <c r="C36" s="1138" t="s">
        <v>988</v>
      </c>
      <c r="D36" s="1139"/>
      <c r="E36" s="1139"/>
      <c r="F36" s="1140"/>
      <c r="G36" s="1138" t="s">
        <v>986</v>
      </c>
      <c r="H36" s="1139"/>
      <c r="I36" s="1139"/>
      <c r="J36" s="1140"/>
      <c r="K36" s="990">
        <v>2</v>
      </c>
      <c r="L36" s="1213">
        <v>10</v>
      </c>
    </row>
    <row r="37" spans="1:12" s="224" customFormat="1" ht="16.5" customHeight="1" thickBot="1">
      <c r="A37" s="818"/>
      <c r="B37" s="991"/>
      <c r="C37" s="394" t="s">
        <v>989</v>
      </c>
      <c r="D37" s="358" t="s">
        <v>990</v>
      </c>
      <c r="E37" s="358" t="s">
        <v>861</v>
      </c>
      <c r="F37" s="395" t="s">
        <v>862</v>
      </c>
      <c r="G37" s="394" t="s">
        <v>989</v>
      </c>
      <c r="H37" s="358" t="s">
        <v>990</v>
      </c>
      <c r="I37" s="358" t="s">
        <v>861</v>
      </c>
      <c r="J37" s="395" t="s">
        <v>862</v>
      </c>
      <c r="K37" s="991"/>
      <c r="L37" s="1213"/>
    </row>
    <row r="38" spans="1:12" s="224" customFormat="1" ht="16.5" customHeight="1">
      <c r="A38" s="419" t="s">
        <v>1010</v>
      </c>
      <c r="B38" s="795" t="s">
        <v>701</v>
      </c>
      <c r="C38" s="848" t="s">
        <v>907</v>
      </c>
      <c r="D38" s="849"/>
      <c r="E38" s="849"/>
      <c r="F38" s="849"/>
      <c r="G38" s="849"/>
      <c r="H38" s="849"/>
      <c r="I38" s="849"/>
      <c r="J38" s="850"/>
      <c r="K38" s="371">
        <v>2</v>
      </c>
      <c r="L38" s="1213">
        <v>11</v>
      </c>
    </row>
    <row r="39" spans="1:12" s="224" customFormat="1" ht="16.5" customHeight="1">
      <c r="A39" s="420" t="s">
        <v>424</v>
      </c>
      <c r="B39" s="905"/>
      <c r="C39" s="854" t="s">
        <v>908</v>
      </c>
      <c r="D39" s="855"/>
      <c r="E39" s="855"/>
      <c r="F39" s="855"/>
      <c r="G39" s="855"/>
      <c r="H39" s="855"/>
      <c r="I39" s="855"/>
      <c r="J39" s="856"/>
      <c r="K39" s="244">
        <v>2</v>
      </c>
      <c r="L39" s="1213"/>
    </row>
    <row r="40" spans="1:12" s="224" customFormat="1" ht="16.5" customHeight="1">
      <c r="A40" s="420" t="s">
        <v>425</v>
      </c>
      <c r="B40" s="905"/>
      <c r="C40" s="854" t="s">
        <v>909</v>
      </c>
      <c r="D40" s="855"/>
      <c r="E40" s="855"/>
      <c r="F40" s="855"/>
      <c r="G40" s="855"/>
      <c r="H40" s="855"/>
      <c r="I40" s="855"/>
      <c r="J40" s="856"/>
      <c r="K40" s="244">
        <v>2</v>
      </c>
      <c r="L40" s="1213"/>
    </row>
    <row r="41" spans="1:12" s="224" customFormat="1" ht="16.5" customHeight="1" thickBot="1">
      <c r="A41" s="421" t="s">
        <v>426</v>
      </c>
      <c r="B41" s="796"/>
      <c r="C41" s="857" t="s">
        <v>910</v>
      </c>
      <c r="D41" s="858"/>
      <c r="E41" s="858"/>
      <c r="F41" s="858"/>
      <c r="G41" s="858"/>
      <c r="H41" s="858"/>
      <c r="I41" s="858"/>
      <c r="J41" s="859"/>
      <c r="K41" s="372">
        <v>2</v>
      </c>
      <c r="L41" s="1213"/>
    </row>
    <row r="42" spans="1:12">
      <c r="A42" s="1162" t="s">
        <v>1012</v>
      </c>
      <c r="B42" s="1150" t="s">
        <v>258</v>
      </c>
      <c r="C42" s="1164" t="s">
        <v>271</v>
      </c>
      <c r="D42" s="1165"/>
      <c r="E42" s="1165" t="s">
        <v>276</v>
      </c>
      <c r="F42" s="1165"/>
      <c r="G42" s="1165"/>
      <c r="H42" s="1165"/>
      <c r="I42" s="1152" t="s">
        <v>293</v>
      </c>
      <c r="J42" s="1153"/>
      <c r="K42" s="1198">
        <v>2</v>
      </c>
      <c r="L42" s="1213">
        <v>12</v>
      </c>
    </row>
    <row r="43" spans="1:12" ht="17.25" thickBot="1">
      <c r="A43" s="1163"/>
      <c r="B43" s="817"/>
      <c r="C43" s="43" t="s">
        <v>272</v>
      </c>
      <c r="D43" s="44" t="s">
        <v>292</v>
      </c>
      <c r="E43" s="1167"/>
      <c r="F43" s="1167"/>
      <c r="G43" s="1167"/>
      <c r="H43" s="1167"/>
      <c r="I43" s="1167" t="s">
        <v>277</v>
      </c>
      <c r="J43" s="1197"/>
      <c r="K43" s="1199"/>
      <c r="L43" s="1213"/>
    </row>
    <row r="44" spans="1:12">
      <c r="A44" s="1169" t="s">
        <v>1013</v>
      </c>
      <c r="B44" s="833" t="s">
        <v>291</v>
      </c>
      <c r="C44" s="848" t="s">
        <v>449</v>
      </c>
      <c r="D44" s="849"/>
      <c r="E44" s="849"/>
      <c r="F44" s="849"/>
      <c r="G44" s="1200" t="s">
        <v>275</v>
      </c>
      <c r="H44" s="1200"/>
      <c r="I44" s="1200"/>
      <c r="J44" s="1201"/>
      <c r="K44" s="851">
        <v>2</v>
      </c>
      <c r="L44" s="1213">
        <v>13</v>
      </c>
    </row>
    <row r="45" spans="1:12" ht="16.5" customHeight="1" thickBot="1">
      <c r="A45" s="1170"/>
      <c r="B45" s="838"/>
      <c r="C45" s="127" t="s">
        <v>450</v>
      </c>
      <c r="D45" s="42" t="s">
        <v>267</v>
      </c>
      <c r="E45" s="42" t="s">
        <v>266</v>
      </c>
      <c r="F45" s="42" t="s">
        <v>274</v>
      </c>
      <c r="G45" s="858" t="s">
        <v>232</v>
      </c>
      <c r="H45" s="858"/>
      <c r="I45" s="858"/>
      <c r="J45" s="859"/>
      <c r="K45" s="852"/>
      <c r="L45" s="1213"/>
    </row>
    <row r="46" spans="1:12" s="224" customFormat="1" ht="17.25" thickBot="1">
      <c r="A46" s="428" t="s">
        <v>429</v>
      </c>
      <c r="B46" s="246" t="s">
        <v>259</v>
      </c>
      <c r="C46" s="266" t="s">
        <v>260</v>
      </c>
      <c r="D46" s="267"/>
      <c r="E46" s="268"/>
      <c r="F46" s="268" t="s">
        <v>221</v>
      </c>
      <c r="G46" s="268" t="s">
        <v>220</v>
      </c>
      <c r="H46" s="268" t="s">
        <v>219</v>
      </c>
      <c r="I46" s="268" t="s">
        <v>127</v>
      </c>
      <c r="J46" s="269" t="s">
        <v>131</v>
      </c>
      <c r="K46" s="249">
        <v>2</v>
      </c>
      <c r="L46" s="224">
        <v>14</v>
      </c>
    </row>
    <row r="47" spans="1:12" ht="16.5" customHeight="1">
      <c r="A47" s="240" t="s">
        <v>430</v>
      </c>
      <c r="B47" s="1189" t="s">
        <v>279</v>
      </c>
      <c r="C47" s="1191" t="s">
        <v>451</v>
      </c>
      <c r="D47" s="1192"/>
      <c r="E47" s="1192"/>
      <c r="F47" s="1192"/>
      <c r="G47" s="1192"/>
      <c r="H47" s="1192"/>
      <c r="I47" s="1192"/>
      <c r="J47" s="1193"/>
      <c r="K47" s="134">
        <v>2</v>
      </c>
      <c r="L47" s="1213">
        <v>15</v>
      </c>
    </row>
    <row r="48" spans="1:12" ht="16.5" customHeight="1" thickBot="1">
      <c r="A48" s="122" t="s">
        <v>431</v>
      </c>
      <c r="B48" s="1190"/>
      <c r="C48" s="1194" t="s">
        <v>452</v>
      </c>
      <c r="D48" s="1195"/>
      <c r="E48" s="1195"/>
      <c r="F48" s="1195"/>
      <c r="G48" s="1195"/>
      <c r="H48" s="1195"/>
      <c r="I48" s="1195"/>
      <c r="J48" s="1196"/>
      <c r="K48" s="135">
        <v>2</v>
      </c>
      <c r="L48" s="1213"/>
    </row>
    <row r="49" spans="1:12" s="224" customFormat="1" ht="16.5" customHeight="1">
      <c r="A49" s="242" t="s">
        <v>432</v>
      </c>
      <c r="B49" s="801" t="s">
        <v>280</v>
      </c>
      <c r="C49" s="1017" t="s">
        <v>281</v>
      </c>
      <c r="D49" s="1018"/>
      <c r="E49" s="1018"/>
      <c r="F49" s="1018"/>
      <c r="G49" s="1018"/>
      <c r="H49" s="1018"/>
      <c r="I49" s="1018"/>
      <c r="J49" s="1019"/>
      <c r="K49" s="245">
        <v>2</v>
      </c>
      <c r="L49" s="1213">
        <v>16</v>
      </c>
    </row>
    <row r="50" spans="1:12" s="224" customFormat="1" ht="16.5" customHeight="1">
      <c r="A50" s="241" t="s">
        <v>433</v>
      </c>
      <c r="B50" s="952"/>
      <c r="C50" s="969" t="s">
        <v>282</v>
      </c>
      <c r="D50" s="970"/>
      <c r="E50" s="970"/>
      <c r="F50" s="970"/>
      <c r="G50" s="970"/>
      <c r="H50" s="970"/>
      <c r="I50" s="970"/>
      <c r="J50" s="971"/>
      <c r="K50" s="244">
        <v>2</v>
      </c>
      <c r="L50" s="1213"/>
    </row>
    <row r="51" spans="1:12" ht="16.5" customHeight="1">
      <c r="A51" s="242" t="s">
        <v>434</v>
      </c>
      <c r="B51" s="801" t="s">
        <v>680</v>
      </c>
      <c r="C51" s="1017" t="s">
        <v>681</v>
      </c>
      <c r="D51" s="1018"/>
      <c r="E51" s="1018"/>
      <c r="F51" s="1018"/>
      <c r="G51" s="1018"/>
      <c r="H51" s="1018"/>
      <c r="I51" s="1018"/>
      <c r="J51" s="1019"/>
      <c r="K51" s="132">
        <v>2</v>
      </c>
      <c r="L51" s="1213">
        <v>17</v>
      </c>
    </row>
    <row r="52" spans="1:12" ht="16.5" customHeight="1">
      <c r="A52" s="241" t="s">
        <v>435</v>
      </c>
      <c r="B52" s="952"/>
      <c r="C52" s="969" t="s">
        <v>682</v>
      </c>
      <c r="D52" s="970"/>
      <c r="E52" s="970"/>
      <c r="F52" s="970"/>
      <c r="G52" s="970"/>
      <c r="H52" s="970"/>
      <c r="I52" s="970"/>
      <c r="J52" s="971"/>
      <c r="K52" s="130">
        <v>2</v>
      </c>
      <c r="L52" s="1213"/>
    </row>
    <row r="53" spans="1:12" ht="16.5" customHeight="1">
      <c r="A53" s="241" t="s">
        <v>436</v>
      </c>
      <c r="B53" s="952" t="s">
        <v>937</v>
      </c>
      <c r="C53" s="969" t="s">
        <v>939</v>
      </c>
      <c r="D53" s="970"/>
      <c r="E53" s="970"/>
      <c r="F53" s="970"/>
      <c r="G53" s="970"/>
      <c r="H53" s="970"/>
      <c r="I53" s="970"/>
      <c r="J53" s="971"/>
      <c r="K53" s="130">
        <v>2</v>
      </c>
      <c r="L53" s="1213">
        <v>18</v>
      </c>
    </row>
    <row r="54" spans="1:12" ht="16.5" customHeight="1">
      <c r="A54" s="241" t="s">
        <v>437</v>
      </c>
      <c r="B54" s="952"/>
      <c r="C54" s="969" t="s">
        <v>940</v>
      </c>
      <c r="D54" s="970"/>
      <c r="E54" s="970"/>
      <c r="F54" s="970"/>
      <c r="G54" s="970"/>
      <c r="H54" s="970"/>
      <c r="I54" s="970"/>
      <c r="J54" s="971"/>
      <c r="K54" s="130">
        <v>2</v>
      </c>
      <c r="L54" s="1213"/>
    </row>
    <row r="55" spans="1:12" s="224" customFormat="1" ht="16.5" customHeight="1">
      <c r="A55" s="241" t="s">
        <v>438</v>
      </c>
      <c r="B55" s="952" t="s">
        <v>938</v>
      </c>
      <c r="C55" s="969" t="s">
        <v>941</v>
      </c>
      <c r="D55" s="970"/>
      <c r="E55" s="970"/>
      <c r="F55" s="970"/>
      <c r="G55" s="970"/>
      <c r="H55" s="970"/>
      <c r="I55" s="970"/>
      <c r="J55" s="971"/>
      <c r="K55" s="244">
        <v>2</v>
      </c>
      <c r="L55" s="1213">
        <v>19</v>
      </c>
    </row>
    <row r="56" spans="1:12" s="224" customFormat="1" ht="16.5" customHeight="1">
      <c r="A56" s="241" t="s">
        <v>439</v>
      </c>
      <c r="B56" s="952"/>
      <c r="C56" s="969" t="s">
        <v>942</v>
      </c>
      <c r="D56" s="970"/>
      <c r="E56" s="970"/>
      <c r="F56" s="970"/>
      <c r="G56" s="970"/>
      <c r="H56" s="970"/>
      <c r="I56" s="970"/>
      <c r="J56" s="971"/>
      <c r="K56" s="244">
        <v>2</v>
      </c>
      <c r="L56" s="1213"/>
    </row>
    <row r="57" spans="1:12" ht="16.5" customHeight="1">
      <c r="A57" s="241" t="s">
        <v>440</v>
      </c>
      <c r="B57" s="952" t="s">
        <v>453</v>
      </c>
      <c r="C57" s="969" t="s">
        <v>285</v>
      </c>
      <c r="D57" s="970"/>
      <c r="E57" s="970"/>
      <c r="F57" s="970"/>
      <c r="G57" s="970"/>
      <c r="H57" s="970"/>
      <c r="I57" s="970"/>
      <c r="J57" s="971"/>
      <c r="K57" s="130">
        <v>2</v>
      </c>
      <c r="L57" s="1213">
        <v>20</v>
      </c>
    </row>
    <row r="58" spans="1:12">
      <c r="A58" s="241" t="s">
        <v>441</v>
      </c>
      <c r="B58" s="952"/>
      <c r="C58" s="969" t="s">
        <v>286</v>
      </c>
      <c r="D58" s="970"/>
      <c r="E58" s="970"/>
      <c r="F58" s="970"/>
      <c r="G58" s="970"/>
      <c r="H58" s="970"/>
      <c r="I58" s="970"/>
      <c r="J58" s="971"/>
      <c r="K58" s="130">
        <v>2</v>
      </c>
      <c r="L58" s="1213"/>
    </row>
    <row r="59" spans="1:12" s="224" customFormat="1" ht="16.5" customHeight="1">
      <c r="A59" s="241" t="s">
        <v>943</v>
      </c>
      <c r="B59" s="800" t="s">
        <v>973</v>
      </c>
      <c r="C59" s="1210" t="s">
        <v>974</v>
      </c>
      <c r="D59" s="1211"/>
      <c r="E59" s="1211"/>
      <c r="F59" s="1211"/>
      <c r="G59" s="1211"/>
      <c r="H59" s="1211"/>
      <c r="I59" s="1211"/>
      <c r="J59" s="1212"/>
      <c r="K59" s="244">
        <v>2</v>
      </c>
      <c r="L59" s="1213">
        <v>21</v>
      </c>
    </row>
    <row r="60" spans="1:12" s="224" customFormat="1">
      <c r="A60" s="241" t="s">
        <v>442</v>
      </c>
      <c r="B60" s="801"/>
      <c r="C60" s="1210" t="s">
        <v>975</v>
      </c>
      <c r="D60" s="1211"/>
      <c r="E60" s="1211"/>
      <c r="F60" s="1211"/>
      <c r="G60" s="1211"/>
      <c r="H60" s="1211"/>
      <c r="I60" s="1211"/>
      <c r="J60" s="1212"/>
      <c r="K60" s="244">
        <v>2</v>
      </c>
      <c r="L60" s="1213"/>
    </row>
    <row r="61" spans="1:12" ht="17.25" customHeight="1">
      <c r="A61" s="241" t="s">
        <v>944</v>
      </c>
      <c r="B61" s="952" t="s">
        <v>283</v>
      </c>
      <c r="C61" s="969" t="s">
        <v>287</v>
      </c>
      <c r="D61" s="970"/>
      <c r="E61" s="970"/>
      <c r="F61" s="970"/>
      <c r="G61" s="970"/>
      <c r="H61" s="970"/>
      <c r="I61" s="970"/>
      <c r="J61" s="971"/>
      <c r="K61" s="130">
        <v>2</v>
      </c>
      <c r="L61" s="1213">
        <v>22</v>
      </c>
    </row>
    <row r="62" spans="1:12" ht="16.5" customHeight="1">
      <c r="A62" s="241" t="s">
        <v>945</v>
      </c>
      <c r="B62" s="952"/>
      <c r="C62" s="969" t="s">
        <v>288</v>
      </c>
      <c r="D62" s="970"/>
      <c r="E62" s="970"/>
      <c r="F62" s="970"/>
      <c r="G62" s="970"/>
      <c r="H62" s="970"/>
      <c r="I62" s="970"/>
      <c r="J62" s="971"/>
      <c r="K62" s="130">
        <v>2</v>
      </c>
      <c r="L62" s="1213"/>
    </row>
    <row r="63" spans="1:12" ht="16.5" customHeight="1">
      <c r="A63" s="241" t="s">
        <v>946</v>
      </c>
      <c r="B63" s="952" t="s">
        <v>284</v>
      </c>
      <c r="C63" s="969" t="s">
        <v>289</v>
      </c>
      <c r="D63" s="970"/>
      <c r="E63" s="970"/>
      <c r="F63" s="970"/>
      <c r="G63" s="970"/>
      <c r="H63" s="970"/>
      <c r="I63" s="970"/>
      <c r="J63" s="971"/>
      <c r="K63" s="130">
        <v>2</v>
      </c>
      <c r="L63" s="1213">
        <v>23</v>
      </c>
    </row>
    <row r="64" spans="1:12" ht="17.25" thickBot="1">
      <c r="A64" s="243" t="s">
        <v>947</v>
      </c>
      <c r="B64" s="800"/>
      <c r="C64" s="1171" t="s">
        <v>290</v>
      </c>
      <c r="D64" s="1172"/>
      <c r="E64" s="1172"/>
      <c r="F64" s="1172"/>
      <c r="G64" s="1172"/>
      <c r="H64" s="1172"/>
      <c r="I64" s="1172"/>
      <c r="J64" s="1173"/>
      <c r="K64" s="133">
        <v>2</v>
      </c>
      <c r="L64" s="1213"/>
    </row>
    <row r="65" spans="1:12" ht="16.5" customHeight="1">
      <c r="A65" s="240" t="s">
        <v>463</v>
      </c>
      <c r="B65" s="1009" t="s">
        <v>462</v>
      </c>
      <c r="C65" s="136" t="s">
        <v>309</v>
      </c>
      <c r="D65" s="137" t="s">
        <v>310</v>
      </c>
      <c r="E65" s="137" t="s">
        <v>311</v>
      </c>
      <c r="F65" s="137" t="s">
        <v>312</v>
      </c>
      <c r="G65" s="137" t="s">
        <v>313</v>
      </c>
      <c r="H65" s="137" t="s">
        <v>314</v>
      </c>
      <c r="I65" s="137" t="s">
        <v>315</v>
      </c>
      <c r="J65" s="138" t="s">
        <v>316</v>
      </c>
      <c r="K65" s="129">
        <v>2</v>
      </c>
      <c r="L65">
        <v>24</v>
      </c>
    </row>
    <row r="66" spans="1:12">
      <c r="A66" s="241" t="s">
        <v>464</v>
      </c>
      <c r="B66" s="952"/>
      <c r="C66" s="139" t="s">
        <v>454</v>
      </c>
      <c r="D66" s="140" t="s">
        <v>317</v>
      </c>
      <c r="E66" s="140" t="s">
        <v>318</v>
      </c>
      <c r="F66" s="140" t="s">
        <v>319</v>
      </c>
      <c r="G66" s="140" t="s">
        <v>320</v>
      </c>
      <c r="H66" s="140" t="s">
        <v>321</v>
      </c>
      <c r="I66" s="140" t="s">
        <v>322</v>
      </c>
      <c r="J66" s="141" t="s">
        <v>323</v>
      </c>
      <c r="K66" s="130">
        <v>2</v>
      </c>
      <c r="L66">
        <v>25</v>
      </c>
    </row>
    <row r="67" spans="1:12">
      <c r="A67" s="241" t="s">
        <v>465</v>
      </c>
      <c r="B67" s="952"/>
      <c r="C67" s="139" t="s">
        <v>324</v>
      </c>
      <c r="D67" s="140" t="s">
        <v>325</v>
      </c>
      <c r="E67" s="140" t="s">
        <v>326</v>
      </c>
      <c r="F67" s="140" t="s">
        <v>327</v>
      </c>
      <c r="G67" s="140" t="s">
        <v>328</v>
      </c>
      <c r="H67" s="140" t="s">
        <v>329</v>
      </c>
      <c r="I67" s="140" t="s">
        <v>330</v>
      </c>
      <c r="J67" s="141" t="s">
        <v>331</v>
      </c>
      <c r="K67" s="130">
        <v>2</v>
      </c>
      <c r="L67" s="491">
        <v>26</v>
      </c>
    </row>
    <row r="68" spans="1:12">
      <c r="A68" s="241" t="s">
        <v>466</v>
      </c>
      <c r="B68" s="952"/>
      <c r="C68" s="139" t="s">
        <v>332</v>
      </c>
      <c r="D68" s="140" t="s">
        <v>333</v>
      </c>
      <c r="E68" s="140" t="s">
        <v>334</v>
      </c>
      <c r="F68" s="140" t="s">
        <v>335</v>
      </c>
      <c r="G68" s="140" t="s">
        <v>336</v>
      </c>
      <c r="H68" s="140" t="s">
        <v>337</v>
      </c>
      <c r="I68" s="140" t="s">
        <v>338</v>
      </c>
      <c r="J68" s="141" t="s">
        <v>339</v>
      </c>
      <c r="K68" s="130">
        <v>2</v>
      </c>
      <c r="L68" s="491">
        <v>27</v>
      </c>
    </row>
    <row r="69" spans="1:12">
      <c r="A69" s="241" t="s">
        <v>467</v>
      </c>
      <c r="B69" s="952"/>
      <c r="C69" s="139" t="s">
        <v>340</v>
      </c>
      <c r="D69" s="140" t="s">
        <v>341</v>
      </c>
      <c r="E69" s="140" t="s">
        <v>342</v>
      </c>
      <c r="F69" s="140" t="s">
        <v>343</v>
      </c>
      <c r="G69" s="140" t="s">
        <v>344</v>
      </c>
      <c r="H69" s="140" t="s">
        <v>345</v>
      </c>
      <c r="I69" s="140" t="s">
        <v>346</v>
      </c>
      <c r="J69" s="141" t="s">
        <v>347</v>
      </c>
      <c r="K69" s="130">
        <v>2</v>
      </c>
      <c r="L69" s="491">
        <v>28</v>
      </c>
    </row>
    <row r="70" spans="1:12">
      <c r="A70" s="241" t="s">
        <v>468</v>
      </c>
      <c r="B70" s="952"/>
      <c r="C70" s="139" t="s">
        <v>348</v>
      </c>
      <c r="D70" s="140" t="s">
        <v>349</v>
      </c>
      <c r="E70" s="140" t="s">
        <v>350</v>
      </c>
      <c r="F70" s="140" t="s">
        <v>351</v>
      </c>
      <c r="G70" s="140" t="s">
        <v>352</v>
      </c>
      <c r="H70" s="140" t="s">
        <v>353</v>
      </c>
      <c r="I70" s="140" t="s">
        <v>354</v>
      </c>
      <c r="J70" s="141" t="s">
        <v>355</v>
      </c>
      <c r="K70" s="130">
        <v>2</v>
      </c>
      <c r="L70" s="491">
        <v>29</v>
      </c>
    </row>
    <row r="71" spans="1:12">
      <c r="A71" s="241" t="s">
        <v>469</v>
      </c>
      <c r="B71" s="952"/>
      <c r="C71" s="139" t="s">
        <v>356</v>
      </c>
      <c r="D71" s="140" t="s">
        <v>357</v>
      </c>
      <c r="E71" s="140" t="s">
        <v>358</v>
      </c>
      <c r="F71" s="140" t="s">
        <v>359</v>
      </c>
      <c r="G71" s="140" t="s">
        <v>360</v>
      </c>
      <c r="H71" s="140" t="s">
        <v>361</v>
      </c>
      <c r="I71" s="140" t="s">
        <v>362</v>
      </c>
      <c r="J71" s="141" t="s">
        <v>363</v>
      </c>
      <c r="K71" s="130">
        <v>2</v>
      </c>
      <c r="L71" s="491">
        <v>30</v>
      </c>
    </row>
    <row r="72" spans="1:12">
      <c r="A72" s="241" t="s">
        <v>470</v>
      </c>
      <c r="B72" s="952"/>
      <c r="C72" s="139" t="s">
        <v>364</v>
      </c>
      <c r="D72" s="140" t="s">
        <v>365</v>
      </c>
      <c r="E72" s="140" t="s">
        <v>366</v>
      </c>
      <c r="F72" s="140" t="s">
        <v>367</v>
      </c>
      <c r="G72" s="140" t="s">
        <v>368</v>
      </c>
      <c r="H72" s="140" t="s">
        <v>369</v>
      </c>
      <c r="I72" s="140" t="s">
        <v>370</v>
      </c>
      <c r="J72" s="141" t="s">
        <v>371</v>
      </c>
      <c r="K72" s="130">
        <v>2</v>
      </c>
      <c r="L72" s="491">
        <v>31</v>
      </c>
    </row>
    <row r="73" spans="1:12" ht="16.5" customHeight="1">
      <c r="A73" s="241" t="s">
        <v>992</v>
      </c>
      <c r="B73" s="952"/>
      <c r="C73" s="139" t="s">
        <v>372</v>
      </c>
      <c r="D73" s="140" t="s">
        <v>373</v>
      </c>
      <c r="E73" s="140" t="s">
        <v>374</v>
      </c>
      <c r="F73" s="140" t="s">
        <v>375</v>
      </c>
      <c r="G73" s="140" t="s">
        <v>376</v>
      </c>
      <c r="H73" s="140" t="s">
        <v>377</v>
      </c>
      <c r="I73" s="140" t="s">
        <v>378</v>
      </c>
      <c r="J73" s="141" t="s">
        <v>379</v>
      </c>
      <c r="K73" s="130">
        <v>2</v>
      </c>
      <c r="L73" s="491">
        <v>32</v>
      </c>
    </row>
    <row r="74" spans="1:12" ht="17.25" thickBot="1">
      <c r="A74" s="122" t="s">
        <v>993</v>
      </c>
      <c r="B74" s="1026"/>
      <c r="C74" s="142" t="s">
        <v>455</v>
      </c>
      <c r="D74" s="143" t="s">
        <v>380</v>
      </c>
      <c r="E74" s="143" t="s">
        <v>381</v>
      </c>
      <c r="F74" s="143" t="s">
        <v>382</v>
      </c>
      <c r="G74" s="143" t="s">
        <v>383</v>
      </c>
      <c r="H74" s="143" t="s">
        <v>384</v>
      </c>
      <c r="I74" s="143" t="s">
        <v>385</v>
      </c>
      <c r="J74" s="144" t="s">
        <v>386</v>
      </c>
      <c r="K74" s="131">
        <v>2</v>
      </c>
      <c r="L74" s="491">
        <v>33</v>
      </c>
    </row>
    <row r="75" spans="1:12" s="224" customFormat="1">
      <c r="A75" s="240" t="s">
        <v>994</v>
      </c>
      <c r="B75" s="780" t="s">
        <v>782</v>
      </c>
      <c r="C75" s="844" t="s">
        <v>783</v>
      </c>
      <c r="D75" s="845"/>
      <c r="E75" s="845"/>
      <c r="F75" s="845"/>
      <c r="G75" s="845"/>
      <c r="H75" s="845"/>
      <c r="I75" s="845"/>
      <c r="J75" s="956"/>
      <c r="K75" s="317">
        <v>2</v>
      </c>
      <c r="L75" s="491">
        <v>34</v>
      </c>
    </row>
    <row r="76" spans="1:12" s="224" customFormat="1">
      <c r="A76" s="241" t="s">
        <v>995</v>
      </c>
      <c r="B76" s="781"/>
      <c r="C76" s="969" t="s">
        <v>784</v>
      </c>
      <c r="D76" s="970"/>
      <c r="E76" s="970"/>
      <c r="F76" s="970"/>
      <c r="G76" s="970"/>
      <c r="H76" s="970"/>
      <c r="I76" s="970"/>
      <c r="J76" s="971"/>
      <c r="K76" s="244">
        <v>2</v>
      </c>
      <c r="L76" s="491">
        <v>35</v>
      </c>
    </row>
    <row r="77" spans="1:12" s="224" customFormat="1">
      <c r="A77" s="242" t="s">
        <v>996</v>
      </c>
      <c r="B77" s="781"/>
      <c r="C77" s="1017" t="s">
        <v>785</v>
      </c>
      <c r="D77" s="1018"/>
      <c r="E77" s="1018"/>
      <c r="F77" s="1018"/>
      <c r="G77" s="1018"/>
      <c r="H77" s="1018"/>
      <c r="I77" s="1018"/>
      <c r="J77" s="1019"/>
      <c r="K77" s="322">
        <v>2</v>
      </c>
      <c r="L77" s="491">
        <v>36</v>
      </c>
    </row>
    <row r="78" spans="1:12" s="224" customFormat="1">
      <c r="A78" s="241" t="s">
        <v>997</v>
      </c>
      <c r="B78" s="781"/>
      <c r="C78" s="969" t="s">
        <v>786</v>
      </c>
      <c r="D78" s="970"/>
      <c r="E78" s="970"/>
      <c r="F78" s="970"/>
      <c r="G78" s="970"/>
      <c r="H78" s="970"/>
      <c r="I78" s="970"/>
      <c r="J78" s="971"/>
      <c r="K78" s="244">
        <v>2</v>
      </c>
      <c r="L78" s="491">
        <v>37</v>
      </c>
    </row>
    <row r="79" spans="1:12" s="224" customFormat="1">
      <c r="A79" s="241" t="s">
        <v>998</v>
      </c>
      <c r="B79" s="781"/>
      <c r="C79" s="1017" t="s">
        <v>787</v>
      </c>
      <c r="D79" s="1018"/>
      <c r="E79" s="1018"/>
      <c r="F79" s="1018"/>
      <c r="G79" s="1018"/>
      <c r="H79" s="1018"/>
      <c r="I79" s="1018"/>
      <c r="J79" s="1019"/>
      <c r="K79" s="244">
        <v>2</v>
      </c>
      <c r="L79" s="491">
        <v>38</v>
      </c>
    </row>
    <row r="80" spans="1:12" s="224" customFormat="1">
      <c r="A80" s="241" t="s">
        <v>999</v>
      </c>
      <c r="B80" s="781"/>
      <c r="C80" s="969" t="s">
        <v>788</v>
      </c>
      <c r="D80" s="970"/>
      <c r="E80" s="970"/>
      <c r="F80" s="970"/>
      <c r="G80" s="970"/>
      <c r="H80" s="970"/>
      <c r="I80" s="970"/>
      <c r="J80" s="971"/>
      <c r="K80" s="244">
        <v>2</v>
      </c>
      <c r="L80" s="491">
        <v>39</v>
      </c>
    </row>
    <row r="81" spans="1:12" s="224" customFormat="1">
      <c r="A81" s="241" t="s">
        <v>1000</v>
      </c>
      <c r="B81" s="781"/>
      <c r="C81" s="1017" t="s">
        <v>789</v>
      </c>
      <c r="D81" s="1018"/>
      <c r="E81" s="1018"/>
      <c r="F81" s="1018"/>
      <c r="G81" s="1018"/>
      <c r="H81" s="1018"/>
      <c r="I81" s="1018"/>
      <c r="J81" s="1019"/>
      <c r="K81" s="244">
        <v>2</v>
      </c>
      <c r="L81" s="491">
        <v>40</v>
      </c>
    </row>
    <row r="82" spans="1:12" s="224" customFormat="1" ht="17.25" thickBot="1">
      <c r="A82" s="122" t="s">
        <v>1014</v>
      </c>
      <c r="B82" s="782"/>
      <c r="C82" s="835" t="s">
        <v>790</v>
      </c>
      <c r="D82" s="836"/>
      <c r="E82" s="836"/>
      <c r="F82" s="836"/>
      <c r="G82" s="836"/>
      <c r="H82" s="836"/>
      <c r="I82" s="836"/>
      <c r="J82" s="853"/>
      <c r="K82" s="318">
        <v>2</v>
      </c>
      <c r="L82" s="491">
        <v>41</v>
      </c>
    </row>
    <row r="83" spans="1:12" s="224" customFormat="1">
      <c r="A83" s="565" t="s">
        <v>1002</v>
      </c>
      <c r="B83" s="1174" t="s">
        <v>991</v>
      </c>
      <c r="C83" s="1177" t="s">
        <v>796</v>
      </c>
      <c r="D83" s="1178"/>
      <c r="E83" s="1178"/>
      <c r="F83" s="1178"/>
      <c r="G83" s="1178"/>
      <c r="H83" s="1178"/>
      <c r="I83" s="1178"/>
      <c r="J83" s="1179"/>
      <c r="K83" s="566">
        <v>2</v>
      </c>
    </row>
    <row r="84" spans="1:12" s="224" customFormat="1">
      <c r="A84" s="567" t="s">
        <v>1003</v>
      </c>
      <c r="B84" s="1175"/>
      <c r="C84" s="1180" t="s">
        <v>797</v>
      </c>
      <c r="D84" s="1181"/>
      <c r="E84" s="1181"/>
      <c r="F84" s="1181"/>
      <c r="G84" s="1181"/>
      <c r="H84" s="1181"/>
      <c r="I84" s="1181"/>
      <c r="J84" s="1182"/>
      <c r="K84" s="568">
        <v>2</v>
      </c>
    </row>
    <row r="85" spans="1:12" s="224" customFormat="1">
      <c r="A85" s="567" t="s">
        <v>1004</v>
      </c>
      <c r="B85" s="1175"/>
      <c r="C85" s="1180" t="s">
        <v>798</v>
      </c>
      <c r="D85" s="1181"/>
      <c r="E85" s="1181"/>
      <c r="F85" s="1181"/>
      <c r="G85" s="1181"/>
      <c r="H85" s="1181"/>
      <c r="I85" s="1181"/>
      <c r="J85" s="1182"/>
      <c r="K85" s="568">
        <v>2</v>
      </c>
    </row>
    <row r="86" spans="1:12" s="224" customFormat="1">
      <c r="A86" s="567" t="s">
        <v>1005</v>
      </c>
      <c r="B86" s="1175"/>
      <c r="C86" s="1180" t="s">
        <v>799</v>
      </c>
      <c r="D86" s="1181"/>
      <c r="E86" s="1181"/>
      <c r="F86" s="1181"/>
      <c r="G86" s="1181"/>
      <c r="H86" s="1181"/>
      <c r="I86" s="1181"/>
      <c r="J86" s="1182"/>
      <c r="K86" s="568">
        <v>2</v>
      </c>
    </row>
    <row r="87" spans="1:12" s="224" customFormat="1">
      <c r="A87" s="567" t="s">
        <v>1006</v>
      </c>
      <c r="B87" s="1175"/>
      <c r="C87" s="1180" t="s">
        <v>800</v>
      </c>
      <c r="D87" s="1181"/>
      <c r="E87" s="1181"/>
      <c r="F87" s="1181"/>
      <c r="G87" s="1181"/>
      <c r="H87" s="1181"/>
      <c r="I87" s="1181"/>
      <c r="J87" s="1182"/>
      <c r="K87" s="568">
        <v>2</v>
      </c>
    </row>
    <row r="88" spans="1:12" s="224" customFormat="1" ht="17.25" thickBot="1">
      <c r="A88" s="569" t="s">
        <v>1007</v>
      </c>
      <c r="B88" s="1176"/>
      <c r="C88" s="1147" t="s">
        <v>801</v>
      </c>
      <c r="D88" s="1148"/>
      <c r="E88" s="1148"/>
      <c r="F88" s="1148"/>
      <c r="G88" s="1148"/>
      <c r="H88" s="1148"/>
      <c r="I88" s="1148"/>
      <c r="J88" s="1149"/>
      <c r="K88" s="570">
        <v>2</v>
      </c>
    </row>
    <row r="89" spans="1:12">
      <c r="A89" s="242" t="s">
        <v>1015</v>
      </c>
      <c r="B89" s="319" t="s">
        <v>49</v>
      </c>
      <c r="C89" s="792" t="s">
        <v>780</v>
      </c>
      <c r="D89" s="793"/>
      <c r="E89" s="793"/>
      <c r="F89" s="793"/>
      <c r="G89" s="793"/>
      <c r="H89" s="793"/>
      <c r="I89" s="793"/>
      <c r="J89" s="794"/>
      <c r="K89" s="322">
        <v>4</v>
      </c>
    </row>
    <row r="90" spans="1:12" ht="17.25" thickBot="1">
      <c r="A90" s="321">
        <v>156</v>
      </c>
      <c r="B90" s="316" t="s">
        <v>50</v>
      </c>
      <c r="C90" s="922" t="s">
        <v>781</v>
      </c>
      <c r="D90" s="923"/>
      <c r="E90" s="923"/>
      <c r="F90" s="923"/>
      <c r="G90" s="923"/>
      <c r="H90" s="923"/>
      <c r="I90" s="923"/>
      <c r="J90" s="924"/>
      <c r="K90" s="318">
        <v>1</v>
      </c>
    </row>
    <row r="91" spans="1:12" ht="17.25" thickBot="1"/>
    <row r="92" spans="1:12" ht="17.25" thickBot="1">
      <c r="A92" s="519" t="s">
        <v>1212</v>
      </c>
      <c r="B92" s="888" t="s">
        <v>1233</v>
      </c>
      <c r="C92" s="889"/>
      <c r="D92" s="889"/>
      <c r="E92" s="889"/>
      <c r="F92" s="889"/>
      <c r="G92" s="889"/>
      <c r="H92" s="889"/>
      <c r="I92" s="889"/>
      <c r="J92" s="889"/>
      <c r="K92" s="890"/>
    </row>
    <row r="93" spans="1:12" ht="17.25" thickBot="1">
      <c r="A93" s="177" t="s">
        <v>75</v>
      </c>
      <c r="B93" s="175" t="s">
        <v>97</v>
      </c>
      <c r="C93" s="178" t="s">
        <v>445</v>
      </c>
      <c r="D93" s="179" t="s">
        <v>112</v>
      </c>
      <c r="E93" s="179" t="s">
        <v>113</v>
      </c>
      <c r="F93" s="179" t="s">
        <v>114</v>
      </c>
      <c r="G93" s="179" t="s">
        <v>115</v>
      </c>
      <c r="H93" s="179" t="s">
        <v>116</v>
      </c>
      <c r="I93" s="179" t="s">
        <v>117</v>
      </c>
      <c r="J93" s="180" t="s">
        <v>118</v>
      </c>
      <c r="K93" s="175" t="s">
        <v>119</v>
      </c>
    </row>
    <row r="94" spans="1:12">
      <c r="A94" s="505">
        <v>1</v>
      </c>
      <c r="B94" s="496" t="s">
        <v>37</v>
      </c>
      <c r="C94" s="1033" t="s">
        <v>294</v>
      </c>
      <c r="D94" s="1034"/>
      <c r="E94" s="1034"/>
      <c r="F94" s="1034"/>
      <c r="G94" s="1034"/>
      <c r="H94" s="1034"/>
      <c r="I94" s="1034"/>
      <c r="J94" s="1035"/>
      <c r="K94" s="498">
        <v>1</v>
      </c>
    </row>
    <row r="95" spans="1:12">
      <c r="A95" s="239" t="s">
        <v>398</v>
      </c>
      <c r="B95" s="500" t="s">
        <v>36</v>
      </c>
      <c r="C95" s="814" t="s">
        <v>52</v>
      </c>
      <c r="D95" s="815"/>
      <c r="E95" s="815"/>
      <c r="F95" s="815"/>
      <c r="G95" s="815"/>
      <c r="H95" s="815"/>
      <c r="I95" s="815"/>
      <c r="J95" s="816"/>
      <c r="K95" s="244">
        <v>2</v>
      </c>
    </row>
    <row r="96" spans="1:12">
      <c r="A96" s="239" t="s">
        <v>399</v>
      </c>
      <c r="B96" s="500" t="s">
        <v>39</v>
      </c>
      <c r="C96" s="814" t="s">
        <v>53</v>
      </c>
      <c r="D96" s="815"/>
      <c r="E96" s="815"/>
      <c r="F96" s="815"/>
      <c r="G96" s="815"/>
      <c r="H96" s="815"/>
      <c r="I96" s="815"/>
      <c r="J96" s="816"/>
      <c r="K96" s="244">
        <v>2</v>
      </c>
    </row>
    <row r="97" spans="1:11">
      <c r="A97" s="239" t="s">
        <v>400</v>
      </c>
      <c r="B97" s="500" t="s">
        <v>40</v>
      </c>
      <c r="C97" s="814" t="s">
        <v>54</v>
      </c>
      <c r="D97" s="815"/>
      <c r="E97" s="815"/>
      <c r="F97" s="815"/>
      <c r="G97" s="815"/>
      <c r="H97" s="815"/>
      <c r="I97" s="815"/>
      <c r="J97" s="816"/>
      <c r="K97" s="244">
        <v>2</v>
      </c>
    </row>
    <row r="98" spans="1:11" ht="16.5" customHeight="1">
      <c r="A98" s="239" t="s">
        <v>401</v>
      </c>
      <c r="B98" s="500" t="s">
        <v>41</v>
      </c>
      <c r="C98" s="906" t="s">
        <v>1157</v>
      </c>
      <c r="D98" s="907"/>
      <c r="E98" s="907"/>
      <c r="F98" s="907"/>
      <c r="G98" s="907"/>
      <c r="H98" s="907"/>
      <c r="I98" s="907"/>
      <c r="J98" s="908"/>
      <c r="K98" s="244">
        <v>2</v>
      </c>
    </row>
    <row r="99" spans="1:11" s="491" customFormat="1" ht="16.5" customHeight="1">
      <c r="A99" s="239" t="s">
        <v>402</v>
      </c>
      <c r="B99" s="817" t="s">
        <v>42</v>
      </c>
      <c r="C99" s="819" t="s">
        <v>1145</v>
      </c>
      <c r="D99" s="820"/>
      <c r="E99" s="820"/>
      <c r="F99" s="820"/>
      <c r="G99" s="820"/>
      <c r="H99" s="820"/>
      <c r="I99" s="820"/>
      <c r="J99" s="821"/>
      <c r="K99" s="507">
        <v>2</v>
      </c>
    </row>
    <row r="100" spans="1:11" ht="17.25" thickBot="1">
      <c r="A100" s="497" t="s">
        <v>1152</v>
      </c>
      <c r="B100" s="818"/>
      <c r="C100" s="1040" t="s">
        <v>1146</v>
      </c>
      <c r="D100" s="1041"/>
      <c r="E100" s="1041"/>
      <c r="F100" s="1041"/>
      <c r="G100" s="1041"/>
      <c r="H100" s="1041"/>
      <c r="I100" s="1041"/>
      <c r="J100" s="1042"/>
      <c r="K100" s="499">
        <v>2</v>
      </c>
    </row>
    <row r="101" spans="1:11">
      <c r="A101" s="238" t="s">
        <v>403</v>
      </c>
      <c r="B101" s="928" t="s">
        <v>487</v>
      </c>
      <c r="C101" s="931" t="s">
        <v>557</v>
      </c>
      <c r="D101" s="932"/>
      <c r="E101" s="932"/>
      <c r="F101" s="932"/>
      <c r="G101" s="932"/>
      <c r="H101" s="932"/>
      <c r="I101" s="932"/>
      <c r="J101" s="933"/>
      <c r="K101" s="191">
        <v>2</v>
      </c>
    </row>
    <row r="102" spans="1:11">
      <c r="A102" s="257" t="s">
        <v>405</v>
      </c>
      <c r="B102" s="929"/>
      <c r="C102" s="896" t="s">
        <v>558</v>
      </c>
      <c r="D102" s="809"/>
      <c r="E102" s="809"/>
      <c r="F102" s="809"/>
      <c r="G102" s="809"/>
      <c r="H102" s="809"/>
      <c r="I102" s="809"/>
      <c r="J102" s="810"/>
      <c r="K102" s="192">
        <v>2</v>
      </c>
    </row>
    <row r="103" spans="1:11" ht="17.25" thickBot="1">
      <c r="A103" s="259" t="s">
        <v>407</v>
      </c>
      <c r="B103" s="930"/>
      <c r="C103" s="903" t="s">
        <v>559</v>
      </c>
      <c r="D103" s="806"/>
      <c r="E103" s="806"/>
      <c r="F103" s="806"/>
      <c r="G103" s="806"/>
      <c r="H103" s="806"/>
      <c r="I103" s="806"/>
      <c r="J103" s="807"/>
      <c r="K103" s="193">
        <v>2</v>
      </c>
    </row>
    <row r="104" spans="1:11" ht="17.25" thickBot="1">
      <c r="A104" s="238" t="s">
        <v>408</v>
      </c>
      <c r="B104" s="378" t="s">
        <v>518</v>
      </c>
      <c r="C104" s="939" t="s">
        <v>549</v>
      </c>
      <c r="D104" s="940"/>
      <c r="E104" s="940"/>
      <c r="F104" s="941"/>
      <c r="G104" s="942" t="s">
        <v>537</v>
      </c>
      <c r="H104" s="940"/>
      <c r="I104" s="940"/>
      <c r="J104" s="943"/>
      <c r="K104" s="187">
        <v>2</v>
      </c>
    </row>
    <row r="105" spans="1:11" ht="17.25" thickBot="1">
      <c r="A105" s="238" t="s">
        <v>410</v>
      </c>
      <c r="B105" s="378" t="s">
        <v>519</v>
      </c>
      <c r="C105" s="947" t="s">
        <v>538</v>
      </c>
      <c r="D105" s="948"/>
      <c r="E105" s="948"/>
      <c r="F105" s="949"/>
      <c r="G105" s="950" t="s">
        <v>539</v>
      </c>
      <c r="H105" s="948"/>
      <c r="I105" s="948"/>
      <c r="J105" s="951"/>
      <c r="K105" s="187">
        <v>2</v>
      </c>
    </row>
    <row r="106" spans="1:11" ht="17.25" thickBot="1">
      <c r="A106" s="238" t="s">
        <v>412</v>
      </c>
      <c r="B106" s="378" t="s">
        <v>520</v>
      </c>
      <c r="C106" s="939" t="s">
        <v>540</v>
      </c>
      <c r="D106" s="940"/>
      <c r="E106" s="940"/>
      <c r="F106" s="941"/>
      <c r="G106" s="942" t="s">
        <v>541</v>
      </c>
      <c r="H106" s="940"/>
      <c r="I106" s="940"/>
      <c r="J106" s="943"/>
      <c r="K106" s="187">
        <v>2</v>
      </c>
    </row>
    <row r="107" spans="1:11" ht="16.5" customHeight="1">
      <c r="A107" s="238" t="s">
        <v>414</v>
      </c>
      <c r="B107" s="928" t="s">
        <v>487</v>
      </c>
      <c r="C107" s="931" t="s">
        <v>561</v>
      </c>
      <c r="D107" s="932"/>
      <c r="E107" s="932"/>
      <c r="F107" s="932"/>
      <c r="G107" s="932"/>
      <c r="H107" s="932"/>
      <c r="I107" s="932"/>
      <c r="J107" s="933"/>
      <c r="K107" s="191">
        <v>2</v>
      </c>
    </row>
    <row r="108" spans="1:11">
      <c r="A108" s="257" t="s">
        <v>415</v>
      </c>
      <c r="B108" s="929"/>
      <c r="C108" s="896" t="s">
        <v>562</v>
      </c>
      <c r="D108" s="809"/>
      <c r="E108" s="809"/>
      <c r="F108" s="809"/>
      <c r="G108" s="809"/>
      <c r="H108" s="809"/>
      <c r="I108" s="809"/>
      <c r="J108" s="810"/>
      <c r="K108" s="192">
        <v>2</v>
      </c>
    </row>
    <row r="109" spans="1:11" ht="17.25" thickBot="1">
      <c r="A109" s="259" t="s">
        <v>416</v>
      </c>
      <c r="B109" s="930"/>
      <c r="C109" s="903" t="s">
        <v>563</v>
      </c>
      <c r="D109" s="806"/>
      <c r="E109" s="806"/>
      <c r="F109" s="806"/>
      <c r="G109" s="806"/>
      <c r="H109" s="806"/>
      <c r="I109" s="806"/>
      <c r="J109" s="807"/>
      <c r="K109" s="193">
        <v>2</v>
      </c>
    </row>
    <row r="110" spans="1:11" ht="17.25" thickBot="1">
      <c r="A110" s="238" t="s">
        <v>417</v>
      </c>
      <c r="B110" s="378" t="s">
        <v>518</v>
      </c>
      <c r="C110" s="939" t="s">
        <v>560</v>
      </c>
      <c r="D110" s="940"/>
      <c r="E110" s="940"/>
      <c r="F110" s="941"/>
      <c r="G110" s="942" t="s">
        <v>542</v>
      </c>
      <c r="H110" s="940"/>
      <c r="I110" s="940"/>
      <c r="J110" s="943"/>
      <c r="K110" s="187">
        <v>2</v>
      </c>
    </row>
    <row r="111" spans="1:11" ht="17.25" thickBot="1">
      <c r="A111" s="238" t="s">
        <v>419</v>
      </c>
      <c r="B111" s="378" t="s">
        <v>519</v>
      </c>
      <c r="C111" s="947" t="s">
        <v>543</v>
      </c>
      <c r="D111" s="948"/>
      <c r="E111" s="948"/>
      <c r="F111" s="949"/>
      <c r="G111" s="950" t="s">
        <v>544</v>
      </c>
      <c r="H111" s="948"/>
      <c r="I111" s="948"/>
      <c r="J111" s="951"/>
      <c r="K111" s="187">
        <v>2</v>
      </c>
    </row>
    <row r="112" spans="1:11" ht="17.25" thickBot="1">
      <c r="A112" s="238" t="s">
        <v>421</v>
      </c>
      <c r="B112" s="378" t="s">
        <v>520</v>
      </c>
      <c r="C112" s="939" t="s">
        <v>545</v>
      </c>
      <c r="D112" s="940"/>
      <c r="E112" s="940"/>
      <c r="F112" s="941"/>
      <c r="G112" s="942" t="s">
        <v>546</v>
      </c>
      <c r="H112" s="940"/>
      <c r="I112" s="940"/>
      <c r="J112" s="943"/>
      <c r="K112" s="187">
        <v>2</v>
      </c>
    </row>
    <row r="113" spans="1:11" ht="17.25" thickBot="1">
      <c r="A113" s="273" t="s">
        <v>683</v>
      </c>
      <c r="B113" s="196" t="s">
        <v>547</v>
      </c>
      <c r="C113" s="1036" t="s">
        <v>548</v>
      </c>
      <c r="D113" s="1037"/>
      <c r="E113" s="1037"/>
      <c r="F113" s="1037"/>
      <c r="G113" s="1037"/>
      <c r="H113" s="1037"/>
      <c r="I113" s="1037"/>
      <c r="J113" s="1037"/>
      <c r="K113" s="195">
        <v>12</v>
      </c>
    </row>
    <row r="114" spans="1:11">
      <c r="A114" s="254" t="s">
        <v>426</v>
      </c>
      <c r="B114" s="182" t="s">
        <v>48</v>
      </c>
      <c r="C114" s="811" t="s">
        <v>521</v>
      </c>
      <c r="D114" s="812"/>
      <c r="E114" s="812"/>
      <c r="F114" s="812"/>
      <c r="G114" s="812"/>
      <c r="H114" s="812"/>
      <c r="I114" s="812"/>
      <c r="J114" s="813"/>
      <c r="K114" s="183">
        <v>4</v>
      </c>
    </row>
    <row r="115" spans="1:11" ht="17.25" thickBot="1">
      <c r="A115" s="265">
        <v>62</v>
      </c>
      <c r="B115" s="189" t="s">
        <v>50</v>
      </c>
      <c r="C115" s="797" t="s">
        <v>58</v>
      </c>
      <c r="D115" s="798"/>
      <c r="E115" s="798"/>
      <c r="F115" s="798"/>
      <c r="G115" s="798"/>
      <c r="H115" s="798"/>
      <c r="I115" s="798"/>
      <c r="J115" s="799"/>
      <c r="K115" s="190">
        <v>1</v>
      </c>
    </row>
    <row r="117" spans="1:11" ht="16.5" customHeight="1"/>
    <row r="128" spans="1:11" ht="16.5" customHeight="1"/>
    <row r="139" ht="16.5" customHeight="1"/>
    <row r="150" ht="16.5" customHeight="1"/>
  </sheetData>
  <mergeCells count="176">
    <mergeCell ref="L57:L58"/>
    <mergeCell ref="L59:L60"/>
    <mergeCell ref="L61:L62"/>
    <mergeCell ref="L63:L64"/>
    <mergeCell ref="L36:L37"/>
    <mergeCell ref="L38:L41"/>
    <mergeCell ref="L47:L48"/>
    <mergeCell ref="L44:L45"/>
    <mergeCell ref="L42:L43"/>
    <mergeCell ref="L49:L50"/>
    <mergeCell ref="L51:L52"/>
    <mergeCell ref="L53:L54"/>
    <mergeCell ref="L55:L56"/>
    <mergeCell ref="L15:L17"/>
    <mergeCell ref="L18:L20"/>
    <mergeCell ref="L21:L23"/>
    <mergeCell ref="L24:L25"/>
    <mergeCell ref="L26:L27"/>
    <mergeCell ref="L28:L29"/>
    <mergeCell ref="L30:L31"/>
    <mergeCell ref="L32:L33"/>
    <mergeCell ref="L34:L35"/>
    <mergeCell ref="G23:J23"/>
    <mergeCell ref="C23:F23"/>
    <mergeCell ref="F34:J34"/>
    <mergeCell ref="C34:E34"/>
    <mergeCell ref="C82:J82"/>
    <mergeCell ref="C31:J31"/>
    <mergeCell ref="B55:B56"/>
    <mergeCell ref="C55:J55"/>
    <mergeCell ref="C56:J56"/>
    <mergeCell ref="B59:B60"/>
    <mergeCell ref="C59:J59"/>
    <mergeCell ref="C60:J60"/>
    <mergeCell ref="K24:K25"/>
    <mergeCell ref="K36:K37"/>
    <mergeCell ref="K34:K35"/>
    <mergeCell ref="K42:K43"/>
    <mergeCell ref="C44:F44"/>
    <mergeCell ref="G44:J44"/>
    <mergeCell ref="K44:K45"/>
    <mergeCell ref="G45:J45"/>
    <mergeCell ref="B38:B41"/>
    <mergeCell ref="C38:J38"/>
    <mergeCell ref="C39:J39"/>
    <mergeCell ref="C40:J40"/>
    <mergeCell ref="C41:J41"/>
    <mergeCell ref="B32:B33"/>
    <mergeCell ref="C32:J32"/>
    <mergeCell ref="C33:J33"/>
    <mergeCell ref="G22:J22"/>
    <mergeCell ref="C22:F22"/>
    <mergeCell ref="G21:J21"/>
    <mergeCell ref="C21:F21"/>
    <mergeCell ref="B21:B23"/>
    <mergeCell ref="B57:B58"/>
    <mergeCell ref="C57:J57"/>
    <mergeCell ref="C58:J58"/>
    <mergeCell ref="B47:B48"/>
    <mergeCell ref="C47:J47"/>
    <mergeCell ref="C48:J48"/>
    <mergeCell ref="B51:B52"/>
    <mergeCell ref="C51:J51"/>
    <mergeCell ref="C52:J52"/>
    <mergeCell ref="B53:B54"/>
    <mergeCell ref="C53:J53"/>
    <mergeCell ref="C54:J54"/>
    <mergeCell ref="B49:B50"/>
    <mergeCell ref="C49:J49"/>
    <mergeCell ref="C50:J50"/>
    <mergeCell ref="B30:B31"/>
    <mergeCell ref="C30:J30"/>
    <mergeCell ref="I43:J43"/>
    <mergeCell ref="B44:B45"/>
    <mergeCell ref="A44:A45"/>
    <mergeCell ref="C89:J89"/>
    <mergeCell ref="C90:J90"/>
    <mergeCell ref="B65:B74"/>
    <mergeCell ref="B61:B62"/>
    <mergeCell ref="C61:J61"/>
    <mergeCell ref="C62:J62"/>
    <mergeCell ref="B63:B64"/>
    <mergeCell ref="C63:J63"/>
    <mergeCell ref="C64:J64"/>
    <mergeCell ref="C75:J75"/>
    <mergeCell ref="C76:J76"/>
    <mergeCell ref="C77:J77"/>
    <mergeCell ref="C78:J78"/>
    <mergeCell ref="C79:J79"/>
    <mergeCell ref="C80:J80"/>
    <mergeCell ref="C81:J81"/>
    <mergeCell ref="B83:B88"/>
    <mergeCell ref="C83:J83"/>
    <mergeCell ref="C84:J84"/>
    <mergeCell ref="C85:J85"/>
    <mergeCell ref="C86:J86"/>
    <mergeCell ref="C87:J87"/>
    <mergeCell ref="B75:B82"/>
    <mergeCell ref="A42:A43"/>
    <mergeCell ref="B42:B43"/>
    <mergeCell ref="C42:D42"/>
    <mergeCell ref="E42:H43"/>
    <mergeCell ref="I42:J42"/>
    <mergeCell ref="A34:A35"/>
    <mergeCell ref="C36:F36"/>
    <mergeCell ref="G36:J36"/>
    <mergeCell ref="A36:A37"/>
    <mergeCell ref="B34:B37"/>
    <mergeCell ref="A24:A25"/>
    <mergeCell ref="B24:B25"/>
    <mergeCell ref="C24:H25"/>
    <mergeCell ref="I24:J24"/>
    <mergeCell ref="B26:B27"/>
    <mergeCell ref="C26:J26"/>
    <mergeCell ref="C27:J27"/>
    <mergeCell ref="B28:B29"/>
    <mergeCell ref="C28:J28"/>
    <mergeCell ref="C29:J29"/>
    <mergeCell ref="A1:K1"/>
    <mergeCell ref="C7:J7"/>
    <mergeCell ref="C8:J8"/>
    <mergeCell ref="C9:J9"/>
    <mergeCell ref="C10:J10"/>
    <mergeCell ref="C11:J11"/>
    <mergeCell ref="C13:J13"/>
    <mergeCell ref="D14:F14"/>
    <mergeCell ref="B12:B13"/>
    <mergeCell ref="C12:J12"/>
    <mergeCell ref="B5:K5"/>
    <mergeCell ref="B15:B17"/>
    <mergeCell ref="C15:F15"/>
    <mergeCell ref="G15:J15"/>
    <mergeCell ref="C16:F16"/>
    <mergeCell ref="G16:J16"/>
    <mergeCell ref="C17:F17"/>
    <mergeCell ref="G17:J17"/>
    <mergeCell ref="B18:B20"/>
    <mergeCell ref="C18:F18"/>
    <mergeCell ref="G18:J18"/>
    <mergeCell ref="C19:F19"/>
    <mergeCell ref="G19:J19"/>
    <mergeCell ref="C20:F20"/>
    <mergeCell ref="G20:J20"/>
    <mergeCell ref="C115:J115"/>
    <mergeCell ref="C113:J113"/>
    <mergeCell ref="C112:F112"/>
    <mergeCell ref="G112:J112"/>
    <mergeCell ref="C111:F111"/>
    <mergeCell ref="G111:J111"/>
    <mergeCell ref="C106:F106"/>
    <mergeCell ref="G106:J106"/>
    <mergeCell ref="C105:F105"/>
    <mergeCell ref="G105:J105"/>
    <mergeCell ref="B107:B109"/>
    <mergeCell ref="C107:J107"/>
    <mergeCell ref="C108:J108"/>
    <mergeCell ref="C109:J109"/>
    <mergeCell ref="C110:F110"/>
    <mergeCell ref="G110:J110"/>
    <mergeCell ref="C114:J114"/>
    <mergeCell ref="C104:F104"/>
    <mergeCell ref="G104:J104"/>
    <mergeCell ref="C88:J88"/>
    <mergeCell ref="C98:J98"/>
    <mergeCell ref="C100:J100"/>
    <mergeCell ref="B101:B103"/>
    <mergeCell ref="C101:J101"/>
    <mergeCell ref="C102:J102"/>
    <mergeCell ref="C103:J103"/>
    <mergeCell ref="C94:J94"/>
    <mergeCell ref="C95:J95"/>
    <mergeCell ref="C96:J96"/>
    <mergeCell ref="C97:J97"/>
    <mergeCell ref="B99:B100"/>
    <mergeCell ref="C99:J99"/>
    <mergeCell ref="B92:K92"/>
  </mergeCells>
  <phoneticPr fontId="1" type="noConversion"/>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40"/>
  <sheetViews>
    <sheetView workbookViewId="0">
      <selection sqref="A1:K1"/>
    </sheetView>
  </sheetViews>
  <sheetFormatPr defaultRowHeight="16.5"/>
  <sheetData>
    <row r="1" spans="1:11" ht="17.25" thickBot="1">
      <c r="A1" s="975" t="s">
        <v>105</v>
      </c>
      <c r="B1" s="976"/>
      <c r="C1" s="976"/>
      <c r="D1" s="976"/>
      <c r="E1" s="976"/>
      <c r="F1" s="976"/>
      <c r="G1" s="976"/>
      <c r="H1" s="976"/>
      <c r="I1" s="976"/>
      <c r="J1" s="976"/>
      <c r="K1" s="977"/>
    </row>
    <row r="2" spans="1:11">
      <c r="A2" s="79" t="s">
        <v>106</v>
      </c>
      <c r="B2" s="80" t="s">
        <v>122</v>
      </c>
      <c r="D2" s="81"/>
      <c r="E2" s="82"/>
      <c r="F2" s="82"/>
      <c r="G2" s="82"/>
      <c r="H2" s="82"/>
      <c r="I2" s="81"/>
      <c r="J2" s="82" t="s">
        <v>107</v>
      </c>
      <c r="K2" s="83" t="s">
        <v>121</v>
      </c>
    </row>
    <row r="3" spans="1:11">
      <c r="A3" s="75" t="s">
        <v>444</v>
      </c>
      <c r="B3" s="87"/>
      <c r="C3" s="89"/>
      <c r="D3" s="91"/>
      <c r="E3" s="91"/>
      <c r="F3" s="91"/>
      <c r="G3" s="91"/>
      <c r="H3" s="91"/>
      <c r="I3" s="90"/>
      <c r="J3" s="91" t="s">
        <v>109</v>
      </c>
      <c r="K3" s="418" t="s">
        <v>1162</v>
      </c>
    </row>
    <row r="4" spans="1:11" ht="17.25" thickBot="1">
      <c r="A4" s="76"/>
      <c r="B4" s="88"/>
      <c r="C4" s="77"/>
      <c r="D4" s="77"/>
      <c r="E4" s="77"/>
      <c r="F4" s="77"/>
      <c r="G4" s="77"/>
      <c r="H4" s="77"/>
      <c r="I4" s="78"/>
      <c r="J4" s="92" t="s">
        <v>110</v>
      </c>
      <c r="K4" s="212" t="s">
        <v>1163</v>
      </c>
    </row>
    <row r="5" spans="1:11" s="491" customFormat="1" ht="17.25" thickBot="1">
      <c r="A5" s="519" t="s">
        <v>1212</v>
      </c>
      <c r="B5" s="888" t="s">
        <v>1236</v>
      </c>
      <c r="C5" s="889"/>
      <c r="D5" s="889"/>
      <c r="E5" s="889"/>
      <c r="F5" s="889"/>
      <c r="G5" s="889"/>
      <c r="H5" s="889"/>
      <c r="I5" s="889"/>
      <c r="J5" s="889"/>
      <c r="K5" s="890"/>
    </row>
    <row r="6" spans="1:11" ht="17.25" thickBot="1">
      <c r="A6" s="230" t="s">
        <v>75</v>
      </c>
      <c r="B6" s="230" t="s">
        <v>97</v>
      </c>
      <c r="C6" s="226" t="s">
        <v>445</v>
      </c>
      <c r="D6" s="227" t="s">
        <v>112</v>
      </c>
      <c r="E6" s="227" t="s">
        <v>113</v>
      </c>
      <c r="F6" s="227" t="s">
        <v>114</v>
      </c>
      <c r="G6" s="227" t="s">
        <v>115</v>
      </c>
      <c r="H6" s="227" t="s">
        <v>116</v>
      </c>
      <c r="I6" s="227" t="s">
        <v>117</v>
      </c>
      <c r="J6" s="228" t="s">
        <v>118</v>
      </c>
      <c r="K6" s="234" t="s">
        <v>119</v>
      </c>
    </row>
    <row r="7" spans="1:11">
      <c r="A7" s="505">
        <v>1</v>
      </c>
      <c r="B7" s="496" t="s">
        <v>37</v>
      </c>
      <c r="C7" s="1033" t="s">
        <v>294</v>
      </c>
      <c r="D7" s="1034"/>
      <c r="E7" s="1034"/>
      <c r="F7" s="1034"/>
      <c r="G7" s="1034"/>
      <c r="H7" s="1034"/>
      <c r="I7" s="1034"/>
      <c r="J7" s="1035"/>
      <c r="K7" s="498">
        <v>1</v>
      </c>
    </row>
    <row r="8" spans="1:11">
      <c r="A8" s="239" t="s">
        <v>398</v>
      </c>
      <c r="B8" s="500" t="s">
        <v>36</v>
      </c>
      <c r="C8" s="814" t="s">
        <v>52</v>
      </c>
      <c r="D8" s="815"/>
      <c r="E8" s="815"/>
      <c r="F8" s="815"/>
      <c r="G8" s="815"/>
      <c r="H8" s="815"/>
      <c r="I8" s="815"/>
      <c r="J8" s="816"/>
      <c r="K8" s="244">
        <v>2</v>
      </c>
    </row>
    <row r="9" spans="1:11">
      <c r="A9" s="239" t="s">
        <v>399</v>
      </c>
      <c r="B9" s="500" t="s">
        <v>39</v>
      </c>
      <c r="C9" s="814" t="s">
        <v>53</v>
      </c>
      <c r="D9" s="815"/>
      <c r="E9" s="815"/>
      <c r="F9" s="815"/>
      <c r="G9" s="815"/>
      <c r="H9" s="815"/>
      <c r="I9" s="815"/>
      <c r="J9" s="816"/>
      <c r="K9" s="244">
        <v>2</v>
      </c>
    </row>
    <row r="10" spans="1:11" ht="16.5" customHeight="1">
      <c r="A10" s="239" t="s">
        <v>400</v>
      </c>
      <c r="B10" s="500" t="s">
        <v>40</v>
      </c>
      <c r="C10" s="814" t="s">
        <v>54</v>
      </c>
      <c r="D10" s="815"/>
      <c r="E10" s="815"/>
      <c r="F10" s="815"/>
      <c r="G10" s="815"/>
      <c r="H10" s="815"/>
      <c r="I10" s="815"/>
      <c r="J10" s="816"/>
      <c r="K10" s="244">
        <v>2</v>
      </c>
    </row>
    <row r="11" spans="1:11">
      <c r="A11" s="239" t="s">
        <v>401</v>
      </c>
      <c r="B11" s="500" t="s">
        <v>41</v>
      </c>
      <c r="C11" s="906" t="s">
        <v>1159</v>
      </c>
      <c r="D11" s="907"/>
      <c r="E11" s="907"/>
      <c r="F11" s="907"/>
      <c r="G11" s="907"/>
      <c r="H11" s="907"/>
      <c r="I11" s="907"/>
      <c r="J11" s="908"/>
      <c r="K11" s="244">
        <v>2</v>
      </c>
    </row>
    <row r="12" spans="1:11" s="491" customFormat="1">
      <c r="A12" s="239" t="s">
        <v>402</v>
      </c>
      <c r="B12" s="817" t="s">
        <v>42</v>
      </c>
      <c r="C12" s="819" t="s">
        <v>1145</v>
      </c>
      <c r="D12" s="820"/>
      <c r="E12" s="820"/>
      <c r="F12" s="820"/>
      <c r="G12" s="820"/>
      <c r="H12" s="820"/>
      <c r="I12" s="820"/>
      <c r="J12" s="821"/>
      <c r="K12" s="507">
        <v>2</v>
      </c>
    </row>
    <row r="13" spans="1:11" ht="17.25" thickBot="1">
      <c r="A13" s="497" t="s">
        <v>1152</v>
      </c>
      <c r="B13" s="818"/>
      <c r="C13" s="1040" t="s">
        <v>1146</v>
      </c>
      <c r="D13" s="1041"/>
      <c r="E13" s="1041"/>
      <c r="F13" s="1041"/>
      <c r="G13" s="1041"/>
      <c r="H13" s="1041"/>
      <c r="I13" s="1041"/>
      <c r="J13" s="1042"/>
      <c r="K13" s="499">
        <v>2</v>
      </c>
    </row>
    <row r="14" spans="1:11" ht="45.75" thickBot="1">
      <c r="A14" s="271" t="s">
        <v>671</v>
      </c>
      <c r="B14" s="271" t="s">
        <v>665</v>
      </c>
      <c r="C14" s="223" t="s">
        <v>1086</v>
      </c>
      <c r="D14" s="222" t="s">
        <v>1087</v>
      </c>
      <c r="E14" s="222" t="s">
        <v>1088</v>
      </c>
      <c r="F14" s="222" t="s">
        <v>1093</v>
      </c>
      <c r="G14" s="222" t="s">
        <v>1089</v>
      </c>
      <c r="H14" s="222" t="s">
        <v>1090</v>
      </c>
      <c r="I14" s="222" t="s">
        <v>1091</v>
      </c>
      <c r="J14" s="270" t="s">
        <v>1092</v>
      </c>
      <c r="K14" s="272">
        <v>2</v>
      </c>
    </row>
    <row r="15" spans="1:11">
      <c r="A15" s="229" t="s">
        <v>672</v>
      </c>
      <c r="B15" s="229" t="s">
        <v>48</v>
      </c>
      <c r="C15" s="677" t="s">
        <v>120</v>
      </c>
      <c r="D15" s="678"/>
      <c r="E15" s="678"/>
      <c r="F15" s="678"/>
      <c r="G15" s="678"/>
      <c r="H15" s="678"/>
      <c r="I15" s="678"/>
      <c r="J15" s="679"/>
      <c r="K15" s="235">
        <v>4</v>
      </c>
    </row>
    <row r="16" spans="1:11" ht="17.25" thickBot="1">
      <c r="A16" s="233">
        <v>17</v>
      </c>
      <c r="B16" s="233" t="s">
        <v>50</v>
      </c>
      <c r="C16" s="674" t="s">
        <v>58</v>
      </c>
      <c r="D16" s="675"/>
      <c r="E16" s="675"/>
      <c r="F16" s="675"/>
      <c r="G16" s="675"/>
      <c r="H16" s="675"/>
      <c r="I16" s="675"/>
      <c r="J16" s="676"/>
      <c r="K16" s="236">
        <v>1</v>
      </c>
    </row>
    <row r="17" spans="1:11" ht="17.25" thickBot="1">
      <c r="A17" s="224"/>
      <c r="B17" s="224"/>
      <c r="C17" s="224"/>
      <c r="D17" s="224"/>
      <c r="E17" s="224"/>
      <c r="F17" s="224"/>
      <c r="G17" s="224"/>
      <c r="H17" s="224"/>
      <c r="I17" s="224"/>
      <c r="J17" s="224"/>
      <c r="K17" s="224"/>
    </row>
    <row r="18" spans="1:11" ht="17.25" thickBot="1">
      <c r="A18" s="519" t="s">
        <v>1212</v>
      </c>
      <c r="B18" s="888" t="s">
        <v>1235</v>
      </c>
      <c r="C18" s="889"/>
      <c r="D18" s="889"/>
      <c r="E18" s="889"/>
      <c r="F18" s="889"/>
      <c r="G18" s="889"/>
      <c r="H18" s="889"/>
      <c r="I18" s="889"/>
      <c r="J18" s="889"/>
      <c r="K18" s="890"/>
    </row>
    <row r="19" spans="1:11" ht="17.25" thickBot="1">
      <c r="A19" s="250" t="s">
        <v>75</v>
      </c>
      <c r="B19" s="234" t="s">
        <v>97</v>
      </c>
      <c r="C19" s="251" t="s">
        <v>445</v>
      </c>
      <c r="D19" s="252" t="s">
        <v>112</v>
      </c>
      <c r="E19" s="252" t="s">
        <v>113</v>
      </c>
      <c r="F19" s="252" t="s">
        <v>114</v>
      </c>
      <c r="G19" s="252" t="s">
        <v>115</v>
      </c>
      <c r="H19" s="252" t="s">
        <v>116</v>
      </c>
      <c r="I19" s="252" t="s">
        <v>117</v>
      </c>
      <c r="J19" s="253" t="s">
        <v>118</v>
      </c>
      <c r="K19" s="234" t="s">
        <v>119</v>
      </c>
    </row>
    <row r="20" spans="1:11">
      <c r="A20" s="505">
        <v>1</v>
      </c>
      <c r="B20" s="496" t="s">
        <v>37</v>
      </c>
      <c r="C20" s="1033" t="s">
        <v>294</v>
      </c>
      <c r="D20" s="1034"/>
      <c r="E20" s="1034"/>
      <c r="F20" s="1034"/>
      <c r="G20" s="1034"/>
      <c r="H20" s="1034"/>
      <c r="I20" s="1034"/>
      <c r="J20" s="1035"/>
      <c r="K20" s="498">
        <v>1</v>
      </c>
    </row>
    <row r="21" spans="1:11">
      <c r="A21" s="239" t="s">
        <v>398</v>
      </c>
      <c r="B21" s="500" t="s">
        <v>36</v>
      </c>
      <c r="C21" s="814" t="s">
        <v>52</v>
      </c>
      <c r="D21" s="815"/>
      <c r="E21" s="815"/>
      <c r="F21" s="815"/>
      <c r="G21" s="815"/>
      <c r="H21" s="815"/>
      <c r="I21" s="815"/>
      <c r="J21" s="816"/>
      <c r="K21" s="244">
        <v>2</v>
      </c>
    </row>
    <row r="22" spans="1:11">
      <c r="A22" s="239" t="s">
        <v>399</v>
      </c>
      <c r="B22" s="500" t="s">
        <v>39</v>
      </c>
      <c r="C22" s="814" t="s">
        <v>53</v>
      </c>
      <c r="D22" s="815"/>
      <c r="E22" s="815"/>
      <c r="F22" s="815"/>
      <c r="G22" s="815"/>
      <c r="H22" s="815"/>
      <c r="I22" s="815"/>
      <c r="J22" s="816"/>
      <c r="K22" s="244">
        <v>2</v>
      </c>
    </row>
    <row r="23" spans="1:11">
      <c r="A23" s="239" t="s">
        <v>400</v>
      </c>
      <c r="B23" s="500" t="s">
        <v>40</v>
      </c>
      <c r="C23" s="814" t="s">
        <v>54</v>
      </c>
      <c r="D23" s="815"/>
      <c r="E23" s="815"/>
      <c r="F23" s="815"/>
      <c r="G23" s="815"/>
      <c r="H23" s="815"/>
      <c r="I23" s="815"/>
      <c r="J23" s="816"/>
      <c r="K23" s="244">
        <v>2</v>
      </c>
    </row>
    <row r="24" spans="1:11">
      <c r="A24" s="239" t="s">
        <v>401</v>
      </c>
      <c r="B24" s="500" t="s">
        <v>41</v>
      </c>
      <c r="C24" s="906" t="s">
        <v>1157</v>
      </c>
      <c r="D24" s="907"/>
      <c r="E24" s="907"/>
      <c r="F24" s="907"/>
      <c r="G24" s="907"/>
      <c r="H24" s="907"/>
      <c r="I24" s="907"/>
      <c r="J24" s="908"/>
      <c r="K24" s="244">
        <v>2</v>
      </c>
    </row>
    <row r="25" spans="1:11" s="491" customFormat="1">
      <c r="A25" s="239" t="s">
        <v>402</v>
      </c>
      <c r="B25" s="817" t="s">
        <v>42</v>
      </c>
      <c r="C25" s="819" t="s">
        <v>1145</v>
      </c>
      <c r="D25" s="820"/>
      <c r="E25" s="820"/>
      <c r="F25" s="820"/>
      <c r="G25" s="820"/>
      <c r="H25" s="820"/>
      <c r="I25" s="820"/>
      <c r="J25" s="821"/>
      <c r="K25" s="507">
        <v>2</v>
      </c>
    </row>
    <row r="26" spans="1:11" ht="16.5" customHeight="1" thickBot="1">
      <c r="A26" s="497" t="s">
        <v>1152</v>
      </c>
      <c r="B26" s="818"/>
      <c r="C26" s="1040" t="s">
        <v>1146</v>
      </c>
      <c r="D26" s="1041"/>
      <c r="E26" s="1041"/>
      <c r="F26" s="1041"/>
      <c r="G26" s="1041"/>
      <c r="H26" s="1041"/>
      <c r="I26" s="1041"/>
      <c r="J26" s="1042"/>
      <c r="K26" s="499">
        <v>2</v>
      </c>
    </row>
    <row r="27" spans="1:11">
      <c r="A27" s="238" t="s">
        <v>924</v>
      </c>
      <c r="B27" s="928" t="s">
        <v>556</v>
      </c>
      <c r="C27" s="931" t="s">
        <v>668</v>
      </c>
      <c r="D27" s="932"/>
      <c r="E27" s="932"/>
      <c r="F27" s="932"/>
      <c r="G27" s="932"/>
      <c r="H27" s="932"/>
      <c r="I27" s="932"/>
      <c r="J27" s="933"/>
      <c r="K27" s="262">
        <v>2</v>
      </c>
    </row>
    <row r="28" spans="1:11">
      <c r="A28" s="257" t="s">
        <v>673</v>
      </c>
      <c r="B28" s="929"/>
      <c r="C28" s="896" t="s">
        <v>669</v>
      </c>
      <c r="D28" s="809"/>
      <c r="E28" s="809"/>
      <c r="F28" s="809"/>
      <c r="G28" s="809"/>
      <c r="H28" s="809"/>
      <c r="I28" s="809"/>
      <c r="J28" s="810"/>
      <c r="K28" s="263">
        <v>2</v>
      </c>
    </row>
    <row r="29" spans="1:11" ht="17.25" thickBot="1">
      <c r="A29" s="259" t="s">
        <v>674</v>
      </c>
      <c r="B29" s="930"/>
      <c r="C29" s="903" t="s">
        <v>670</v>
      </c>
      <c r="D29" s="806"/>
      <c r="E29" s="806"/>
      <c r="F29" s="806"/>
      <c r="G29" s="806"/>
      <c r="H29" s="806"/>
      <c r="I29" s="806"/>
      <c r="J29" s="807"/>
      <c r="K29" s="264">
        <v>2</v>
      </c>
    </row>
    <row r="30" spans="1:11" ht="17.25" thickBot="1">
      <c r="A30" s="238" t="s">
        <v>675</v>
      </c>
      <c r="B30" s="378" t="s">
        <v>518</v>
      </c>
      <c r="C30" s="939" t="s">
        <v>555</v>
      </c>
      <c r="D30" s="940"/>
      <c r="E30" s="940"/>
      <c r="F30" s="941"/>
      <c r="G30" s="942" t="s">
        <v>550</v>
      </c>
      <c r="H30" s="940"/>
      <c r="I30" s="940"/>
      <c r="J30" s="943"/>
      <c r="K30" s="258">
        <v>2</v>
      </c>
    </row>
    <row r="31" spans="1:11" ht="17.25" thickBot="1">
      <c r="A31" s="238" t="s">
        <v>676</v>
      </c>
      <c r="B31" s="378" t="s">
        <v>519</v>
      </c>
      <c r="C31" s="947" t="s">
        <v>551</v>
      </c>
      <c r="D31" s="948"/>
      <c r="E31" s="948"/>
      <c r="F31" s="949"/>
      <c r="G31" s="950" t="s">
        <v>552</v>
      </c>
      <c r="H31" s="948"/>
      <c r="I31" s="948"/>
      <c r="J31" s="951"/>
      <c r="K31" s="258">
        <v>2</v>
      </c>
    </row>
    <row r="32" spans="1:11" ht="17.25" thickBot="1">
      <c r="A32" s="234" t="s">
        <v>677</v>
      </c>
      <c r="B32" s="195" t="s">
        <v>520</v>
      </c>
      <c r="C32" s="1214" t="s">
        <v>553</v>
      </c>
      <c r="D32" s="1215"/>
      <c r="E32" s="1215"/>
      <c r="F32" s="1216"/>
      <c r="G32" s="1217" t="s">
        <v>554</v>
      </c>
      <c r="H32" s="1215"/>
      <c r="I32" s="1215"/>
      <c r="J32" s="1218"/>
      <c r="K32" s="195">
        <v>2</v>
      </c>
    </row>
    <row r="33" spans="1:11">
      <c r="A33" s="254" t="s">
        <v>678</v>
      </c>
      <c r="B33" s="255" t="s">
        <v>48</v>
      </c>
      <c r="C33" s="811" t="s">
        <v>120</v>
      </c>
      <c r="D33" s="812"/>
      <c r="E33" s="812"/>
      <c r="F33" s="812"/>
      <c r="G33" s="812"/>
      <c r="H33" s="812"/>
      <c r="I33" s="812"/>
      <c r="J33" s="813"/>
      <c r="K33" s="256">
        <v>4</v>
      </c>
    </row>
    <row r="34" spans="1:11" ht="16.5" customHeight="1" thickBot="1">
      <c r="A34" s="265" t="s">
        <v>679</v>
      </c>
      <c r="B34" s="260" t="s">
        <v>50</v>
      </c>
      <c r="C34" s="797" t="s">
        <v>58</v>
      </c>
      <c r="D34" s="798"/>
      <c r="E34" s="798"/>
      <c r="F34" s="798"/>
      <c r="G34" s="798"/>
      <c r="H34" s="798"/>
      <c r="I34" s="798"/>
      <c r="J34" s="799"/>
      <c r="K34" s="261">
        <v>1</v>
      </c>
    </row>
    <row r="36" spans="1:11" ht="17.25" customHeight="1"/>
    <row r="38" spans="1:11" ht="16.5" customHeight="1"/>
    <row r="40" spans="1:11" ht="16.5" customHeight="1"/>
  </sheetData>
  <mergeCells count="33">
    <mergeCell ref="C34:J34"/>
    <mergeCell ref="C33:J33"/>
    <mergeCell ref="C32:F32"/>
    <mergeCell ref="G32:J32"/>
    <mergeCell ref="C31:F31"/>
    <mergeCell ref="G31:J31"/>
    <mergeCell ref="C30:F30"/>
    <mergeCell ref="G30:J30"/>
    <mergeCell ref="C24:J24"/>
    <mergeCell ref="C26:J26"/>
    <mergeCell ref="C27:J27"/>
    <mergeCell ref="C28:J28"/>
    <mergeCell ref="B27:B29"/>
    <mergeCell ref="C29:J29"/>
    <mergeCell ref="C15:J15"/>
    <mergeCell ref="C11:J11"/>
    <mergeCell ref="C13:J13"/>
    <mergeCell ref="C20:J20"/>
    <mergeCell ref="C21:J21"/>
    <mergeCell ref="C22:J22"/>
    <mergeCell ref="C23:J23"/>
    <mergeCell ref="B25:B26"/>
    <mergeCell ref="C25:J25"/>
    <mergeCell ref="B12:B13"/>
    <mergeCell ref="C12:J12"/>
    <mergeCell ref="B18:K18"/>
    <mergeCell ref="C10:J10"/>
    <mergeCell ref="C16:J16"/>
    <mergeCell ref="B5:K5"/>
    <mergeCell ref="A1:K1"/>
    <mergeCell ref="C7:J7"/>
    <mergeCell ref="C8:J8"/>
    <mergeCell ref="C9:J9"/>
  </mergeCells>
  <phoneticPr fontId="1" type="noConversion"/>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K41"/>
  <sheetViews>
    <sheetView workbookViewId="0">
      <selection sqref="A1:K1"/>
    </sheetView>
  </sheetViews>
  <sheetFormatPr defaultRowHeight="16.5"/>
  <sheetData>
    <row r="1" spans="1:11" ht="17.25" thickBot="1">
      <c r="A1" s="975" t="s">
        <v>105</v>
      </c>
      <c r="B1" s="976"/>
      <c r="C1" s="976"/>
      <c r="D1" s="976"/>
      <c r="E1" s="976"/>
      <c r="F1" s="976"/>
      <c r="G1" s="976"/>
      <c r="H1" s="976"/>
      <c r="I1" s="976"/>
      <c r="J1" s="976"/>
      <c r="K1" s="977"/>
    </row>
    <row r="2" spans="1:11">
      <c r="A2" s="162" t="s">
        <v>106</v>
      </c>
      <c r="B2" s="163" t="s">
        <v>122</v>
      </c>
      <c r="D2" s="164"/>
      <c r="E2" s="165"/>
      <c r="F2" s="165"/>
      <c r="G2" s="165"/>
      <c r="H2" s="165"/>
      <c r="I2" s="164"/>
      <c r="J2" s="165" t="s">
        <v>107</v>
      </c>
      <c r="K2" s="166" t="s">
        <v>121</v>
      </c>
    </row>
    <row r="3" spans="1:11">
      <c r="A3" s="158" t="s">
        <v>444</v>
      </c>
      <c r="B3" s="167"/>
      <c r="C3" s="169"/>
      <c r="D3" s="171"/>
      <c r="E3" s="171"/>
      <c r="F3" s="171"/>
      <c r="G3" s="171"/>
      <c r="H3" s="171"/>
      <c r="I3" s="170"/>
      <c r="J3" s="171" t="s">
        <v>109</v>
      </c>
      <c r="K3" s="418" t="s">
        <v>1162</v>
      </c>
    </row>
    <row r="4" spans="1:11" ht="17.25" thickBot="1">
      <c r="A4" s="159"/>
      <c r="B4" s="168"/>
      <c r="C4" s="160"/>
      <c r="D4" s="160"/>
      <c r="E4" s="160"/>
      <c r="F4" s="160"/>
      <c r="G4" s="160"/>
      <c r="H4" s="160"/>
      <c r="I4" s="161"/>
      <c r="J4" s="172" t="s">
        <v>110</v>
      </c>
      <c r="K4" s="173" t="s">
        <v>1163</v>
      </c>
    </row>
    <row r="5" spans="1:11" s="491" customFormat="1" ht="17.25" thickBot="1">
      <c r="A5" s="519" t="s">
        <v>1212</v>
      </c>
      <c r="B5" s="888" t="s">
        <v>1237</v>
      </c>
      <c r="C5" s="889"/>
      <c r="D5" s="889"/>
      <c r="E5" s="889"/>
      <c r="F5" s="889"/>
      <c r="G5" s="889"/>
      <c r="H5" s="889"/>
      <c r="I5" s="889"/>
      <c r="J5" s="889"/>
      <c r="K5" s="890"/>
    </row>
    <row r="6" spans="1:11" ht="17.25" thickBot="1">
      <c r="A6" s="174" t="s">
        <v>75</v>
      </c>
      <c r="B6" s="174" t="s">
        <v>97</v>
      </c>
      <c r="C6" s="84" t="s">
        <v>445</v>
      </c>
      <c r="D6" s="85" t="s">
        <v>112</v>
      </c>
      <c r="E6" s="85" t="s">
        <v>113</v>
      </c>
      <c r="F6" s="85" t="s">
        <v>114</v>
      </c>
      <c r="G6" s="85" t="s">
        <v>115</v>
      </c>
      <c r="H6" s="85" t="s">
        <v>116</v>
      </c>
      <c r="I6" s="85" t="s">
        <v>117</v>
      </c>
      <c r="J6" s="86" t="s">
        <v>118</v>
      </c>
      <c r="K6" s="175" t="s">
        <v>119</v>
      </c>
    </row>
    <row r="7" spans="1:11">
      <c r="A7" s="505">
        <v>1</v>
      </c>
      <c r="B7" s="496" t="s">
        <v>37</v>
      </c>
      <c r="C7" s="1033" t="s">
        <v>294</v>
      </c>
      <c r="D7" s="1034"/>
      <c r="E7" s="1034"/>
      <c r="F7" s="1034"/>
      <c r="G7" s="1034"/>
      <c r="H7" s="1034"/>
      <c r="I7" s="1034"/>
      <c r="J7" s="1035"/>
      <c r="K7" s="498">
        <v>1</v>
      </c>
    </row>
    <row r="8" spans="1:11">
      <c r="A8" s="239" t="s">
        <v>398</v>
      </c>
      <c r="B8" s="500" t="s">
        <v>36</v>
      </c>
      <c r="C8" s="814" t="s">
        <v>52</v>
      </c>
      <c r="D8" s="815"/>
      <c r="E8" s="815"/>
      <c r="F8" s="815"/>
      <c r="G8" s="815"/>
      <c r="H8" s="815"/>
      <c r="I8" s="815"/>
      <c r="J8" s="816"/>
      <c r="K8" s="244">
        <v>2</v>
      </c>
    </row>
    <row r="9" spans="1:11">
      <c r="A9" s="239" t="s">
        <v>399</v>
      </c>
      <c r="B9" s="500" t="s">
        <v>39</v>
      </c>
      <c r="C9" s="814" t="s">
        <v>53</v>
      </c>
      <c r="D9" s="815"/>
      <c r="E9" s="815"/>
      <c r="F9" s="815"/>
      <c r="G9" s="815"/>
      <c r="H9" s="815"/>
      <c r="I9" s="815"/>
      <c r="J9" s="816"/>
      <c r="K9" s="244">
        <v>2</v>
      </c>
    </row>
    <row r="10" spans="1:11" ht="16.5" customHeight="1">
      <c r="A10" s="239" t="s">
        <v>400</v>
      </c>
      <c r="B10" s="500" t="s">
        <v>40</v>
      </c>
      <c r="C10" s="814" t="s">
        <v>54</v>
      </c>
      <c r="D10" s="815"/>
      <c r="E10" s="815"/>
      <c r="F10" s="815"/>
      <c r="G10" s="815"/>
      <c r="H10" s="815"/>
      <c r="I10" s="815"/>
      <c r="J10" s="816"/>
      <c r="K10" s="244">
        <v>2</v>
      </c>
    </row>
    <row r="11" spans="1:11">
      <c r="A11" s="239" t="s">
        <v>401</v>
      </c>
      <c r="B11" s="500" t="s">
        <v>41</v>
      </c>
      <c r="C11" s="906" t="s">
        <v>1159</v>
      </c>
      <c r="D11" s="907"/>
      <c r="E11" s="907"/>
      <c r="F11" s="907"/>
      <c r="G11" s="907"/>
      <c r="H11" s="907"/>
      <c r="I11" s="907"/>
      <c r="J11" s="908"/>
      <c r="K11" s="244">
        <v>2</v>
      </c>
    </row>
    <row r="12" spans="1:11" s="491" customFormat="1">
      <c r="A12" s="239" t="s">
        <v>402</v>
      </c>
      <c r="B12" s="817" t="s">
        <v>42</v>
      </c>
      <c r="C12" s="819" t="s">
        <v>1145</v>
      </c>
      <c r="D12" s="820"/>
      <c r="E12" s="820"/>
      <c r="F12" s="820"/>
      <c r="G12" s="820"/>
      <c r="H12" s="820"/>
      <c r="I12" s="820"/>
      <c r="J12" s="821"/>
      <c r="K12" s="507">
        <v>2</v>
      </c>
    </row>
    <row r="13" spans="1:11" ht="17.25" thickBot="1">
      <c r="A13" s="497" t="s">
        <v>1152</v>
      </c>
      <c r="B13" s="818"/>
      <c r="C13" s="1040" t="s">
        <v>1146</v>
      </c>
      <c r="D13" s="1041"/>
      <c r="E13" s="1041"/>
      <c r="F13" s="1041"/>
      <c r="G13" s="1041"/>
      <c r="H13" s="1041"/>
      <c r="I13" s="1041"/>
      <c r="J13" s="1042"/>
      <c r="K13" s="499">
        <v>2</v>
      </c>
    </row>
    <row r="14" spans="1:11" ht="45.75" thickBot="1">
      <c r="A14" s="271" t="s">
        <v>671</v>
      </c>
      <c r="B14" s="271" t="s">
        <v>665</v>
      </c>
      <c r="C14" s="223"/>
      <c r="D14" s="222"/>
      <c r="E14" s="222"/>
      <c r="F14" s="222" t="s">
        <v>1085</v>
      </c>
      <c r="G14" s="222" t="s">
        <v>965</v>
      </c>
      <c r="H14" s="222" t="s">
        <v>666</v>
      </c>
      <c r="I14" s="222" t="s">
        <v>966</v>
      </c>
      <c r="J14" s="270" t="s">
        <v>667</v>
      </c>
      <c r="K14" s="272">
        <v>2</v>
      </c>
    </row>
    <row r="15" spans="1:11" ht="16.5" customHeight="1">
      <c r="A15" s="93" t="s">
        <v>672</v>
      </c>
      <c r="B15" s="93" t="s">
        <v>48</v>
      </c>
      <c r="C15" s="677" t="s">
        <v>120</v>
      </c>
      <c r="D15" s="678"/>
      <c r="E15" s="678"/>
      <c r="F15" s="678"/>
      <c r="G15" s="678"/>
      <c r="H15" s="678"/>
      <c r="I15" s="678"/>
      <c r="J15" s="679"/>
      <c r="K15" s="99">
        <v>4</v>
      </c>
    </row>
    <row r="16" spans="1:11" ht="17.25" thickBot="1">
      <c r="A16" s="96">
        <v>17</v>
      </c>
      <c r="B16" s="96" t="s">
        <v>50</v>
      </c>
      <c r="C16" s="674" t="s">
        <v>58</v>
      </c>
      <c r="D16" s="675"/>
      <c r="E16" s="675"/>
      <c r="F16" s="675"/>
      <c r="G16" s="675"/>
      <c r="H16" s="675"/>
      <c r="I16" s="675"/>
      <c r="J16" s="676"/>
      <c r="K16" s="100">
        <v>1</v>
      </c>
    </row>
    <row r="17" spans="1:11" ht="17.25" thickBot="1"/>
    <row r="18" spans="1:11" s="491" customFormat="1" ht="17.25" thickBot="1">
      <c r="A18" s="519" t="s">
        <v>1212</v>
      </c>
      <c r="B18" s="888" t="s">
        <v>1234</v>
      </c>
      <c r="C18" s="889"/>
      <c r="D18" s="889"/>
      <c r="E18" s="889"/>
      <c r="F18" s="889"/>
      <c r="G18" s="889"/>
      <c r="H18" s="889"/>
      <c r="I18" s="889"/>
      <c r="J18" s="889"/>
      <c r="K18" s="890"/>
    </row>
    <row r="19" spans="1:11" ht="17.25" thickBot="1">
      <c r="A19" s="177" t="s">
        <v>75</v>
      </c>
      <c r="B19" s="175" t="s">
        <v>97</v>
      </c>
      <c r="C19" s="178" t="s">
        <v>445</v>
      </c>
      <c r="D19" s="179" t="s">
        <v>112</v>
      </c>
      <c r="E19" s="179" t="s">
        <v>113</v>
      </c>
      <c r="F19" s="179" t="s">
        <v>114</v>
      </c>
      <c r="G19" s="179" t="s">
        <v>115</v>
      </c>
      <c r="H19" s="179" t="s">
        <v>116</v>
      </c>
      <c r="I19" s="179" t="s">
        <v>117</v>
      </c>
      <c r="J19" s="180" t="s">
        <v>118</v>
      </c>
      <c r="K19" s="175" t="s">
        <v>119</v>
      </c>
    </row>
    <row r="20" spans="1:11">
      <c r="A20" s="505">
        <v>1</v>
      </c>
      <c r="B20" s="496" t="s">
        <v>37</v>
      </c>
      <c r="C20" s="1033" t="s">
        <v>294</v>
      </c>
      <c r="D20" s="1034"/>
      <c r="E20" s="1034"/>
      <c r="F20" s="1034"/>
      <c r="G20" s="1034"/>
      <c r="H20" s="1034"/>
      <c r="I20" s="1034"/>
      <c r="J20" s="1035"/>
      <c r="K20" s="498">
        <v>1</v>
      </c>
    </row>
    <row r="21" spans="1:11">
      <c r="A21" s="239" t="s">
        <v>398</v>
      </c>
      <c r="B21" s="500" t="s">
        <v>36</v>
      </c>
      <c r="C21" s="814" t="s">
        <v>52</v>
      </c>
      <c r="D21" s="815"/>
      <c r="E21" s="815"/>
      <c r="F21" s="815"/>
      <c r="G21" s="815"/>
      <c r="H21" s="815"/>
      <c r="I21" s="815"/>
      <c r="J21" s="816"/>
      <c r="K21" s="244">
        <v>2</v>
      </c>
    </row>
    <row r="22" spans="1:11">
      <c r="A22" s="239" t="s">
        <v>399</v>
      </c>
      <c r="B22" s="500" t="s">
        <v>39</v>
      </c>
      <c r="C22" s="814" t="s">
        <v>53</v>
      </c>
      <c r="D22" s="815"/>
      <c r="E22" s="815"/>
      <c r="F22" s="815"/>
      <c r="G22" s="815"/>
      <c r="H22" s="815"/>
      <c r="I22" s="815"/>
      <c r="J22" s="816"/>
      <c r="K22" s="244">
        <v>2</v>
      </c>
    </row>
    <row r="23" spans="1:11">
      <c r="A23" s="239" t="s">
        <v>400</v>
      </c>
      <c r="B23" s="500" t="s">
        <v>40</v>
      </c>
      <c r="C23" s="814" t="s">
        <v>54</v>
      </c>
      <c r="D23" s="815"/>
      <c r="E23" s="815"/>
      <c r="F23" s="815"/>
      <c r="G23" s="815"/>
      <c r="H23" s="815"/>
      <c r="I23" s="815"/>
      <c r="J23" s="816"/>
      <c r="K23" s="244">
        <v>2</v>
      </c>
    </row>
    <row r="24" spans="1:11">
      <c r="A24" s="239" t="s">
        <v>401</v>
      </c>
      <c r="B24" s="500" t="s">
        <v>41</v>
      </c>
      <c r="C24" s="906" t="s">
        <v>1157</v>
      </c>
      <c r="D24" s="907"/>
      <c r="E24" s="907"/>
      <c r="F24" s="907"/>
      <c r="G24" s="907"/>
      <c r="H24" s="907"/>
      <c r="I24" s="907"/>
      <c r="J24" s="908"/>
      <c r="K24" s="244">
        <v>2</v>
      </c>
    </row>
    <row r="25" spans="1:11" s="491" customFormat="1">
      <c r="A25" s="239" t="s">
        <v>402</v>
      </c>
      <c r="B25" s="817" t="s">
        <v>42</v>
      </c>
      <c r="C25" s="819" t="s">
        <v>1145</v>
      </c>
      <c r="D25" s="820"/>
      <c r="E25" s="820"/>
      <c r="F25" s="820"/>
      <c r="G25" s="820"/>
      <c r="H25" s="820"/>
      <c r="I25" s="820"/>
      <c r="J25" s="821"/>
      <c r="K25" s="507">
        <v>2</v>
      </c>
    </row>
    <row r="26" spans="1:11" ht="17.25" thickBot="1">
      <c r="A26" s="497" t="s">
        <v>1152</v>
      </c>
      <c r="B26" s="818"/>
      <c r="C26" s="1040" t="s">
        <v>1146</v>
      </c>
      <c r="D26" s="1041"/>
      <c r="E26" s="1041"/>
      <c r="F26" s="1041"/>
      <c r="G26" s="1041"/>
      <c r="H26" s="1041"/>
      <c r="I26" s="1041"/>
      <c r="J26" s="1042"/>
      <c r="K26" s="499">
        <v>2</v>
      </c>
    </row>
    <row r="27" spans="1:11">
      <c r="A27" s="103" t="s">
        <v>671</v>
      </c>
      <c r="B27" s="928" t="s">
        <v>556</v>
      </c>
      <c r="C27" s="931" t="s">
        <v>668</v>
      </c>
      <c r="D27" s="932"/>
      <c r="E27" s="932"/>
      <c r="F27" s="932"/>
      <c r="G27" s="932"/>
      <c r="H27" s="932"/>
      <c r="I27" s="932"/>
      <c r="J27" s="933"/>
      <c r="K27" s="191">
        <v>2</v>
      </c>
    </row>
    <row r="28" spans="1:11">
      <c r="A28" s="186" t="s">
        <v>673</v>
      </c>
      <c r="B28" s="929"/>
      <c r="C28" s="896" t="s">
        <v>669</v>
      </c>
      <c r="D28" s="809"/>
      <c r="E28" s="809"/>
      <c r="F28" s="809"/>
      <c r="G28" s="809"/>
      <c r="H28" s="809"/>
      <c r="I28" s="809"/>
      <c r="J28" s="810"/>
      <c r="K28" s="192">
        <v>2</v>
      </c>
    </row>
    <row r="29" spans="1:11" ht="17.25" thickBot="1">
      <c r="A29" s="188" t="s">
        <v>674</v>
      </c>
      <c r="B29" s="930"/>
      <c r="C29" s="903" t="s">
        <v>670</v>
      </c>
      <c r="D29" s="806"/>
      <c r="E29" s="806"/>
      <c r="F29" s="806"/>
      <c r="G29" s="806"/>
      <c r="H29" s="806"/>
      <c r="I29" s="806"/>
      <c r="J29" s="807"/>
      <c r="K29" s="193">
        <v>2</v>
      </c>
    </row>
    <row r="30" spans="1:11" ht="17.25" thickBot="1">
      <c r="A30" s="103" t="s">
        <v>675</v>
      </c>
      <c r="B30" s="378" t="s">
        <v>518</v>
      </c>
      <c r="C30" s="939" t="s">
        <v>555</v>
      </c>
      <c r="D30" s="940"/>
      <c r="E30" s="940"/>
      <c r="F30" s="941"/>
      <c r="G30" s="942" t="s">
        <v>550</v>
      </c>
      <c r="H30" s="940"/>
      <c r="I30" s="940"/>
      <c r="J30" s="943"/>
      <c r="K30" s="187">
        <v>2</v>
      </c>
    </row>
    <row r="31" spans="1:11" ht="17.25" thickBot="1">
      <c r="A31" s="103" t="s">
        <v>676</v>
      </c>
      <c r="B31" s="378" t="s">
        <v>519</v>
      </c>
      <c r="C31" s="947" t="s">
        <v>551</v>
      </c>
      <c r="D31" s="948"/>
      <c r="E31" s="948"/>
      <c r="F31" s="949"/>
      <c r="G31" s="950" t="s">
        <v>552</v>
      </c>
      <c r="H31" s="948"/>
      <c r="I31" s="948"/>
      <c r="J31" s="951"/>
      <c r="K31" s="187">
        <v>2</v>
      </c>
    </row>
    <row r="32" spans="1:11">
      <c r="A32" s="103" t="s">
        <v>677</v>
      </c>
      <c r="B32" s="378" t="s">
        <v>520</v>
      </c>
      <c r="C32" s="939" t="s">
        <v>553</v>
      </c>
      <c r="D32" s="940"/>
      <c r="E32" s="940"/>
      <c r="F32" s="941"/>
      <c r="G32" s="942" t="s">
        <v>554</v>
      </c>
      <c r="H32" s="940"/>
      <c r="I32" s="940"/>
      <c r="J32" s="943"/>
      <c r="K32" s="187">
        <v>2</v>
      </c>
    </row>
    <row r="33" spans="1:11" ht="16.5" customHeight="1">
      <c r="A33" s="181" t="s">
        <v>678</v>
      </c>
      <c r="B33" s="182" t="s">
        <v>48</v>
      </c>
      <c r="C33" s="811" t="s">
        <v>521</v>
      </c>
      <c r="D33" s="812"/>
      <c r="E33" s="812"/>
      <c r="F33" s="812"/>
      <c r="G33" s="812"/>
      <c r="H33" s="812"/>
      <c r="I33" s="812"/>
      <c r="J33" s="813"/>
      <c r="K33" s="183">
        <v>4</v>
      </c>
    </row>
    <row r="34" spans="1:11" ht="17.25" thickBot="1">
      <c r="A34" s="194" t="s">
        <v>679</v>
      </c>
      <c r="B34" s="189" t="s">
        <v>50</v>
      </c>
      <c r="C34" s="797" t="s">
        <v>58</v>
      </c>
      <c r="D34" s="798"/>
      <c r="E34" s="798"/>
      <c r="F34" s="798"/>
      <c r="G34" s="798"/>
      <c r="H34" s="798"/>
      <c r="I34" s="798"/>
      <c r="J34" s="799"/>
      <c r="K34" s="190">
        <v>1</v>
      </c>
    </row>
    <row r="35" spans="1:11" ht="16.5" customHeight="1"/>
    <row r="37" spans="1:11" ht="17.25" customHeight="1"/>
    <row r="39" spans="1:11" ht="16.5" customHeight="1"/>
    <row r="41" spans="1:11" ht="16.5" customHeight="1"/>
  </sheetData>
  <mergeCells count="33">
    <mergeCell ref="B12:B13"/>
    <mergeCell ref="C12:J12"/>
    <mergeCell ref="B18:K18"/>
    <mergeCell ref="A1:K1"/>
    <mergeCell ref="C7:J7"/>
    <mergeCell ref="C8:J8"/>
    <mergeCell ref="C9:J9"/>
    <mergeCell ref="B5:K5"/>
    <mergeCell ref="C21:J21"/>
    <mergeCell ref="C10:J10"/>
    <mergeCell ref="C11:J11"/>
    <mergeCell ref="C13:J13"/>
    <mergeCell ref="C15:J15"/>
    <mergeCell ref="C16:J16"/>
    <mergeCell ref="C20:J20"/>
    <mergeCell ref="C22:J22"/>
    <mergeCell ref="C23:J23"/>
    <mergeCell ref="C24:J24"/>
    <mergeCell ref="C26:J26"/>
    <mergeCell ref="B27:B29"/>
    <mergeCell ref="C27:J27"/>
    <mergeCell ref="C28:J28"/>
    <mergeCell ref="C29:J29"/>
    <mergeCell ref="B25:B26"/>
    <mergeCell ref="C25:J25"/>
    <mergeCell ref="C34:J34"/>
    <mergeCell ref="C32:F32"/>
    <mergeCell ref="G32:J32"/>
    <mergeCell ref="C33:J33"/>
    <mergeCell ref="C30:F30"/>
    <mergeCell ref="G30:J30"/>
    <mergeCell ref="C31:F31"/>
    <mergeCell ref="G31:J31"/>
  </mergeCells>
  <phoneticPr fontId="1" type="noConversion"/>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R148"/>
  <sheetViews>
    <sheetView topLeftCell="A55" workbookViewId="0">
      <selection activeCell="O80" sqref="O80"/>
    </sheetView>
  </sheetViews>
  <sheetFormatPr defaultRowHeight="16.5"/>
  <cols>
    <col min="12" max="12" width="9" style="491"/>
    <col min="14" max="15" width="9" style="491"/>
  </cols>
  <sheetData>
    <row r="1" spans="1:15" ht="17.25" thickBot="1">
      <c r="A1" s="975" t="s">
        <v>105</v>
      </c>
      <c r="B1" s="976"/>
      <c r="C1" s="976"/>
      <c r="D1" s="976"/>
      <c r="E1" s="976"/>
      <c r="F1" s="976"/>
      <c r="G1" s="976"/>
      <c r="H1" s="976"/>
      <c r="I1" s="976"/>
      <c r="J1" s="976"/>
      <c r="K1" s="977"/>
      <c r="L1" s="649"/>
      <c r="M1" t="s">
        <v>1681</v>
      </c>
    </row>
    <row r="2" spans="1:15">
      <c r="A2" s="64" t="s">
        <v>106</v>
      </c>
      <c r="B2" s="65" t="s">
        <v>122</v>
      </c>
      <c r="D2" s="66"/>
      <c r="E2" s="67"/>
      <c r="F2" s="67"/>
      <c r="G2" s="67"/>
      <c r="H2" s="67"/>
      <c r="I2" s="66"/>
      <c r="J2" s="67" t="s">
        <v>107</v>
      </c>
      <c r="K2" s="68" t="s">
        <v>792</v>
      </c>
      <c r="L2" s="650"/>
    </row>
    <row r="3" spans="1:15">
      <c r="A3" s="60" t="s">
        <v>108</v>
      </c>
      <c r="B3" s="69"/>
      <c r="C3" s="71"/>
      <c r="D3" s="73"/>
      <c r="E3" s="73"/>
      <c r="F3" s="73"/>
      <c r="G3" s="73"/>
      <c r="H3" s="73"/>
      <c r="I3" s="72"/>
      <c r="J3" s="73" t="s">
        <v>109</v>
      </c>
      <c r="K3" s="553">
        <v>42384</v>
      </c>
      <c r="L3" s="651"/>
    </row>
    <row r="4" spans="1:15" ht="17.25" thickBot="1">
      <c r="A4" s="61"/>
      <c r="B4" s="70"/>
      <c r="C4" s="62"/>
      <c r="D4" s="62"/>
      <c r="E4" s="62"/>
      <c r="F4" s="62"/>
      <c r="G4" s="62"/>
      <c r="H4" s="62"/>
      <c r="I4" s="63"/>
      <c r="J4" s="74" t="s">
        <v>110</v>
      </c>
      <c r="K4" s="212" t="s">
        <v>1694</v>
      </c>
      <c r="L4" s="650"/>
    </row>
    <row r="5" spans="1:15" s="491" customFormat="1" ht="17.25" thickBot="1">
      <c r="A5" s="519" t="s">
        <v>1212</v>
      </c>
      <c r="B5" s="888" t="s">
        <v>1239</v>
      </c>
      <c r="C5" s="889"/>
      <c r="D5" s="889"/>
      <c r="E5" s="889"/>
      <c r="F5" s="889"/>
      <c r="G5" s="889"/>
      <c r="H5" s="889"/>
      <c r="I5" s="889"/>
      <c r="J5" s="889"/>
      <c r="K5" s="890"/>
      <c r="L5" s="652"/>
    </row>
    <row r="6" spans="1:15" ht="17.25" thickBot="1">
      <c r="A6" s="101" t="s">
        <v>75</v>
      </c>
      <c r="B6" s="94" t="s">
        <v>97</v>
      </c>
      <c r="C6" s="112" t="s">
        <v>111</v>
      </c>
      <c r="D6" s="113" t="s">
        <v>112</v>
      </c>
      <c r="E6" s="113" t="s">
        <v>113</v>
      </c>
      <c r="F6" s="113" t="s">
        <v>114</v>
      </c>
      <c r="G6" s="113" t="s">
        <v>115</v>
      </c>
      <c r="H6" s="113" t="s">
        <v>116</v>
      </c>
      <c r="I6" s="113" t="s">
        <v>117</v>
      </c>
      <c r="J6" s="114" t="s">
        <v>118</v>
      </c>
      <c r="K6" s="115" t="s">
        <v>119</v>
      </c>
      <c r="L6" s="653"/>
    </row>
    <row r="7" spans="1:15">
      <c r="A7" s="505">
        <v>1</v>
      </c>
      <c r="B7" s="496" t="s">
        <v>37</v>
      </c>
      <c r="C7" s="1033" t="s">
        <v>294</v>
      </c>
      <c r="D7" s="1034"/>
      <c r="E7" s="1034"/>
      <c r="F7" s="1034"/>
      <c r="G7" s="1034"/>
      <c r="H7" s="1034"/>
      <c r="I7" s="1034"/>
      <c r="J7" s="1035"/>
      <c r="K7" s="498">
        <v>1</v>
      </c>
      <c r="L7" s="654"/>
    </row>
    <row r="8" spans="1:15">
      <c r="A8" s="239" t="s">
        <v>398</v>
      </c>
      <c r="B8" s="500" t="s">
        <v>36</v>
      </c>
      <c r="C8" s="814" t="s">
        <v>52</v>
      </c>
      <c r="D8" s="815"/>
      <c r="E8" s="815"/>
      <c r="F8" s="815"/>
      <c r="G8" s="815"/>
      <c r="H8" s="815"/>
      <c r="I8" s="815"/>
      <c r="J8" s="816"/>
      <c r="K8" s="244">
        <v>2</v>
      </c>
      <c r="L8" s="654">
        <v>24</v>
      </c>
      <c r="M8" s="491">
        <v>24</v>
      </c>
      <c r="N8" s="491">
        <v>24</v>
      </c>
      <c r="O8" s="491">
        <v>24</v>
      </c>
    </row>
    <row r="9" spans="1:15">
      <c r="A9" s="239" t="s">
        <v>399</v>
      </c>
      <c r="B9" s="500" t="s">
        <v>39</v>
      </c>
      <c r="C9" s="814" t="s">
        <v>53</v>
      </c>
      <c r="D9" s="815"/>
      <c r="E9" s="815"/>
      <c r="F9" s="815"/>
      <c r="G9" s="815"/>
      <c r="H9" s="815"/>
      <c r="I9" s="815"/>
      <c r="J9" s="816"/>
      <c r="K9" s="244">
        <v>2</v>
      </c>
      <c r="L9" s="654">
        <v>21</v>
      </c>
      <c r="M9" s="491">
        <v>21</v>
      </c>
      <c r="N9" s="491">
        <v>21</v>
      </c>
      <c r="O9" s="491">
        <v>21</v>
      </c>
    </row>
    <row r="10" spans="1:15">
      <c r="A10" s="239" t="s">
        <v>400</v>
      </c>
      <c r="B10" s="500" t="s">
        <v>40</v>
      </c>
      <c r="C10" s="814" t="s">
        <v>54</v>
      </c>
      <c r="D10" s="815"/>
      <c r="E10" s="815"/>
      <c r="F10" s="815"/>
      <c r="G10" s="815"/>
      <c r="H10" s="815"/>
      <c r="I10" s="815"/>
      <c r="J10" s="816"/>
      <c r="K10" s="244">
        <v>2</v>
      </c>
      <c r="L10" s="654">
        <v>36</v>
      </c>
      <c r="M10" s="491" t="s">
        <v>1344</v>
      </c>
      <c r="N10" s="491">
        <v>41</v>
      </c>
      <c r="O10" s="491" t="s">
        <v>1344</v>
      </c>
    </row>
    <row r="11" spans="1:15">
      <c r="A11" s="239" t="s">
        <v>401</v>
      </c>
      <c r="B11" s="500" t="s">
        <v>41</v>
      </c>
      <c r="C11" s="906" t="s">
        <v>1159</v>
      </c>
      <c r="D11" s="907"/>
      <c r="E11" s="907"/>
      <c r="F11" s="907"/>
      <c r="G11" s="907"/>
      <c r="H11" s="907"/>
      <c r="I11" s="907"/>
      <c r="J11" s="908"/>
      <c r="K11" s="244">
        <v>2</v>
      </c>
      <c r="L11" s="654">
        <v>11</v>
      </c>
      <c r="M11" s="491">
        <v>11</v>
      </c>
      <c r="N11" s="491">
        <v>11</v>
      </c>
      <c r="O11" s="491">
        <v>11</v>
      </c>
    </row>
    <row r="12" spans="1:15" s="491" customFormat="1">
      <c r="A12" s="239" t="s">
        <v>402</v>
      </c>
      <c r="B12" s="817" t="s">
        <v>42</v>
      </c>
      <c r="C12" s="819" t="s">
        <v>1145</v>
      </c>
      <c r="D12" s="820"/>
      <c r="E12" s="820"/>
      <c r="F12" s="820"/>
      <c r="G12" s="820"/>
      <c r="H12" s="820"/>
      <c r="I12" s="820"/>
      <c r="J12" s="821"/>
      <c r="K12" s="507">
        <v>2</v>
      </c>
      <c r="L12" s="654">
        <v>0</v>
      </c>
      <c r="M12" s="491">
        <v>0</v>
      </c>
      <c r="N12" s="491">
        <v>0</v>
      </c>
      <c r="O12" s="491">
        <v>0</v>
      </c>
    </row>
    <row r="13" spans="1:15" ht="17.25" thickBot="1">
      <c r="A13" s="497" t="s">
        <v>1152</v>
      </c>
      <c r="B13" s="818"/>
      <c r="C13" s="1040" t="s">
        <v>1146</v>
      </c>
      <c r="D13" s="1041"/>
      <c r="E13" s="1041"/>
      <c r="F13" s="1041"/>
      <c r="G13" s="1041"/>
      <c r="H13" s="1041"/>
      <c r="I13" s="1041"/>
      <c r="J13" s="1042"/>
      <c r="K13" s="499">
        <v>2</v>
      </c>
      <c r="L13" s="654" t="s">
        <v>1651</v>
      </c>
      <c r="M13" s="491" t="s">
        <v>1345</v>
      </c>
      <c r="N13" s="491" t="s">
        <v>1345</v>
      </c>
      <c r="O13" s="491" t="s">
        <v>1345</v>
      </c>
    </row>
    <row r="14" spans="1:15">
      <c r="A14" s="1219" t="s">
        <v>404</v>
      </c>
      <c r="B14" s="837" t="s">
        <v>228</v>
      </c>
      <c r="C14" s="1310" t="s">
        <v>304</v>
      </c>
      <c r="D14" s="1311"/>
      <c r="E14" s="1311"/>
      <c r="F14" s="1312"/>
      <c r="G14" s="1307" t="s">
        <v>303</v>
      </c>
      <c r="H14" s="1308"/>
      <c r="I14" s="1308"/>
      <c r="J14" s="1309"/>
      <c r="K14" s="1221">
        <v>2</v>
      </c>
      <c r="L14" s="654"/>
      <c r="M14" s="1213">
        <v>0</v>
      </c>
    </row>
    <row r="15" spans="1:15" ht="17.25" thickBot="1">
      <c r="A15" s="1303"/>
      <c r="B15" s="818"/>
      <c r="C15" s="1313"/>
      <c r="D15" s="1314"/>
      <c r="E15" s="1314"/>
      <c r="F15" s="1315"/>
      <c r="G15" s="116" t="s">
        <v>225</v>
      </c>
      <c r="H15" s="22" t="s">
        <v>226</v>
      </c>
      <c r="I15" s="22" t="s">
        <v>229</v>
      </c>
      <c r="J15" s="117" t="s">
        <v>227</v>
      </c>
      <c r="K15" s="1222"/>
      <c r="L15" s="650">
        <v>0</v>
      </c>
      <c r="M15" s="1213"/>
      <c r="N15" s="491">
        <v>0</v>
      </c>
      <c r="O15" s="491">
        <v>0</v>
      </c>
    </row>
    <row r="16" spans="1:15" ht="16.5" customHeight="1">
      <c r="A16" s="1219" t="s">
        <v>406</v>
      </c>
      <c r="B16" s="837" t="s">
        <v>925</v>
      </c>
      <c r="C16" s="1304" t="s">
        <v>389</v>
      </c>
      <c r="D16" s="1305"/>
      <c r="E16" s="1305"/>
      <c r="F16" s="1306"/>
      <c r="G16" s="978" t="s">
        <v>304</v>
      </c>
      <c r="H16" s="1316" t="s">
        <v>388</v>
      </c>
      <c r="I16" s="1317"/>
      <c r="J16" s="1318"/>
      <c r="K16" s="795">
        <v>2</v>
      </c>
      <c r="L16" s="650"/>
      <c r="M16" s="1213">
        <v>2</v>
      </c>
    </row>
    <row r="17" spans="1:18" ht="23.25" thickBot="1">
      <c r="A17" s="1220"/>
      <c r="B17" s="909"/>
      <c r="C17" s="311" t="s">
        <v>392</v>
      </c>
      <c r="D17" s="572" t="s">
        <v>393</v>
      </c>
      <c r="E17" s="312" t="s">
        <v>1332</v>
      </c>
      <c r="F17" s="572" t="s">
        <v>394</v>
      </c>
      <c r="G17" s="1302"/>
      <c r="H17" s="313" t="s">
        <v>390</v>
      </c>
      <c r="I17" s="312" t="s">
        <v>391</v>
      </c>
      <c r="J17" s="314" t="s">
        <v>396</v>
      </c>
      <c r="K17" s="796"/>
      <c r="L17" s="650">
        <v>1</v>
      </c>
      <c r="M17" s="1213"/>
      <c r="N17" s="491">
        <v>0</v>
      </c>
      <c r="O17" s="491">
        <v>1</v>
      </c>
    </row>
    <row r="18" spans="1:18" s="224" customFormat="1" ht="16.5" customHeight="1">
      <c r="A18" s="837" t="s">
        <v>824</v>
      </c>
      <c r="B18" s="837" t="s">
        <v>649</v>
      </c>
      <c r="C18" s="1327" t="s">
        <v>1333</v>
      </c>
      <c r="D18" s="1333" t="s">
        <v>1334</v>
      </c>
      <c r="E18" s="561"/>
      <c r="F18" s="561"/>
      <c r="G18" s="1329" t="s">
        <v>1310</v>
      </c>
      <c r="H18" s="1329"/>
      <c r="I18" s="1325" t="s">
        <v>771</v>
      </c>
      <c r="J18" s="1326"/>
      <c r="K18" s="795">
        <v>2</v>
      </c>
      <c r="L18" s="650"/>
      <c r="M18" s="1213">
        <v>4</v>
      </c>
      <c r="N18" s="491"/>
      <c r="O18" s="491"/>
      <c r="P18" s="224" t="s">
        <v>1297</v>
      </c>
    </row>
    <row r="19" spans="1:18" s="224" customFormat="1" ht="17.25" thickBot="1">
      <c r="A19" s="818"/>
      <c r="B19" s="818"/>
      <c r="C19" s="1328"/>
      <c r="D19" s="1334"/>
      <c r="E19" s="562" t="s">
        <v>1313</v>
      </c>
      <c r="F19" s="562" t="s">
        <v>1312</v>
      </c>
      <c r="G19" s="554" t="s">
        <v>1314</v>
      </c>
      <c r="H19" s="554" t="s">
        <v>1299</v>
      </c>
      <c r="I19" s="555" t="s">
        <v>1301</v>
      </c>
      <c r="J19" s="556" t="s">
        <v>1300</v>
      </c>
      <c r="K19" s="796"/>
      <c r="L19" s="512">
        <v>0</v>
      </c>
      <c r="M19" s="1213"/>
      <c r="N19" s="491">
        <v>0</v>
      </c>
      <c r="O19" s="491">
        <v>0</v>
      </c>
      <c r="P19" s="224" t="s">
        <v>1167</v>
      </c>
    </row>
    <row r="20" spans="1:18" ht="17.25" thickBot="1">
      <c r="A20" s="323" t="s">
        <v>408</v>
      </c>
      <c r="B20" s="95" t="s">
        <v>397</v>
      </c>
      <c r="C20" s="1322" t="s">
        <v>443</v>
      </c>
      <c r="D20" s="1323"/>
      <c r="E20" s="1323"/>
      <c r="F20" s="1323"/>
      <c r="G20" s="1323"/>
      <c r="H20" s="1323"/>
      <c r="I20" s="1323"/>
      <c r="J20" s="1324"/>
      <c r="K20" s="118">
        <v>2</v>
      </c>
      <c r="L20" s="512">
        <v>1</v>
      </c>
      <c r="M20" s="491">
        <v>6</v>
      </c>
      <c r="N20" s="491">
        <v>0</v>
      </c>
      <c r="O20" s="491">
        <v>5</v>
      </c>
    </row>
    <row r="21" spans="1:18" ht="22.5">
      <c r="A21" s="320" t="s">
        <v>409</v>
      </c>
      <c r="B21" s="837" t="s">
        <v>387</v>
      </c>
      <c r="C21" s="1188" t="s">
        <v>867</v>
      </c>
      <c r="D21" s="1186"/>
      <c r="E21" s="1186"/>
      <c r="F21" s="1186"/>
      <c r="G21" s="1186"/>
      <c r="H21" s="1186"/>
      <c r="I21" s="1186"/>
      <c r="J21" s="1187"/>
      <c r="K21" s="39">
        <v>2</v>
      </c>
      <c r="L21" s="512">
        <v>19</v>
      </c>
      <c r="M21" s="491">
        <v>8</v>
      </c>
      <c r="N21" s="491">
        <v>1</v>
      </c>
      <c r="O21" s="491">
        <v>19</v>
      </c>
      <c r="P21" s="560" t="s">
        <v>1209</v>
      </c>
      <c r="Q21" s="560" t="s">
        <v>1210</v>
      </c>
      <c r="R21" s="560" t="s">
        <v>823</v>
      </c>
    </row>
    <row r="22" spans="1:18">
      <c r="A22" s="239" t="s">
        <v>410</v>
      </c>
      <c r="B22" s="909"/>
      <c r="C22" s="1185" t="s">
        <v>868</v>
      </c>
      <c r="D22" s="1183"/>
      <c r="E22" s="1183"/>
      <c r="F22" s="1183"/>
      <c r="G22" s="1183"/>
      <c r="H22" s="1183"/>
      <c r="I22" s="1183"/>
      <c r="J22" s="1184"/>
      <c r="K22" s="108">
        <v>2</v>
      </c>
      <c r="L22" s="512">
        <v>19</v>
      </c>
      <c r="M22" s="491">
        <v>10</v>
      </c>
      <c r="N22" s="491">
        <v>2</v>
      </c>
      <c r="O22" s="491">
        <v>19</v>
      </c>
    </row>
    <row r="23" spans="1:18">
      <c r="A23" s="239" t="s">
        <v>411</v>
      </c>
      <c r="B23" s="909"/>
      <c r="C23" s="1185" t="s">
        <v>869</v>
      </c>
      <c r="D23" s="1183"/>
      <c r="E23" s="1183"/>
      <c r="F23" s="1183"/>
      <c r="G23" s="1183"/>
      <c r="H23" s="1183"/>
      <c r="I23" s="1183"/>
      <c r="J23" s="1184"/>
      <c r="K23" s="108">
        <v>2</v>
      </c>
      <c r="L23" s="654">
        <v>19</v>
      </c>
      <c r="M23" s="491">
        <v>12</v>
      </c>
      <c r="N23" s="491">
        <v>3</v>
      </c>
      <c r="O23" s="491">
        <v>19</v>
      </c>
    </row>
    <row r="24" spans="1:18" s="224" customFormat="1">
      <c r="A24" s="239" t="s">
        <v>412</v>
      </c>
      <c r="B24" s="909"/>
      <c r="C24" s="1185" t="s">
        <v>888</v>
      </c>
      <c r="D24" s="1183"/>
      <c r="E24" s="1183"/>
      <c r="F24" s="1183"/>
      <c r="G24" s="1183"/>
      <c r="H24" s="1183"/>
      <c r="I24" s="1183"/>
      <c r="J24" s="1184"/>
      <c r="K24" s="108">
        <v>2</v>
      </c>
      <c r="L24" s="654" t="s">
        <v>1636</v>
      </c>
      <c r="M24" s="491">
        <v>14</v>
      </c>
      <c r="N24" s="491">
        <v>4</v>
      </c>
      <c r="O24" s="491">
        <v>19</v>
      </c>
    </row>
    <row r="25" spans="1:18" s="224" customFormat="1">
      <c r="A25" s="239" t="s">
        <v>413</v>
      </c>
      <c r="B25" s="909"/>
      <c r="C25" s="1185" t="s">
        <v>871</v>
      </c>
      <c r="D25" s="1183"/>
      <c r="E25" s="1183"/>
      <c r="F25" s="1183"/>
      <c r="G25" s="1183"/>
      <c r="H25" s="1183"/>
      <c r="I25" s="1183"/>
      <c r="J25" s="1184"/>
      <c r="K25" s="108">
        <v>2</v>
      </c>
      <c r="L25" s="654">
        <v>0</v>
      </c>
      <c r="M25" s="491">
        <v>16</v>
      </c>
      <c r="N25" s="491">
        <v>5</v>
      </c>
      <c r="O25" s="491">
        <v>0</v>
      </c>
    </row>
    <row r="26" spans="1:18">
      <c r="A26" s="239" t="s">
        <v>414</v>
      </c>
      <c r="B26" s="909"/>
      <c r="C26" s="1185" t="s">
        <v>870</v>
      </c>
      <c r="D26" s="1183"/>
      <c r="E26" s="1183"/>
      <c r="F26" s="1183"/>
      <c r="G26" s="1183"/>
      <c r="H26" s="1183"/>
      <c r="I26" s="1183"/>
      <c r="J26" s="1184"/>
      <c r="K26" s="108">
        <v>2</v>
      </c>
      <c r="L26" s="654" t="s">
        <v>1682</v>
      </c>
      <c r="M26" s="491">
        <v>18</v>
      </c>
      <c r="N26" s="491">
        <v>6</v>
      </c>
      <c r="O26" s="491" t="s">
        <v>1346</v>
      </c>
    </row>
    <row r="27" spans="1:18" s="224" customFormat="1">
      <c r="A27" s="239" t="s">
        <v>415</v>
      </c>
      <c r="B27" s="909"/>
      <c r="C27" s="1185" t="s">
        <v>1062</v>
      </c>
      <c r="D27" s="1183"/>
      <c r="E27" s="1183"/>
      <c r="F27" s="1183"/>
      <c r="G27" s="1183"/>
      <c r="H27" s="1183"/>
      <c r="I27" s="1183"/>
      <c r="J27" s="1184"/>
      <c r="K27" s="108">
        <v>2</v>
      </c>
      <c r="L27" s="654">
        <v>11</v>
      </c>
      <c r="M27" s="491">
        <v>20</v>
      </c>
      <c r="N27" s="491">
        <v>7</v>
      </c>
      <c r="O27" s="491">
        <v>11</v>
      </c>
    </row>
    <row r="28" spans="1:18">
      <c r="A28" s="239" t="s">
        <v>416</v>
      </c>
      <c r="B28" s="909"/>
      <c r="C28" s="1185" t="s">
        <v>1058</v>
      </c>
      <c r="D28" s="1183"/>
      <c r="E28" s="1183"/>
      <c r="F28" s="1183"/>
      <c r="G28" s="1183"/>
      <c r="H28" s="1183"/>
      <c r="I28" s="1183"/>
      <c r="J28" s="1184"/>
      <c r="K28" s="108">
        <v>2</v>
      </c>
      <c r="L28" s="654">
        <v>11</v>
      </c>
      <c r="M28" s="491">
        <v>22</v>
      </c>
      <c r="N28" s="491">
        <v>8</v>
      </c>
      <c r="O28" s="491">
        <v>12</v>
      </c>
    </row>
    <row r="29" spans="1:18" ht="17.25" customHeight="1">
      <c r="A29" s="239" t="s">
        <v>417</v>
      </c>
      <c r="B29" s="909"/>
      <c r="C29" s="1185" t="s">
        <v>1059</v>
      </c>
      <c r="D29" s="1183"/>
      <c r="E29" s="1183"/>
      <c r="F29" s="1183"/>
      <c r="G29" s="1183"/>
      <c r="H29" s="1183"/>
      <c r="I29" s="1183"/>
      <c r="J29" s="1184"/>
      <c r="K29" s="108">
        <v>2</v>
      </c>
      <c r="L29" s="654">
        <v>16</v>
      </c>
      <c r="M29" s="491">
        <v>24</v>
      </c>
      <c r="N29" s="491">
        <v>9</v>
      </c>
      <c r="O29" s="491">
        <v>11</v>
      </c>
    </row>
    <row r="30" spans="1:18" s="224" customFormat="1" ht="17.25" customHeight="1">
      <c r="A30" s="239"/>
      <c r="B30" s="909"/>
      <c r="C30" s="1185" t="s">
        <v>1298</v>
      </c>
      <c r="D30" s="1183"/>
      <c r="E30" s="1183"/>
      <c r="F30" s="1183"/>
      <c r="G30" s="1183"/>
      <c r="H30" s="1183"/>
      <c r="I30" s="1183"/>
      <c r="J30" s="1184"/>
      <c r="K30" s="108">
        <v>2</v>
      </c>
      <c r="L30" s="654" t="s">
        <v>1683</v>
      </c>
      <c r="M30" s="491">
        <v>26</v>
      </c>
      <c r="N30" s="491">
        <v>10</v>
      </c>
      <c r="O30" s="491">
        <v>11</v>
      </c>
    </row>
    <row r="31" spans="1:18" ht="16.5" customHeight="1">
      <c r="A31" s="239" t="s">
        <v>418</v>
      </c>
      <c r="B31" s="909"/>
      <c r="C31" s="1185" t="s">
        <v>1060</v>
      </c>
      <c r="D31" s="1183"/>
      <c r="E31" s="1183"/>
      <c r="F31" s="1183"/>
      <c r="G31" s="1183"/>
      <c r="H31" s="1183"/>
      <c r="I31" s="1183"/>
      <c r="J31" s="1184"/>
      <c r="K31" s="108">
        <v>2</v>
      </c>
      <c r="L31" s="654" t="s">
        <v>1683</v>
      </c>
      <c r="M31" s="491">
        <v>28</v>
      </c>
      <c r="N31" s="491">
        <v>11</v>
      </c>
      <c r="O31" s="491" t="s">
        <v>1348</v>
      </c>
    </row>
    <row r="32" spans="1:18" ht="16.5" customHeight="1">
      <c r="A32" s="239" t="s">
        <v>419</v>
      </c>
      <c r="B32" s="909"/>
      <c r="C32" s="1185" t="s">
        <v>1061</v>
      </c>
      <c r="D32" s="1183"/>
      <c r="E32" s="1183"/>
      <c r="F32" s="1183"/>
      <c r="G32" s="1183"/>
      <c r="H32" s="1183"/>
      <c r="I32" s="1183"/>
      <c r="J32" s="1184"/>
      <c r="K32" s="108">
        <v>2</v>
      </c>
      <c r="L32" s="654" t="s">
        <v>1683</v>
      </c>
      <c r="M32" s="491">
        <v>30</v>
      </c>
      <c r="N32" s="491">
        <v>12</v>
      </c>
      <c r="O32" s="491" t="s">
        <v>1348</v>
      </c>
    </row>
    <row r="33" spans="1:16" ht="16.5" customHeight="1">
      <c r="A33" s="239" t="s">
        <v>420</v>
      </c>
      <c r="B33" s="909"/>
      <c r="C33" s="1185" t="s">
        <v>872</v>
      </c>
      <c r="D33" s="1183"/>
      <c r="E33" s="1183"/>
      <c r="F33" s="1183"/>
      <c r="G33" s="1183"/>
      <c r="H33" s="1183"/>
      <c r="I33" s="1183"/>
      <c r="J33" s="1184"/>
      <c r="K33" s="108">
        <v>2</v>
      </c>
      <c r="L33" s="654">
        <v>1</v>
      </c>
      <c r="M33" s="491">
        <v>32</v>
      </c>
      <c r="N33" s="491">
        <v>13</v>
      </c>
      <c r="O33" s="491">
        <v>1</v>
      </c>
    </row>
    <row r="34" spans="1:16" ht="16.5" customHeight="1">
      <c r="A34" s="239" t="s">
        <v>421</v>
      </c>
      <c r="B34" s="909"/>
      <c r="C34" s="1185" t="s">
        <v>873</v>
      </c>
      <c r="D34" s="1183"/>
      <c r="E34" s="1183"/>
      <c r="F34" s="1183"/>
      <c r="G34" s="1183"/>
      <c r="H34" s="1183"/>
      <c r="I34" s="1183"/>
      <c r="J34" s="1184"/>
      <c r="K34" s="108">
        <v>2</v>
      </c>
      <c r="L34" s="654">
        <v>5</v>
      </c>
      <c r="M34" s="491">
        <v>34</v>
      </c>
      <c r="N34" s="491">
        <v>14</v>
      </c>
      <c r="O34" s="491">
        <v>5</v>
      </c>
    </row>
    <row r="35" spans="1:16" ht="16.5" customHeight="1">
      <c r="A35" s="239" t="s">
        <v>422</v>
      </c>
      <c r="B35" s="909"/>
      <c r="C35" s="1185" t="s">
        <v>874</v>
      </c>
      <c r="D35" s="1183"/>
      <c r="E35" s="1183"/>
      <c r="F35" s="1183"/>
      <c r="G35" s="1183"/>
      <c r="H35" s="1183"/>
      <c r="I35" s="1183"/>
      <c r="J35" s="1184"/>
      <c r="K35" s="108">
        <v>2</v>
      </c>
      <c r="L35" s="654">
        <v>90</v>
      </c>
      <c r="M35" s="491">
        <v>36</v>
      </c>
      <c r="N35" s="491">
        <v>15</v>
      </c>
      <c r="O35" s="491">
        <v>90</v>
      </c>
      <c r="P35">
        <f>HEX2DEC("9000")</f>
        <v>36864</v>
      </c>
    </row>
    <row r="36" spans="1:16" ht="16.5" customHeight="1">
      <c r="A36" s="239" t="s">
        <v>423</v>
      </c>
      <c r="B36" s="909"/>
      <c r="C36" s="1185" t="s">
        <v>875</v>
      </c>
      <c r="D36" s="1183"/>
      <c r="E36" s="1183"/>
      <c r="F36" s="1183"/>
      <c r="G36" s="1183"/>
      <c r="H36" s="1183"/>
      <c r="I36" s="1183"/>
      <c r="J36" s="1184"/>
      <c r="K36" s="108">
        <v>2</v>
      </c>
      <c r="L36" s="654">
        <v>0</v>
      </c>
      <c r="M36" s="491">
        <v>38</v>
      </c>
      <c r="N36" s="491">
        <v>16</v>
      </c>
      <c r="O36" s="491">
        <v>0</v>
      </c>
      <c r="P36">
        <f>HEX2DEC("a000")</f>
        <v>40960</v>
      </c>
    </row>
    <row r="37" spans="1:16">
      <c r="A37" s="239" t="s">
        <v>983</v>
      </c>
      <c r="B37" s="909"/>
      <c r="C37" s="1185" t="s">
        <v>876</v>
      </c>
      <c r="D37" s="1183"/>
      <c r="E37" s="1183"/>
      <c r="F37" s="1183"/>
      <c r="G37" s="1183"/>
      <c r="H37" s="1183"/>
      <c r="I37" s="1183"/>
      <c r="J37" s="1184"/>
      <c r="K37" s="108">
        <v>2</v>
      </c>
      <c r="L37" s="654" t="s">
        <v>1684</v>
      </c>
      <c r="M37" s="491">
        <v>40</v>
      </c>
      <c r="N37" s="491">
        <v>17</v>
      </c>
      <c r="O37" s="491" t="s">
        <v>1676</v>
      </c>
    </row>
    <row r="38" spans="1:16" ht="16.5" customHeight="1">
      <c r="A38" s="239" t="s">
        <v>984</v>
      </c>
      <c r="B38" s="909"/>
      <c r="C38" s="1185" t="s">
        <v>877</v>
      </c>
      <c r="D38" s="1183"/>
      <c r="E38" s="1183"/>
      <c r="F38" s="1183"/>
      <c r="G38" s="1183"/>
      <c r="H38" s="1183"/>
      <c r="I38" s="1183"/>
      <c r="J38" s="1184"/>
      <c r="K38" s="108">
        <v>2</v>
      </c>
      <c r="L38" s="654">
        <v>0</v>
      </c>
      <c r="M38" s="491">
        <v>42</v>
      </c>
      <c r="N38" s="491">
        <v>18</v>
      </c>
      <c r="O38" s="491">
        <v>0</v>
      </c>
    </row>
    <row r="39" spans="1:16">
      <c r="A39" s="239" t="s">
        <v>985</v>
      </c>
      <c r="B39" s="909"/>
      <c r="C39" s="1185" t="s">
        <v>878</v>
      </c>
      <c r="D39" s="1183"/>
      <c r="E39" s="1183"/>
      <c r="F39" s="1183"/>
      <c r="G39" s="1183"/>
      <c r="H39" s="1183"/>
      <c r="I39" s="1183"/>
      <c r="J39" s="1184"/>
      <c r="K39" s="108">
        <v>2</v>
      </c>
      <c r="L39" s="654">
        <v>4</v>
      </c>
      <c r="M39" s="491">
        <v>44</v>
      </c>
      <c r="N39" s="491">
        <v>19</v>
      </c>
      <c r="O39" s="491">
        <v>4</v>
      </c>
    </row>
    <row r="40" spans="1:16" ht="17.25" thickBot="1">
      <c r="A40" s="239" t="s">
        <v>424</v>
      </c>
      <c r="B40" s="909"/>
      <c r="C40" s="1185" t="s">
        <v>879</v>
      </c>
      <c r="D40" s="1183"/>
      <c r="E40" s="1183"/>
      <c r="F40" s="1183"/>
      <c r="G40" s="1183"/>
      <c r="H40" s="1183"/>
      <c r="I40" s="1183"/>
      <c r="J40" s="1184"/>
      <c r="K40" s="108">
        <v>2</v>
      </c>
      <c r="L40" s="654">
        <v>8</v>
      </c>
      <c r="M40" s="491">
        <v>46</v>
      </c>
      <c r="N40" s="491">
        <v>20</v>
      </c>
      <c r="O40" s="491">
        <v>8</v>
      </c>
    </row>
    <row r="41" spans="1:16" ht="17.25" thickBot="1">
      <c r="A41" s="323" t="s">
        <v>425</v>
      </c>
      <c r="B41" s="325" t="s">
        <v>650</v>
      </c>
      <c r="C41" s="324" t="s">
        <v>822</v>
      </c>
      <c r="D41" s="1257" t="s">
        <v>823</v>
      </c>
      <c r="E41" s="1257"/>
      <c r="F41" s="1257"/>
      <c r="G41" s="1257"/>
      <c r="H41" s="1257"/>
      <c r="I41" s="1258"/>
      <c r="J41" s="330" t="s">
        <v>821</v>
      </c>
      <c r="K41" s="327">
        <v>2</v>
      </c>
      <c r="L41" s="654">
        <v>80</v>
      </c>
      <c r="M41" s="491">
        <v>48</v>
      </c>
      <c r="N41" s="491">
        <v>81</v>
      </c>
      <c r="O41" s="491">
        <v>0</v>
      </c>
    </row>
    <row r="42" spans="1:16" ht="17.25" customHeight="1">
      <c r="A42" s="320" t="s">
        <v>426</v>
      </c>
      <c r="B42" s="837" t="s">
        <v>795</v>
      </c>
      <c r="C42" s="1294" t="s">
        <v>796</v>
      </c>
      <c r="D42" s="1295"/>
      <c r="E42" s="1295"/>
      <c r="F42" s="1295"/>
      <c r="G42" s="1295"/>
      <c r="H42" s="1295"/>
      <c r="I42" s="1295"/>
      <c r="J42" s="1296"/>
      <c r="K42" s="327">
        <v>2</v>
      </c>
      <c r="L42" s="654" t="s">
        <v>1635</v>
      </c>
      <c r="M42" s="491">
        <v>23</v>
      </c>
      <c r="N42" s="491" t="s">
        <v>1349</v>
      </c>
      <c r="O42" s="491">
        <v>8</v>
      </c>
    </row>
    <row r="43" spans="1:16" ht="17.25" customHeight="1">
      <c r="A43" s="239" t="s">
        <v>427</v>
      </c>
      <c r="B43" s="909"/>
      <c r="C43" s="1292" t="s">
        <v>797</v>
      </c>
      <c r="D43" s="1293"/>
      <c r="E43" s="1293"/>
      <c r="F43" s="1293"/>
      <c r="G43" s="1293"/>
      <c r="H43" s="1293"/>
      <c r="I43" s="1293"/>
      <c r="J43" s="1297"/>
      <c r="K43" s="329">
        <v>2</v>
      </c>
      <c r="L43" s="654" t="s">
        <v>1685</v>
      </c>
      <c r="M43" s="491">
        <v>24</v>
      </c>
      <c r="N43" s="491" t="s">
        <v>1350</v>
      </c>
      <c r="O43" s="491" t="s">
        <v>1677</v>
      </c>
    </row>
    <row r="44" spans="1:16">
      <c r="A44" s="239" t="s">
        <v>428</v>
      </c>
      <c r="B44" s="909"/>
      <c r="C44" s="1292" t="s">
        <v>798</v>
      </c>
      <c r="D44" s="1293"/>
      <c r="E44" s="1293"/>
      <c r="F44" s="1293"/>
      <c r="G44" s="1293"/>
      <c r="H44" s="1293"/>
      <c r="I44" s="1293"/>
      <c r="J44" s="1297"/>
      <c r="K44" s="329">
        <v>2</v>
      </c>
      <c r="L44" s="654">
        <v>1</v>
      </c>
      <c r="M44" s="645">
        <v>25</v>
      </c>
      <c r="N44" s="491" t="s">
        <v>1609</v>
      </c>
      <c r="O44" s="491">
        <v>4</v>
      </c>
    </row>
    <row r="45" spans="1:16">
      <c r="A45" s="239" t="s">
        <v>429</v>
      </c>
      <c r="B45" s="909"/>
      <c r="C45" s="1292" t="s">
        <v>799</v>
      </c>
      <c r="D45" s="1293"/>
      <c r="E45" s="1293"/>
      <c r="F45" s="1293"/>
      <c r="G45" s="1293"/>
      <c r="H45" s="1293"/>
      <c r="I45" s="1293"/>
      <c r="J45" s="1297"/>
      <c r="K45" s="329">
        <v>2</v>
      </c>
      <c r="L45" s="654">
        <v>12</v>
      </c>
      <c r="M45" s="645">
        <v>26</v>
      </c>
      <c r="N45" s="491">
        <v>11</v>
      </c>
      <c r="O45" s="491">
        <v>17</v>
      </c>
    </row>
    <row r="46" spans="1:16">
      <c r="A46" s="239" t="s">
        <v>430</v>
      </c>
      <c r="B46" s="909"/>
      <c r="C46" s="1292" t="s">
        <v>800</v>
      </c>
      <c r="D46" s="1293"/>
      <c r="E46" s="1293"/>
      <c r="F46" s="1293"/>
      <c r="G46" s="1293"/>
      <c r="H46" s="1293"/>
      <c r="I46" s="1293"/>
      <c r="J46" s="1297"/>
      <c r="K46" s="329">
        <v>2</v>
      </c>
      <c r="L46" s="654">
        <v>24</v>
      </c>
      <c r="M46" s="645">
        <v>27</v>
      </c>
      <c r="N46" s="491">
        <v>8</v>
      </c>
      <c r="O46" s="491">
        <v>21</v>
      </c>
    </row>
    <row r="47" spans="1:16" ht="17.25" thickBot="1">
      <c r="A47" s="239" t="s">
        <v>431</v>
      </c>
      <c r="B47" s="818"/>
      <c r="C47" s="1319" t="s">
        <v>801</v>
      </c>
      <c r="D47" s="1320"/>
      <c r="E47" s="1320"/>
      <c r="F47" s="1320"/>
      <c r="G47" s="1320"/>
      <c r="H47" s="1320"/>
      <c r="I47" s="1320"/>
      <c r="J47" s="1321"/>
      <c r="K47" s="328">
        <v>2</v>
      </c>
      <c r="L47" s="512">
        <v>28</v>
      </c>
      <c r="M47" s="645">
        <v>28</v>
      </c>
      <c r="N47" s="491">
        <v>7</v>
      </c>
      <c r="O47" s="491">
        <v>21</v>
      </c>
    </row>
    <row r="48" spans="1:16">
      <c r="A48" s="375" t="s">
        <v>432</v>
      </c>
      <c r="B48" s="837" t="s">
        <v>802</v>
      </c>
      <c r="C48" s="1251" t="s">
        <v>128</v>
      </c>
      <c r="D48" s="1223"/>
      <c r="E48" s="1223"/>
      <c r="F48" s="1223"/>
      <c r="G48" s="1223" t="s">
        <v>803</v>
      </c>
      <c r="H48" s="1223"/>
      <c r="I48" s="1223"/>
      <c r="J48" s="1224"/>
      <c r="K48" s="327">
        <v>2</v>
      </c>
      <c r="L48" s="512">
        <v>0</v>
      </c>
      <c r="M48" s="1213">
        <v>29</v>
      </c>
      <c r="N48" s="491">
        <v>0</v>
      </c>
      <c r="O48" s="491">
        <v>0</v>
      </c>
    </row>
    <row r="49" spans="1:15">
      <c r="A49" s="377" t="s">
        <v>433</v>
      </c>
      <c r="B49" s="909"/>
      <c r="C49" s="1225" t="s">
        <v>804</v>
      </c>
      <c r="D49" s="1226"/>
      <c r="E49" s="1226"/>
      <c r="F49" s="1226"/>
      <c r="G49" s="1226" t="s">
        <v>927</v>
      </c>
      <c r="H49" s="1226"/>
      <c r="I49" s="1226"/>
      <c r="J49" s="1227"/>
      <c r="K49" s="329">
        <v>2</v>
      </c>
      <c r="L49" s="512">
        <v>3</v>
      </c>
      <c r="M49" s="1213"/>
      <c r="N49" s="491">
        <v>3</v>
      </c>
      <c r="O49" s="491">
        <v>3</v>
      </c>
    </row>
    <row r="50" spans="1:15">
      <c r="A50" s="377" t="s">
        <v>434</v>
      </c>
      <c r="B50" s="909"/>
      <c r="C50" s="1225" t="s">
        <v>805</v>
      </c>
      <c r="D50" s="1226"/>
      <c r="E50" s="1226"/>
      <c r="F50" s="1226"/>
      <c r="G50" s="1228" t="s">
        <v>806</v>
      </c>
      <c r="H50" s="1229"/>
      <c r="I50" s="1229"/>
      <c r="J50" s="1230"/>
      <c r="K50" s="329">
        <v>2</v>
      </c>
      <c r="L50" s="512">
        <v>97</v>
      </c>
      <c r="M50" s="1213"/>
      <c r="N50" s="491">
        <v>61</v>
      </c>
      <c r="O50" s="491">
        <v>98</v>
      </c>
    </row>
    <row r="51" spans="1:15">
      <c r="A51" s="377" t="s">
        <v>435</v>
      </c>
      <c r="B51" s="909"/>
      <c r="C51" s="1229" t="s">
        <v>807</v>
      </c>
      <c r="D51" s="1229"/>
      <c r="E51" s="1229"/>
      <c r="F51" s="1225"/>
      <c r="G51" s="1228" t="s">
        <v>808</v>
      </c>
      <c r="H51" s="1229"/>
      <c r="I51" s="1229"/>
      <c r="J51" s="1230"/>
      <c r="K51" s="329">
        <v>2</v>
      </c>
      <c r="L51" s="512">
        <v>88</v>
      </c>
      <c r="M51" s="1213"/>
      <c r="N51" s="491">
        <v>58</v>
      </c>
      <c r="O51" s="491">
        <v>11</v>
      </c>
    </row>
    <row r="52" spans="1:15">
      <c r="A52" s="377" t="s">
        <v>436</v>
      </c>
      <c r="B52" s="909"/>
      <c r="C52" s="1229" t="s">
        <v>809</v>
      </c>
      <c r="D52" s="1229"/>
      <c r="E52" s="1229"/>
      <c r="F52" s="1225"/>
      <c r="G52" s="1228" t="s">
        <v>926</v>
      </c>
      <c r="H52" s="1229"/>
      <c r="I52" s="1229"/>
      <c r="J52" s="1230"/>
      <c r="K52" s="329">
        <v>2</v>
      </c>
      <c r="L52" s="512">
        <v>34</v>
      </c>
      <c r="M52" s="1213"/>
      <c r="N52" s="491" t="s">
        <v>1610</v>
      </c>
      <c r="O52" s="491">
        <v>30</v>
      </c>
    </row>
    <row r="53" spans="1:15" ht="17.25" thickBot="1">
      <c r="A53" s="376" t="s">
        <v>437</v>
      </c>
      <c r="B53" s="818"/>
      <c r="C53" s="1231" t="s">
        <v>128</v>
      </c>
      <c r="D53" s="1232"/>
      <c r="E53" s="1232"/>
      <c r="F53" s="1232"/>
      <c r="G53" s="1232"/>
      <c r="H53" s="1232"/>
      <c r="I53" s="1232"/>
      <c r="J53" s="1233"/>
      <c r="K53" s="328">
        <v>2</v>
      </c>
      <c r="L53" s="512">
        <v>0</v>
      </c>
      <c r="M53" s="1213"/>
      <c r="N53" s="491">
        <v>0</v>
      </c>
      <c r="O53" s="491">
        <v>0</v>
      </c>
    </row>
    <row r="54" spans="1:15">
      <c r="A54" s="375" t="s">
        <v>438</v>
      </c>
      <c r="B54" s="837" t="s">
        <v>810</v>
      </c>
      <c r="C54" s="1294" t="s">
        <v>811</v>
      </c>
      <c r="D54" s="1295"/>
      <c r="E54" s="1295"/>
      <c r="F54" s="1295"/>
      <c r="G54" s="1295" t="s">
        <v>812</v>
      </c>
      <c r="H54" s="1295"/>
      <c r="I54" s="1295"/>
      <c r="J54" s="1296"/>
      <c r="K54" s="327">
        <v>2</v>
      </c>
      <c r="L54" s="512">
        <v>0</v>
      </c>
      <c r="M54" s="1213">
        <v>30</v>
      </c>
      <c r="N54" s="491">
        <v>0</v>
      </c>
      <c r="O54" s="491">
        <v>0</v>
      </c>
    </row>
    <row r="55" spans="1:15">
      <c r="A55" s="377" t="s">
        <v>439</v>
      </c>
      <c r="B55" s="909"/>
      <c r="C55" s="1292" t="s">
        <v>813</v>
      </c>
      <c r="D55" s="1293"/>
      <c r="E55" s="1293"/>
      <c r="F55" s="1293"/>
      <c r="G55" s="1293" t="s">
        <v>814</v>
      </c>
      <c r="H55" s="1293"/>
      <c r="I55" s="1293"/>
      <c r="J55" s="1297"/>
      <c r="K55" s="329">
        <v>2</v>
      </c>
      <c r="L55" s="512">
        <v>10</v>
      </c>
      <c r="M55" s="1213"/>
      <c r="N55" s="491" t="s">
        <v>1350</v>
      </c>
      <c r="O55" s="491">
        <v>10</v>
      </c>
    </row>
    <row r="56" spans="1:15" s="224" customFormat="1">
      <c r="A56" s="377" t="s">
        <v>440</v>
      </c>
      <c r="B56" s="909"/>
      <c r="C56" s="1292" t="s">
        <v>815</v>
      </c>
      <c r="D56" s="1293"/>
      <c r="E56" s="1293"/>
      <c r="F56" s="1293"/>
      <c r="G56" s="1298" t="s">
        <v>816</v>
      </c>
      <c r="H56" s="1299"/>
      <c r="I56" s="1299"/>
      <c r="J56" s="1300"/>
      <c r="K56" s="329">
        <v>2</v>
      </c>
      <c r="L56" s="512">
        <v>49</v>
      </c>
      <c r="M56" s="1213"/>
      <c r="N56" s="491">
        <v>31</v>
      </c>
      <c r="O56" s="491">
        <v>47</v>
      </c>
    </row>
    <row r="57" spans="1:15" s="224" customFormat="1">
      <c r="A57" s="377" t="s">
        <v>441</v>
      </c>
      <c r="B57" s="909"/>
      <c r="C57" s="1299" t="s">
        <v>817</v>
      </c>
      <c r="D57" s="1299"/>
      <c r="E57" s="1299"/>
      <c r="F57" s="1292"/>
      <c r="G57" s="1298" t="s">
        <v>818</v>
      </c>
      <c r="H57" s="1299"/>
      <c r="I57" s="1299"/>
      <c r="J57" s="1300"/>
      <c r="K57" s="329">
        <v>2</v>
      </c>
      <c r="L57" s="512">
        <v>95</v>
      </c>
      <c r="M57" s="1213"/>
      <c r="N57" s="491" t="s">
        <v>1611</v>
      </c>
      <c r="O57" s="491">
        <v>84</v>
      </c>
    </row>
    <row r="58" spans="1:15" s="224" customFormat="1" ht="17.25" thickBot="1">
      <c r="A58" s="377" t="s">
        <v>943</v>
      </c>
      <c r="B58" s="909"/>
      <c r="C58" s="1249" t="s">
        <v>819</v>
      </c>
      <c r="D58" s="1249"/>
      <c r="E58" s="1249"/>
      <c r="F58" s="1301"/>
      <c r="G58" s="1248" t="s">
        <v>820</v>
      </c>
      <c r="H58" s="1249"/>
      <c r="I58" s="1249"/>
      <c r="J58" s="1250"/>
      <c r="K58" s="477">
        <v>2</v>
      </c>
      <c r="L58" s="512">
        <v>97</v>
      </c>
      <c r="M58" s="1213"/>
      <c r="N58" s="491">
        <v>46</v>
      </c>
      <c r="O58" s="491">
        <v>11</v>
      </c>
    </row>
    <row r="59" spans="1:15" s="224" customFormat="1" ht="23.25" customHeight="1">
      <c r="A59" s="1219" t="s">
        <v>442</v>
      </c>
      <c r="B59" s="780" t="s">
        <v>1327</v>
      </c>
      <c r="C59" s="1255" t="s">
        <v>1326</v>
      </c>
      <c r="D59" s="550" t="s">
        <v>1316</v>
      </c>
      <c r="E59" s="549"/>
      <c r="F59" s="549"/>
      <c r="G59" s="549"/>
      <c r="H59" s="1330" t="s">
        <v>1296</v>
      </c>
      <c r="I59" s="1331"/>
      <c r="J59" s="1332"/>
      <c r="K59" s="1221">
        <v>2</v>
      </c>
      <c r="L59" s="512">
        <v>0</v>
      </c>
      <c r="M59" s="1213">
        <v>31</v>
      </c>
      <c r="N59" s="491">
        <v>0</v>
      </c>
      <c r="O59" s="491">
        <v>0</v>
      </c>
    </row>
    <row r="60" spans="1:15" s="491" customFormat="1" ht="17.25" thickBot="1">
      <c r="A60" s="1220"/>
      <c r="B60" s="909"/>
      <c r="C60" s="1256"/>
      <c r="D60" s="551" t="s">
        <v>1317</v>
      </c>
      <c r="E60" s="551"/>
      <c r="F60" s="551"/>
      <c r="G60" s="551"/>
      <c r="H60" s="554" t="s">
        <v>1311</v>
      </c>
      <c r="I60" s="554" t="s">
        <v>1315</v>
      </c>
      <c r="J60" s="552" t="s">
        <v>1295</v>
      </c>
      <c r="K60" s="1222"/>
      <c r="L60" s="512">
        <v>0</v>
      </c>
      <c r="M60" s="1213"/>
      <c r="N60" s="491">
        <v>0</v>
      </c>
      <c r="O60" s="491">
        <v>0</v>
      </c>
    </row>
    <row r="61" spans="1:15" s="491" customFormat="1" ht="17.25" thickBot="1">
      <c r="A61" s="237"/>
      <c r="B61" s="230" t="s">
        <v>1328</v>
      </c>
      <c r="C61" s="1252" t="s">
        <v>1318</v>
      </c>
      <c r="D61" s="1253"/>
      <c r="E61" s="1253"/>
      <c r="F61" s="1253"/>
      <c r="G61" s="1253"/>
      <c r="H61" s="1253"/>
      <c r="I61" s="1253"/>
      <c r="J61" s="1254"/>
      <c r="K61" s="479">
        <v>2</v>
      </c>
      <c r="L61" s="512">
        <v>3</v>
      </c>
      <c r="M61" s="645">
        <v>32</v>
      </c>
      <c r="N61" s="491">
        <v>3</v>
      </c>
      <c r="O61" s="491">
        <v>3</v>
      </c>
    </row>
    <row r="62" spans="1:15" s="224" customFormat="1">
      <c r="A62" s="377" t="s">
        <v>944</v>
      </c>
      <c r="B62" s="1290" t="s">
        <v>1329</v>
      </c>
      <c r="C62" s="557">
        <v>0</v>
      </c>
      <c r="D62" s="1239" t="s">
        <v>1319</v>
      </c>
      <c r="E62" s="1240"/>
      <c r="F62" s="1240"/>
      <c r="G62" s="1240"/>
      <c r="H62" s="1240"/>
      <c r="I62" s="1240"/>
      <c r="J62" s="1241"/>
      <c r="K62" s="111">
        <v>2</v>
      </c>
      <c r="L62" s="650">
        <v>40</v>
      </c>
      <c r="M62" s="1213">
        <v>33</v>
      </c>
      <c r="N62" s="491">
        <v>40</v>
      </c>
      <c r="O62" s="491">
        <v>40</v>
      </c>
    </row>
    <row r="63" spans="1:15" s="224" customFormat="1">
      <c r="A63" s="377" t="s">
        <v>945</v>
      </c>
      <c r="B63" s="1290"/>
      <c r="C63" s="558">
        <v>1</v>
      </c>
      <c r="D63" s="1239"/>
      <c r="E63" s="1240"/>
      <c r="F63" s="1240"/>
      <c r="G63" s="1240"/>
      <c r="H63" s="1240"/>
      <c r="I63" s="1240"/>
      <c r="J63" s="1241"/>
      <c r="K63" s="108">
        <v>2</v>
      </c>
      <c r="L63" s="650">
        <v>27</v>
      </c>
      <c r="M63" s="1213"/>
      <c r="N63" s="491">
        <v>14</v>
      </c>
      <c r="O63" s="491">
        <v>13</v>
      </c>
    </row>
    <row r="64" spans="1:15" s="224" customFormat="1">
      <c r="A64" s="377" t="s">
        <v>946</v>
      </c>
      <c r="B64" s="1290"/>
      <c r="C64" s="558">
        <v>2</v>
      </c>
      <c r="D64" s="1239"/>
      <c r="E64" s="1240"/>
      <c r="F64" s="1240"/>
      <c r="G64" s="1240"/>
      <c r="H64" s="1240"/>
      <c r="I64" s="1240"/>
      <c r="J64" s="1241"/>
      <c r="K64" s="108">
        <v>2</v>
      </c>
      <c r="L64" s="650" t="s">
        <v>1686</v>
      </c>
      <c r="M64" s="1213"/>
      <c r="N64" s="491">
        <v>92</v>
      </c>
      <c r="O64" s="491" t="s">
        <v>1678</v>
      </c>
    </row>
    <row r="65" spans="1:15" s="224" customFormat="1">
      <c r="A65" s="377" t="s">
        <v>947</v>
      </c>
      <c r="B65" s="1290"/>
      <c r="C65" s="558">
        <v>3</v>
      </c>
      <c r="D65" s="1239"/>
      <c r="E65" s="1240"/>
      <c r="F65" s="1240"/>
      <c r="G65" s="1240"/>
      <c r="H65" s="1240"/>
      <c r="I65" s="1240"/>
      <c r="J65" s="1241"/>
      <c r="K65" s="108">
        <v>2</v>
      </c>
      <c r="L65" s="654" t="s">
        <v>1687</v>
      </c>
      <c r="M65" s="1213"/>
      <c r="N65" s="491" t="s">
        <v>1612</v>
      </c>
      <c r="O65" s="491">
        <v>51</v>
      </c>
    </row>
    <row r="66" spans="1:15" s="224" customFormat="1">
      <c r="A66" s="377" t="s">
        <v>463</v>
      </c>
      <c r="B66" s="1290"/>
      <c r="C66" s="558">
        <v>4</v>
      </c>
      <c r="D66" s="1239"/>
      <c r="E66" s="1240"/>
      <c r="F66" s="1240"/>
      <c r="G66" s="1240"/>
      <c r="H66" s="1240"/>
      <c r="I66" s="1240"/>
      <c r="J66" s="1241"/>
      <c r="K66" s="108">
        <v>2</v>
      </c>
      <c r="L66" s="654"/>
      <c r="M66" s="1213"/>
      <c r="N66" s="491"/>
      <c r="O66" s="491"/>
    </row>
    <row r="67" spans="1:15" s="224" customFormat="1">
      <c r="A67" s="377" t="s">
        <v>464</v>
      </c>
      <c r="B67" s="1290"/>
      <c r="C67" s="558">
        <v>5</v>
      </c>
      <c r="D67" s="1239"/>
      <c r="E67" s="1240"/>
      <c r="F67" s="1240"/>
      <c r="G67" s="1240"/>
      <c r="H67" s="1240"/>
      <c r="I67" s="1240"/>
      <c r="J67" s="1241"/>
      <c r="K67" s="108">
        <v>2</v>
      </c>
      <c r="L67" s="654"/>
      <c r="M67" s="1213"/>
      <c r="N67" s="491"/>
      <c r="O67" s="491"/>
    </row>
    <row r="68" spans="1:15" s="224" customFormat="1">
      <c r="A68" s="326" t="s">
        <v>1294</v>
      </c>
      <c r="B68" s="1290"/>
      <c r="C68" s="558">
        <v>6</v>
      </c>
      <c r="D68" s="1239"/>
      <c r="E68" s="1240"/>
      <c r="F68" s="1240"/>
      <c r="G68" s="1240"/>
      <c r="H68" s="1240"/>
      <c r="I68" s="1240"/>
      <c r="J68" s="1241"/>
      <c r="K68" s="108">
        <v>2</v>
      </c>
      <c r="L68" s="654"/>
      <c r="M68" s="1213"/>
      <c r="N68" s="491"/>
      <c r="O68" s="491"/>
    </row>
    <row r="69" spans="1:15" s="224" customFormat="1">
      <c r="A69" s="377" t="s">
        <v>1293</v>
      </c>
      <c r="B69" s="1290"/>
      <c r="C69" s="558" t="s">
        <v>1293</v>
      </c>
      <c r="D69" s="1239"/>
      <c r="E69" s="1240"/>
      <c r="F69" s="1240"/>
      <c r="G69" s="1240"/>
      <c r="H69" s="1240"/>
      <c r="I69" s="1240"/>
      <c r="J69" s="1241"/>
      <c r="K69" s="108">
        <v>2</v>
      </c>
      <c r="L69" s="654"/>
      <c r="M69" s="1213"/>
      <c r="N69" s="491"/>
      <c r="O69" s="491"/>
    </row>
    <row r="70" spans="1:15" s="224" customFormat="1">
      <c r="A70" s="377"/>
      <c r="B70" s="1290"/>
      <c r="C70" s="558">
        <v>250</v>
      </c>
      <c r="D70" s="1239"/>
      <c r="E70" s="1240"/>
      <c r="F70" s="1240"/>
      <c r="G70" s="1240"/>
      <c r="H70" s="1240"/>
      <c r="I70" s="1240"/>
      <c r="J70" s="1241"/>
      <c r="K70" s="108">
        <v>2</v>
      </c>
      <c r="L70" s="654"/>
      <c r="M70" s="1213"/>
      <c r="N70" s="491"/>
      <c r="O70" s="491"/>
    </row>
    <row r="71" spans="1:15" s="224" customFormat="1">
      <c r="A71" s="326"/>
      <c r="B71" s="1290"/>
      <c r="C71" s="558">
        <v>251</v>
      </c>
      <c r="D71" s="1239"/>
      <c r="E71" s="1240"/>
      <c r="F71" s="1240"/>
      <c r="G71" s="1240"/>
      <c r="H71" s="1240"/>
      <c r="I71" s="1240"/>
      <c r="J71" s="1241"/>
      <c r="K71" s="108">
        <v>2</v>
      </c>
      <c r="L71" s="654"/>
      <c r="M71" s="1213"/>
      <c r="N71" s="491"/>
      <c r="O71" s="491"/>
    </row>
    <row r="72" spans="1:15" s="224" customFormat="1">
      <c r="A72" s="326"/>
      <c r="B72" s="1290"/>
      <c r="C72" s="558">
        <v>252</v>
      </c>
      <c r="D72" s="1239"/>
      <c r="E72" s="1240"/>
      <c r="F72" s="1240"/>
      <c r="G72" s="1240"/>
      <c r="H72" s="1240"/>
      <c r="I72" s="1240"/>
      <c r="J72" s="1241"/>
      <c r="K72" s="108">
        <v>2</v>
      </c>
      <c r="L72" s="654"/>
      <c r="M72" s="1213"/>
      <c r="N72" s="491"/>
      <c r="O72" s="491"/>
    </row>
    <row r="73" spans="1:15" s="224" customFormat="1">
      <c r="A73" s="326"/>
      <c r="B73" s="1290"/>
      <c r="C73" s="558">
        <v>253</v>
      </c>
      <c r="D73" s="1239"/>
      <c r="E73" s="1240"/>
      <c r="F73" s="1240"/>
      <c r="G73" s="1240"/>
      <c r="H73" s="1240"/>
      <c r="I73" s="1240"/>
      <c r="J73" s="1241"/>
      <c r="K73" s="108">
        <v>2</v>
      </c>
      <c r="L73" s="654"/>
      <c r="M73" s="1213"/>
      <c r="N73" s="491"/>
      <c r="O73" s="491"/>
    </row>
    <row r="74" spans="1:15" s="224" customFormat="1">
      <c r="A74" s="377"/>
      <c r="B74" s="1290"/>
      <c r="C74" s="558">
        <v>254</v>
      </c>
      <c r="D74" s="1239"/>
      <c r="E74" s="1240"/>
      <c r="F74" s="1240"/>
      <c r="G74" s="1240"/>
      <c r="H74" s="1240"/>
      <c r="I74" s="1240"/>
      <c r="J74" s="1241"/>
      <c r="K74" s="108">
        <v>2</v>
      </c>
      <c r="L74" s="654"/>
      <c r="M74" s="1213"/>
      <c r="N74" s="491"/>
      <c r="O74" s="491"/>
    </row>
    <row r="75" spans="1:15" s="224" customFormat="1" ht="17.25" thickBot="1">
      <c r="A75" s="376"/>
      <c r="B75" s="1291"/>
      <c r="C75" s="559">
        <v>255</v>
      </c>
      <c r="D75" s="1242"/>
      <c r="E75" s="1243"/>
      <c r="F75" s="1243"/>
      <c r="G75" s="1243"/>
      <c r="H75" s="1243"/>
      <c r="I75" s="1243"/>
      <c r="J75" s="1244"/>
      <c r="K75" s="40">
        <v>2</v>
      </c>
      <c r="L75" s="654"/>
      <c r="M75" s="1213"/>
      <c r="N75" s="491"/>
      <c r="O75" s="491"/>
    </row>
    <row r="76" spans="1:15" s="224" customFormat="1" ht="17.25" thickBot="1">
      <c r="A76" s="230"/>
      <c r="B76" s="230" t="s">
        <v>1115</v>
      </c>
      <c r="C76" s="1245" t="s">
        <v>1114</v>
      </c>
      <c r="D76" s="1246"/>
      <c r="E76" s="1246"/>
      <c r="F76" s="1246"/>
      <c r="G76" s="1246"/>
      <c r="H76" s="1246"/>
      <c r="I76" s="1246"/>
      <c r="J76" s="1247"/>
      <c r="K76" s="479">
        <v>2</v>
      </c>
      <c r="L76" s="654"/>
      <c r="M76" s="645">
        <v>34</v>
      </c>
      <c r="N76" s="491"/>
      <c r="O76" s="491"/>
    </row>
    <row r="77" spans="1:15" s="491" customFormat="1">
      <c r="A77" s="545"/>
      <c r="B77" s="837" t="s">
        <v>305</v>
      </c>
      <c r="C77" s="931" t="s">
        <v>793</v>
      </c>
      <c r="D77" s="932"/>
      <c r="E77" s="932"/>
      <c r="F77" s="1088"/>
      <c r="G77" s="1089" t="s">
        <v>129</v>
      </c>
      <c r="H77" s="932"/>
      <c r="I77" s="932"/>
      <c r="J77" s="933"/>
      <c r="K77" s="544">
        <v>2</v>
      </c>
      <c r="L77" s="654"/>
      <c r="M77" s="1213">
        <v>35</v>
      </c>
    </row>
    <row r="78" spans="1:15" s="491" customFormat="1">
      <c r="A78" s="545"/>
      <c r="B78" s="909"/>
      <c r="C78" s="1090" t="s">
        <v>794</v>
      </c>
      <c r="D78" s="1091"/>
      <c r="E78" s="1091"/>
      <c r="F78" s="1092"/>
      <c r="G78" s="1093" t="s">
        <v>130</v>
      </c>
      <c r="H78" s="1091"/>
      <c r="I78" s="1091"/>
      <c r="J78" s="1094"/>
      <c r="K78" s="545">
        <v>2</v>
      </c>
      <c r="L78" s="654"/>
      <c r="M78" s="1213"/>
    </row>
    <row r="79" spans="1:15" s="491" customFormat="1" ht="17.25" thickBot="1">
      <c r="A79" s="537"/>
      <c r="B79" s="536" t="s">
        <v>1690</v>
      </c>
      <c r="C79" s="663"/>
      <c r="D79" s="664"/>
      <c r="E79" s="664"/>
      <c r="F79" s="664"/>
      <c r="G79" s="664"/>
      <c r="H79" s="664" t="s">
        <v>1693</v>
      </c>
      <c r="I79" s="664" t="s">
        <v>1691</v>
      </c>
      <c r="J79" s="665" t="s">
        <v>1692</v>
      </c>
      <c r="K79" s="530">
        <v>4</v>
      </c>
    </row>
    <row r="80" spans="1:15">
      <c r="A80" s="544"/>
      <c r="B80" s="547" t="s">
        <v>48</v>
      </c>
      <c r="C80" s="925" t="s">
        <v>120</v>
      </c>
      <c r="D80" s="926"/>
      <c r="E80" s="926"/>
      <c r="F80" s="926"/>
      <c r="G80" s="926"/>
      <c r="H80" s="926"/>
      <c r="I80" s="926"/>
      <c r="J80" s="927"/>
      <c r="K80" s="39">
        <v>4</v>
      </c>
      <c r="L80" s="650"/>
      <c r="M80" s="645">
        <v>32</v>
      </c>
    </row>
    <row r="81" spans="1:13" ht="17.25" thickBot="1">
      <c r="A81" s="548"/>
      <c r="B81" s="546" t="s">
        <v>50</v>
      </c>
      <c r="C81" s="922" t="s">
        <v>58</v>
      </c>
      <c r="D81" s="923"/>
      <c r="E81" s="923"/>
      <c r="F81" s="923"/>
      <c r="G81" s="923"/>
      <c r="H81" s="923"/>
      <c r="I81" s="923"/>
      <c r="J81" s="924"/>
      <c r="K81" s="40">
        <v>1</v>
      </c>
      <c r="L81" s="646"/>
      <c r="M81" s="645"/>
    </row>
    <row r="82" spans="1:13">
      <c r="L82" s="646"/>
      <c r="M82" s="224"/>
    </row>
    <row r="83" spans="1:13">
      <c r="B83" t="s">
        <v>493</v>
      </c>
      <c r="L83" s="654"/>
      <c r="M83" s="491"/>
    </row>
    <row r="84" spans="1:13">
      <c r="C84" t="s">
        <v>494</v>
      </c>
      <c r="L84" s="654"/>
      <c r="M84" s="491"/>
    </row>
    <row r="85" spans="1:13" ht="17.25" thickBot="1"/>
    <row r="86" spans="1:13" s="491" customFormat="1" ht="17.25" thickBot="1">
      <c r="A86" s="519" t="s">
        <v>1212</v>
      </c>
      <c r="B86" s="888" t="s">
        <v>1238</v>
      </c>
      <c r="C86" s="889"/>
      <c r="D86" s="889"/>
      <c r="E86" s="889"/>
      <c r="F86" s="889"/>
      <c r="G86" s="889"/>
      <c r="H86" s="889"/>
      <c r="I86" s="889"/>
      <c r="J86" s="889"/>
      <c r="K86" s="890"/>
      <c r="M86"/>
    </row>
    <row r="87" spans="1:13" ht="17.25" thickBot="1">
      <c r="A87" s="177" t="s">
        <v>75</v>
      </c>
      <c r="B87" s="215" t="s">
        <v>97</v>
      </c>
      <c r="C87" s="178" t="s">
        <v>445</v>
      </c>
      <c r="D87" s="179" t="s">
        <v>112</v>
      </c>
      <c r="E87" s="179" t="s">
        <v>113</v>
      </c>
      <c r="F87" s="179" t="s">
        <v>114</v>
      </c>
      <c r="G87" s="179" t="s">
        <v>115</v>
      </c>
      <c r="H87" s="179" t="s">
        <v>116</v>
      </c>
      <c r="I87" s="179" t="s">
        <v>117</v>
      </c>
      <c r="J87" s="180" t="s">
        <v>118</v>
      </c>
      <c r="K87" s="215" t="s">
        <v>119</v>
      </c>
    </row>
    <row r="88" spans="1:13">
      <c r="A88" s="505">
        <v>1</v>
      </c>
      <c r="B88" s="496" t="s">
        <v>37</v>
      </c>
      <c r="C88" s="1033" t="s">
        <v>294</v>
      </c>
      <c r="D88" s="1034"/>
      <c r="E88" s="1034"/>
      <c r="F88" s="1034"/>
      <c r="G88" s="1034"/>
      <c r="H88" s="1034"/>
      <c r="I88" s="1034"/>
      <c r="J88" s="1035"/>
      <c r="K88" s="498">
        <v>1</v>
      </c>
    </row>
    <row r="89" spans="1:13">
      <c r="A89" s="239" t="s">
        <v>398</v>
      </c>
      <c r="B89" s="500" t="s">
        <v>36</v>
      </c>
      <c r="C89" s="814" t="s">
        <v>52</v>
      </c>
      <c r="D89" s="815"/>
      <c r="E89" s="815"/>
      <c r="F89" s="815"/>
      <c r="G89" s="815"/>
      <c r="H89" s="815"/>
      <c r="I89" s="815"/>
      <c r="J89" s="816"/>
      <c r="K89" s="244">
        <v>2</v>
      </c>
      <c r="L89" s="652"/>
    </row>
    <row r="90" spans="1:13">
      <c r="A90" s="239" t="s">
        <v>399</v>
      </c>
      <c r="B90" s="500" t="s">
        <v>39</v>
      </c>
      <c r="C90" s="814" t="s">
        <v>53</v>
      </c>
      <c r="D90" s="815"/>
      <c r="E90" s="815"/>
      <c r="F90" s="815"/>
      <c r="G90" s="815"/>
      <c r="H90" s="815"/>
      <c r="I90" s="815"/>
      <c r="J90" s="816"/>
      <c r="K90" s="244">
        <v>2</v>
      </c>
      <c r="L90" s="653"/>
    </row>
    <row r="91" spans="1:13">
      <c r="A91" s="239" t="s">
        <v>400</v>
      </c>
      <c r="B91" s="500" t="s">
        <v>40</v>
      </c>
      <c r="C91" s="814" t="s">
        <v>54</v>
      </c>
      <c r="D91" s="815"/>
      <c r="E91" s="815"/>
      <c r="F91" s="815"/>
      <c r="G91" s="815"/>
      <c r="H91" s="815"/>
      <c r="I91" s="815"/>
      <c r="J91" s="816"/>
      <c r="K91" s="244">
        <v>2</v>
      </c>
      <c r="L91" s="654"/>
      <c r="M91" s="491"/>
    </row>
    <row r="92" spans="1:13">
      <c r="A92" s="239" t="s">
        <v>401</v>
      </c>
      <c r="B92" s="500" t="s">
        <v>41</v>
      </c>
      <c r="C92" s="906" t="s">
        <v>1157</v>
      </c>
      <c r="D92" s="907"/>
      <c r="E92" s="907"/>
      <c r="F92" s="907"/>
      <c r="G92" s="907"/>
      <c r="H92" s="907"/>
      <c r="I92" s="907"/>
      <c r="J92" s="908"/>
      <c r="K92" s="244">
        <v>2</v>
      </c>
      <c r="L92" s="654"/>
    </row>
    <row r="93" spans="1:13" s="491" customFormat="1">
      <c r="A93" s="239" t="s">
        <v>402</v>
      </c>
      <c r="B93" s="817" t="s">
        <v>42</v>
      </c>
      <c r="C93" s="819" t="s">
        <v>1145</v>
      </c>
      <c r="D93" s="820"/>
      <c r="E93" s="820"/>
      <c r="F93" s="820"/>
      <c r="G93" s="820"/>
      <c r="H93" s="820"/>
      <c r="I93" s="820"/>
      <c r="J93" s="821"/>
      <c r="K93" s="507">
        <v>2</v>
      </c>
      <c r="L93" s="654"/>
      <c r="M93"/>
    </row>
    <row r="94" spans="1:13" ht="17.25" thickBot="1">
      <c r="A94" s="497" t="s">
        <v>1152</v>
      </c>
      <c r="B94" s="818"/>
      <c r="C94" s="1040" t="s">
        <v>1146</v>
      </c>
      <c r="D94" s="1041"/>
      <c r="E94" s="1041"/>
      <c r="F94" s="1041"/>
      <c r="G94" s="1041"/>
      <c r="H94" s="1041"/>
      <c r="I94" s="1041"/>
      <c r="J94" s="1042"/>
      <c r="K94" s="499">
        <v>2</v>
      </c>
      <c r="L94" s="654"/>
    </row>
    <row r="95" spans="1:13" ht="16.5" customHeight="1">
      <c r="A95" s="218" t="s">
        <v>403</v>
      </c>
      <c r="B95" s="928" t="s">
        <v>644</v>
      </c>
      <c r="C95" s="931" t="s">
        <v>584</v>
      </c>
      <c r="D95" s="932"/>
      <c r="E95" s="932"/>
      <c r="F95" s="932"/>
      <c r="G95" s="932"/>
      <c r="H95" s="932"/>
      <c r="I95" s="932"/>
      <c r="J95" s="933"/>
      <c r="K95" s="191">
        <v>2</v>
      </c>
      <c r="L95" s="654"/>
    </row>
    <row r="96" spans="1:13">
      <c r="A96" s="214" t="s">
        <v>405</v>
      </c>
      <c r="B96" s="929"/>
      <c r="C96" s="896" t="s">
        <v>585</v>
      </c>
      <c r="D96" s="809"/>
      <c r="E96" s="809"/>
      <c r="F96" s="809"/>
      <c r="G96" s="809"/>
      <c r="H96" s="809"/>
      <c r="I96" s="809"/>
      <c r="J96" s="810"/>
      <c r="K96" s="192">
        <v>2</v>
      </c>
      <c r="L96" s="654"/>
    </row>
    <row r="97" spans="1:13" ht="16.5" customHeight="1">
      <c r="A97" s="182" t="s">
        <v>407</v>
      </c>
      <c r="B97" s="1259"/>
      <c r="C97" s="1260" t="s">
        <v>586</v>
      </c>
      <c r="D97" s="1261"/>
      <c r="E97" s="1261"/>
      <c r="F97" s="1261"/>
      <c r="G97" s="1261"/>
      <c r="H97" s="1261"/>
      <c r="I97" s="1261"/>
      <c r="J97" s="1262"/>
      <c r="K97" s="213">
        <v>2</v>
      </c>
      <c r="L97" s="654"/>
    </row>
    <row r="98" spans="1:13">
      <c r="A98" s="214" t="s">
        <v>408</v>
      </c>
      <c r="B98" s="402" t="s">
        <v>645</v>
      </c>
      <c r="C98" s="1234" t="s">
        <v>587</v>
      </c>
      <c r="D98" s="1235"/>
      <c r="E98" s="1235"/>
      <c r="F98" s="1236"/>
      <c r="G98" s="1237" t="s">
        <v>588</v>
      </c>
      <c r="H98" s="1235"/>
      <c r="I98" s="1235"/>
      <c r="J98" s="1238"/>
      <c r="K98" s="217">
        <v>2</v>
      </c>
      <c r="L98" s="653"/>
      <c r="M98" s="491"/>
    </row>
    <row r="99" spans="1:13">
      <c r="A99" s="184" t="s">
        <v>409</v>
      </c>
      <c r="B99" s="403" t="s">
        <v>646</v>
      </c>
      <c r="C99" s="1263" t="s">
        <v>589</v>
      </c>
      <c r="D99" s="1264"/>
      <c r="E99" s="1264"/>
      <c r="F99" s="1265"/>
      <c r="G99" s="1266" t="s">
        <v>590</v>
      </c>
      <c r="H99" s="1264"/>
      <c r="I99" s="1264"/>
      <c r="J99" s="1267"/>
      <c r="K99" s="185">
        <v>2</v>
      </c>
      <c r="L99" s="653"/>
    </row>
    <row r="100" spans="1:13" ht="17.25" thickBot="1">
      <c r="A100" s="214" t="s">
        <v>410</v>
      </c>
      <c r="B100" s="402" t="s">
        <v>647</v>
      </c>
      <c r="C100" s="1234" t="s">
        <v>591</v>
      </c>
      <c r="D100" s="1235"/>
      <c r="E100" s="1235"/>
      <c r="F100" s="1236"/>
      <c r="G100" s="1237" t="s">
        <v>592</v>
      </c>
      <c r="H100" s="1235"/>
      <c r="I100" s="1235"/>
      <c r="J100" s="1238"/>
      <c r="K100" s="217">
        <v>2</v>
      </c>
      <c r="L100" s="653"/>
    </row>
    <row r="101" spans="1:13" ht="17.25" customHeight="1">
      <c r="A101" s="218" t="s">
        <v>411</v>
      </c>
      <c r="B101" s="928" t="s">
        <v>640</v>
      </c>
      <c r="C101" s="931" t="s">
        <v>928</v>
      </c>
      <c r="D101" s="932"/>
      <c r="E101" s="932"/>
      <c r="F101" s="932"/>
      <c r="G101" s="932"/>
      <c r="H101" s="932"/>
      <c r="I101" s="932"/>
      <c r="J101" s="933"/>
      <c r="K101" s="191">
        <v>2</v>
      </c>
      <c r="L101" s="655"/>
    </row>
    <row r="102" spans="1:13" ht="16.5" customHeight="1">
      <c r="A102" s="214" t="s">
        <v>412</v>
      </c>
      <c r="B102" s="929"/>
      <c r="C102" s="896" t="s">
        <v>929</v>
      </c>
      <c r="D102" s="809"/>
      <c r="E102" s="809"/>
      <c r="F102" s="809"/>
      <c r="G102" s="809"/>
      <c r="H102" s="809"/>
      <c r="I102" s="809"/>
      <c r="J102" s="810"/>
      <c r="K102" s="192">
        <v>2</v>
      </c>
      <c r="L102" s="655"/>
    </row>
    <row r="103" spans="1:13">
      <c r="A103" s="182" t="s">
        <v>413</v>
      </c>
      <c r="B103" s="1259"/>
      <c r="C103" s="1260" t="s">
        <v>930</v>
      </c>
      <c r="D103" s="1261"/>
      <c r="E103" s="1261"/>
      <c r="F103" s="1261"/>
      <c r="G103" s="1261"/>
      <c r="H103" s="1261"/>
      <c r="I103" s="1261"/>
      <c r="J103" s="1262"/>
      <c r="K103" s="213">
        <v>2</v>
      </c>
      <c r="L103" s="655"/>
    </row>
    <row r="104" spans="1:13" ht="16.5" customHeight="1">
      <c r="A104" s="214" t="s">
        <v>414</v>
      </c>
      <c r="B104" s="402" t="s">
        <v>641</v>
      </c>
      <c r="C104" s="1234" t="s">
        <v>931</v>
      </c>
      <c r="D104" s="1235"/>
      <c r="E104" s="1235"/>
      <c r="F104" s="1236"/>
      <c r="G104" s="1237" t="s">
        <v>932</v>
      </c>
      <c r="H104" s="1235"/>
      <c r="I104" s="1235"/>
      <c r="J104" s="1238"/>
      <c r="K104" s="217">
        <v>2</v>
      </c>
      <c r="L104" s="653"/>
    </row>
    <row r="105" spans="1:13">
      <c r="A105" s="184" t="s">
        <v>415</v>
      </c>
      <c r="B105" s="403" t="s">
        <v>642</v>
      </c>
      <c r="C105" s="1263" t="s">
        <v>933</v>
      </c>
      <c r="D105" s="1264"/>
      <c r="E105" s="1264"/>
      <c r="F105" s="1265"/>
      <c r="G105" s="1266" t="s">
        <v>934</v>
      </c>
      <c r="H105" s="1264"/>
      <c r="I105" s="1264"/>
      <c r="J105" s="1267"/>
      <c r="K105" s="185">
        <v>2</v>
      </c>
      <c r="L105" s="653"/>
    </row>
    <row r="106" spans="1:13" ht="17.25" thickBot="1">
      <c r="A106" s="214" t="s">
        <v>416</v>
      </c>
      <c r="B106" s="402" t="s">
        <v>643</v>
      </c>
      <c r="C106" s="1234" t="s">
        <v>935</v>
      </c>
      <c r="D106" s="1235"/>
      <c r="E106" s="1235"/>
      <c r="F106" s="1236"/>
      <c r="G106" s="1237" t="s">
        <v>936</v>
      </c>
      <c r="H106" s="1235"/>
      <c r="I106" s="1235"/>
      <c r="J106" s="1238"/>
      <c r="K106" s="217">
        <v>2</v>
      </c>
      <c r="L106" s="653"/>
    </row>
    <row r="107" spans="1:13" ht="16.5" customHeight="1">
      <c r="A107" s="218" t="s">
        <v>417</v>
      </c>
      <c r="B107" s="928" t="s">
        <v>640</v>
      </c>
      <c r="C107" s="931" t="s">
        <v>575</v>
      </c>
      <c r="D107" s="932"/>
      <c r="E107" s="932"/>
      <c r="F107" s="932"/>
      <c r="G107" s="932"/>
      <c r="H107" s="932"/>
      <c r="I107" s="932"/>
      <c r="J107" s="933"/>
      <c r="K107" s="191">
        <v>2</v>
      </c>
      <c r="L107" s="655"/>
    </row>
    <row r="108" spans="1:13">
      <c r="A108" s="214" t="s">
        <v>418</v>
      </c>
      <c r="B108" s="929"/>
      <c r="C108" s="896" t="s">
        <v>576</v>
      </c>
      <c r="D108" s="809"/>
      <c r="E108" s="809"/>
      <c r="F108" s="809"/>
      <c r="G108" s="809"/>
      <c r="H108" s="809"/>
      <c r="I108" s="809"/>
      <c r="J108" s="810"/>
      <c r="K108" s="192">
        <v>2</v>
      </c>
      <c r="L108" s="655"/>
    </row>
    <row r="109" spans="1:13">
      <c r="A109" s="182" t="s">
        <v>419</v>
      </c>
      <c r="B109" s="1259"/>
      <c r="C109" s="1260" t="s">
        <v>577</v>
      </c>
      <c r="D109" s="1261"/>
      <c r="E109" s="1261"/>
      <c r="F109" s="1261"/>
      <c r="G109" s="1261"/>
      <c r="H109" s="1261"/>
      <c r="I109" s="1261"/>
      <c r="J109" s="1262"/>
      <c r="K109" s="213">
        <v>2</v>
      </c>
      <c r="L109" s="655"/>
    </row>
    <row r="110" spans="1:13">
      <c r="A110" s="214" t="s">
        <v>420</v>
      </c>
      <c r="B110" s="402" t="s">
        <v>641</v>
      </c>
      <c r="C110" s="1234" t="s">
        <v>578</v>
      </c>
      <c r="D110" s="1235"/>
      <c r="E110" s="1235"/>
      <c r="F110" s="1236"/>
      <c r="G110" s="1237" t="s">
        <v>579</v>
      </c>
      <c r="H110" s="1235"/>
      <c r="I110" s="1235"/>
      <c r="J110" s="1238"/>
      <c r="K110" s="217">
        <v>2</v>
      </c>
      <c r="L110" s="653"/>
    </row>
    <row r="111" spans="1:13">
      <c r="A111" s="184" t="s">
        <v>421</v>
      </c>
      <c r="B111" s="403" t="s">
        <v>642</v>
      </c>
      <c r="C111" s="1263" t="s">
        <v>580</v>
      </c>
      <c r="D111" s="1264"/>
      <c r="E111" s="1264"/>
      <c r="F111" s="1265"/>
      <c r="G111" s="1266" t="s">
        <v>581</v>
      </c>
      <c r="H111" s="1264"/>
      <c r="I111" s="1264"/>
      <c r="J111" s="1267"/>
      <c r="K111" s="185">
        <v>2</v>
      </c>
      <c r="L111" s="653"/>
    </row>
    <row r="112" spans="1:13" ht="17.25" thickBot="1">
      <c r="A112" s="214" t="s">
        <v>422</v>
      </c>
      <c r="B112" s="402" t="s">
        <v>643</v>
      </c>
      <c r="C112" s="1234" t="s">
        <v>582</v>
      </c>
      <c r="D112" s="1235"/>
      <c r="E112" s="1235"/>
      <c r="F112" s="1236"/>
      <c r="G112" s="1237" t="s">
        <v>583</v>
      </c>
      <c r="H112" s="1235"/>
      <c r="I112" s="1235"/>
      <c r="J112" s="1238"/>
      <c r="K112" s="217">
        <v>2</v>
      </c>
      <c r="L112" s="653"/>
    </row>
    <row r="113" spans="1:12" ht="16.5" customHeight="1">
      <c r="A113" s="218" t="s">
        <v>423</v>
      </c>
      <c r="B113" s="928" t="s">
        <v>640</v>
      </c>
      <c r="C113" s="931" t="s">
        <v>593</v>
      </c>
      <c r="D113" s="932"/>
      <c r="E113" s="932"/>
      <c r="F113" s="932"/>
      <c r="G113" s="932"/>
      <c r="H113" s="932"/>
      <c r="I113" s="932"/>
      <c r="J113" s="933"/>
      <c r="K113" s="191">
        <v>2</v>
      </c>
      <c r="L113" s="655"/>
    </row>
    <row r="114" spans="1:12">
      <c r="A114" s="214" t="s">
        <v>983</v>
      </c>
      <c r="B114" s="929"/>
      <c r="C114" s="896" t="s">
        <v>594</v>
      </c>
      <c r="D114" s="809"/>
      <c r="E114" s="809"/>
      <c r="F114" s="809"/>
      <c r="G114" s="809"/>
      <c r="H114" s="809"/>
      <c r="I114" s="809"/>
      <c r="J114" s="810"/>
      <c r="K114" s="192">
        <v>2</v>
      </c>
      <c r="L114" s="655"/>
    </row>
    <row r="115" spans="1:12">
      <c r="A115" s="182" t="s">
        <v>984</v>
      </c>
      <c r="B115" s="1259"/>
      <c r="C115" s="1260" t="s">
        <v>595</v>
      </c>
      <c r="D115" s="1261"/>
      <c r="E115" s="1261"/>
      <c r="F115" s="1261"/>
      <c r="G115" s="1261"/>
      <c r="H115" s="1261"/>
      <c r="I115" s="1261"/>
      <c r="J115" s="1262"/>
      <c r="K115" s="213">
        <v>2</v>
      </c>
      <c r="L115" s="655"/>
    </row>
    <row r="116" spans="1:12">
      <c r="A116" s="214" t="s">
        <v>985</v>
      </c>
      <c r="B116" s="402" t="s">
        <v>641</v>
      </c>
      <c r="C116" s="1234" t="s">
        <v>596</v>
      </c>
      <c r="D116" s="1235"/>
      <c r="E116" s="1235"/>
      <c r="F116" s="1236"/>
      <c r="G116" s="1237" t="s">
        <v>597</v>
      </c>
      <c r="H116" s="1235"/>
      <c r="I116" s="1235"/>
      <c r="J116" s="1238"/>
      <c r="K116" s="217">
        <v>2</v>
      </c>
      <c r="L116" s="653"/>
    </row>
    <row r="117" spans="1:12">
      <c r="A117" s="184" t="s">
        <v>424</v>
      </c>
      <c r="B117" s="403" t="s">
        <v>642</v>
      </c>
      <c r="C117" s="1263" t="s">
        <v>598</v>
      </c>
      <c r="D117" s="1264"/>
      <c r="E117" s="1264"/>
      <c r="F117" s="1265"/>
      <c r="G117" s="1266" t="s">
        <v>599</v>
      </c>
      <c r="H117" s="1264"/>
      <c r="I117" s="1264"/>
      <c r="J117" s="1267"/>
      <c r="K117" s="185">
        <v>2</v>
      </c>
      <c r="L117" s="653"/>
    </row>
    <row r="118" spans="1:12" ht="17.25" thickBot="1">
      <c r="A118" s="214" t="s">
        <v>425</v>
      </c>
      <c r="B118" s="402" t="s">
        <v>643</v>
      </c>
      <c r="C118" s="1234" t="s">
        <v>600</v>
      </c>
      <c r="D118" s="1235"/>
      <c r="E118" s="1235"/>
      <c r="F118" s="1236"/>
      <c r="G118" s="1237" t="s">
        <v>601</v>
      </c>
      <c r="H118" s="1235"/>
      <c r="I118" s="1235"/>
      <c r="J118" s="1238"/>
      <c r="K118" s="217">
        <v>2</v>
      </c>
      <c r="L118" s="653"/>
    </row>
    <row r="119" spans="1:12" ht="16.5" customHeight="1">
      <c r="A119" s="218" t="s">
        <v>426</v>
      </c>
      <c r="B119" s="928" t="s">
        <v>640</v>
      </c>
      <c r="C119" s="931" t="s">
        <v>602</v>
      </c>
      <c r="D119" s="932"/>
      <c r="E119" s="932"/>
      <c r="F119" s="932"/>
      <c r="G119" s="932"/>
      <c r="H119" s="932"/>
      <c r="I119" s="932"/>
      <c r="J119" s="933"/>
      <c r="K119" s="191">
        <v>2</v>
      </c>
      <c r="L119" s="655"/>
    </row>
    <row r="120" spans="1:12">
      <c r="A120" s="214" t="s">
        <v>427</v>
      </c>
      <c r="B120" s="929"/>
      <c r="C120" s="896" t="s">
        <v>603</v>
      </c>
      <c r="D120" s="809"/>
      <c r="E120" s="809"/>
      <c r="F120" s="809"/>
      <c r="G120" s="809"/>
      <c r="H120" s="809"/>
      <c r="I120" s="809"/>
      <c r="J120" s="810"/>
      <c r="K120" s="192">
        <v>2</v>
      </c>
      <c r="L120" s="655"/>
    </row>
    <row r="121" spans="1:12">
      <c r="A121" s="182" t="s">
        <v>428</v>
      </c>
      <c r="B121" s="1259"/>
      <c r="C121" s="1260" t="s">
        <v>604</v>
      </c>
      <c r="D121" s="1261"/>
      <c r="E121" s="1261"/>
      <c r="F121" s="1261"/>
      <c r="G121" s="1261"/>
      <c r="H121" s="1261"/>
      <c r="I121" s="1261"/>
      <c r="J121" s="1262"/>
      <c r="K121" s="213">
        <v>2</v>
      </c>
      <c r="L121" s="655"/>
    </row>
    <row r="122" spans="1:12">
      <c r="A122" s="214" t="s">
        <v>429</v>
      </c>
      <c r="B122" s="1268" t="s">
        <v>641</v>
      </c>
      <c r="C122" s="1234" t="s">
        <v>605</v>
      </c>
      <c r="D122" s="1235"/>
      <c r="E122" s="1235"/>
      <c r="F122" s="1236"/>
      <c r="G122" s="1237" t="s">
        <v>606</v>
      </c>
      <c r="H122" s="1235"/>
      <c r="I122" s="1235"/>
      <c r="J122" s="1238"/>
      <c r="K122" s="217">
        <v>2</v>
      </c>
      <c r="L122" s="653"/>
    </row>
    <row r="123" spans="1:12">
      <c r="A123" s="214" t="s">
        <v>430</v>
      </c>
      <c r="B123" s="1268"/>
      <c r="C123" s="1269" t="s">
        <v>607</v>
      </c>
      <c r="D123" s="1270"/>
      <c r="E123" s="1270"/>
      <c r="F123" s="1271"/>
      <c r="G123" s="1272" t="s">
        <v>608</v>
      </c>
      <c r="H123" s="1273"/>
      <c r="I123" s="1273"/>
      <c r="J123" s="1274"/>
      <c r="K123" s="217">
        <v>2</v>
      </c>
      <c r="L123" s="653"/>
    </row>
    <row r="124" spans="1:12">
      <c r="A124" s="184" t="s">
        <v>431</v>
      </c>
      <c r="B124" s="1275" t="s">
        <v>642</v>
      </c>
      <c r="C124" s="1263" t="s">
        <v>609</v>
      </c>
      <c r="D124" s="1264"/>
      <c r="E124" s="1264"/>
      <c r="F124" s="1265"/>
      <c r="G124" s="1266" t="s">
        <v>610</v>
      </c>
      <c r="H124" s="1264"/>
      <c r="I124" s="1264"/>
      <c r="J124" s="1267"/>
      <c r="K124" s="185">
        <v>2</v>
      </c>
      <c r="L124" s="653"/>
    </row>
    <row r="125" spans="1:12">
      <c r="A125" s="182" t="s">
        <v>432</v>
      </c>
      <c r="B125" s="1276"/>
      <c r="C125" s="1277" t="s">
        <v>611</v>
      </c>
      <c r="D125" s="1278"/>
      <c r="E125" s="1278"/>
      <c r="F125" s="1279"/>
      <c r="G125" s="1280" t="s">
        <v>612</v>
      </c>
      <c r="H125" s="1281"/>
      <c r="I125" s="1281"/>
      <c r="J125" s="1282"/>
      <c r="K125" s="183">
        <v>2</v>
      </c>
      <c r="L125" s="655"/>
    </row>
    <row r="126" spans="1:12">
      <c r="A126" s="214" t="s">
        <v>433</v>
      </c>
      <c r="B126" s="1268" t="s">
        <v>643</v>
      </c>
      <c r="C126" s="1234" t="s">
        <v>613</v>
      </c>
      <c r="D126" s="1235"/>
      <c r="E126" s="1235"/>
      <c r="F126" s="1236"/>
      <c r="G126" s="1237" t="s">
        <v>614</v>
      </c>
      <c r="H126" s="1235"/>
      <c r="I126" s="1235"/>
      <c r="J126" s="1238"/>
      <c r="K126" s="217">
        <v>2</v>
      </c>
      <c r="L126" s="655"/>
    </row>
    <row r="127" spans="1:12" ht="17.25" thickBot="1">
      <c r="A127" s="219" t="s">
        <v>434</v>
      </c>
      <c r="B127" s="1283"/>
      <c r="C127" s="1284" t="s">
        <v>615</v>
      </c>
      <c r="D127" s="1285"/>
      <c r="E127" s="1285"/>
      <c r="F127" s="1286"/>
      <c r="G127" s="1287" t="s">
        <v>616</v>
      </c>
      <c r="H127" s="1288"/>
      <c r="I127" s="1288"/>
      <c r="J127" s="1289"/>
      <c r="K127" s="216">
        <v>2</v>
      </c>
      <c r="L127" s="655"/>
    </row>
    <row r="128" spans="1:12" ht="16.5" customHeight="1">
      <c r="A128" s="218" t="s">
        <v>435</v>
      </c>
      <c r="B128" s="928" t="s">
        <v>640</v>
      </c>
      <c r="C128" s="931" t="s">
        <v>617</v>
      </c>
      <c r="D128" s="932"/>
      <c r="E128" s="932"/>
      <c r="F128" s="932"/>
      <c r="G128" s="932"/>
      <c r="H128" s="932"/>
      <c r="I128" s="932"/>
      <c r="J128" s="933"/>
      <c r="K128" s="191">
        <v>2</v>
      </c>
      <c r="L128" s="655"/>
    </row>
    <row r="129" spans="1:12">
      <c r="A129" s="214" t="s">
        <v>436</v>
      </c>
      <c r="B129" s="929"/>
      <c r="C129" s="896" t="s">
        <v>618</v>
      </c>
      <c r="D129" s="809"/>
      <c r="E129" s="809"/>
      <c r="F129" s="809"/>
      <c r="G129" s="809"/>
      <c r="H129" s="809"/>
      <c r="I129" s="809"/>
      <c r="J129" s="810"/>
      <c r="K129" s="192">
        <v>2</v>
      </c>
      <c r="L129" s="655"/>
    </row>
    <row r="130" spans="1:12">
      <c r="A130" s="182" t="s">
        <v>437</v>
      </c>
      <c r="B130" s="1259"/>
      <c r="C130" s="1260" t="s">
        <v>619</v>
      </c>
      <c r="D130" s="1261"/>
      <c r="E130" s="1261"/>
      <c r="F130" s="1261"/>
      <c r="G130" s="1261"/>
      <c r="H130" s="1261"/>
      <c r="I130" s="1261"/>
      <c r="J130" s="1262"/>
      <c r="K130" s="213">
        <v>2</v>
      </c>
      <c r="L130" s="655"/>
    </row>
    <row r="131" spans="1:12">
      <c r="A131" s="214" t="s">
        <v>438</v>
      </c>
      <c r="B131" s="402" t="s">
        <v>641</v>
      </c>
      <c r="C131" s="1234" t="s">
        <v>620</v>
      </c>
      <c r="D131" s="1235"/>
      <c r="E131" s="1235"/>
      <c r="F131" s="1236"/>
      <c r="G131" s="1237" t="s">
        <v>621</v>
      </c>
      <c r="H131" s="1235"/>
      <c r="I131" s="1235"/>
      <c r="J131" s="1238"/>
      <c r="K131" s="217">
        <v>2</v>
      </c>
      <c r="L131" s="653"/>
    </row>
    <row r="132" spans="1:12">
      <c r="A132" s="184" t="s">
        <v>439</v>
      </c>
      <c r="B132" s="403" t="s">
        <v>642</v>
      </c>
      <c r="C132" s="1263" t="s">
        <v>622</v>
      </c>
      <c r="D132" s="1264"/>
      <c r="E132" s="1264"/>
      <c r="F132" s="1265"/>
      <c r="G132" s="1266" t="s">
        <v>623</v>
      </c>
      <c r="H132" s="1264"/>
      <c r="I132" s="1264"/>
      <c r="J132" s="1267"/>
      <c r="K132" s="185">
        <v>2</v>
      </c>
      <c r="L132" s="653"/>
    </row>
    <row r="133" spans="1:12" ht="17.25" thickBot="1">
      <c r="A133" s="214" t="s">
        <v>440</v>
      </c>
      <c r="B133" s="402" t="s">
        <v>643</v>
      </c>
      <c r="C133" s="1234" t="s">
        <v>624</v>
      </c>
      <c r="D133" s="1235"/>
      <c r="E133" s="1235"/>
      <c r="F133" s="1236"/>
      <c r="G133" s="1237" t="s">
        <v>625</v>
      </c>
      <c r="H133" s="1235"/>
      <c r="I133" s="1235"/>
      <c r="J133" s="1238"/>
      <c r="K133" s="217">
        <v>2</v>
      </c>
      <c r="L133" s="653"/>
    </row>
    <row r="134" spans="1:12">
      <c r="A134" s="218" t="s">
        <v>441</v>
      </c>
      <c r="B134" s="928" t="s">
        <v>556</v>
      </c>
      <c r="C134" s="931" t="s">
        <v>626</v>
      </c>
      <c r="D134" s="932"/>
      <c r="E134" s="932"/>
      <c r="F134" s="932"/>
      <c r="G134" s="932"/>
      <c r="H134" s="932"/>
      <c r="I134" s="932"/>
      <c r="J134" s="933"/>
      <c r="K134" s="191">
        <v>2</v>
      </c>
      <c r="L134" s="655"/>
    </row>
    <row r="135" spans="1:12">
      <c r="A135" s="214" t="s">
        <v>943</v>
      </c>
      <c r="B135" s="929"/>
      <c r="C135" s="896" t="s">
        <v>627</v>
      </c>
      <c r="D135" s="809"/>
      <c r="E135" s="809"/>
      <c r="F135" s="809"/>
      <c r="G135" s="809"/>
      <c r="H135" s="809"/>
      <c r="I135" s="809"/>
      <c r="J135" s="810"/>
      <c r="K135" s="192">
        <v>2</v>
      </c>
      <c r="L135" s="655"/>
    </row>
    <row r="136" spans="1:12">
      <c r="A136" s="182" t="s">
        <v>442</v>
      </c>
      <c r="B136" s="1259"/>
      <c r="C136" s="1260" t="s">
        <v>628</v>
      </c>
      <c r="D136" s="1261"/>
      <c r="E136" s="1261"/>
      <c r="F136" s="1261"/>
      <c r="G136" s="1261"/>
      <c r="H136" s="1261"/>
      <c r="I136" s="1261"/>
      <c r="J136" s="1262"/>
      <c r="K136" s="213">
        <v>2</v>
      </c>
      <c r="L136" s="655"/>
    </row>
    <row r="137" spans="1:12">
      <c r="A137" s="214" t="s">
        <v>944</v>
      </c>
      <c r="B137" s="402" t="s">
        <v>518</v>
      </c>
      <c r="C137" s="1234" t="s">
        <v>629</v>
      </c>
      <c r="D137" s="1235"/>
      <c r="E137" s="1235"/>
      <c r="F137" s="1236"/>
      <c r="G137" s="1237" t="s">
        <v>630</v>
      </c>
      <c r="H137" s="1235"/>
      <c r="I137" s="1235"/>
      <c r="J137" s="1238"/>
      <c r="K137" s="217">
        <v>2</v>
      </c>
      <c r="L137" s="653"/>
    </row>
    <row r="138" spans="1:12">
      <c r="A138" s="184" t="s">
        <v>945</v>
      </c>
      <c r="B138" s="403" t="s">
        <v>519</v>
      </c>
      <c r="C138" s="1263" t="s">
        <v>631</v>
      </c>
      <c r="D138" s="1264"/>
      <c r="E138" s="1264"/>
      <c r="F138" s="1265"/>
      <c r="G138" s="1266" t="s">
        <v>632</v>
      </c>
      <c r="H138" s="1264"/>
      <c r="I138" s="1264"/>
      <c r="J138" s="1267"/>
      <c r="K138" s="185">
        <v>2</v>
      </c>
      <c r="L138" s="653"/>
    </row>
    <row r="139" spans="1:12" ht="17.25" thickBot="1">
      <c r="A139" s="214" t="s">
        <v>946</v>
      </c>
      <c r="B139" s="402" t="s">
        <v>520</v>
      </c>
      <c r="C139" s="1234" t="s">
        <v>633</v>
      </c>
      <c r="D139" s="1235"/>
      <c r="E139" s="1235"/>
      <c r="F139" s="1236"/>
      <c r="G139" s="1237" t="s">
        <v>634</v>
      </c>
      <c r="H139" s="1235"/>
      <c r="I139" s="1235"/>
      <c r="J139" s="1238"/>
      <c r="K139" s="217">
        <v>2</v>
      </c>
      <c r="L139" s="653"/>
    </row>
    <row r="140" spans="1:12" ht="17.25" thickBot="1">
      <c r="A140" s="467" t="s">
        <v>1053</v>
      </c>
      <c r="B140" s="196" t="s">
        <v>635</v>
      </c>
      <c r="C140" s="1036" t="s">
        <v>636</v>
      </c>
      <c r="D140" s="1037"/>
      <c r="E140" s="1037"/>
      <c r="F140" s="1037"/>
      <c r="G140" s="1037"/>
      <c r="H140" s="1037"/>
      <c r="I140" s="1037"/>
      <c r="J140" s="1037"/>
      <c r="K140" s="195">
        <v>12</v>
      </c>
      <c r="L140" s="655"/>
    </row>
    <row r="141" spans="1:12" ht="17.25" thickBot="1">
      <c r="A141" s="467" t="s">
        <v>1054</v>
      </c>
      <c r="B141" s="196" t="s">
        <v>635</v>
      </c>
      <c r="C141" s="1038" t="s">
        <v>637</v>
      </c>
      <c r="D141" s="1039"/>
      <c r="E141" s="1039"/>
      <c r="F141" s="1039"/>
      <c r="G141" s="1039"/>
      <c r="H141" s="1039"/>
      <c r="I141" s="1039"/>
      <c r="J141" s="1039"/>
      <c r="K141" s="195">
        <v>12</v>
      </c>
      <c r="L141" s="655"/>
    </row>
    <row r="142" spans="1:12" ht="17.25" thickBot="1">
      <c r="A142" s="467" t="s">
        <v>1055</v>
      </c>
      <c r="B142" s="196" t="s">
        <v>635</v>
      </c>
      <c r="C142" s="1036" t="s">
        <v>638</v>
      </c>
      <c r="D142" s="1037"/>
      <c r="E142" s="1037"/>
      <c r="F142" s="1037"/>
      <c r="G142" s="1037"/>
      <c r="H142" s="1037"/>
      <c r="I142" s="1037"/>
      <c r="J142" s="1037"/>
      <c r="K142" s="195">
        <v>12</v>
      </c>
      <c r="L142" s="655"/>
    </row>
    <row r="143" spans="1:12" ht="17.25" thickBot="1">
      <c r="A143" s="467" t="s">
        <v>1056</v>
      </c>
      <c r="B143" s="196" t="s">
        <v>635</v>
      </c>
      <c r="C143" s="1038" t="s">
        <v>639</v>
      </c>
      <c r="D143" s="1039"/>
      <c r="E143" s="1039"/>
      <c r="F143" s="1039"/>
      <c r="G143" s="1039"/>
      <c r="H143" s="1039"/>
      <c r="I143" s="1039"/>
      <c r="J143" s="1039"/>
      <c r="K143" s="195">
        <v>12</v>
      </c>
      <c r="L143" s="655"/>
    </row>
    <row r="144" spans="1:12">
      <c r="A144" s="181" t="s">
        <v>1057</v>
      </c>
      <c r="B144" s="182" t="s">
        <v>48</v>
      </c>
      <c r="C144" s="811" t="s">
        <v>521</v>
      </c>
      <c r="D144" s="812"/>
      <c r="E144" s="812"/>
      <c r="F144" s="812"/>
      <c r="G144" s="812"/>
      <c r="H144" s="812"/>
      <c r="I144" s="812"/>
      <c r="J144" s="813"/>
      <c r="K144" s="183">
        <v>4</v>
      </c>
      <c r="L144" s="655"/>
    </row>
    <row r="145" spans="1:12" ht="17.25" thickBot="1">
      <c r="A145" s="194">
        <v>154</v>
      </c>
      <c r="B145" s="189" t="s">
        <v>50</v>
      </c>
      <c r="C145" s="797" t="s">
        <v>58</v>
      </c>
      <c r="D145" s="798"/>
      <c r="E145" s="798"/>
      <c r="F145" s="798"/>
      <c r="G145" s="798"/>
      <c r="H145" s="798"/>
      <c r="I145" s="798"/>
      <c r="J145" s="799"/>
      <c r="K145" s="190">
        <v>1</v>
      </c>
      <c r="L145" s="655"/>
    </row>
    <row r="146" spans="1:12">
      <c r="L146" s="655"/>
    </row>
    <row r="147" spans="1:12">
      <c r="L147" s="655"/>
    </row>
    <row r="148" spans="1:12">
      <c r="L148" s="655"/>
    </row>
  </sheetData>
  <mergeCells count="199">
    <mergeCell ref="K18:K19"/>
    <mergeCell ref="K16:K17"/>
    <mergeCell ref="B77:B78"/>
    <mergeCell ref="C77:F77"/>
    <mergeCell ref="G77:J77"/>
    <mergeCell ref="C78:F78"/>
    <mergeCell ref="G78:J78"/>
    <mergeCell ref="C23:J23"/>
    <mergeCell ref="H59:J59"/>
    <mergeCell ref="D18:D19"/>
    <mergeCell ref="A1:K1"/>
    <mergeCell ref="C7:J7"/>
    <mergeCell ref="C8:J8"/>
    <mergeCell ref="C9:J9"/>
    <mergeCell ref="G16:G17"/>
    <mergeCell ref="C11:J11"/>
    <mergeCell ref="C13:J13"/>
    <mergeCell ref="A14:A15"/>
    <mergeCell ref="A16:A17"/>
    <mergeCell ref="B16:B17"/>
    <mergeCell ref="C16:F16"/>
    <mergeCell ref="B14:B15"/>
    <mergeCell ref="G14:J14"/>
    <mergeCell ref="C14:F15"/>
    <mergeCell ref="H16:J16"/>
    <mergeCell ref="K14:K15"/>
    <mergeCell ref="B12:B13"/>
    <mergeCell ref="C12:J12"/>
    <mergeCell ref="B113:B115"/>
    <mergeCell ref="C113:J113"/>
    <mergeCell ref="C10:J10"/>
    <mergeCell ref="C88:J88"/>
    <mergeCell ref="C89:J89"/>
    <mergeCell ref="C90:J90"/>
    <mergeCell ref="C91:J91"/>
    <mergeCell ref="B18:B19"/>
    <mergeCell ref="B62:B75"/>
    <mergeCell ref="C56:F56"/>
    <mergeCell ref="C81:J81"/>
    <mergeCell ref="B54:B58"/>
    <mergeCell ref="C54:F54"/>
    <mergeCell ref="G54:J54"/>
    <mergeCell ref="C55:F55"/>
    <mergeCell ref="G55:J55"/>
    <mergeCell ref="G56:J56"/>
    <mergeCell ref="C57:F57"/>
    <mergeCell ref="G57:J57"/>
    <mergeCell ref="C58:F58"/>
    <mergeCell ref="C102:J102"/>
    <mergeCell ref="C114:J114"/>
    <mergeCell ref="C115:J115"/>
    <mergeCell ref="C80:J80"/>
    <mergeCell ref="C144:J144"/>
    <mergeCell ref="C145:J145"/>
    <mergeCell ref="C139:F139"/>
    <mergeCell ref="G139:J139"/>
    <mergeCell ref="B134:B136"/>
    <mergeCell ref="C134:J134"/>
    <mergeCell ref="C135:J135"/>
    <mergeCell ref="C136:J136"/>
    <mergeCell ref="C137:F137"/>
    <mergeCell ref="G137:J137"/>
    <mergeCell ref="C140:J140"/>
    <mergeCell ref="C141:J141"/>
    <mergeCell ref="C142:J142"/>
    <mergeCell ref="C143:J143"/>
    <mergeCell ref="C138:F138"/>
    <mergeCell ref="G138:J138"/>
    <mergeCell ref="B124:B125"/>
    <mergeCell ref="C124:F124"/>
    <mergeCell ref="G124:J124"/>
    <mergeCell ref="C125:F125"/>
    <mergeCell ref="G125:J125"/>
    <mergeCell ref="B126:B127"/>
    <mergeCell ref="C126:F126"/>
    <mergeCell ref="G126:J126"/>
    <mergeCell ref="C127:F127"/>
    <mergeCell ref="G127:J127"/>
    <mergeCell ref="C116:F116"/>
    <mergeCell ref="G116:J116"/>
    <mergeCell ref="C120:J120"/>
    <mergeCell ref="C121:J121"/>
    <mergeCell ref="B122:B123"/>
    <mergeCell ref="C122:F122"/>
    <mergeCell ref="G122:J122"/>
    <mergeCell ref="C123:F123"/>
    <mergeCell ref="G123:J123"/>
    <mergeCell ref="B95:B97"/>
    <mergeCell ref="C95:J95"/>
    <mergeCell ref="C96:J96"/>
    <mergeCell ref="C97:J97"/>
    <mergeCell ref="C98:F98"/>
    <mergeCell ref="G98:J98"/>
    <mergeCell ref="C99:F99"/>
    <mergeCell ref="G99:J99"/>
    <mergeCell ref="C133:F133"/>
    <mergeCell ref="G133:J133"/>
    <mergeCell ref="C118:F118"/>
    <mergeCell ref="G118:J118"/>
    <mergeCell ref="C128:J128"/>
    <mergeCell ref="C129:J129"/>
    <mergeCell ref="C130:J130"/>
    <mergeCell ref="C131:F131"/>
    <mergeCell ref="G131:J131"/>
    <mergeCell ref="C132:F132"/>
    <mergeCell ref="G132:J132"/>
    <mergeCell ref="B128:B130"/>
    <mergeCell ref="B119:B121"/>
    <mergeCell ref="C119:J119"/>
    <mergeCell ref="C117:F117"/>
    <mergeCell ref="G117:J117"/>
    <mergeCell ref="B107:B109"/>
    <mergeCell ref="C107:J107"/>
    <mergeCell ref="C108:J108"/>
    <mergeCell ref="C109:J109"/>
    <mergeCell ref="C110:F110"/>
    <mergeCell ref="G110:J110"/>
    <mergeCell ref="B101:B103"/>
    <mergeCell ref="C111:F111"/>
    <mergeCell ref="G111:J111"/>
    <mergeCell ref="C106:F106"/>
    <mergeCell ref="G106:J106"/>
    <mergeCell ref="C103:J103"/>
    <mergeCell ref="C104:F104"/>
    <mergeCell ref="G104:J104"/>
    <mergeCell ref="C105:F105"/>
    <mergeCell ref="G105:J105"/>
    <mergeCell ref="C112:F112"/>
    <mergeCell ref="G112:J112"/>
    <mergeCell ref="C101:J101"/>
    <mergeCell ref="D62:J75"/>
    <mergeCell ref="C100:F100"/>
    <mergeCell ref="G100:J100"/>
    <mergeCell ref="C76:J76"/>
    <mergeCell ref="C27:J27"/>
    <mergeCell ref="G58:J58"/>
    <mergeCell ref="C48:F48"/>
    <mergeCell ref="C61:J61"/>
    <mergeCell ref="C59:C60"/>
    <mergeCell ref="D41:I41"/>
    <mergeCell ref="C32:J32"/>
    <mergeCell ref="C33:J33"/>
    <mergeCell ref="C30:J30"/>
    <mergeCell ref="C42:J42"/>
    <mergeCell ref="C43:J43"/>
    <mergeCell ref="C44:J44"/>
    <mergeCell ref="C45:J45"/>
    <mergeCell ref="C46:J46"/>
    <mergeCell ref="C47:J47"/>
    <mergeCell ref="C28:J28"/>
    <mergeCell ref="C29:J29"/>
    <mergeCell ref="B93:B94"/>
    <mergeCell ref="B86:K86"/>
    <mergeCell ref="B5:K5"/>
    <mergeCell ref="B48:B53"/>
    <mergeCell ref="G48:J48"/>
    <mergeCell ref="C49:F49"/>
    <mergeCell ref="G49:J49"/>
    <mergeCell ref="C50:F50"/>
    <mergeCell ref="G50:J50"/>
    <mergeCell ref="C51:F51"/>
    <mergeCell ref="G51:J51"/>
    <mergeCell ref="C52:F52"/>
    <mergeCell ref="G52:J52"/>
    <mergeCell ref="C53:J53"/>
    <mergeCell ref="C93:J93"/>
    <mergeCell ref="C92:J92"/>
    <mergeCell ref="C94:J94"/>
    <mergeCell ref="C26:J26"/>
    <mergeCell ref="C34:J34"/>
    <mergeCell ref="C35:J35"/>
    <mergeCell ref="C36:J36"/>
    <mergeCell ref="B42:B47"/>
    <mergeCell ref="B21:B40"/>
    <mergeCell ref="C20:J20"/>
    <mergeCell ref="M14:M15"/>
    <mergeCell ref="M16:M17"/>
    <mergeCell ref="M18:M19"/>
    <mergeCell ref="M48:M53"/>
    <mergeCell ref="M54:M58"/>
    <mergeCell ref="M59:M60"/>
    <mergeCell ref="M62:M75"/>
    <mergeCell ref="M77:M78"/>
    <mergeCell ref="A59:A60"/>
    <mergeCell ref="B59:B60"/>
    <mergeCell ref="K59:K60"/>
    <mergeCell ref="A18:A19"/>
    <mergeCell ref="C31:J31"/>
    <mergeCell ref="C38:J38"/>
    <mergeCell ref="C39:J39"/>
    <mergeCell ref="C40:J40"/>
    <mergeCell ref="C37:J37"/>
    <mergeCell ref="I18:J18"/>
    <mergeCell ref="C24:J24"/>
    <mergeCell ref="C25:J25"/>
    <mergeCell ref="C21:J21"/>
    <mergeCell ref="C22:J22"/>
    <mergeCell ref="C18:C19"/>
    <mergeCell ref="G18:H18"/>
  </mergeCells>
  <phoneticPr fontId="1" type="noConversion"/>
  <pageMargins left="0.7" right="0.7" top="0.75" bottom="0.75" header="0.3" footer="0.3"/>
  <pageSetup paperSize="9" orientation="portrait" horizontalDpi="300" verticalDpi="300"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7"/>
  <sheetViews>
    <sheetView workbookViewId="0">
      <selection sqref="A1:K1"/>
    </sheetView>
  </sheetViews>
  <sheetFormatPr defaultRowHeight="16.5"/>
  <sheetData>
    <row r="1" spans="1:11" ht="17.25" thickBot="1">
      <c r="A1" s="975" t="s">
        <v>105</v>
      </c>
      <c r="B1" s="976"/>
      <c r="C1" s="976"/>
      <c r="D1" s="976"/>
      <c r="E1" s="976"/>
      <c r="F1" s="976"/>
      <c r="G1" s="976"/>
      <c r="H1" s="976"/>
      <c r="I1" s="976"/>
      <c r="J1" s="976"/>
      <c r="K1" s="977"/>
    </row>
    <row r="2" spans="1:11">
      <c r="A2" s="162" t="s">
        <v>106</v>
      </c>
      <c r="B2" s="163" t="s">
        <v>122</v>
      </c>
      <c r="D2" s="164"/>
      <c r="E2" s="165"/>
      <c r="F2" s="165"/>
      <c r="G2" s="165"/>
      <c r="H2" s="165"/>
      <c r="I2" s="164"/>
      <c r="J2" s="165" t="s">
        <v>107</v>
      </c>
      <c r="K2" s="166" t="s">
        <v>121</v>
      </c>
    </row>
    <row r="3" spans="1:11">
      <c r="A3" s="158" t="s">
        <v>457</v>
      </c>
      <c r="B3" s="167"/>
      <c r="C3" s="169"/>
      <c r="D3" s="171"/>
      <c r="E3" s="171"/>
      <c r="F3" s="171"/>
      <c r="G3" s="171"/>
      <c r="H3" s="171"/>
      <c r="I3" s="170"/>
      <c r="J3" s="171" t="s">
        <v>109</v>
      </c>
      <c r="K3" s="166" t="s">
        <v>1162</v>
      </c>
    </row>
    <row r="4" spans="1:11" ht="17.25" thickBot="1">
      <c r="A4" s="159"/>
      <c r="B4" s="168"/>
      <c r="C4" s="160"/>
      <c r="D4" s="160"/>
      <c r="E4" s="160"/>
      <c r="F4" s="160"/>
      <c r="G4" s="160"/>
      <c r="H4" s="160"/>
      <c r="I4" s="161"/>
      <c r="J4" s="172" t="s">
        <v>110</v>
      </c>
      <c r="K4" s="173" t="s">
        <v>1309</v>
      </c>
    </row>
    <row r="5" spans="1:11" s="491" customFormat="1" ht="17.25" thickBot="1">
      <c r="A5" s="519" t="s">
        <v>1212</v>
      </c>
      <c r="B5" s="888" t="s">
        <v>1307</v>
      </c>
      <c r="C5" s="889"/>
      <c r="D5" s="889"/>
      <c r="E5" s="889"/>
      <c r="F5" s="889"/>
      <c r="G5" s="889"/>
      <c r="H5" s="889"/>
      <c r="I5" s="889"/>
      <c r="J5" s="889"/>
      <c r="K5" s="890"/>
    </row>
    <row r="6" spans="1:11" ht="17.25" thickBot="1">
      <c r="A6" s="176" t="s">
        <v>75</v>
      </c>
      <c r="B6" s="174" t="s">
        <v>97</v>
      </c>
      <c r="C6" s="152" t="s">
        <v>458</v>
      </c>
      <c r="D6" s="113" t="s">
        <v>112</v>
      </c>
      <c r="E6" s="113" t="s">
        <v>113</v>
      </c>
      <c r="F6" s="113" t="s">
        <v>114</v>
      </c>
      <c r="G6" s="113" t="s">
        <v>115</v>
      </c>
      <c r="H6" s="113" t="s">
        <v>116</v>
      </c>
      <c r="I6" s="113" t="s">
        <v>117</v>
      </c>
      <c r="J6" s="153" t="s">
        <v>118</v>
      </c>
      <c r="K6" s="175" t="s">
        <v>119</v>
      </c>
    </row>
    <row r="7" spans="1:11">
      <c r="A7" s="505">
        <v>1</v>
      </c>
      <c r="B7" s="496" t="s">
        <v>37</v>
      </c>
      <c r="C7" s="1033" t="s">
        <v>294</v>
      </c>
      <c r="D7" s="1034"/>
      <c r="E7" s="1034"/>
      <c r="F7" s="1034"/>
      <c r="G7" s="1034"/>
      <c r="H7" s="1034"/>
      <c r="I7" s="1034"/>
      <c r="J7" s="1035"/>
      <c r="K7" s="498">
        <v>1</v>
      </c>
    </row>
    <row r="8" spans="1:11">
      <c r="A8" s="239" t="s">
        <v>398</v>
      </c>
      <c r="B8" s="500" t="s">
        <v>36</v>
      </c>
      <c r="C8" s="814" t="s">
        <v>52</v>
      </c>
      <c r="D8" s="815"/>
      <c r="E8" s="815"/>
      <c r="F8" s="815"/>
      <c r="G8" s="815"/>
      <c r="H8" s="815"/>
      <c r="I8" s="815"/>
      <c r="J8" s="816"/>
      <c r="K8" s="244">
        <v>2</v>
      </c>
    </row>
    <row r="9" spans="1:11">
      <c r="A9" s="239" t="s">
        <v>399</v>
      </c>
      <c r="B9" s="500" t="s">
        <v>39</v>
      </c>
      <c r="C9" s="814" t="s">
        <v>53</v>
      </c>
      <c r="D9" s="815"/>
      <c r="E9" s="815"/>
      <c r="F9" s="815"/>
      <c r="G9" s="815"/>
      <c r="H9" s="815"/>
      <c r="I9" s="815"/>
      <c r="J9" s="816"/>
      <c r="K9" s="244">
        <v>2</v>
      </c>
    </row>
    <row r="10" spans="1:11">
      <c r="A10" s="239" t="s">
        <v>400</v>
      </c>
      <c r="B10" s="500" t="s">
        <v>40</v>
      </c>
      <c r="C10" s="814" t="s">
        <v>54</v>
      </c>
      <c r="D10" s="815"/>
      <c r="E10" s="815"/>
      <c r="F10" s="815"/>
      <c r="G10" s="815"/>
      <c r="H10" s="815"/>
      <c r="I10" s="815"/>
      <c r="J10" s="816"/>
      <c r="K10" s="244">
        <v>2</v>
      </c>
    </row>
    <row r="11" spans="1:11">
      <c r="A11" s="239" t="s">
        <v>401</v>
      </c>
      <c r="B11" s="500" t="s">
        <v>41</v>
      </c>
      <c r="C11" s="906" t="s">
        <v>1240</v>
      </c>
      <c r="D11" s="907"/>
      <c r="E11" s="907"/>
      <c r="F11" s="907"/>
      <c r="G11" s="907"/>
      <c r="H11" s="907"/>
      <c r="I11" s="907"/>
      <c r="J11" s="908"/>
      <c r="K11" s="244">
        <v>2</v>
      </c>
    </row>
    <row r="12" spans="1:11" s="491" customFormat="1">
      <c r="A12" s="239" t="s">
        <v>402</v>
      </c>
      <c r="B12" s="817" t="s">
        <v>42</v>
      </c>
      <c r="C12" s="819" t="s">
        <v>1145</v>
      </c>
      <c r="D12" s="820"/>
      <c r="E12" s="820"/>
      <c r="F12" s="820"/>
      <c r="G12" s="820"/>
      <c r="H12" s="820"/>
      <c r="I12" s="820"/>
      <c r="J12" s="821"/>
      <c r="K12" s="507">
        <v>2</v>
      </c>
    </row>
    <row r="13" spans="1:11" ht="17.25" thickBot="1">
      <c r="A13" s="497" t="s">
        <v>1152</v>
      </c>
      <c r="B13" s="818"/>
      <c r="C13" s="1040" t="s">
        <v>1146</v>
      </c>
      <c r="D13" s="1041"/>
      <c r="E13" s="1041"/>
      <c r="F13" s="1041"/>
      <c r="G13" s="1041"/>
      <c r="H13" s="1041"/>
      <c r="I13" s="1041"/>
      <c r="J13" s="1042"/>
      <c r="K13" s="499">
        <v>2</v>
      </c>
    </row>
    <row r="14" spans="1:11">
      <c r="A14" s="41" t="s">
        <v>461</v>
      </c>
      <c r="B14" s="105" t="s">
        <v>48</v>
      </c>
      <c r="C14" s="1033" t="s">
        <v>120</v>
      </c>
      <c r="D14" s="1034"/>
      <c r="E14" s="1034"/>
      <c r="F14" s="1034"/>
      <c r="G14" s="1034"/>
      <c r="H14" s="1034"/>
      <c r="I14" s="1034"/>
      <c r="J14" s="1035"/>
      <c r="K14" s="129">
        <v>4</v>
      </c>
    </row>
    <row r="15" spans="1:11" ht="17.25" thickBot="1">
      <c r="A15" s="151">
        <v>16</v>
      </c>
      <c r="B15" s="107" t="s">
        <v>50</v>
      </c>
      <c r="C15" s="797" t="s">
        <v>58</v>
      </c>
      <c r="D15" s="798"/>
      <c r="E15" s="798"/>
      <c r="F15" s="798"/>
      <c r="G15" s="798"/>
      <c r="H15" s="798"/>
      <c r="I15" s="798"/>
      <c r="J15" s="799"/>
      <c r="K15" s="131">
        <v>1</v>
      </c>
    </row>
    <row r="16" spans="1:11" ht="17.25" thickBot="1"/>
    <row r="17" spans="1:11" s="491" customFormat="1" ht="17.25" thickBot="1">
      <c r="A17" s="519" t="s">
        <v>1212</v>
      </c>
      <c r="B17" s="888" t="s">
        <v>1308</v>
      </c>
      <c r="C17" s="889"/>
      <c r="D17" s="889"/>
      <c r="E17" s="889"/>
      <c r="F17" s="889"/>
      <c r="G17" s="889"/>
      <c r="H17" s="889"/>
      <c r="I17" s="889"/>
      <c r="J17" s="889"/>
      <c r="K17" s="890"/>
    </row>
    <row r="18" spans="1:11" ht="17.25" thickBot="1">
      <c r="A18" s="237" t="s">
        <v>75</v>
      </c>
      <c r="B18" s="230" t="s">
        <v>97</v>
      </c>
      <c r="C18" s="152" t="s">
        <v>445</v>
      </c>
      <c r="D18" s="113" t="s">
        <v>112</v>
      </c>
      <c r="E18" s="113" t="s">
        <v>113</v>
      </c>
      <c r="F18" s="113" t="s">
        <v>114</v>
      </c>
      <c r="G18" s="113" t="s">
        <v>115</v>
      </c>
      <c r="H18" s="113" t="s">
        <v>116</v>
      </c>
      <c r="I18" s="113" t="s">
        <v>117</v>
      </c>
      <c r="J18" s="153" t="s">
        <v>118</v>
      </c>
      <c r="K18" s="234" t="s">
        <v>119</v>
      </c>
    </row>
    <row r="19" spans="1:11">
      <c r="A19" s="505">
        <v>1</v>
      </c>
      <c r="B19" s="496" t="s">
        <v>37</v>
      </c>
      <c r="C19" s="1033" t="s">
        <v>294</v>
      </c>
      <c r="D19" s="1034"/>
      <c r="E19" s="1034"/>
      <c r="F19" s="1034"/>
      <c r="G19" s="1034"/>
      <c r="H19" s="1034"/>
      <c r="I19" s="1034"/>
      <c r="J19" s="1035"/>
      <c r="K19" s="498">
        <v>1</v>
      </c>
    </row>
    <row r="20" spans="1:11">
      <c r="A20" s="239" t="s">
        <v>398</v>
      </c>
      <c r="B20" s="500" t="s">
        <v>36</v>
      </c>
      <c r="C20" s="814" t="s">
        <v>52</v>
      </c>
      <c r="D20" s="815"/>
      <c r="E20" s="815"/>
      <c r="F20" s="815"/>
      <c r="G20" s="815"/>
      <c r="H20" s="815"/>
      <c r="I20" s="815"/>
      <c r="J20" s="816"/>
      <c r="K20" s="244">
        <v>2</v>
      </c>
    </row>
    <row r="21" spans="1:11">
      <c r="A21" s="239" t="s">
        <v>399</v>
      </c>
      <c r="B21" s="500" t="s">
        <v>39</v>
      </c>
      <c r="C21" s="814" t="s">
        <v>53</v>
      </c>
      <c r="D21" s="815"/>
      <c r="E21" s="815"/>
      <c r="F21" s="815"/>
      <c r="G21" s="815"/>
      <c r="H21" s="815"/>
      <c r="I21" s="815"/>
      <c r="J21" s="816"/>
      <c r="K21" s="244">
        <v>2</v>
      </c>
    </row>
    <row r="22" spans="1:11">
      <c r="A22" s="239" t="s">
        <v>400</v>
      </c>
      <c r="B22" s="500" t="s">
        <v>40</v>
      </c>
      <c r="C22" s="814" t="s">
        <v>54</v>
      </c>
      <c r="D22" s="815"/>
      <c r="E22" s="815"/>
      <c r="F22" s="815"/>
      <c r="G22" s="815"/>
      <c r="H22" s="815"/>
      <c r="I22" s="815"/>
      <c r="J22" s="816"/>
      <c r="K22" s="244">
        <v>2</v>
      </c>
    </row>
    <row r="23" spans="1:11">
      <c r="A23" s="239" t="s">
        <v>401</v>
      </c>
      <c r="B23" s="500" t="s">
        <v>41</v>
      </c>
      <c r="C23" s="906" t="s">
        <v>1161</v>
      </c>
      <c r="D23" s="907"/>
      <c r="E23" s="907"/>
      <c r="F23" s="907"/>
      <c r="G23" s="907"/>
      <c r="H23" s="907"/>
      <c r="I23" s="907"/>
      <c r="J23" s="908"/>
      <c r="K23" s="244">
        <v>2</v>
      </c>
    </row>
    <row r="24" spans="1:11" s="491" customFormat="1">
      <c r="A24" s="239" t="s">
        <v>402</v>
      </c>
      <c r="B24" s="817" t="s">
        <v>42</v>
      </c>
      <c r="C24" s="819" t="s">
        <v>1145</v>
      </c>
      <c r="D24" s="820"/>
      <c r="E24" s="820"/>
      <c r="F24" s="820"/>
      <c r="G24" s="820"/>
      <c r="H24" s="820"/>
      <c r="I24" s="820"/>
      <c r="J24" s="821"/>
      <c r="K24" s="507">
        <v>2</v>
      </c>
    </row>
    <row r="25" spans="1:11" ht="17.25" thickBot="1">
      <c r="A25" s="497" t="s">
        <v>1152</v>
      </c>
      <c r="B25" s="818"/>
      <c r="C25" s="1040" t="s">
        <v>1146</v>
      </c>
      <c r="D25" s="1041"/>
      <c r="E25" s="1041"/>
      <c r="F25" s="1041"/>
      <c r="G25" s="1041"/>
      <c r="H25" s="1041"/>
      <c r="I25" s="1041"/>
      <c r="J25" s="1042"/>
      <c r="K25" s="499">
        <v>2</v>
      </c>
    </row>
    <row r="26" spans="1:11" s="224" customFormat="1" ht="17.25" thickBot="1">
      <c r="A26" s="515" t="s">
        <v>1117</v>
      </c>
      <c r="B26" s="271" t="s">
        <v>1135</v>
      </c>
      <c r="C26" s="1335" t="s">
        <v>1116</v>
      </c>
      <c r="D26" s="1336"/>
      <c r="E26" s="1336"/>
      <c r="F26" s="1336"/>
      <c r="G26" s="1336"/>
      <c r="H26" s="1336"/>
      <c r="I26" s="1336"/>
      <c r="J26" s="1337"/>
      <c r="K26" s="272">
        <v>2</v>
      </c>
    </row>
    <row r="27" spans="1:11">
      <c r="A27" s="478" t="s">
        <v>1118</v>
      </c>
      <c r="B27" s="473" t="s">
        <v>48</v>
      </c>
      <c r="C27" s="1033" t="s">
        <v>120</v>
      </c>
      <c r="D27" s="1034"/>
      <c r="E27" s="1034"/>
      <c r="F27" s="1034"/>
      <c r="G27" s="1034"/>
      <c r="H27" s="1034"/>
      <c r="I27" s="1034"/>
      <c r="J27" s="1035"/>
      <c r="K27" s="475">
        <v>4</v>
      </c>
    </row>
    <row r="28" spans="1:11" ht="17.25" thickBot="1">
      <c r="A28" s="151">
        <v>18</v>
      </c>
      <c r="B28" s="474" t="s">
        <v>50</v>
      </c>
      <c r="C28" s="797" t="s">
        <v>58</v>
      </c>
      <c r="D28" s="798"/>
      <c r="E28" s="798"/>
      <c r="F28" s="798"/>
      <c r="G28" s="798"/>
      <c r="H28" s="798"/>
      <c r="I28" s="798"/>
      <c r="J28" s="799"/>
      <c r="K28" s="476">
        <v>1</v>
      </c>
    </row>
    <row r="43" ht="17.25" customHeight="1"/>
    <row r="46" ht="16.5" customHeight="1"/>
    <row r="48" ht="16.5" customHeight="1"/>
    <row r="50" ht="16.5" customHeight="1"/>
    <row r="52" ht="16.5" customHeight="1"/>
    <row r="53" ht="16.5" customHeight="1"/>
    <row r="54" ht="16.5" customHeight="1"/>
    <row r="55" ht="16.5" customHeight="1"/>
    <row r="57" ht="16.5" customHeight="1"/>
  </sheetData>
  <mergeCells count="24">
    <mergeCell ref="C10:J10"/>
    <mergeCell ref="B12:B13"/>
    <mergeCell ref="C12:J12"/>
    <mergeCell ref="B5:K5"/>
    <mergeCell ref="A1:K1"/>
    <mergeCell ref="C7:J7"/>
    <mergeCell ref="C8:J8"/>
    <mergeCell ref="C9:J9"/>
    <mergeCell ref="B17:K17"/>
    <mergeCell ref="C14:J14"/>
    <mergeCell ref="C15:J15"/>
    <mergeCell ref="C11:J11"/>
    <mergeCell ref="C13:J13"/>
    <mergeCell ref="B24:B25"/>
    <mergeCell ref="C24:J24"/>
    <mergeCell ref="C23:J23"/>
    <mergeCell ref="C25:J25"/>
    <mergeCell ref="C27:J27"/>
    <mergeCell ref="C28:J28"/>
    <mergeCell ref="C26:J26"/>
    <mergeCell ref="C19:J19"/>
    <mergeCell ref="C20:J20"/>
    <mergeCell ref="C21:J21"/>
    <mergeCell ref="C22:J22"/>
  </mergeCells>
  <phoneticPr fontId="1" type="noConversion"/>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36"/>
  <sheetViews>
    <sheetView workbookViewId="0">
      <selection activeCell="A15" sqref="A15:Q15"/>
    </sheetView>
  </sheetViews>
  <sheetFormatPr defaultRowHeight="16.5"/>
  <cols>
    <col min="1" max="16384" width="9" style="491"/>
  </cols>
  <sheetData>
    <row r="1" spans="1:12" ht="17.25" thickBot="1">
      <c r="A1" s="975" t="s">
        <v>105</v>
      </c>
      <c r="B1" s="976"/>
      <c r="C1" s="976"/>
      <c r="D1" s="976"/>
      <c r="E1" s="976"/>
      <c r="F1" s="976"/>
      <c r="G1" s="976"/>
      <c r="H1" s="976"/>
      <c r="I1" s="976"/>
      <c r="J1" s="976"/>
      <c r="K1" s="977"/>
    </row>
    <row r="2" spans="1:12">
      <c r="A2" s="201" t="s">
        <v>106</v>
      </c>
      <c r="B2" s="202" t="s">
        <v>1279</v>
      </c>
      <c r="D2" s="203"/>
      <c r="E2" s="204"/>
      <c r="F2" s="204"/>
      <c r="G2" s="204"/>
      <c r="H2" s="204"/>
      <c r="I2" s="203"/>
      <c r="J2" s="204" t="s">
        <v>107</v>
      </c>
      <c r="K2" s="418" t="s">
        <v>1278</v>
      </c>
    </row>
    <row r="3" spans="1:12">
      <c r="A3" s="197" t="s">
        <v>1277</v>
      </c>
      <c r="B3" s="206"/>
      <c r="C3" s="208"/>
      <c r="D3" s="210"/>
      <c r="E3" s="210"/>
      <c r="F3" s="210"/>
      <c r="G3" s="210"/>
      <c r="H3" s="210"/>
      <c r="I3" s="209"/>
      <c r="J3" s="210" t="s">
        <v>109</v>
      </c>
      <c r="K3" s="418" t="s">
        <v>1276</v>
      </c>
    </row>
    <row r="4" spans="1:12" ht="17.25" thickBot="1">
      <c r="A4" s="198"/>
      <c r="B4" s="207"/>
      <c r="C4" s="199"/>
      <c r="D4" s="199"/>
      <c r="E4" s="199"/>
      <c r="F4" s="199"/>
      <c r="G4" s="199"/>
      <c r="H4" s="199"/>
      <c r="I4" s="200"/>
      <c r="J4" s="211" t="s">
        <v>110</v>
      </c>
      <c r="K4" s="212" t="s">
        <v>1290</v>
      </c>
    </row>
    <row r="5" spans="1:12" ht="17.25" thickBot="1">
      <c r="A5" s="519" t="s">
        <v>1212</v>
      </c>
      <c r="B5" s="888" t="s">
        <v>1288</v>
      </c>
      <c r="C5" s="889"/>
      <c r="D5" s="889"/>
      <c r="E5" s="889"/>
      <c r="F5" s="889"/>
      <c r="G5" s="889"/>
      <c r="H5" s="889"/>
      <c r="I5" s="889"/>
      <c r="J5" s="889"/>
      <c r="K5" s="890"/>
    </row>
    <row r="6" spans="1:12" ht="17.25" thickBot="1">
      <c r="A6" s="237" t="s">
        <v>75</v>
      </c>
      <c r="B6" s="230" t="s">
        <v>97</v>
      </c>
      <c r="C6" s="152" t="s">
        <v>1275</v>
      </c>
      <c r="D6" s="113" t="s">
        <v>112</v>
      </c>
      <c r="E6" s="113" t="s">
        <v>113</v>
      </c>
      <c r="F6" s="113" t="s">
        <v>114</v>
      </c>
      <c r="G6" s="113" t="s">
        <v>115</v>
      </c>
      <c r="H6" s="113" t="s">
        <v>116</v>
      </c>
      <c r="I6" s="113" t="s">
        <v>117</v>
      </c>
      <c r="J6" s="153" t="s">
        <v>118</v>
      </c>
      <c r="K6" s="234" t="s">
        <v>119</v>
      </c>
    </row>
    <row r="7" spans="1:12">
      <c r="A7" s="527">
        <v>1</v>
      </c>
      <c r="B7" s="521" t="s">
        <v>37</v>
      </c>
      <c r="C7" s="1033" t="s">
        <v>1274</v>
      </c>
      <c r="D7" s="1034"/>
      <c r="E7" s="1034"/>
      <c r="F7" s="1034"/>
      <c r="G7" s="1034"/>
      <c r="H7" s="1034"/>
      <c r="I7" s="1034"/>
      <c r="J7" s="1035"/>
      <c r="K7" s="524">
        <v>1</v>
      </c>
    </row>
    <row r="8" spans="1:12">
      <c r="A8" s="239" t="s">
        <v>398</v>
      </c>
      <c r="B8" s="522" t="s">
        <v>36</v>
      </c>
      <c r="C8" s="814" t="s">
        <v>1249</v>
      </c>
      <c r="D8" s="815"/>
      <c r="E8" s="815"/>
      <c r="F8" s="815"/>
      <c r="G8" s="815"/>
      <c r="H8" s="815"/>
      <c r="I8" s="815"/>
      <c r="J8" s="816"/>
      <c r="K8" s="244">
        <v>2</v>
      </c>
    </row>
    <row r="9" spans="1:12">
      <c r="A9" s="239" t="s">
        <v>399</v>
      </c>
      <c r="B9" s="522" t="s">
        <v>39</v>
      </c>
      <c r="C9" s="814" t="s">
        <v>1248</v>
      </c>
      <c r="D9" s="815"/>
      <c r="E9" s="815"/>
      <c r="F9" s="815"/>
      <c r="G9" s="815"/>
      <c r="H9" s="815"/>
      <c r="I9" s="815"/>
      <c r="J9" s="816"/>
      <c r="K9" s="244">
        <v>2</v>
      </c>
    </row>
    <row r="10" spans="1:12">
      <c r="A10" s="239" t="s">
        <v>400</v>
      </c>
      <c r="B10" s="522" t="s">
        <v>40</v>
      </c>
      <c r="C10" s="814" t="s">
        <v>54</v>
      </c>
      <c r="D10" s="815"/>
      <c r="E10" s="815"/>
      <c r="F10" s="815"/>
      <c r="G10" s="815"/>
      <c r="H10" s="815"/>
      <c r="I10" s="815"/>
      <c r="J10" s="816"/>
      <c r="K10" s="244">
        <v>2</v>
      </c>
    </row>
    <row r="11" spans="1:12">
      <c r="A11" s="239" t="s">
        <v>401</v>
      </c>
      <c r="B11" s="522" t="s">
        <v>41</v>
      </c>
      <c r="C11" s="906" t="s">
        <v>1273</v>
      </c>
      <c r="D11" s="907"/>
      <c r="E11" s="907"/>
      <c r="F11" s="907"/>
      <c r="G11" s="907"/>
      <c r="H11" s="907"/>
      <c r="I11" s="907"/>
      <c r="J11" s="908"/>
      <c r="K11" s="244">
        <v>2</v>
      </c>
    </row>
    <row r="12" spans="1:12">
      <c r="A12" s="239" t="s">
        <v>402</v>
      </c>
      <c r="B12" s="817" t="s">
        <v>42</v>
      </c>
      <c r="C12" s="819" t="s">
        <v>1272</v>
      </c>
      <c r="D12" s="820"/>
      <c r="E12" s="820"/>
      <c r="F12" s="820"/>
      <c r="G12" s="820"/>
      <c r="H12" s="820"/>
      <c r="I12" s="820"/>
      <c r="J12" s="821"/>
      <c r="K12" s="528">
        <v>2</v>
      </c>
    </row>
    <row r="13" spans="1:12" ht="17.25" thickBot="1">
      <c r="A13" s="523" t="s">
        <v>1271</v>
      </c>
      <c r="B13" s="818"/>
      <c r="C13" s="1040" t="s">
        <v>1270</v>
      </c>
      <c r="D13" s="1041"/>
      <c r="E13" s="1041"/>
      <c r="F13" s="1041"/>
      <c r="G13" s="1041"/>
      <c r="H13" s="1041"/>
      <c r="I13" s="1041"/>
      <c r="J13" s="1042"/>
      <c r="K13" s="525">
        <v>2</v>
      </c>
    </row>
    <row r="14" spans="1:12" ht="27" customHeight="1">
      <c r="A14" s="543">
        <v>14</v>
      </c>
      <c r="B14" s="542" t="s">
        <v>1269</v>
      </c>
      <c r="C14" s="541"/>
      <c r="D14" s="540"/>
      <c r="E14" s="540"/>
      <c r="F14" s="540"/>
      <c r="G14" s="540"/>
      <c r="H14" s="540" t="s">
        <v>1268</v>
      </c>
      <c r="I14" s="540" t="s">
        <v>1267</v>
      </c>
      <c r="J14" s="539" t="s">
        <v>1266</v>
      </c>
      <c r="K14" s="538">
        <v>2</v>
      </c>
    </row>
    <row r="15" spans="1:12" ht="27" customHeight="1">
      <c r="A15" s="537" t="s">
        <v>1265</v>
      </c>
      <c r="B15" s="536" t="s">
        <v>1264</v>
      </c>
      <c r="C15" s="1338" t="s">
        <v>1284</v>
      </c>
      <c r="D15" s="1339"/>
      <c r="E15" s="1339"/>
      <c r="F15" s="1339"/>
      <c r="G15" s="1339"/>
      <c r="H15" s="1339"/>
      <c r="I15" s="1339"/>
      <c r="J15" s="1340"/>
      <c r="K15" s="530">
        <v>4</v>
      </c>
      <c r="L15" s="491" t="s">
        <v>1263</v>
      </c>
    </row>
    <row r="16" spans="1:12" ht="27" customHeight="1">
      <c r="A16" s="537" t="s">
        <v>1262</v>
      </c>
      <c r="B16" s="536" t="s">
        <v>1261</v>
      </c>
      <c r="C16" s="1341" t="s">
        <v>1280</v>
      </c>
      <c r="D16" s="1344"/>
      <c r="E16" s="1344"/>
      <c r="F16" s="1344"/>
      <c r="G16" s="1344"/>
      <c r="H16" s="1344"/>
      <c r="I16" s="1344"/>
      <c r="J16" s="1345"/>
      <c r="K16" s="530">
        <v>12</v>
      </c>
    </row>
    <row r="17" spans="1:12" ht="30" customHeight="1">
      <c r="A17" s="534" t="s">
        <v>1260</v>
      </c>
      <c r="B17" s="534" t="s">
        <v>1259</v>
      </c>
      <c r="C17" s="1341" t="s">
        <v>1281</v>
      </c>
      <c r="D17" s="1344"/>
      <c r="E17" s="1344"/>
      <c r="F17" s="1344"/>
      <c r="G17" s="1344"/>
      <c r="H17" s="1344"/>
      <c r="I17" s="1344"/>
      <c r="J17" s="1345"/>
      <c r="K17" s="530">
        <v>12</v>
      </c>
      <c r="L17" s="571" t="s">
        <v>1256</v>
      </c>
    </row>
    <row r="18" spans="1:12" ht="30" customHeight="1">
      <c r="A18" s="535" t="s">
        <v>1258</v>
      </c>
      <c r="B18" s="534" t="s">
        <v>1257</v>
      </c>
      <c r="C18" s="1341" t="s">
        <v>1282</v>
      </c>
      <c r="D18" s="1342"/>
      <c r="E18" s="1342"/>
      <c r="F18" s="1342"/>
      <c r="G18" s="1342"/>
      <c r="H18" s="1342"/>
      <c r="I18" s="1342"/>
      <c r="J18" s="1343"/>
      <c r="K18" s="530">
        <v>12</v>
      </c>
      <c r="L18" s="571" t="s">
        <v>1330</v>
      </c>
    </row>
    <row r="19" spans="1:12" ht="30" customHeight="1" thickBot="1">
      <c r="A19" s="533" t="s">
        <v>1255</v>
      </c>
      <c r="B19" s="532" t="s">
        <v>1254</v>
      </c>
      <c r="C19" s="919" t="s">
        <v>1283</v>
      </c>
      <c r="D19" s="920"/>
      <c r="E19" s="920"/>
      <c r="F19" s="920"/>
      <c r="G19" s="920"/>
      <c r="H19" s="920"/>
      <c r="I19" s="920"/>
      <c r="J19" s="921"/>
      <c r="K19" s="530">
        <v>4</v>
      </c>
      <c r="L19" s="491" t="s">
        <v>1331</v>
      </c>
    </row>
    <row r="20" spans="1:12">
      <c r="A20" s="527" t="s">
        <v>1253</v>
      </c>
      <c r="B20" s="521" t="s">
        <v>48</v>
      </c>
      <c r="C20" s="1033" t="s">
        <v>1252</v>
      </c>
      <c r="D20" s="1034"/>
      <c r="E20" s="1034"/>
      <c r="F20" s="1034"/>
      <c r="G20" s="1034"/>
      <c r="H20" s="1034"/>
      <c r="I20" s="1034"/>
      <c r="J20" s="1035"/>
      <c r="K20" s="524">
        <v>4</v>
      </c>
    </row>
    <row r="21" spans="1:12" ht="17.25" thickBot="1">
      <c r="A21" s="151">
        <v>18</v>
      </c>
      <c r="B21" s="523" t="s">
        <v>50</v>
      </c>
      <c r="C21" s="797" t="s">
        <v>58</v>
      </c>
      <c r="D21" s="798"/>
      <c r="E21" s="798"/>
      <c r="F21" s="798"/>
      <c r="G21" s="798"/>
      <c r="H21" s="798"/>
      <c r="I21" s="798"/>
      <c r="J21" s="799"/>
      <c r="K21" s="525">
        <v>1</v>
      </c>
    </row>
    <row r="22" spans="1:12" ht="17.25" thickBot="1"/>
    <row r="23" spans="1:12" ht="17.25" thickBot="1">
      <c r="A23" s="519" t="s">
        <v>1212</v>
      </c>
      <c r="B23" s="888" t="s">
        <v>1289</v>
      </c>
      <c r="C23" s="889"/>
      <c r="D23" s="889"/>
      <c r="E23" s="889"/>
      <c r="F23" s="889"/>
      <c r="G23" s="889"/>
      <c r="H23" s="889"/>
      <c r="I23" s="889"/>
      <c r="J23" s="889"/>
      <c r="K23" s="890"/>
    </row>
    <row r="24" spans="1:12" ht="17.25" thickBot="1">
      <c r="A24" s="237" t="s">
        <v>75</v>
      </c>
      <c r="B24" s="230" t="s">
        <v>97</v>
      </c>
      <c r="C24" s="152" t="s">
        <v>1251</v>
      </c>
      <c r="D24" s="113" t="s">
        <v>112</v>
      </c>
      <c r="E24" s="113" t="s">
        <v>113</v>
      </c>
      <c r="F24" s="113" t="s">
        <v>114</v>
      </c>
      <c r="G24" s="113" t="s">
        <v>115</v>
      </c>
      <c r="H24" s="113" t="s">
        <v>116</v>
      </c>
      <c r="I24" s="113" t="s">
        <v>117</v>
      </c>
      <c r="J24" s="153" t="s">
        <v>118</v>
      </c>
      <c r="K24" s="234" t="s">
        <v>119</v>
      </c>
    </row>
    <row r="25" spans="1:12">
      <c r="A25" s="527">
        <v>1</v>
      </c>
      <c r="B25" s="521" t="s">
        <v>37</v>
      </c>
      <c r="C25" s="1033" t="s">
        <v>1250</v>
      </c>
      <c r="D25" s="1034"/>
      <c r="E25" s="1034"/>
      <c r="F25" s="1034"/>
      <c r="G25" s="1034"/>
      <c r="H25" s="1034"/>
      <c r="I25" s="1034"/>
      <c r="J25" s="1035"/>
      <c r="K25" s="524">
        <v>1</v>
      </c>
    </row>
    <row r="26" spans="1:12">
      <c r="A26" s="239" t="s">
        <v>398</v>
      </c>
      <c r="B26" s="522" t="s">
        <v>36</v>
      </c>
      <c r="C26" s="814" t="s">
        <v>1249</v>
      </c>
      <c r="D26" s="815"/>
      <c r="E26" s="815"/>
      <c r="F26" s="815"/>
      <c r="G26" s="815"/>
      <c r="H26" s="815"/>
      <c r="I26" s="815"/>
      <c r="J26" s="816"/>
      <c r="K26" s="244">
        <v>2</v>
      </c>
    </row>
    <row r="27" spans="1:12">
      <c r="A27" s="239" t="s">
        <v>399</v>
      </c>
      <c r="B27" s="522" t="s">
        <v>39</v>
      </c>
      <c r="C27" s="814" t="s">
        <v>1248</v>
      </c>
      <c r="D27" s="815"/>
      <c r="E27" s="815"/>
      <c r="F27" s="815"/>
      <c r="G27" s="815"/>
      <c r="H27" s="815"/>
      <c r="I27" s="815"/>
      <c r="J27" s="816"/>
      <c r="K27" s="244">
        <v>2</v>
      </c>
    </row>
    <row r="28" spans="1:12">
      <c r="A28" s="239" t="s">
        <v>400</v>
      </c>
      <c r="B28" s="522" t="s">
        <v>40</v>
      </c>
      <c r="C28" s="814" t="s">
        <v>54</v>
      </c>
      <c r="D28" s="815"/>
      <c r="E28" s="815"/>
      <c r="F28" s="815"/>
      <c r="G28" s="815"/>
      <c r="H28" s="815"/>
      <c r="I28" s="815"/>
      <c r="J28" s="816"/>
      <c r="K28" s="244">
        <v>2</v>
      </c>
    </row>
    <row r="29" spans="1:12">
      <c r="A29" s="239" t="s">
        <v>401</v>
      </c>
      <c r="B29" s="522" t="s">
        <v>41</v>
      </c>
      <c r="C29" s="906" t="s">
        <v>1247</v>
      </c>
      <c r="D29" s="907"/>
      <c r="E29" s="907"/>
      <c r="F29" s="907"/>
      <c r="G29" s="907"/>
      <c r="H29" s="907"/>
      <c r="I29" s="907"/>
      <c r="J29" s="908"/>
      <c r="K29" s="244">
        <v>2</v>
      </c>
    </row>
    <row r="30" spans="1:12">
      <c r="A30" s="239" t="s">
        <v>402</v>
      </c>
      <c r="B30" s="817" t="s">
        <v>42</v>
      </c>
      <c r="C30" s="819" t="s">
        <v>1246</v>
      </c>
      <c r="D30" s="820"/>
      <c r="E30" s="820"/>
      <c r="F30" s="820"/>
      <c r="G30" s="820"/>
      <c r="H30" s="820"/>
      <c r="I30" s="820"/>
      <c r="J30" s="821"/>
      <c r="K30" s="528">
        <v>2</v>
      </c>
    </row>
    <row r="31" spans="1:12" ht="17.25" thickBot="1">
      <c r="A31" s="523" t="s">
        <v>1245</v>
      </c>
      <c r="B31" s="818"/>
      <c r="C31" s="1040" t="s">
        <v>1244</v>
      </c>
      <c r="D31" s="1041"/>
      <c r="E31" s="1041"/>
      <c r="F31" s="1041"/>
      <c r="G31" s="1041"/>
      <c r="H31" s="1041"/>
      <c r="I31" s="1041"/>
      <c r="J31" s="1042"/>
      <c r="K31" s="525">
        <v>2</v>
      </c>
    </row>
    <row r="32" spans="1:12" ht="17.25" thickBot="1">
      <c r="A32" s="529">
        <v>14</v>
      </c>
      <c r="B32" s="837" t="s">
        <v>1243</v>
      </c>
      <c r="C32" s="1346" t="s">
        <v>1285</v>
      </c>
      <c r="D32" s="1347"/>
      <c r="E32" s="1347"/>
      <c r="F32" s="1347"/>
      <c r="G32" s="1347"/>
      <c r="H32" s="1347"/>
      <c r="I32" s="1347"/>
      <c r="J32" s="1348"/>
      <c r="K32" s="531">
        <v>2</v>
      </c>
    </row>
    <row r="33" spans="1:11" ht="17.25" thickBot="1">
      <c r="A33" s="529">
        <v>15</v>
      </c>
      <c r="B33" s="1349"/>
      <c r="C33" s="1346" t="s">
        <v>1286</v>
      </c>
      <c r="D33" s="1347"/>
      <c r="E33" s="1347"/>
      <c r="F33" s="1347"/>
      <c r="G33" s="1347"/>
      <c r="H33" s="1347"/>
      <c r="I33" s="1347"/>
      <c r="J33" s="1348"/>
      <c r="K33" s="530">
        <v>2</v>
      </c>
    </row>
    <row r="34" spans="1:11" ht="17.25" thickBot="1">
      <c r="A34" s="529">
        <v>16</v>
      </c>
      <c r="B34" s="1350"/>
      <c r="C34" s="1346" t="s">
        <v>1287</v>
      </c>
      <c r="D34" s="1347"/>
      <c r="E34" s="1347"/>
      <c r="F34" s="1347"/>
      <c r="G34" s="1347"/>
      <c r="H34" s="1347"/>
      <c r="I34" s="1347"/>
      <c r="J34" s="1348"/>
      <c r="K34" s="526">
        <v>2</v>
      </c>
    </row>
    <row r="35" spans="1:11">
      <c r="A35" s="527" t="s">
        <v>1242</v>
      </c>
      <c r="B35" s="521" t="s">
        <v>48</v>
      </c>
      <c r="C35" s="1033" t="s">
        <v>1241</v>
      </c>
      <c r="D35" s="1034"/>
      <c r="E35" s="1034"/>
      <c r="F35" s="1034"/>
      <c r="G35" s="1034"/>
      <c r="H35" s="1034"/>
      <c r="I35" s="1034"/>
      <c r="J35" s="1035"/>
      <c r="K35" s="524">
        <v>4</v>
      </c>
    </row>
    <row r="36" spans="1:11" ht="17.25" thickBot="1">
      <c r="A36" s="151">
        <v>21</v>
      </c>
      <c r="B36" s="523" t="s">
        <v>50</v>
      </c>
      <c r="C36" s="797" t="s">
        <v>58</v>
      </c>
      <c r="D36" s="798"/>
      <c r="E36" s="798"/>
      <c r="F36" s="798"/>
      <c r="G36" s="798"/>
      <c r="H36" s="798"/>
      <c r="I36" s="798"/>
      <c r="J36" s="799"/>
      <c r="K36" s="525">
        <v>1</v>
      </c>
    </row>
  </sheetData>
  <mergeCells count="32">
    <mergeCell ref="A1:K1"/>
    <mergeCell ref="C7:J7"/>
    <mergeCell ref="C8:J8"/>
    <mergeCell ref="C9:J9"/>
    <mergeCell ref="C10:J10"/>
    <mergeCell ref="B5:K5"/>
    <mergeCell ref="B32:B34"/>
    <mergeCell ref="B12:B13"/>
    <mergeCell ref="C12:J12"/>
    <mergeCell ref="C13:J13"/>
    <mergeCell ref="C11:J11"/>
    <mergeCell ref="C35:J35"/>
    <mergeCell ref="C25:J25"/>
    <mergeCell ref="C26:J26"/>
    <mergeCell ref="C27:J27"/>
    <mergeCell ref="C28:J28"/>
    <mergeCell ref="C36:J36"/>
    <mergeCell ref="C15:J15"/>
    <mergeCell ref="C18:J18"/>
    <mergeCell ref="C29:J29"/>
    <mergeCell ref="C21:J21"/>
    <mergeCell ref="C20:J20"/>
    <mergeCell ref="C19:J19"/>
    <mergeCell ref="C17:J17"/>
    <mergeCell ref="C16:J16"/>
    <mergeCell ref="C34:J34"/>
    <mergeCell ref="C32:J32"/>
    <mergeCell ref="C33:J33"/>
    <mergeCell ref="B23:K23"/>
    <mergeCell ref="B30:B31"/>
    <mergeCell ref="C30:J30"/>
    <mergeCell ref="C31:J31"/>
  </mergeCells>
  <phoneticPr fontId="1" type="noConversion"/>
  <pageMargins left="0.7" right="0.7" top="0.75" bottom="0.75" header="0.3" footer="0.3"/>
  <pageSetup paperSize="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31"/>
  <sheetViews>
    <sheetView workbookViewId="0"/>
  </sheetViews>
  <sheetFormatPr defaultRowHeight="16.5"/>
  <cols>
    <col min="1" max="1" width="3" customWidth="1"/>
    <col min="2" max="4" width="3.875" customWidth="1"/>
  </cols>
  <sheetData>
    <row r="1" spans="1:7">
      <c r="A1" s="514" t="s">
        <v>1168</v>
      </c>
      <c r="B1" t="s">
        <v>1169</v>
      </c>
      <c r="C1" t="s">
        <v>1170</v>
      </c>
    </row>
    <row r="3" spans="1:7">
      <c r="A3" s="514" t="s">
        <v>1172</v>
      </c>
      <c r="B3" t="s">
        <v>1171</v>
      </c>
    </row>
    <row r="4" spans="1:7">
      <c r="C4" s="514" t="s">
        <v>1173</v>
      </c>
      <c r="D4" t="s">
        <v>1174</v>
      </c>
    </row>
    <row r="5" spans="1:7">
      <c r="D5" s="514"/>
      <c r="E5" t="s">
        <v>1175</v>
      </c>
      <c r="F5" t="s">
        <v>1176</v>
      </c>
      <c r="G5" t="s">
        <v>1179</v>
      </c>
    </row>
    <row r="6" spans="1:7">
      <c r="E6" t="s">
        <v>1177</v>
      </c>
      <c r="F6" t="s">
        <v>1177</v>
      </c>
      <c r="G6" t="s">
        <v>1180</v>
      </c>
    </row>
    <row r="7" spans="1:7">
      <c r="E7" t="s">
        <v>1177</v>
      </c>
      <c r="F7" t="s">
        <v>1178</v>
      </c>
      <c r="G7" t="s">
        <v>1181</v>
      </c>
    </row>
    <row r="8" spans="1:7">
      <c r="E8" t="s">
        <v>1178</v>
      </c>
      <c r="F8" t="s">
        <v>1177</v>
      </c>
      <c r="G8" t="s">
        <v>1182</v>
      </c>
    </row>
    <row r="9" spans="1:7">
      <c r="E9" t="s">
        <v>1178</v>
      </c>
      <c r="F9" t="s">
        <v>1178</v>
      </c>
      <c r="G9" t="s">
        <v>1183</v>
      </c>
    </row>
    <row r="11" spans="1:7">
      <c r="D11" t="s">
        <v>1187</v>
      </c>
    </row>
    <row r="12" spans="1:7">
      <c r="E12" s="491" t="s">
        <v>1175</v>
      </c>
      <c r="F12" s="491" t="s">
        <v>1176</v>
      </c>
      <c r="G12" s="491" t="s">
        <v>1179</v>
      </c>
    </row>
    <row r="13" spans="1:7">
      <c r="E13" s="491" t="s">
        <v>1177</v>
      </c>
      <c r="F13" s="491" t="s">
        <v>1177</v>
      </c>
      <c r="G13" s="491" t="s">
        <v>1180</v>
      </c>
    </row>
    <row r="14" spans="1:7">
      <c r="E14" s="491" t="s">
        <v>1177</v>
      </c>
      <c r="F14" s="491" t="s">
        <v>1178</v>
      </c>
      <c r="G14" s="491" t="s">
        <v>1181</v>
      </c>
    </row>
    <row r="15" spans="1:7">
      <c r="E15" s="491" t="s">
        <v>1178</v>
      </c>
      <c r="F15" s="491" t="s">
        <v>1177</v>
      </c>
      <c r="G15" s="491" t="s">
        <v>1182</v>
      </c>
    </row>
    <row r="16" spans="1:7">
      <c r="E16" s="491" t="s">
        <v>1178</v>
      </c>
      <c r="F16" s="491" t="s">
        <v>1178</v>
      </c>
      <c r="G16" s="491" t="s">
        <v>1183</v>
      </c>
    </row>
    <row r="18" spans="1:7">
      <c r="D18" t="s">
        <v>1184</v>
      </c>
    </row>
    <row r="19" spans="1:7">
      <c r="D19" t="s">
        <v>1185</v>
      </c>
    </row>
    <row r="20" spans="1:7">
      <c r="D20" t="s">
        <v>1188</v>
      </c>
    </row>
    <row r="21" spans="1:7">
      <c r="D21" t="s">
        <v>1186</v>
      </c>
    </row>
    <row r="23" spans="1:7">
      <c r="A23" s="514" t="s">
        <v>1189</v>
      </c>
      <c r="B23" t="s">
        <v>1190</v>
      </c>
    </row>
    <row r="24" spans="1:7">
      <c r="C24" s="514" t="s">
        <v>1192</v>
      </c>
      <c r="D24" t="s">
        <v>1191</v>
      </c>
    </row>
    <row r="25" spans="1:7">
      <c r="D25" t="s">
        <v>1193</v>
      </c>
      <c r="F25" t="s">
        <v>1196</v>
      </c>
    </row>
    <row r="26" spans="1:7">
      <c r="D26" t="s">
        <v>1194</v>
      </c>
      <c r="F26" t="s">
        <v>1199</v>
      </c>
    </row>
    <row r="27" spans="1:7">
      <c r="D27" t="s">
        <v>1195</v>
      </c>
      <c r="F27" t="s">
        <v>1197</v>
      </c>
    </row>
    <row r="28" spans="1:7">
      <c r="G28" t="s">
        <v>1198</v>
      </c>
    </row>
    <row r="30" spans="1:7">
      <c r="A30" s="514" t="s">
        <v>1200</v>
      </c>
      <c r="B30" t="s">
        <v>1201</v>
      </c>
      <c r="D30" t="s">
        <v>1204</v>
      </c>
    </row>
    <row r="31" spans="1:7">
      <c r="A31" s="514" t="s">
        <v>1202</v>
      </c>
      <c r="B31" t="s">
        <v>1203</v>
      </c>
      <c r="D31" t="s">
        <v>1205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Prologue</vt:lpstr>
      <vt:lpstr>Revision</vt:lpstr>
      <vt:lpstr>ID Table</vt:lpstr>
      <vt:lpstr>1.MPAC&lt;-&gt;MPAC</vt:lpstr>
      <vt:lpstr>2.&lt;-SPAC-&gt;</vt:lpstr>
      <vt:lpstr>3.&lt;-PIS(Version)-&gt;</vt:lpstr>
      <vt:lpstr>4.&lt;-LIC-&gt;</vt:lpstr>
      <vt:lpstr>4.1. LIC &lt;-&gt; CNCS</vt:lpstr>
      <vt:lpstr>5.PAC&lt;-CCP-&gt;</vt:lpstr>
      <vt:lpstr>6.&lt;-VTX-&gt;</vt:lpstr>
      <vt:lpstr>7.&lt;-VRX-&gt;</vt:lpstr>
      <vt:lpstr>8.&lt;-CNCS-&gt;</vt:lpstr>
      <vt:lpstr>9.&lt;-PIS-&gt;</vt:lpstr>
      <vt:lpstr>10. &lt;-VOIPC-&gt;</vt:lpstr>
      <vt:lpstr>System Bypass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Hamsung98</dc:creator>
  <cp:lastModifiedBy>Hamsung98</cp:lastModifiedBy>
  <cp:lastPrinted>2012-01-27T04:12:28Z</cp:lastPrinted>
  <dcterms:created xsi:type="dcterms:W3CDTF">2012-01-05T10:06:53Z</dcterms:created>
  <dcterms:modified xsi:type="dcterms:W3CDTF">2016-01-25T08:26:44Z</dcterms:modified>
</cp:coreProperties>
</file>