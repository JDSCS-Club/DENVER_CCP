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6.xml" ContentType="application/vnd.openxmlformats-officedocument.spreadsheetml.comments+xml"/>
  <Override PartName="/xl/comments7.xml" ContentType="application/vnd.openxmlformats-officedocument.spreadsheetml.comment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omments12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455" yWindow="1170" windowWidth="13605" windowHeight="9360" tabRatio="897" firstSheet="2" activeTab="11"/>
  </bookViews>
  <sheets>
    <sheet name="Revision" sheetId="17" r:id="rId1"/>
    <sheet name="PAC&lt;-&gt;PAC" sheetId="7" r:id="rId2"/>
    <sheet name="PAC-&gt;CCP(CNCS,LIC)" sheetId="1" r:id="rId3"/>
    <sheet name="CCP-&gt;PAC(PIS,CNCS,TRIC)" sheetId="5" r:id="rId4"/>
    <sheet name="PAC&lt;-&gt;LIC" sheetId="8" r:id="rId5"/>
    <sheet name="LIC MPU&lt;-&gt;LON" sheetId="18" r:id="rId6"/>
    <sheet name="PAC&lt;-&gt;VTX" sheetId="13" r:id="rId7"/>
    <sheet name="PAC&lt;-&gt;PIS" sheetId="6" r:id="rId8"/>
    <sheet name="CNCS&lt;-&gt;PAC(PIS)" sheetId="4" r:id="rId9"/>
    <sheet name="PAC&lt;-&gt;GIA" sheetId="3" r:id="rId10"/>
    <sheet name="PAC&lt;-&gt;TRIC(CCP)" sheetId="11" r:id="rId11"/>
    <sheet name="CNCS&lt;=&gt;LIC(RS232)" sheetId="14" r:id="rId12"/>
    <sheet name="PTU &lt;=&gt; CNCS" sheetId="16" r:id="rId13"/>
    <sheet name="CCP Update" sheetId="12" r:id="rId14"/>
    <sheet name="업데이트 폴더" sheetId="15" r:id="rId15"/>
    <sheet name="ID Table" sheetId="2" r:id="rId16"/>
  </sheets>
  <definedNames>
    <definedName name="_xlnm.Print_Area" localSheetId="2">'PAC-&gt;CCP(CNCS,LIC)'!$A$5:$J$55</definedName>
  </definedNames>
  <calcPr calcId="125725"/>
</workbook>
</file>

<file path=xl/calcChain.xml><?xml version="1.0" encoding="utf-8"?>
<calcChain xmlns="http://schemas.openxmlformats.org/spreadsheetml/2006/main">
  <c r="R172" i="14"/>
  <c r="T31" i="3"/>
  <c r="O175" i="14"/>
  <c r="O124" i="4"/>
  <c r="K178" i="14"/>
  <c r="K160"/>
  <c r="A9" i="2"/>
  <c r="A11"/>
  <c r="A13"/>
  <c r="A15"/>
  <c r="A17"/>
  <c r="A19"/>
  <c r="A21"/>
  <c r="A23"/>
  <c r="T60" i="4"/>
  <c r="T61"/>
  <c r="T62"/>
  <c r="T63"/>
  <c r="T64"/>
  <c r="T65"/>
  <c r="T66"/>
  <c r="T67"/>
  <c r="T68"/>
  <c r="T69"/>
  <c r="T70"/>
  <c r="T71"/>
  <c r="T72"/>
  <c r="T73"/>
  <c r="T74"/>
  <c r="T75"/>
  <c r="T76"/>
  <c r="T77"/>
  <c r="T78"/>
  <c r="T79"/>
  <c r="T80"/>
  <c r="T81"/>
  <c r="T82"/>
  <c r="T83"/>
  <c r="T84"/>
</calcChain>
</file>

<file path=xl/comments1.xml><?xml version="1.0" encoding="utf-8"?>
<comments xmlns="http://schemas.openxmlformats.org/spreadsheetml/2006/main">
  <authors>
    <author>Hamsung98</author>
  </authors>
  <commentList>
    <comment ref="F49" authorId="0">
      <text>
        <r>
          <rPr>
            <b/>
            <sz val="9"/>
            <color indexed="81"/>
            <rFont val="Tahoma"/>
            <family val="2"/>
          </rPr>
          <t xml:space="preserve">OLD-PA </t>
        </r>
        <r>
          <rPr>
            <b/>
            <sz val="9"/>
            <color indexed="81"/>
            <rFont val="돋움"/>
            <family val="3"/>
            <charset val="129"/>
          </rPr>
          <t>신호로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스피커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신호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49" authorId="0">
      <text>
        <r>
          <rPr>
            <sz val="9"/>
            <color indexed="81"/>
            <rFont val="Tahoma"/>
            <family val="2"/>
          </rPr>
          <t xml:space="preserve">Mp3 </t>
        </r>
        <r>
          <rPr>
            <sz val="9"/>
            <color indexed="81"/>
            <rFont val="돋움"/>
            <family val="3"/>
            <charset val="129"/>
          </rPr>
          <t>재생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신호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김재우</author>
    <author>Hamsung98</author>
  </authors>
  <commentList>
    <comment ref="C11" authorId="0">
      <text>
        <r>
          <rPr>
            <b/>
            <sz val="9"/>
            <color indexed="10"/>
            <rFont val="굴림"/>
            <family val="3"/>
            <charset val="129"/>
          </rPr>
          <t xml:space="preserve">10: CA_Info_Req
</t>
        </r>
        <r>
          <rPr>
            <b/>
            <sz val="9"/>
            <color indexed="81"/>
            <rFont val="굴림"/>
            <family val="3"/>
            <charset val="129"/>
          </rPr>
          <t>11: CA_Info_Ack
20: TL_Info_Req
21: TL_Info_Ack
30: TL_Inaug_Req
31: TL_Inaug_Ack</t>
        </r>
      </text>
    </comment>
    <comment ref="D20" authorId="0">
      <text>
        <r>
          <rPr>
            <b/>
            <sz val="9"/>
            <color indexed="81"/>
            <rFont val="굴림"/>
            <family val="3"/>
            <charset val="129"/>
          </rPr>
          <t>Cab B 쪽에 Conduct Key가 On되었다는 정보</t>
        </r>
      </text>
    </comment>
    <comment ref="E20" authorId="0">
      <text>
        <r>
          <rPr>
            <b/>
            <sz val="9"/>
            <color indexed="81"/>
            <rFont val="굴림"/>
            <family val="3"/>
            <charset val="129"/>
          </rPr>
          <t>Cab A 쪽에 Conduct Key가 On되었다는 정보</t>
        </r>
      </text>
    </comment>
    <comment ref="G27" authorId="0">
      <text>
        <r>
          <rPr>
            <b/>
            <sz val="9"/>
            <color indexed="81"/>
            <rFont val="굴림"/>
            <family val="3"/>
            <charset val="129"/>
          </rPr>
          <t>#차량에서 PAC로 올라오는 접점신호이다.</t>
        </r>
      </text>
    </comment>
    <comment ref="C33" authorId="0">
      <text>
        <r>
          <rPr>
            <b/>
            <sz val="9"/>
            <color indexed="81"/>
            <rFont val="굴림"/>
            <family val="3"/>
            <charset val="129"/>
          </rPr>
          <t>Cab Car 이외 다른 차량도 필요예상</t>
        </r>
      </text>
    </comment>
    <comment ref="J38" authorId="0">
      <text>
        <r>
          <rPr>
            <b/>
            <sz val="9"/>
            <color indexed="81"/>
            <rFont val="굴림"/>
            <family val="3"/>
            <charset val="129"/>
          </rPr>
          <t>Router별 역사수가 최고 50이다. CCP에서 특정역 설정한것을 어떻게 줄것인가?
연속 2개 설정시...</t>
        </r>
      </text>
    </comment>
    <comment ref="C42" authorId="0">
      <text>
        <r>
          <rPr>
            <b/>
            <sz val="9"/>
            <color indexed="81"/>
            <rFont val="굴림"/>
            <family val="3"/>
            <charset val="129"/>
          </rPr>
          <t>현재 중련된 차량이 몇대 인지 표기된다.
6대이면 36 으로 표기 1대이면 31로서 CAR1 INFO만 존재 하며 이어서 Spare, CHK, EOT가 따라온다. 즉 CCI에 따라 패킷 사이즈가 바뀐다.</t>
        </r>
      </text>
    </comment>
    <comment ref="J175" authorId="0">
      <text>
        <r>
          <rPr>
            <b/>
            <sz val="9"/>
            <color indexed="81"/>
            <rFont val="굴림"/>
            <family val="3"/>
            <charset val="129"/>
          </rPr>
          <t>PTU를 이용해서 썸머타임 적용시 CNCS에서 해당 Bit를 Set해서 응답한다.</t>
        </r>
      </text>
    </comment>
    <comment ref="C176" authorId="1">
      <text>
        <r>
          <rPr>
            <b/>
            <sz val="9"/>
            <color indexed="81"/>
            <rFont val="Tahoma"/>
            <family val="2"/>
          </rPr>
          <t>0~9</t>
        </r>
        <r>
          <rPr>
            <b/>
            <sz val="9"/>
            <color indexed="81"/>
            <rFont val="돋움"/>
            <family val="3"/>
            <charset val="129"/>
          </rPr>
          <t>초까지</t>
        </r>
        <r>
          <rPr>
            <b/>
            <sz val="9"/>
            <color indexed="81"/>
            <rFont val="Tahoma"/>
            <family val="2"/>
          </rPr>
          <t xml:space="preserve"> 
FDI/SDI </t>
        </r>
        <r>
          <rPr>
            <b/>
            <sz val="9"/>
            <color indexed="81"/>
            <rFont val="돋움"/>
            <family val="3"/>
            <charset val="129"/>
          </rPr>
          <t xml:space="preserve">교차시간설정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김재우</author>
    <author>Hamsung98</author>
    <author>superman</author>
  </authors>
  <commentList>
    <comment ref="C11" authorId="0">
      <text>
        <r>
          <rPr>
            <b/>
            <sz val="9"/>
            <color indexed="81"/>
            <rFont val="굴림"/>
            <family val="3"/>
            <charset val="129"/>
          </rPr>
          <t>10: CA_Info_Req</t>
        </r>
        <r>
          <rPr>
            <b/>
            <sz val="9"/>
            <color indexed="10"/>
            <rFont val="굴림"/>
            <family val="3"/>
            <charset val="129"/>
          </rPr>
          <t xml:space="preserve">
11: CA_Info_Ack
1A:TR Message Upload_Req</t>
        </r>
        <r>
          <rPr>
            <b/>
            <sz val="9"/>
            <color indexed="81"/>
            <rFont val="굴림"/>
            <family val="3"/>
            <charset val="129"/>
          </rPr>
          <t xml:space="preserve">
20: TL_Info_Req
21: TL_Info_Ack
30: TL_Inaug_Req
31: TL_Inaug_Ack</t>
        </r>
      </text>
    </comment>
    <comment ref="C33" authorId="0">
      <text>
        <r>
          <rPr>
            <b/>
            <sz val="9"/>
            <color indexed="81"/>
            <rFont val="굴림"/>
            <family val="3"/>
            <charset val="129"/>
          </rPr>
          <t>Cab Car 이외 다른 차량도 필요예상</t>
        </r>
      </text>
    </comment>
    <comment ref="G35" authorId="1">
      <text>
        <r>
          <rPr>
            <b/>
            <sz val="9"/>
            <color indexed="81"/>
            <rFont val="Tahoma"/>
            <family val="2"/>
          </rPr>
          <t xml:space="preserve">00 : 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메세현시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안함</t>
        </r>
        <r>
          <rPr>
            <b/>
            <sz val="9"/>
            <color indexed="81"/>
            <rFont val="Tahoma"/>
            <family val="2"/>
          </rPr>
          <t xml:space="preserve">.
01 ~ 99 : </t>
        </r>
        <r>
          <rPr>
            <b/>
            <sz val="9"/>
            <color indexed="81"/>
            <rFont val="돋움"/>
            <family val="3"/>
            <charset val="129"/>
          </rPr>
          <t>현시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메시지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표시</t>
        </r>
      </text>
    </comment>
    <comment ref="E39" authorId="2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역이름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표시
</t>
        </r>
        <r>
          <rPr>
            <b/>
            <sz val="9"/>
            <color indexed="81"/>
            <rFont val="Tahoma"/>
            <family val="2"/>
          </rPr>
          <t xml:space="preserve">0 : </t>
        </r>
        <r>
          <rPr>
            <b/>
            <sz val="9"/>
            <color indexed="81"/>
            <rFont val="돋움"/>
            <family val="3"/>
            <charset val="129"/>
          </rPr>
          <t>마스터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역명
</t>
        </r>
        <r>
          <rPr>
            <b/>
            <sz val="9"/>
            <color indexed="81"/>
            <rFont val="Tahoma"/>
            <family val="2"/>
          </rPr>
          <t xml:space="preserve">1 : </t>
        </r>
        <r>
          <rPr>
            <b/>
            <sz val="9"/>
            <color indexed="81"/>
            <rFont val="돋움"/>
            <family val="3"/>
            <charset val="129"/>
          </rPr>
          <t>슬레이브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역명</t>
        </r>
      </text>
    </comment>
    <comment ref="F39" authorId="1">
      <text>
        <r>
          <rPr>
            <b/>
            <sz val="9"/>
            <color indexed="81"/>
            <rFont val="Tahoma"/>
            <family val="2"/>
          </rPr>
          <t xml:space="preserve">FDI/SDI : </t>
        </r>
        <r>
          <rPr>
            <b/>
            <sz val="9"/>
            <color indexed="81"/>
            <rFont val="돋움"/>
            <family val="3"/>
            <charset val="129"/>
          </rPr>
          <t>행선지와</t>
        </r>
        <r>
          <rPr>
            <b/>
            <sz val="9"/>
            <color indexed="81"/>
            <rFont val="Tahoma"/>
            <family val="2"/>
          </rPr>
          <t xml:space="preserve"> Center City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현시
</t>
        </r>
        <r>
          <rPr>
            <b/>
            <sz val="9"/>
            <color indexed="81"/>
            <rFont val="Tahoma"/>
            <family val="2"/>
          </rPr>
          <t>0</t>
        </r>
        <r>
          <rPr>
            <b/>
            <sz val="9"/>
            <color indexed="81"/>
            <rFont val="돋움"/>
            <family val="3"/>
            <charset val="129"/>
          </rPr>
          <t>일경우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 xml:space="preserve">행선지
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일경우</t>
        </r>
        <r>
          <rPr>
            <b/>
            <sz val="9"/>
            <color indexed="81"/>
            <rFont val="Tahoma"/>
            <family val="2"/>
          </rPr>
          <t xml:space="preserve"> : Via Center City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40" authorId="0">
      <text>
        <r>
          <rPr>
            <b/>
            <sz val="9"/>
            <color indexed="81"/>
            <rFont val="굴림"/>
            <family val="3"/>
            <charset val="129"/>
          </rPr>
          <t>CCP의 셋팅에 따른  Trigger Point
해당지점 무정차, 정차, 등등..</t>
        </r>
      </text>
    </comment>
    <comment ref="G44" authorId="0">
      <text>
        <r>
          <rPr>
            <b/>
            <sz val="9"/>
            <color indexed="81"/>
            <rFont val="굴림"/>
            <family val="3"/>
            <charset val="129"/>
          </rPr>
          <t>해당 Bit Set시 PTU에서 설정한 값이 방송된다.</t>
        </r>
      </text>
    </comment>
    <comment ref="H44" authorId="0">
      <text>
        <r>
          <rPr>
            <sz val="9"/>
            <color indexed="81"/>
            <rFont val="굴림"/>
            <family val="3"/>
            <charset val="129"/>
          </rPr>
          <t>해당 Bit가 Set되면 PTU에서 설정한 값이다.</t>
        </r>
      </text>
    </comment>
    <comment ref="J44" authorId="0">
      <text>
        <r>
          <rPr>
            <b/>
            <sz val="9"/>
            <color indexed="81"/>
            <rFont val="굴림"/>
            <family val="3"/>
            <charset val="129"/>
          </rPr>
          <t>승강장 방향정보를 CCP에서 준다.
CCP화면의 Mute는 승강장 방향의 SPK를 Mute해야한다.</t>
        </r>
      </text>
    </comment>
    <comment ref="H53" authorId="0">
      <text>
        <r>
          <rPr>
            <b/>
            <sz val="9"/>
            <color indexed="81"/>
            <rFont val="굴림"/>
            <family val="3"/>
            <charset val="129"/>
          </rPr>
          <t>CCP는 설정기상 메시지가 없으면 이 Bit를 Set하여 TRIC와 싱크를 맞춘다.</t>
        </r>
      </text>
    </comment>
  </commentList>
</comments>
</file>

<file path=xl/comments4.xml><?xml version="1.0" encoding="utf-8"?>
<comments xmlns="http://schemas.openxmlformats.org/spreadsheetml/2006/main">
  <authors>
    <author>김재우</author>
    <author>Hamsung98</author>
  </authors>
  <commentList>
    <comment ref="C11" authorId="0">
      <text>
        <r>
          <rPr>
            <b/>
            <sz val="9"/>
            <color indexed="10"/>
            <rFont val="굴림"/>
            <family val="3"/>
            <charset val="129"/>
          </rPr>
          <t xml:space="preserve">10: CA_Info_Req
</t>
        </r>
        <r>
          <rPr>
            <b/>
            <sz val="9"/>
            <color indexed="81"/>
            <rFont val="굴림"/>
            <family val="3"/>
            <charset val="129"/>
          </rPr>
          <t>11: CA_Info_Ack
20: TL_Info_Req
21: TL_Info_Ack
30: TL_Inaug_Req
31: TL_Inaug_Ack</t>
        </r>
      </text>
    </comment>
    <comment ref="C42" authorId="0">
      <text>
        <r>
          <rPr>
            <b/>
            <sz val="9"/>
            <color indexed="81"/>
            <rFont val="굴림"/>
            <family val="3"/>
            <charset val="129"/>
          </rPr>
          <t>10: CA_Info_Req</t>
        </r>
        <r>
          <rPr>
            <b/>
            <sz val="9"/>
            <color indexed="10"/>
            <rFont val="굴림"/>
            <family val="3"/>
            <charset val="129"/>
          </rPr>
          <t xml:space="preserve">
11: CA_Info_Ack</t>
        </r>
        <r>
          <rPr>
            <b/>
            <sz val="9"/>
            <color indexed="81"/>
            <rFont val="굴림"/>
            <family val="3"/>
            <charset val="129"/>
          </rPr>
          <t xml:space="preserve">
20: TL_Info_Req
21: TL_Info_Ack
30: TL_Inaug_Req
31: TL_Inaug_Ack</t>
        </r>
      </text>
    </comment>
    <comment ref="J50" authorId="1">
      <text>
        <r>
          <rPr>
            <sz val="9"/>
            <color indexed="81"/>
            <rFont val="Tahoma"/>
            <family val="2"/>
          </rPr>
          <t xml:space="preserve">1 : Open
0 : Close
</t>
        </r>
      </text>
    </comment>
  </commentList>
</comments>
</file>

<file path=xl/comments5.xml><?xml version="1.0" encoding="utf-8"?>
<comments xmlns="http://schemas.openxmlformats.org/spreadsheetml/2006/main">
  <authors>
    <author>김재우</author>
  </authors>
  <commentList>
    <comment ref="C11" authorId="0">
      <text>
        <r>
          <rPr>
            <b/>
            <sz val="9"/>
            <color indexed="10"/>
            <rFont val="굴림"/>
            <family val="3"/>
            <charset val="129"/>
          </rPr>
          <t xml:space="preserve">10: CA_Info_Req
</t>
        </r>
        <r>
          <rPr>
            <b/>
            <sz val="9"/>
            <color indexed="81"/>
            <rFont val="굴림"/>
            <family val="3"/>
            <charset val="129"/>
          </rPr>
          <t>11: CA_Info_Ack
20: TL_Info_Req
21: TL_Info_Ack
30: TL_Inaug_Req
31: TL_Inaug_Ack</t>
        </r>
      </text>
    </comment>
    <comment ref="C41" authorId="0">
      <text>
        <r>
          <rPr>
            <b/>
            <sz val="9"/>
            <color indexed="81"/>
            <rFont val="굴림"/>
            <family val="3"/>
            <charset val="129"/>
          </rPr>
          <t>10: CA_Info_Req</t>
        </r>
        <r>
          <rPr>
            <b/>
            <sz val="9"/>
            <color indexed="10"/>
            <rFont val="굴림"/>
            <family val="3"/>
            <charset val="129"/>
          </rPr>
          <t xml:space="preserve">
11: CA_Info_Ack</t>
        </r>
        <r>
          <rPr>
            <b/>
            <sz val="9"/>
            <color indexed="81"/>
            <rFont val="굴림"/>
            <family val="3"/>
            <charset val="129"/>
          </rPr>
          <t xml:space="preserve">
20: TL_Info_Req
21: TL_Info_Ack
30: TL_Inaug_Req
31: TL_Inaug_Ack</t>
        </r>
      </text>
    </comment>
  </commentList>
</comments>
</file>

<file path=xl/comments6.xml><?xml version="1.0" encoding="utf-8"?>
<comments xmlns="http://schemas.openxmlformats.org/spreadsheetml/2006/main">
  <authors>
    <author>김재우</author>
  </authors>
  <commentList>
    <comment ref="C11" authorId="0">
      <text>
        <r>
          <rPr>
            <b/>
            <sz val="9"/>
            <color indexed="10"/>
            <rFont val="굴림"/>
            <family val="3"/>
            <charset val="129"/>
          </rPr>
          <t xml:space="preserve">10: CA_Info_Req
</t>
        </r>
        <r>
          <rPr>
            <b/>
            <sz val="9"/>
            <color indexed="81"/>
            <rFont val="굴림"/>
            <family val="3"/>
            <charset val="129"/>
          </rPr>
          <t>11: CA_Info_Ack
20: TL_Info_Req
21: TL_Info_Ack
30: TL_Inaug_Req
31: TL_Inaug_Ack</t>
        </r>
      </text>
    </comment>
    <comment ref="C33" authorId="0">
      <text>
        <r>
          <rPr>
            <b/>
            <sz val="9"/>
            <color indexed="81"/>
            <rFont val="굴림"/>
            <family val="3"/>
            <charset val="129"/>
          </rPr>
          <t>Cab Car 이외 다른 차량도 필요예상</t>
        </r>
      </text>
    </comment>
    <comment ref="C63" authorId="0">
      <text>
        <r>
          <rPr>
            <b/>
            <sz val="9"/>
            <color indexed="81"/>
            <rFont val="굴림"/>
            <family val="3"/>
            <charset val="129"/>
          </rPr>
          <t>10: CA_Info_Req</t>
        </r>
        <r>
          <rPr>
            <b/>
            <sz val="9"/>
            <color indexed="10"/>
            <rFont val="굴림"/>
            <family val="3"/>
            <charset val="129"/>
          </rPr>
          <t xml:space="preserve">
11: CA_Info_Ack</t>
        </r>
        <r>
          <rPr>
            <b/>
            <sz val="9"/>
            <color indexed="81"/>
            <rFont val="굴림"/>
            <family val="3"/>
            <charset val="129"/>
          </rPr>
          <t xml:space="preserve">
20: TL_Info_Req
21: TL_Info_Ack
30: TL_Inaug_Req
31: TL_Inaug_Ack</t>
        </r>
      </text>
    </comment>
    <comment ref="C70" authorId="0">
      <text>
        <r>
          <rPr>
            <b/>
            <sz val="9"/>
            <color indexed="81"/>
            <rFont val="굴림"/>
            <family val="3"/>
            <charset val="129"/>
          </rPr>
          <t>PIS는 CNCS로 부터 수신한 최종 Data의 Checksum보낸다.</t>
        </r>
      </text>
    </comment>
  </commentList>
</comments>
</file>

<file path=xl/comments7.xml><?xml version="1.0" encoding="utf-8"?>
<comments xmlns="http://schemas.openxmlformats.org/spreadsheetml/2006/main">
  <authors>
    <author>김재우</author>
    <author>Hamsung98</author>
  </authors>
  <commentList>
    <comment ref="C11" authorId="0">
      <text>
        <r>
          <rPr>
            <b/>
            <sz val="9"/>
            <color indexed="10"/>
            <rFont val="굴림"/>
            <family val="3"/>
            <charset val="129"/>
          </rPr>
          <t xml:space="preserve">10: CA_Info_Req
</t>
        </r>
        <r>
          <rPr>
            <b/>
            <sz val="9"/>
            <color indexed="81"/>
            <rFont val="굴림"/>
            <family val="3"/>
            <charset val="129"/>
          </rPr>
          <t>11: CA_Info_Ack
20: TL_Info_Req
21: TL_Info_Ack
30: TL_Inaug_Req
31: TL_Inaug_Ack</t>
        </r>
      </text>
    </comment>
    <comment ref="C33" authorId="0">
      <text>
        <r>
          <rPr>
            <b/>
            <sz val="9"/>
            <color indexed="81"/>
            <rFont val="굴림"/>
            <family val="3"/>
            <charset val="129"/>
          </rPr>
          <t>Cab Car 이외 다른 차량도 필요예상</t>
        </r>
      </text>
    </comment>
    <comment ref="C55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10: CA_Info_Req
</t>
        </r>
        <r>
          <rPr>
            <b/>
            <sz val="9"/>
            <color indexed="10"/>
            <rFont val="굴림"/>
            <family val="3"/>
            <charset val="129"/>
          </rPr>
          <t>11: CA_Info_Ack</t>
        </r>
        <r>
          <rPr>
            <b/>
            <sz val="9"/>
            <color indexed="81"/>
            <rFont val="굴림"/>
            <family val="3"/>
            <charset val="129"/>
          </rPr>
          <t xml:space="preserve">
20: TL_Info_Req
21: TL_Info_Ack
30: TL_Inaug_Req
31: TL_Inaug_Ack</t>
        </r>
      </text>
    </comment>
    <comment ref="C59" authorId="0">
      <text>
        <r>
          <rPr>
            <b/>
            <sz val="9"/>
            <color indexed="81"/>
            <rFont val="굴림"/>
            <family val="3"/>
            <charset val="129"/>
          </rPr>
          <t>WLR은 CNCS Check하여 상태 전송 "1"=Fault,"0"=정상</t>
        </r>
      </text>
    </comment>
    <comment ref="C86" authorId="1">
      <text>
        <r>
          <rPr>
            <b/>
            <sz val="9"/>
            <color indexed="81"/>
            <rFont val="돋움"/>
            <family val="3"/>
            <charset val="129"/>
          </rPr>
          <t>프로토콜에서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삭제된</t>
        </r>
        <r>
          <rPr>
            <b/>
            <sz val="9"/>
            <color indexed="81"/>
            <rFont val="Tahoma"/>
            <family val="2"/>
          </rPr>
          <t xml:space="preserve"> Byte</t>
        </r>
      </text>
    </comment>
    <comment ref="C87" authorId="0">
      <text>
        <r>
          <rPr>
            <b/>
            <sz val="9"/>
            <color indexed="81"/>
            <rFont val="굴림"/>
            <family val="3"/>
            <charset val="129"/>
          </rPr>
          <t>ID Table or
0xFF : All Device in Comm
0x1F : All Device in CRA And CRB
0x2F : All Device in TRIC Group
0x3F : All Device in CCP Group
0x4F : All Device in TR Group
0x5F : All Device in PII Group
0x6F : All Device in FDI Group
0x7F : All Device in SDI Group
0x8F : All Device in PID Group</t>
        </r>
      </text>
    </comment>
    <comment ref="J121" authorId="0">
      <text>
        <r>
          <rPr>
            <b/>
            <sz val="9"/>
            <color indexed="81"/>
            <rFont val="굴림"/>
            <family val="3"/>
            <charset val="129"/>
          </rPr>
          <t>PTU를 이용해서 썸머타임 적용시 CNCS에서 해당 Bit를 Set해서 응답한다.</t>
        </r>
      </text>
    </comment>
    <comment ref="C122" authorId="1">
      <text>
        <r>
          <rPr>
            <b/>
            <sz val="9"/>
            <color indexed="81"/>
            <rFont val="Tahoma"/>
            <family val="2"/>
          </rPr>
          <t>0~9</t>
        </r>
        <r>
          <rPr>
            <b/>
            <sz val="9"/>
            <color indexed="81"/>
            <rFont val="돋움"/>
            <family val="3"/>
            <charset val="129"/>
          </rPr>
          <t>초까지</t>
        </r>
        <r>
          <rPr>
            <b/>
            <sz val="9"/>
            <color indexed="81"/>
            <rFont val="Tahoma"/>
            <family val="2"/>
          </rPr>
          <t xml:space="preserve"> 
FDI/SDI </t>
        </r>
        <r>
          <rPr>
            <b/>
            <sz val="9"/>
            <color indexed="81"/>
            <rFont val="돋움"/>
            <family val="3"/>
            <charset val="129"/>
          </rPr>
          <t xml:space="preserve">교차시간설정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>
  <authors>
    <author>김재우</author>
    <author>Hamsung98</author>
  </authors>
  <commentList>
    <comment ref="C11" authorId="0">
      <text>
        <r>
          <rPr>
            <b/>
            <sz val="9"/>
            <color indexed="10"/>
            <rFont val="굴림"/>
            <family val="3"/>
            <charset val="129"/>
          </rPr>
          <t xml:space="preserve">10: CA_Info_Req
</t>
        </r>
        <r>
          <rPr>
            <b/>
            <sz val="9"/>
            <color indexed="81"/>
            <rFont val="굴림"/>
            <family val="3"/>
            <charset val="129"/>
          </rPr>
          <t>11: CA_Info_Ack
20: TL_Info_Req
21: TL_Info_Ack
30: TL_Inaug_Req
31: TL_Inaug_Ack</t>
        </r>
      </text>
    </comment>
    <comment ref="J29" authorId="0">
      <text>
        <r>
          <rPr>
            <b/>
            <sz val="9"/>
            <color indexed="81"/>
            <rFont val="굴림"/>
            <family val="3"/>
            <charset val="129"/>
          </rPr>
          <t>PAC가 CNCS로 부터 썸머타임 적용명령을 받으면 해당 Bit를 Set해서 GIA에 알려준다.</t>
        </r>
      </text>
    </comment>
    <comment ref="C40" authorId="0">
      <text>
        <r>
          <rPr>
            <b/>
            <sz val="9"/>
            <color indexed="81"/>
            <rFont val="굴림"/>
            <family val="3"/>
            <charset val="129"/>
          </rPr>
          <t>10: CA_Info_Req</t>
        </r>
        <r>
          <rPr>
            <b/>
            <sz val="9"/>
            <color indexed="10"/>
            <rFont val="굴림"/>
            <family val="3"/>
            <charset val="129"/>
          </rPr>
          <t xml:space="preserve">
11: CA_Info_Ack</t>
        </r>
        <r>
          <rPr>
            <b/>
            <sz val="9"/>
            <color indexed="81"/>
            <rFont val="굴림"/>
            <family val="3"/>
            <charset val="129"/>
          </rPr>
          <t xml:space="preserve">
20: TL_Info_Req
21: TL_Info_Ack
30: TL_Inaug_Req
31: TL_Inaug_Ack</t>
        </r>
      </text>
    </comment>
    <comment ref="F59" authorId="1">
      <text>
        <r>
          <rPr>
            <b/>
            <sz val="9"/>
            <color indexed="81"/>
            <rFont val="Tahoma"/>
            <family val="2"/>
          </rPr>
          <t>GPS</t>
        </r>
        <r>
          <rPr>
            <b/>
            <sz val="9"/>
            <color indexed="81"/>
            <rFont val="돋움"/>
            <family val="3"/>
            <charset val="129"/>
          </rPr>
          <t>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위성과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연결중을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나타냄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59" authorId="0">
      <text>
        <r>
          <rPr>
            <b/>
            <sz val="9"/>
            <color indexed="81"/>
            <rFont val="굴림"/>
            <family val="3"/>
            <charset val="129"/>
          </rPr>
          <t>PAC로 부터 썸머타임 적용 Bit가 Set되면 현재 시간이 AM 8시라면 AM7시로 한시간 늦게 조정하여 Data 필드의 시간을 보내며, 해당 비트도 썸머타임 적용된 시간이라는 것을 알리기 위해 Set한다.</t>
        </r>
      </text>
    </comment>
  </commentList>
</comments>
</file>

<file path=xl/comments9.xml><?xml version="1.0" encoding="utf-8"?>
<comments xmlns="http://schemas.openxmlformats.org/spreadsheetml/2006/main">
  <authors>
    <author>김재우</author>
  </authors>
  <commentList>
    <comment ref="C11" authorId="0">
      <text>
        <r>
          <rPr>
            <b/>
            <sz val="9"/>
            <color indexed="10"/>
            <rFont val="굴림"/>
            <family val="3"/>
            <charset val="129"/>
          </rPr>
          <t xml:space="preserve">10: CA_Info_Req
</t>
        </r>
        <r>
          <rPr>
            <b/>
            <sz val="9"/>
            <color indexed="81"/>
            <rFont val="굴림"/>
            <family val="3"/>
            <charset val="129"/>
          </rPr>
          <t xml:space="preserve">11: CA_Info_Ack
</t>
        </r>
        <r>
          <rPr>
            <b/>
            <sz val="9"/>
            <color indexed="10"/>
            <rFont val="굴림"/>
            <family val="3"/>
            <charset val="129"/>
          </rPr>
          <t xml:space="preserve">1A:TR Message Upload_Req
</t>
        </r>
        <r>
          <rPr>
            <b/>
            <sz val="9"/>
            <color indexed="81"/>
            <rFont val="굴림"/>
            <family val="3"/>
            <charset val="129"/>
          </rPr>
          <t>1B:TR Message Upload_Ack
20: TL_Info_Req
21: TL_Info_Ack
30: TL_Inaug_Req
31: TL_Inaug_Ack</t>
        </r>
      </text>
    </comment>
    <comment ref="E14" authorId="0">
      <text>
        <r>
          <rPr>
            <sz val="9"/>
            <color indexed="81"/>
            <rFont val="굴림"/>
            <family val="3"/>
            <charset val="129"/>
          </rPr>
          <t>PAC B가 해당 Bit를 Set 하면서 제어권을 갖는다. 
CNCS 또는 PAC A에서 Token Req시 bit "0" Set 하고 T_Toss를 "1"로Set한다.</t>
        </r>
      </text>
    </comment>
    <comment ref="F14" authorId="0">
      <text>
        <r>
          <rPr>
            <sz val="9"/>
            <color indexed="81"/>
            <rFont val="굴림"/>
            <family val="3"/>
            <charset val="129"/>
          </rPr>
          <t xml:space="preserve">PAC A 또는 CNCS로 부터 T_Req 명령이 오면 CA_Token은 "0"으로 Set 하고T_Toss를 "1"로 Set하여 Token을 넘긴다.
</t>
        </r>
      </text>
    </comment>
    <comment ref="G14" authorId="0">
      <text>
        <r>
          <rPr>
            <sz val="9"/>
            <color indexed="81"/>
            <rFont val="굴림"/>
            <family val="3"/>
            <charset val="129"/>
          </rPr>
          <t>PAC A 또는 CNCS로 Token 요청을 위해 T_Req를 "1"로 Set한다.</t>
        </r>
      </text>
    </comment>
    <comment ref="H14" authorId="0">
      <text>
        <r>
          <rPr>
            <sz val="9"/>
            <color indexed="81"/>
            <rFont val="굴림"/>
            <family val="3"/>
            <charset val="129"/>
          </rPr>
          <t>PAC A가 해당 Bit를 Set 하면서 제어권을 갖는다. 
CNCS 또는 PAC B에서 Token Req시 bit "0" Set 하고 T_Toss를 "1"로 Set한다.</t>
        </r>
      </text>
    </comment>
    <comment ref="I14" authorId="0">
      <text>
        <r>
          <rPr>
            <sz val="9"/>
            <color indexed="81"/>
            <rFont val="굴림"/>
            <family val="3"/>
            <charset val="129"/>
          </rPr>
          <t xml:space="preserve">PAC B또는 CNCS로 부터 T_Req 명령이 오면 CA_Token은 "0"으로 Set 하고T_Toss를 "1"로 Set하여 Token을 넘긴다.
</t>
        </r>
      </text>
    </comment>
    <comment ref="J14" authorId="0">
      <text>
        <r>
          <rPr>
            <sz val="9"/>
            <color indexed="81"/>
            <rFont val="굴림"/>
            <family val="3"/>
            <charset val="129"/>
          </rPr>
          <t>PAC B또는 CNCS로 Token 요청을 위해 T_Req를 "1"로 Set한다.</t>
        </r>
      </text>
    </comment>
    <comment ref="C16" authorId="0">
      <text>
        <r>
          <rPr>
            <b/>
            <sz val="9"/>
            <color indexed="81"/>
            <rFont val="굴림"/>
            <family val="3"/>
            <charset val="129"/>
          </rPr>
          <t>*Cab on에 의해 해당 CCP는 Bit를 Set하면서 Main CCP가 된다.
* PAC에 의해 M_Oder Bit가 "1"로 Set되면 Main 을 "1"로 Set하여 메인임을 알린다.</t>
        </r>
      </text>
    </comment>
    <comment ref="D16" authorId="0">
      <text>
        <r>
          <rPr>
            <sz val="9"/>
            <color indexed="81"/>
            <rFont val="굴림"/>
            <family val="3"/>
            <charset val="129"/>
          </rPr>
          <t>*PAC가 CCP의 응답여부를 감지하여 M_Oder Bit를 "1"로 Set시키면 CCP는 Main Bit를 "1"로  Set 하여 Main이 되었음을 알린다.
*CCP B에서 M_Req Bit를 "1"로 Set하면 PAC에서 CCP A에게 M_Return 명령을 주고 CCP B에게 M_Oder Bit를 Set하여 Main 권한을 갖게 한다.</t>
        </r>
      </text>
    </comment>
    <comment ref="E16" authorId="0">
      <text>
        <r>
          <rPr>
            <b/>
            <sz val="9"/>
            <color indexed="81"/>
            <rFont val="굴림"/>
            <family val="3"/>
            <charset val="129"/>
          </rPr>
          <t>PAC로 부터 M_Return "1"로 Set되면 즉시 Main을 "0"으로 Set하여 Main권한을 놓는다.</t>
        </r>
      </text>
    </comment>
    <comment ref="F16" authorId="0">
      <text>
        <r>
          <rPr>
            <b/>
            <sz val="9"/>
            <color indexed="81"/>
            <rFont val="굴림"/>
            <family val="3"/>
            <charset val="129"/>
          </rPr>
          <t>CCP B가 해당 비트를 "1"로 Set하면 CCP제어권을 요청하는 것이다.</t>
        </r>
      </text>
    </comment>
    <comment ref="G16" authorId="0">
      <text>
        <r>
          <rPr>
            <b/>
            <sz val="9"/>
            <color indexed="81"/>
            <rFont val="굴림"/>
            <family val="3"/>
            <charset val="129"/>
          </rPr>
          <t>*Cab on에 의해 해당 CCP는 Bit를 Set하면서 Main CCP가 된다.
* PAC에 의해 M_Oder Bit가 "1"로 Set되면 Main 을 "1"로 Set하여 메인임을 알린다.</t>
        </r>
      </text>
    </comment>
    <comment ref="H16" authorId="0">
      <text>
        <r>
          <rPr>
            <sz val="9"/>
            <color indexed="81"/>
            <rFont val="굴림"/>
            <family val="3"/>
            <charset val="129"/>
          </rPr>
          <t>*PAC가 CCP의 응답여부를 감지하여 M_Oder Bit를 "1"로 Set시키면 CCP는 Main Bit를 "1"로  Set 하여 Main이 되었음을 알린다.
*CCP A에서 M_Req Bit를 "1"로 Set하면 PAC에서 CCP B에게 M_Return 명령을 주고 CCP A에게 M_Oder Bit를 Set하여 Main 권한을 갖게 한다.</t>
        </r>
      </text>
    </comment>
    <comment ref="I16" authorId="0">
      <text>
        <r>
          <rPr>
            <b/>
            <sz val="9"/>
            <color indexed="81"/>
            <rFont val="굴림"/>
            <family val="3"/>
            <charset val="129"/>
          </rPr>
          <t>PAC로 부터 M_Return "1"로 Set되면 즉시 Main을 "0"으로 Set하여 Main권한을 놓는다.</t>
        </r>
      </text>
    </comment>
    <comment ref="J16" authorId="0">
      <text>
        <r>
          <rPr>
            <b/>
            <sz val="9"/>
            <color indexed="81"/>
            <rFont val="굴림"/>
            <family val="3"/>
            <charset val="129"/>
          </rPr>
          <t>CCP A가 해당 비트를 "1"로 Set하면 CCP제어권을 요청하는 것이다.</t>
        </r>
      </text>
    </comment>
    <comment ref="C18" authorId="0">
      <text>
        <r>
          <rPr>
            <b/>
            <sz val="9"/>
            <color indexed="81"/>
            <rFont val="굴림"/>
            <family val="3"/>
            <charset val="129"/>
          </rPr>
          <t>CNCS의 Token State이다. CNCS에서 Set한다.</t>
        </r>
      </text>
    </comment>
    <comment ref="D18" authorId="0">
      <text>
        <r>
          <rPr>
            <b/>
            <sz val="9"/>
            <color indexed="81"/>
            <rFont val="굴림"/>
            <family val="3"/>
            <charset val="129"/>
          </rPr>
          <t>CNCS가 Token을 놓고 싶을때 해당 Bit를 Set한다. 기본적으로 PAC_A가 Token을 갖는다.PAC_A 미 응답시 PAC_B가 갖는다.</t>
        </r>
      </text>
    </comment>
    <comment ref="E18" authorId="0">
      <text>
        <r>
          <rPr>
            <sz val="9"/>
            <color indexed="81"/>
            <rFont val="굴림"/>
            <family val="3"/>
            <charset val="129"/>
          </rPr>
          <t>PAC의 Token Oder Bit이다.
CNCS가 T_Req Bit가 "1"로 Set하면 PAC는 CA_Token을 놓고 T_Oder Bit를 "1"로 Set한다. T_Oder Bit가 "1"로 Set 되면 CA_Token을 "1"로 Set시켜 토큰을 가졌음을 CNCS는 알린다.</t>
        </r>
        <r>
          <rPr>
            <b/>
            <sz val="9"/>
            <color indexed="81"/>
            <rFont val="굴림"/>
            <family val="3"/>
            <charset val="129"/>
          </rPr>
          <t xml:space="preserve">
</t>
        </r>
      </text>
    </comment>
    <comment ref="F18" authorId="0">
      <text>
        <r>
          <rPr>
            <b/>
            <sz val="9"/>
            <color indexed="81"/>
            <rFont val="굴림"/>
            <family val="3"/>
            <charset val="129"/>
          </rPr>
          <t>"1"이면 CNCS가 PAC로 부터 Token을 요청한다.</t>
        </r>
      </text>
    </comment>
    <comment ref="G18" authorId="0">
      <text>
        <r>
          <rPr>
            <sz val="9"/>
            <color indexed="81"/>
            <rFont val="굴림"/>
            <family val="3"/>
            <charset val="129"/>
          </rPr>
          <t>Cab B의 TRIC는 M_Oder Bit가 "1"로 Set되면 Main Bit를 "1"로 Set하여 Main 임을 알린다..</t>
        </r>
      </text>
    </comment>
    <comment ref="H18" authorId="0">
      <text>
        <r>
          <rPr>
            <b/>
            <sz val="9"/>
            <color indexed="81"/>
            <rFont val="굴림"/>
            <family val="3"/>
            <charset val="129"/>
          </rPr>
          <t>Main PAC가 TRIC의 고장등을 감지하여 Cab_B TRIC가 메인이되라는 명령을 준다.</t>
        </r>
      </text>
    </comment>
    <comment ref="I18" authorId="0">
      <text>
        <r>
          <rPr>
            <b/>
            <sz val="9"/>
            <color indexed="81"/>
            <rFont val="굴림"/>
            <family val="3"/>
            <charset val="129"/>
          </rPr>
          <t>Cab A의 TRIC가 해당 Bit를 Set하면서 Main 된다.</t>
        </r>
      </text>
    </comment>
    <comment ref="J18" authorId="0">
      <text>
        <r>
          <rPr>
            <b/>
            <sz val="9"/>
            <color indexed="81"/>
            <rFont val="굴림"/>
            <family val="3"/>
            <charset val="129"/>
          </rPr>
          <t>Main PAC가 TRIC의 고장등을 감지하여 Cab_A TRIC가 메인이되라는 명령을 준다.</t>
        </r>
      </text>
    </comment>
    <comment ref="D20" authorId="0">
      <text>
        <r>
          <rPr>
            <b/>
            <sz val="9"/>
            <color indexed="81"/>
            <rFont val="굴림"/>
            <family val="3"/>
            <charset val="129"/>
          </rPr>
          <t>Cab B 쪽에 Conduct Key가 On되었다는 정보</t>
        </r>
      </text>
    </comment>
    <comment ref="E20" authorId="0">
      <text>
        <r>
          <rPr>
            <b/>
            <sz val="9"/>
            <color indexed="81"/>
            <rFont val="굴림"/>
            <family val="3"/>
            <charset val="129"/>
          </rPr>
          <t>Cab A 쪽에 Conduct Key가 On되었다는 정보</t>
        </r>
      </text>
    </comment>
    <comment ref="C29" authorId="0">
      <text>
        <r>
          <rPr>
            <b/>
            <sz val="9"/>
            <color indexed="81"/>
            <rFont val="굴림"/>
            <family val="3"/>
            <charset val="129"/>
          </rPr>
          <t>Cab Car 이외 다른 차량도 필요예상</t>
        </r>
      </text>
    </comment>
    <comment ref="C45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10: CA_Info_Req
</t>
        </r>
        <r>
          <rPr>
            <b/>
            <sz val="9"/>
            <color indexed="10"/>
            <rFont val="굴림"/>
            <family val="3"/>
            <charset val="129"/>
          </rPr>
          <t xml:space="preserve">11: CA_Info_Ack
</t>
        </r>
        <r>
          <rPr>
            <b/>
            <sz val="9"/>
            <color indexed="81"/>
            <rFont val="굴림"/>
            <family val="3"/>
            <charset val="129"/>
          </rPr>
          <t>1B:TR Message Upload_Ack
20: TL_Info_Req
21: TL_Info_Ack
30: TL_Inaug_Req
31: TL_Inaug_Ack</t>
        </r>
      </text>
    </comment>
    <comment ref="G48" authorId="0">
      <text>
        <r>
          <rPr>
            <sz val="9"/>
            <color indexed="81"/>
            <rFont val="굴림"/>
            <family val="3"/>
            <charset val="129"/>
          </rPr>
          <t>Cab B의 TRIC는 M_Oder Bit가 "1"로 Set되면 Main Bit를 "1"로 Set하여 Main 임을 알린다..</t>
        </r>
      </text>
    </comment>
    <comment ref="H48" authorId="0">
      <text>
        <r>
          <rPr>
            <b/>
            <sz val="9"/>
            <color indexed="81"/>
            <rFont val="굴림"/>
            <family val="3"/>
            <charset val="129"/>
          </rPr>
          <t>Main PAC가 TRIC의 고장등을 감지하여 Cab_B TRIC가 메인이되라는 명령을 준다.</t>
        </r>
      </text>
    </comment>
    <comment ref="I48" authorId="0">
      <text>
        <r>
          <rPr>
            <b/>
            <sz val="9"/>
            <color indexed="81"/>
            <rFont val="굴림"/>
            <family val="3"/>
            <charset val="129"/>
          </rPr>
          <t>Cab A의 TRIC가 해당 Bit를 Set하면서 Main 된다.</t>
        </r>
      </text>
    </comment>
    <comment ref="J48" authorId="0">
      <text>
        <r>
          <rPr>
            <b/>
            <sz val="9"/>
            <color indexed="81"/>
            <rFont val="굴림"/>
            <family val="3"/>
            <charset val="129"/>
          </rPr>
          <t>Main PAC가 TRIC의 고장등을 감지하여 Cab_A TRIC가 메인이되라는 명령을 준다.</t>
        </r>
      </text>
    </comment>
    <comment ref="C57" authorId="0">
      <text>
        <r>
          <rPr>
            <b/>
            <sz val="9"/>
            <color indexed="81"/>
            <rFont val="굴림"/>
            <family val="3"/>
            <charset val="129"/>
          </rPr>
          <t>Cab Car 이외 다른 차량도 필요예상</t>
        </r>
      </text>
    </comment>
    <comment ref="C63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83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10: CA_Info_Req
</t>
        </r>
        <r>
          <rPr>
            <b/>
            <sz val="9"/>
            <color indexed="10"/>
            <rFont val="굴림"/>
            <family val="3"/>
            <charset val="129"/>
          </rPr>
          <t>11: CA_Info_Ack
1B:TR Message Upload_Ack</t>
        </r>
        <r>
          <rPr>
            <b/>
            <sz val="9"/>
            <color indexed="81"/>
            <rFont val="굴림"/>
            <family val="3"/>
            <charset val="129"/>
          </rPr>
          <t xml:space="preserve">
20: TL_Info_Req
21: TL_Info_Ack
30: TL_Inaug_Req
31: TL_Inaug_Ack</t>
        </r>
      </text>
    </comment>
    <comment ref="C84" authorId="0">
      <text>
        <r>
          <rPr>
            <b/>
            <sz val="9"/>
            <color indexed="81"/>
            <rFont val="굴림"/>
            <family val="3"/>
            <charset val="129"/>
          </rPr>
          <t>High Hex 값</t>
        </r>
      </text>
    </comment>
    <comment ref="C85" authorId="0">
      <text>
        <r>
          <rPr>
            <b/>
            <sz val="9"/>
            <color indexed="81"/>
            <rFont val="굴림"/>
            <family val="3"/>
            <charset val="129"/>
          </rPr>
          <t>Low Hex값</t>
        </r>
      </text>
    </comment>
    <comment ref="C87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93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99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105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111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117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123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129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135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141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147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153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159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165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171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177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183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189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195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201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207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213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219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225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231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237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243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249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255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261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267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273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279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285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291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297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303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309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315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321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327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333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339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345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351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357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363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369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375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381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387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393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399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405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411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417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423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429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435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441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447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453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459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465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471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477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483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489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495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501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507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513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519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525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531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537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543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549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555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561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567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573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579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585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591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597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603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609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615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621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627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633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639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645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651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657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663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669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675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  <comment ref="C681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TRICsms </t>
        </r>
      </text>
    </comment>
  </commentList>
</comments>
</file>

<file path=xl/comments10.xml><?xml version="1.0" encoding="utf-8"?>
<comments xmlns="http://schemas.openxmlformats.org/spreadsheetml/2006/main">
  <authors>
    <author>김재우</author>
    <author>Hamsung98</author>
  </authors>
  <commentList>
    <comment ref="C17" authorId="0">
      <text>
        <r>
          <rPr>
            <b/>
            <sz val="9"/>
            <color indexed="10"/>
            <rFont val="굴림"/>
            <family val="3"/>
            <charset val="129"/>
          </rPr>
          <t xml:space="preserve">10: CA_Info_Req
</t>
        </r>
        <r>
          <rPr>
            <b/>
            <sz val="9"/>
            <color indexed="81"/>
            <rFont val="굴림"/>
            <family val="3"/>
            <charset val="129"/>
          </rPr>
          <t>11: CA_Info_Ack</t>
        </r>
      </text>
    </comment>
    <comment ref="C20" authorId="1">
      <text>
        <r>
          <rPr>
            <b/>
            <sz val="9"/>
            <color indexed="81"/>
            <rFont val="Tahoma"/>
            <family val="2"/>
          </rPr>
          <t xml:space="preserve">0x08 : </t>
        </r>
        <r>
          <rPr>
            <b/>
            <sz val="9"/>
            <color indexed="81"/>
            <rFont val="돋움"/>
            <family val="3"/>
            <charset val="129"/>
          </rPr>
          <t>시간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요청</t>
        </r>
        <r>
          <rPr>
            <b/>
            <sz val="9"/>
            <color indexed="81"/>
            <rFont val="Tahoma"/>
            <family val="2"/>
          </rPr>
          <t>(LIC -&gt; CNCS)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0x09 : </t>
        </r>
        <r>
          <rPr>
            <b/>
            <sz val="9"/>
            <color indexed="81"/>
            <rFont val="돋움"/>
            <family val="3"/>
            <charset val="129"/>
          </rPr>
          <t>시간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응답</t>
        </r>
        <r>
          <rPr>
            <b/>
            <sz val="9"/>
            <color indexed="81"/>
            <rFont val="Tahoma"/>
            <family val="2"/>
          </rPr>
          <t>(CNCS-&gt;LIC)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0x04 : CDT </t>
        </r>
        <r>
          <rPr>
            <b/>
            <sz val="9"/>
            <color indexed="81"/>
            <rFont val="돋움"/>
            <family val="3"/>
            <charset val="129"/>
          </rPr>
          <t>고장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전송</t>
        </r>
        <r>
          <rPr>
            <b/>
            <sz val="9"/>
            <color indexed="81"/>
            <rFont val="Tahoma"/>
            <family val="2"/>
          </rPr>
          <t>(LIC -&gt; CNCS)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0x06 : CDT </t>
        </r>
        <r>
          <rPr>
            <b/>
            <sz val="9"/>
            <color indexed="81"/>
            <rFont val="돋움"/>
            <family val="3"/>
            <charset val="129"/>
          </rPr>
          <t>고장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  <r>
          <rPr>
            <b/>
            <sz val="9"/>
            <color indexed="81"/>
            <rFont val="Tahoma"/>
            <family val="2"/>
          </rPr>
          <t xml:space="preserve">(LIC -&gt; CNCS)
0x07 : CDT </t>
        </r>
        <r>
          <rPr>
            <b/>
            <sz val="9"/>
            <color indexed="81"/>
            <rFont val="돋움"/>
            <family val="3"/>
            <charset val="129"/>
          </rPr>
          <t>고장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응답</t>
        </r>
        <r>
          <rPr>
            <b/>
            <sz val="9"/>
            <color indexed="81"/>
            <rFont val="Tahoma"/>
            <family val="2"/>
          </rPr>
          <t xml:space="preserve">(CNCS-&gt;LIC)
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C31" authorId="0">
      <text>
        <r>
          <rPr>
            <b/>
            <sz val="9"/>
            <color indexed="10"/>
            <rFont val="굴림"/>
            <family val="3"/>
            <charset val="129"/>
          </rPr>
          <t xml:space="preserve">10: CA_Info_Req
</t>
        </r>
        <r>
          <rPr>
            <b/>
            <sz val="9"/>
            <color indexed="81"/>
            <rFont val="굴림"/>
            <family val="3"/>
            <charset val="129"/>
          </rPr>
          <t>11: CA_Info_Ack</t>
        </r>
      </text>
    </comment>
    <comment ref="C34" authorId="1">
      <text>
        <r>
          <rPr>
            <b/>
            <sz val="9"/>
            <color indexed="81"/>
            <rFont val="Tahoma"/>
            <family val="2"/>
          </rPr>
          <t xml:space="preserve">0x08 : </t>
        </r>
        <r>
          <rPr>
            <b/>
            <sz val="9"/>
            <color indexed="81"/>
            <rFont val="돋움"/>
            <family val="3"/>
            <charset val="129"/>
          </rPr>
          <t>시간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요청</t>
        </r>
        <r>
          <rPr>
            <b/>
            <sz val="9"/>
            <color indexed="81"/>
            <rFont val="Tahoma"/>
            <family val="2"/>
          </rPr>
          <t>(LIC -&gt; CNCS)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0x09 : </t>
        </r>
        <r>
          <rPr>
            <b/>
            <sz val="9"/>
            <color indexed="81"/>
            <rFont val="돋움"/>
            <family val="3"/>
            <charset val="129"/>
          </rPr>
          <t>시간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응답</t>
        </r>
        <r>
          <rPr>
            <b/>
            <sz val="9"/>
            <color indexed="81"/>
            <rFont val="Tahoma"/>
            <family val="2"/>
          </rPr>
          <t>(CNCS-&gt;LIC)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0x04 : CDT </t>
        </r>
        <r>
          <rPr>
            <b/>
            <sz val="9"/>
            <color indexed="81"/>
            <rFont val="돋움"/>
            <family val="3"/>
            <charset val="129"/>
          </rPr>
          <t>고장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전송</t>
        </r>
        <r>
          <rPr>
            <b/>
            <sz val="9"/>
            <color indexed="81"/>
            <rFont val="Tahoma"/>
            <family val="2"/>
          </rPr>
          <t>(LIC -&gt; CNCS)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0x06 : CDT </t>
        </r>
        <r>
          <rPr>
            <b/>
            <sz val="9"/>
            <color indexed="81"/>
            <rFont val="돋움"/>
            <family val="3"/>
            <charset val="129"/>
          </rPr>
          <t>고장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  <r>
          <rPr>
            <b/>
            <sz val="9"/>
            <color indexed="81"/>
            <rFont val="Tahoma"/>
            <family val="2"/>
          </rPr>
          <t xml:space="preserve">(LIC -&gt; CNCS)
0x07 : CDT </t>
        </r>
        <r>
          <rPr>
            <b/>
            <sz val="9"/>
            <color indexed="81"/>
            <rFont val="돋움"/>
            <family val="3"/>
            <charset val="129"/>
          </rPr>
          <t>고장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응답</t>
        </r>
        <r>
          <rPr>
            <b/>
            <sz val="9"/>
            <color indexed="81"/>
            <rFont val="Tahoma"/>
            <family val="2"/>
          </rPr>
          <t xml:space="preserve">(CNCS-&gt;LIC)
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C47" authorId="0">
      <text>
        <r>
          <rPr>
            <b/>
            <sz val="9"/>
            <color indexed="10"/>
            <rFont val="굴림"/>
            <family val="3"/>
            <charset val="129"/>
          </rPr>
          <t xml:space="preserve">10: CA_Info_Req
</t>
        </r>
        <r>
          <rPr>
            <b/>
            <sz val="9"/>
            <color indexed="81"/>
            <rFont val="굴림"/>
            <family val="3"/>
            <charset val="129"/>
          </rPr>
          <t>11: CA_Info_Ack</t>
        </r>
      </text>
    </comment>
    <comment ref="C50" authorId="1">
      <text>
        <r>
          <rPr>
            <b/>
            <sz val="9"/>
            <color indexed="81"/>
            <rFont val="Tahoma"/>
            <family val="2"/>
          </rPr>
          <t xml:space="preserve">0x08 : </t>
        </r>
        <r>
          <rPr>
            <b/>
            <sz val="9"/>
            <color indexed="81"/>
            <rFont val="돋움"/>
            <family val="3"/>
            <charset val="129"/>
          </rPr>
          <t>시간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요청</t>
        </r>
        <r>
          <rPr>
            <b/>
            <sz val="9"/>
            <color indexed="81"/>
            <rFont val="Tahoma"/>
            <family val="2"/>
          </rPr>
          <t>(LIC -&gt; CNCS)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0x09 : </t>
        </r>
        <r>
          <rPr>
            <b/>
            <sz val="9"/>
            <color indexed="81"/>
            <rFont val="돋움"/>
            <family val="3"/>
            <charset val="129"/>
          </rPr>
          <t>시간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응답</t>
        </r>
        <r>
          <rPr>
            <b/>
            <sz val="9"/>
            <color indexed="81"/>
            <rFont val="Tahoma"/>
            <family val="2"/>
          </rPr>
          <t>(CNCS-&gt;LIC)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0x04 : CDT </t>
        </r>
        <r>
          <rPr>
            <b/>
            <sz val="9"/>
            <color indexed="81"/>
            <rFont val="돋움"/>
            <family val="3"/>
            <charset val="129"/>
          </rPr>
          <t>고장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전송</t>
        </r>
        <r>
          <rPr>
            <b/>
            <sz val="9"/>
            <color indexed="81"/>
            <rFont val="Tahoma"/>
            <family val="2"/>
          </rPr>
          <t>(LIC -&gt; CNCS)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0x06 : CDT </t>
        </r>
        <r>
          <rPr>
            <b/>
            <sz val="9"/>
            <color indexed="81"/>
            <rFont val="돋움"/>
            <family val="3"/>
            <charset val="129"/>
          </rPr>
          <t>고장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  <r>
          <rPr>
            <b/>
            <sz val="9"/>
            <color indexed="81"/>
            <rFont val="Tahoma"/>
            <family val="2"/>
          </rPr>
          <t xml:space="preserve">(LIC -&gt; CNCS)
0x07 : CDT </t>
        </r>
        <r>
          <rPr>
            <b/>
            <sz val="9"/>
            <color indexed="81"/>
            <rFont val="돋움"/>
            <family val="3"/>
            <charset val="129"/>
          </rPr>
          <t>고장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응답</t>
        </r>
        <r>
          <rPr>
            <b/>
            <sz val="9"/>
            <color indexed="81"/>
            <rFont val="Tahoma"/>
            <family val="2"/>
          </rPr>
          <t xml:space="preserve">(CNCS-&gt;LIC)
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C57" authorId="1">
      <text>
        <r>
          <rPr>
            <b/>
            <sz val="9"/>
            <color indexed="81"/>
            <rFont val="Tahoma"/>
            <family val="2"/>
          </rPr>
          <t xml:space="preserve">Wayside  On : 01
Wayside Off : 00
</t>
        </r>
      </text>
    </comment>
    <comment ref="C58" authorId="1">
      <text>
        <r>
          <rPr>
            <b/>
            <sz val="9"/>
            <color indexed="81"/>
            <rFont val="Tahoma"/>
            <family val="2"/>
          </rPr>
          <t xml:space="preserve">- Recent : 1
- Historical : 2
</t>
        </r>
      </text>
    </comment>
    <comment ref="C59" authorId="1">
      <text>
        <r>
          <rPr>
            <b/>
            <sz val="9"/>
            <color indexed="81"/>
            <rFont val="Tahoma"/>
            <family val="2"/>
          </rPr>
          <t>2008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0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0</t>
        </r>
        <r>
          <rPr>
            <b/>
            <sz val="9"/>
            <color indexed="81"/>
            <rFont val="돋움"/>
            <family val="3"/>
            <charset val="129"/>
          </rPr>
          <t>분</t>
        </r>
        <r>
          <rPr>
            <b/>
            <sz val="9"/>
            <color indexed="81"/>
            <rFont val="Tahoma"/>
            <family val="2"/>
          </rPr>
          <t xml:space="preserve"> 0</t>
        </r>
        <r>
          <rPr>
            <b/>
            <sz val="9"/>
            <color indexed="81"/>
            <rFont val="돋움"/>
            <family val="3"/>
            <charset val="129"/>
          </rPr>
          <t>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초로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환산된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값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C156" authorId="0">
      <text>
        <r>
          <rPr>
            <b/>
            <sz val="9"/>
            <color indexed="10"/>
            <rFont val="굴림"/>
            <family val="3"/>
            <charset val="129"/>
          </rPr>
          <t xml:space="preserve">10: CA_Info_Req
</t>
        </r>
        <r>
          <rPr>
            <b/>
            <sz val="9"/>
            <color indexed="81"/>
            <rFont val="굴림"/>
            <family val="3"/>
            <charset val="129"/>
          </rPr>
          <t>11: CA_Info_Ack</t>
        </r>
      </text>
    </comment>
    <comment ref="C158" authorId="1">
      <text>
        <r>
          <rPr>
            <b/>
            <sz val="9"/>
            <color indexed="81"/>
            <rFont val="Tahoma"/>
            <family val="2"/>
          </rPr>
          <t xml:space="preserve">0x08 : </t>
        </r>
        <r>
          <rPr>
            <b/>
            <sz val="9"/>
            <color indexed="81"/>
            <rFont val="돋움"/>
            <family val="3"/>
            <charset val="129"/>
          </rPr>
          <t>시간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요청</t>
        </r>
        <r>
          <rPr>
            <b/>
            <sz val="9"/>
            <color indexed="81"/>
            <rFont val="Tahoma"/>
            <family val="2"/>
          </rPr>
          <t>(LIC -&gt; CNCS)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0x09 : </t>
        </r>
        <r>
          <rPr>
            <b/>
            <sz val="9"/>
            <color indexed="81"/>
            <rFont val="돋움"/>
            <family val="3"/>
            <charset val="129"/>
          </rPr>
          <t>시간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응답</t>
        </r>
        <r>
          <rPr>
            <b/>
            <sz val="9"/>
            <color indexed="81"/>
            <rFont val="Tahoma"/>
            <family val="2"/>
          </rPr>
          <t>(CNCS-&gt;LIC)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0x04 : CDT </t>
        </r>
        <r>
          <rPr>
            <b/>
            <sz val="9"/>
            <color indexed="81"/>
            <rFont val="돋움"/>
            <family val="3"/>
            <charset val="129"/>
          </rPr>
          <t>고장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전송</t>
        </r>
        <r>
          <rPr>
            <b/>
            <sz val="9"/>
            <color indexed="81"/>
            <rFont val="Tahoma"/>
            <family val="2"/>
          </rPr>
          <t>(LIC -&gt; CNCS)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0x06 : CDT </t>
        </r>
        <r>
          <rPr>
            <b/>
            <sz val="9"/>
            <color indexed="81"/>
            <rFont val="돋움"/>
            <family val="3"/>
            <charset val="129"/>
          </rPr>
          <t>고장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  <r>
          <rPr>
            <b/>
            <sz val="9"/>
            <color indexed="81"/>
            <rFont val="Tahoma"/>
            <family val="2"/>
          </rPr>
          <t xml:space="preserve">(LIC -&gt; CNCS)
0x07 : CDT </t>
        </r>
        <r>
          <rPr>
            <b/>
            <sz val="9"/>
            <color indexed="81"/>
            <rFont val="돋움"/>
            <family val="3"/>
            <charset val="129"/>
          </rPr>
          <t>고장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응답</t>
        </r>
        <r>
          <rPr>
            <b/>
            <sz val="9"/>
            <color indexed="81"/>
            <rFont val="Tahoma"/>
            <family val="2"/>
          </rPr>
          <t xml:space="preserve">(CNCS-&gt;LIC)
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C174" authorId="0">
      <text>
        <r>
          <rPr>
            <b/>
            <sz val="9"/>
            <color indexed="10"/>
            <rFont val="굴림"/>
            <family val="3"/>
            <charset val="129"/>
          </rPr>
          <t xml:space="preserve">10: CA_Info_Req
</t>
        </r>
        <r>
          <rPr>
            <b/>
            <sz val="9"/>
            <color indexed="81"/>
            <rFont val="굴림"/>
            <family val="3"/>
            <charset val="129"/>
          </rPr>
          <t>11: CA_Info_Ack</t>
        </r>
      </text>
    </comment>
    <comment ref="C176" authorId="1">
      <text>
        <r>
          <rPr>
            <b/>
            <sz val="9"/>
            <color indexed="81"/>
            <rFont val="Tahoma"/>
            <family val="2"/>
          </rPr>
          <t xml:space="preserve">0x08 : </t>
        </r>
        <r>
          <rPr>
            <b/>
            <sz val="9"/>
            <color indexed="81"/>
            <rFont val="돋움"/>
            <family val="3"/>
            <charset val="129"/>
          </rPr>
          <t>시간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요청</t>
        </r>
        <r>
          <rPr>
            <b/>
            <sz val="9"/>
            <color indexed="81"/>
            <rFont val="Tahoma"/>
            <family val="2"/>
          </rPr>
          <t>(LIC -&gt; CNCS)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0x09 : </t>
        </r>
        <r>
          <rPr>
            <b/>
            <sz val="9"/>
            <color indexed="81"/>
            <rFont val="돋움"/>
            <family val="3"/>
            <charset val="129"/>
          </rPr>
          <t>시간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응답</t>
        </r>
        <r>
          <rPr>
            <b/>
            <sz val="9"/>
            <color indexed="81"/>
            <rFont val="Tahoma"/>
            <family val="2"/>
          </rPr>
          <t>(CNCS-&gt;LIC)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0x04 : CDT </t>
        </r>
        <r>
          <rPr>
            <b/>
            <sz val="9"/>
            <color indexed="81"/>
            <rFont val="돋움"/>
            <family val="3"/>
            <charset val="129"/>
          </rPr>
          <t>고장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전송</t>
        </r>
        <r>
          <rPr>
            <b/>
            <sz val="9"/>
            <color indexed="81"/>
            <rFont val="Tahoma"/>
            <family val="2"/>
          </rPr>
          <t>(LIC -&gt; CNCS)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0x06 : CDT </t>
        </r>
        <r>
          <rPr>
            <b/>
            <sz val="9"/>
            <color indexed="81"/>
            <rFont val="돋움"/>
            <family val="3"/>
            <charset val="129"/>
          </rPr>
          <t>고장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  <r>
          <rPr>
            <b/>
            <sz val="9"/>
            <color indexed="81"/>
            <rFont val="Tahoma"/>
            <family val="2"/>
          </rPr>
          <t xml:space="preserve">(LIC -&gt; CNCS)
0x07 : CDT </t>
        </r>
        <r>
          <rPr>
            <b/>
            <sz val="9"/>
            <color indexed="81"/>
            <rFont val="돋움"/>
            <family val="3"/>
            <charset val="129"/>
          </rPr>
          <t>고장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응답</t>
        </r>
        <r>
          <rPr>
            <b/>
            <sz val="9"/>
            <color indexed="81"/>
            <rFont val="Tahoma"/>
            <family val="2"/>
          </rPr>
          <t xml:space="preserve">(CNCS-&gt;LIC)
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  <comment ref="C188" authorId="0">
      <text>
        <r>
          <rPr>
            <b/>
            <sz val="9"/>
            <color indexed="10"/>
            <rFont val="굴림"/>
            <family val="3"/>
            <charset val="129"/>
          </rPr>
          <t xml:space="preserve">10: CA_Info_Req
</t>
        </r>
        <r>
          <rPr>
            <b/>
            <sz val="9"/>
            <color indexed="81"/>
            <rFont val="굴림"/>
            <family val="3"/>
            <charset val="129"/>
          </rPr>
          <t>11: CA_Info_Ack</t>
        </r>
      </text>
    </comment>
    <comment ref="C190" authorId="1">
      <text>
        <r>
          <rPr>
            <b/>
            <sz val="9"/>
            <color indexed="81"/>
            <rFont val="Tahoma"/>
            <family val="2"/>
          </rPr>
          <t xml:space="preserve">0x08 : </t>
        </r>
        <r>
          <rPr>
            <b/>
            <sz val="9"/>
            <color indexed="81"/>
            <rFont val="돋움"/>
            <family val="3"/>
            <charset val="129"/>
          </rPr>
          <t>시간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요청</t>
        </r>
        <r>
          <rPr>
            <b/>
            <sz val="9"/>
            <color indexed="81"/>
            <rFont val="Tahoma"/>
            <family val="2"/>
          </rPr>
          <t>(LIC -&gt; CNCS)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0x09 : </t>
        </r>
        <r>
          <rPr>
            <b/>
            <sz val="9"/>
            <color indexed="81"/>
            <rFont val="돋움"/>
            <family val="3"/>
            <charset val="129"/>
          </rPr>
          <t>시간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응답</t>
        </r>
        <r>
          <rPr>
            <b/>
            <sz val="9"/>
            <color indexed="81"/>
            <rFont val="Tahoma"/>
            <family val="2"/>
          </rPr>
          <t>(CNCS-&gt;LIC)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0x04 : CDT </t>
        </r>
        <r>
          <rPr>
            <b/>
            <sz val="9"/>
            <color indexed="81"/>
            <rFont val="돋움"/>
            <family val="3"/>
            <charset val="129"/>
          </rPr>
          <t>고장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전송</t>
        </r>
        <r>
          <rPr>
            <b/>
            <sz val="9"/>
            <color indexed="81"/>
            <rFont val="Tahoma"/>
            <family val="2"/>
          </rPr>
          <t>(LIC -&gt; CNCS)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0x06 : CDT </t>
        </r>
        <r>
          <rPr>
            <b/>
            <sz val="9"/>
            <color indexed="81"/>
            <rFont val="돋움"/>
            <family val="3"/>
            <charset val="129"/>
          </rPr>
          <t>고장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  <r>
          <rPr>
            <b/>
            <sz val="9"/>
            <color indexed="81"/>
            <rFont val="Tahoma"/>
            <family val="2"/>
          </rPr>
          <t xml:space="preserve">(LIC -&gt; CNCS)
0x07 : CDT </t>
        </r>
        <r>
          <rPr>
            <b/>
            <sz val="9"/>
            <color indexed="81"/>
            <rFont val="돋움"/>
            <family val="3"/>
            <charset val="129"/>
          </rPr>
          <t>고장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완료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응답</t>
        </r>
        <r>
          <rPr>
            <b/>
            <sz val="9"/>
            <color indexed="81"/>
            <rFont val="Tahoma"/>
            <family val="2"/>
          </rPr>
          <t xml:space="preserve">(CNCS-&gt;LIC)
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>
  <authors>
    <author>김재우</author>
    <author>Hamsung98</author>
  </authors>
  <commentList>
    <comment ref="C11" authorId="0">
      <text>
        <r>
          <rPr>
            <b/>
            <sz val="9"/>
            <color indexed="10"/>
            <rFont val="굴림"/>
            <family val="3"/>
            <charset val="129"/>
          </rPr>
          <t xml:space="preserve">10: CA_Info_Req
</t>
        </r>
        <r>
          <rPr>
            <b/>
            <sz val="9"/>
            <color indexed="81"/>
            <rFont val="굴림"/>
            <family val="3"/>
            <charset val="129"/>
          </rPr>
          <t>11: CA_Info_Ack
20: TL_Info_Req
21: TL_Info_Ack
30: TL_Inaug_Req
31: TL_Inaug_Ack</t>
        </r>
      </text>
    </comment>
    <comment ref="C33" authorId="0">
      <text>
        <r>
          <rPr>
            <b/>
            <sz val="9"/>
            <color indexed="81"/>
            <rFont val="굴림"/>
            <family val="3"/>
            <charset val="129"/>
          </rPr>
          <t>Cab Car 이외 다른 차량도 필요예상</t>
        </r>
      </text>
    </comment>
    <comment ref="C44" authorId="1">
      <text>
        <r>
          <rPr>
            <b/>
            <sz val="9"/>
            <color indexed="81"/>
            <rFont val="Tahoma"/>
            <family val="2"/>
          </rPr>
          <t>PTU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보낼때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데이터를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보냄</t>
        </r>
        <r>
          <rPr>
            <b/>
            <sz val="9"/>
            <color indexed="81"/>
            <rFont val="Tahoma"/>
            <family val="2"/>
          </rPr>
          <t>.
MainDlg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PTU Update </t>
        </r>
        <r>
          <rPr>
            <b/>
            <sz val="9"/>
            <color indexed="81"/>
            <rFont val="돋움"/>
            <family val="3"/>
            <charset val="129"/>
          </rPr>
          <t>명령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처리를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위해서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C91" authorId="0">
      <text>
        <r>
          <rPr>
            <b/>
            <sz val="9"/>
            <color indexed="10"/>
            <rFont val="굴림"/>
            <family val="3"/>
            <charset val="129"/>
          </rPr>
          <t xml:space="preserve">10: CA_Info_Req
</t>
        </r>
        <r>
          <rPr>
            <b/>
            <sz val="9"/>
            <color indexed="81"/>
            <rFont val="굴림"/>
            <family val="3"/>
            <charset val="129"/>
          </rPr>
          <t xml:space="preserve">11: CA_Info_Ack
</t>
        </r>
        <r>
          <rPr>
            <b/>
            <sz val="9"/>
            <color indexed="10"/>
            <rFont val="굴림"/>
            <family val="3"/>
            <charset val="129"/>
          </rPr>
          <t xml:space="preserve">1A:TR Message Upload_Req
</t>
        </r>
        <r>
          <rPr>
            <b/>
            <sz val="9"/>
            <color indexed="81"/>
            <rFont val="굴림"/>
            <family val="3"/>
            <charset val="129"/>
          </rPr>
          <t>1B:TR Message Upload_Ack
20: TL_Info_Req
21: TL_Info_Ack
30: TL_Inaug_Req
31: TL_Inaug_Ack</t>
        </r>
      </text>
    </comment>
    <comment ref="C120" authorId="0">
      <text>
        <r>
          <rPr>
            <b/>
            <sz val="9"/>
            <color indexed="81"/>
            <rFont val="굴림"/>
            <family val="3"/>
            <charset val="129"/>
          </rPr>
          <t>ID Table or
0xFF : All Device in Comm
0x1F : All Device in CRA And CRB
0x2F : All Device in TRIC Group
0x3F : All Device in CCP Group
0x4F : All Device in TR Group
0x5F : All Device in PII Group
0x6F : All Device in FDI Group
0x7F : All Device in SDI Group
0x8F : All Device in PID Group</t>
        </r>
      </text>
    </comment>
    <comment ref="J155" authorId="0">
      <text>
        <r>
          <rPr>
            <b/>
            <sz val="9"/>
            <color indexed="81"/>
            <rFont val="굴림"/>
            <family val="3"/>
            <charset val="129"/>
          </rPr>
          <t>PTU를 이용해서 썸머타임 적용시 CNCS에서 해당 Bit를 Set해서 응답한다.</t>
        </r>
      </text>
    </comment>
  </commentList>
</comments>
</file>

<file path=xl/comments12.xml><?xml version="1.0" encoding="utf-8"?>
<comments xmlns="http://schemas.openxmlformats.org/spreadsheetml/2006/main">
  <authors>
    <author>김재우</author>
  </authors>
  <commentList>
    <comment ref="C11" authorId="0">
      <text>
        <r>
          <rPr>
            <b/>
            <sz val="9"/>
            <color indexed="81"/>
            <rFont val="굴림"/>
            <family val="3"/>
            <charset val="129"/>
          </rPr>
          <t>90: TOKEN TOSS
91: TOKEN TOSS(ACK)</t>
        </r>
        <r>
          <rPr>
            <b/>
            <sz val="9"/>
            <color indexed="10"/>
            <rFont val="굴림"/>
            <family val="3"/>
            <charset val="129"/>
          </rPr>
          <t xml:space="preserve">
A0: VERSION CHECK
A1: VERSION CHECK(ACK)
A2: Update Ready
A3: Update Ready(ACK)</t>
        </r>
        <r>
          <rPr>
            <b/>
            <sz val="9"/>
            <color indexed="81"/>
            <rFont val="굴림"/>
            <family val="3"/>
            <charset val="129"/>
          </rPr>
          <t xml:space="preserve">
A4: F-UPDATE
A5: F-UPDATE(ACK)
A6: S-UPDATE
A7: S-UPDATE(ACK)
A8: DB1-UPDATE(PAC-USB 연결)
A9: DB1-UPDATE(PAC-USB 연결)(ACK)
AA: DB2-UPDATE(PAC-USB 해제)
AB: DB2-UPDATE(PAC-USB 해제)(ACK)
AC: DB3-UPDATE
AD: DB3-UPDATE(ACK)
AE: DB4-UPDATE
AF: DB4-UPDATE(ACK)
</t>
        </r>
        <r>
          <rPr>
            <b/>
            <sz val="9"/>
            <color indexed="10"/>
            <rFont val="굴림"/>
            <family val="3"/>
            <charset val="129"/>
          </rPr>
          <t>B0: UP COMPLETE CHECK
B1: UP COMPLETE CHECK(ACK)
B2: RESET
B3: RESET(ACK)
C0: Holiday Update
C1: Holiday Holiday (ACK)
C2: Train No Config Update
C3: Train No Config Update (ACK)</t>
        </r>
      </text>
    </comment>
    <comment ref="C14" authorId="0">
      <text>
        <r>
          <rPr>
            <b/>
            <sz val="9"/>
            <color indexed="81"/>
            <rFont val="굴림"/>
            <family val="3"/>
            <charset val="129"/>
          </rPr>
          <t>보내고자하는 File의 checksum</t>
        </r>
      </text>
    </comment>
    <comment ref="C26" authorId="0">
      <text>
        <r>
          <rPr>
            <b/>
            <sz val="9"/>
            <color indexed="81"/>
            <rFont val="굴림"/>
            <family val="3"/>
            <charset val="129"/>
          </rPr>
          <t xml:space="preserve">90: TOKEN TOSS
91: TOKEN TOSS(ACK)
A0: Update Ready
A1: Update Ready(ACK)
A2: VERSION CHECK
A3: VERSION CHECK(ACK)
</t>
        </r>
        <r>
          <rPr>
            <b/>
            <sz val="9"/>
            <color indexed="10"/>
            <rFont val="굴림"/>
            <family val="3"/>
            <charset val="129"/>
          </rPr>
          <t>A4: F-UPDATE
A5: F-UPDATE(ACK)
A6: S-UPDATE
A7: S-UPDATE(ACK)
A8: DB1-UPDATE(PAC-USB 연결)
A9: DB1-UPDATE(PAC-USB 연결)(ACK)
AA: DB2-UPDATE(PAC-USB 해제)
AB: DB2-UPDATE(PAC-USB 해제)(ACK)
AC: DB3-UPDATE
AD: DB3-UPDATE(ACK)
AE: DB4-UPDATE
AF: DB4-UPDATE(ACK)</t>
        </r>
        <r>
          <rPr>
            <b/>
            <sz val="9"/>
            <color indexed="81"/>
            <rFont val="굴림"/>
            <family val="3"/>
            <charset val="129"/>
          </rPr>
          <t xml:space="preserve">
B0: RESET
B1: RESET(ACK)</t>
        </r>
      </text>
    </comment>
    <comment ref="C36" authorId="0">
      <text>
        <r>
          <rPr>
            <b/>
            <sz val="9"/>
            <color indexed="81"/>
            <rFont val="굴림"/>
            <family val="3"/>
            <charset val="129"/>
          </rPr>
          <t>Packet의 checksum</t>
        </r>
      </text>
    </comment>
  </commentList>
</comments>
</file>

<file path=xl/sharedStrings.xml><?xml version="1.0" encoding="utf-8"?>
<sst xmlns="http://schemas.openxmlformats.org/spreadsheetml/2006/main" count="6476" uniqueCount="1857">
  <si>
    <t>No.</t>
    <phoneticPr fontId="2" type="noConversion"/>
  </si>
  <si>
    <t>SDI1</t>
    <phoneticPr fontId="2" type="noConversion"/>
  </si>
  <si>
    <t>SDI2</t>
    <phoneticPr fontId="2" type="noConversion"/>
  </si>
  <si>
    <t>RL1</t>
    <phoneticPr fontId="2" type="noConversion"/>
  </si>
  <si>
    <t>TR1</t>
    <phoneticPr fontId="2" type="noConversion"/>
  </si>
  <si>
    <t>TR2</t>
    <phoneticPr fontId="2" type="noConversion"/>
  </si>
  <si>
    <t>TRIC1</t>
    <phoneticPr fontId="2" type="noConversion"/>
  </si>
  <si>
    <t>TRIC2</t>
    <phoneticPr fontId="2" type="noConversion"/>
  </si>
  <si>
    <t>CCP1</t>
    <phoneticPr fontId="2" type="noConversion"/>
  </si>
  <si>
    <t>CCP2</t>
    <phoneticPr fontId="2" type="noConversion"/>
  </si>
  <si>
    <t>PII1</t>
    <phoneticPr fontId="2" type="noConversion"/>
  </si>
  <si>
    <t>SDI3</t>
    <phoneticPr fontId="2" type="noConversion"/>
  </si>
  <si>
    <t>SDI4</t>
    <phoneticPr fontId="2" type="noConversion"/>
  </si>
  <si>
    <t>SDI5</t>
    <phoneticPr fontId="2" type="noConversion"/>
  </si>
  <si>
    <t>SDI6</t>
    <phoneticPr fontId="2" type="noConversion"/>
  </si>
  <si>
    <t>SDI7</t>
    <phoneticPr fontId="2" type="noConversion"/>
  </si>
  <si>
    <t>SDI8</t>
    <phoneticPr fontId="2" type="noConversion"/>
  </si>
  <si>
    <t>FDI2</t>
    <phoneticPr fontId="2" type="noConversion"/>
  </si>
  <si>
    <t>PID2-1</t>
    <phoneticPr fontId="2" type="noConversion"/>
  </si>
  <si>
    <t>PID2-2</t>
    <phoneticPr fontId="2" type="noConversion"/>
  </si>
  <si>
    <t>PID2-3</t>
    <phoneticPr fontId="2" type="noConversion"/>
  </si>
  <si>
    <t>PID2-4</t>
    <phoneticPr fontId="2" type="noConversion"/>
  </si>
  <si>
    <t>PID1-1</t>
    <phoneticPr fontId="2" type="noConversion"/>
  </si>
  <si>
    <t>PID1-2</t>
    <phoneticPr fontId="2" type="noConversion"/>
  </si>
  <si>
    <t>PID1-3</t>
    <phoneticPr fontId="2" type="noConversion"/>
  </si>
  <si>
    <t>PID1-4</t>
    <phoneticPr fontId="2" type="noConversion"/>
  </si>
  <si>
    <t>PID1-5</t>
    <phoneticPr fontId="2" type="noConversion"/>
  </si>
  <si>
    <t>PID1-6</t>
    <phoneticPr fontId="2" type="noConversion"/>
  </si>
  <si>
    <t>PID1-7</t>
    <phoneticPr fontId="2" type="noConversion"/>
  </si>
  <si>
    <t>PID1-8</t>
    <phoneticPr fontId="2" type="noConversion"/>
  </si>
  <si>
    <t>Spare</t>
  </si>
  <si>
    <t>Reverse</t>
  </si>
  <si>
    <t>Number</t>
    <phoneticPr fontId="2" type="noConversion"/>
  </si>
  <si>
    <t>GIA</t>
    <phoneticPr fontId="2" type="noConversion"/>
  </si>
  <si>
    <t>LIC</t>
    <phoneticPr fontId="2" type="noConversion"/>
  </si>
  <si>
    <t>CNCS</t>
    <phoneticPr fontId="2" type="noConversion"/>
  </si>
  <si>
    <t>VTX</t>
    <phoneticPr fontId="2" type="noConversion"/>
  </si>
  <si>
    <t>FDI1</t>
    <phoneticPr fontId="2" type="noConversion"/>
  </si>
  <si>
    <t>PII2</t>
    <phoneticPr fontId="2" type="noConversion"/>
  </si>
  <si>
    <t>PII3</t>
    <phoneticPr fontId="2" type="noConversion"/>
  </si>
  <si>
    <t>PII4</t>
    <phoneticPr fontId="2" type="noConversion"/>
  </si>
  <si>
    <t>WLR</t>
    <phoneticPr fontId="2" type="noConversion"/>
  </si>
  <si>
    <t>CRA</t>
    <phoneticPr fontId="2" type="noConversion"/>
  </si>
  <si>
    <t>CRB</t>
    <phoneticPr fontId="2" type="noConversion"/>
  </si>
  <si>
    <t>Project :</t>
    <phoneticPr fontId="2" type="noConversion"/>
  </si>
  <si>
    <t>SEPTA SL-V CS.</t>
    <phoneticPr fontId="2" type="noConversion"/>
  </si>
  <si>
    <t>2008.10.24</t>
    <phoneticPr fontId="2" type="noConversion"/>
  </si>
  <si>
    <t>Revision Date:</t>
    <phoneticPr fontId="2" type="noConversion"/>
  </si>
  <si>
    <t>2008.10.27</t>
    <phoneticPr fontId="2" type="noConversion"/>
  </si>
  <si>
    <t>Revision No.</t>
    <phoneticPr fontId="2" type="noConversion"/>
  </si>
  <si>
    <t>Maker:</t>
    <phoneticPr fontId="2" type="noConversion"/>
  </si>
  <si>
    <t>TY. Kim</t>
    <phoneticPr fontId="2" type="noConversion"/>
  </si>
  <si>
    <t>Issue Date:</t>
  </si>
  <si>
    <t>R00</t>
    <phoneticPr fontId="2" type="noConversion"/>
  </si>
  <si>
    <t>2008.10.27</t>
    <phoneticPr fontId="2" type="noConversion"/>
  </si>
  <si>
    <t>0x11</t>
    <phoneticPr fontId="2" type="noConversion"/>
  </si>
  <si>
    <t>0x21</t>
    <phoneticPr fontId="2" type="noConversion"/>
  </si>
  <si>
    <t>0x31</t>
    <phoneticPr fontId="2" type="noConversion"/>
  </si>
  <si>
    <t>0x41</t>
    <phoneticPr fontId="2" type="noConversion"/>
  </si>
  <si>
    <t>0x12</t>
  </si>
  <si>
    <t>0x13</t>
  </si>
  <si>
    <t>0x14</t>
  </si>
  <si>
    <t>0x15</t>
  </si>
  <si>
    <t>0x16</t>
  </si>
  <si>
    <t>0x17</t>
  </si>
  <si>
    <t>0x22</t>
  </si>
  <si>
    <t>0x32</t>
  </si>
  <si>
    <t>0x51</t>
    <phoneticPr fontId="2" type="noConversion"/>
  </si>
  <si>
    <t>0x61</t>
    <phoneticPr fontId="2" type="noConversion"/>
  </si>
  <si>
    <t>0x71</t>
    <phoneticPr fontId="2" type="noConversion"/>
  </si>
  <si>
    <t>0x81</t>
    <phoneticPr fontId="2" type="noConversion"/>
  </si>
  <si>
    <t>0x91</t>
    <phoneticPr fontId="2" type="noConversion"/>
  </si>
  <si>
    <t>0x42</t>
  </si>
  <si>
    <t>0x52</t>
  </si>
  <si>
    <t>0x53</t>
  </si>
  <si>
    <t>0x54</t>
  </si>
  <si>
    <t>0x62</t>
  </si>
  <si>
    <t>0x72</t>
  </si>
  <si>
    <t>0x73</t>
  </si>
  <si>
    <t>0x74</t>
  </si>
  <si>
    <t>0x75</t>
  </si>
  <si>
    <t>0x76</t>
  </si>
  <si>
    <t>0x77</t>
  </si>
  <si>
    <t>0x78</t>
  </si>
  <si>
    <t>0x82</t>
  </si>
  <si>
    <t>0x83</t>
  </si>
  <si>
    <t>0x84</t>
  </si>
  <si>
    <t>0x85</t>
  </si>
  <si>
    <t>0x86</t>
  </si>
  <si>
    <t>0x87</t>
  </si>
  <si>
    <t>0x88</t>
  </si>
  <si>
    <t>0x92</t>
  </si>
  <si>
    <t>0x93</t>
  </si>
  <si>
    <t>0x94</t>
  </si>
  <si>
    <t>Septa Comm Internal 485 ID Table</t>
    <phoneticPr fontId="2" type="noConversion"/>
  </si>
  <si>
    <t>Septa Comm Train line 485 ID Table</t>
    <phoneticPr fontId="2" type="noConversion"/>
  </si>
  <si>
    <t>Car1</t>
    <phoneticPr fontId="2" type="noConversion"/>
  </si>
  <si>
    <t>Car2</t>
  </si>
  <si>
    <t>Car3</t>
  </si>
  <si>
    <t>Car4</t>
  </si>
  <si>
    <t>Car5</t>
  </si>
  <si>
    <t>Car6</t>
  </si>
  <si>
    <t>Car7</t>
  </si>
  <si>
    <t>PAC1</t>
    <phoneticPr fontId="2" type="noConversion"/>
  </si>
  <si>
    <t>PAC2</t>
    <phoneticPr fontId="2" type="noConversion"/>
  </si>
  <si>
    <t>Item</t>
    <phoneticPr fontId="2" type="noConversion"/>
  </si>
  <si>
    <t>0x1A</t>
    <phoneticPr fontId="2" type="noConversion"/>
  </si>
  <si>
    <t>0x1B</t>
    <phoneticPr fontId="2" type="noConversion"/>
  </si>
  <si>
    <t>0x2A</t>
    <phoneticPr fontId="2" type="noConversion"/>
  </si>
  <si>
    <t>0x2B</t>
    <phoneticPr fontId="2" type="noConversion"/>
  </si>
  <si>
    <t>0x3A</t>
    <phoneticPr fontId="2" type="noConversion"/>
  </si>
  <si>
    <t>0x3B</t>
    <phoneticPr fontId="2" type="noConversion"/>
  </si>
  <si>
    <t>0x4A</t>
    <phoneticPr fontId="2" type="noConversion"/>
  </si>
  <si>
    <t>0x4B</t>
    <phoneticPr fontId="2" type="noConversion"/>
  </si>
  <si>
    <t>0x5A</t>
    <phoneticPr fontId="2" type="noConversion"/>
  </si>
  <si>
    <t>0x5B</t>
    <phoneticPr fontId="2" type="noConversion"/>
  </si>
  <si>
    <t>0x6A</t>
    <phoneticPr fontId="2" type="noConversion"/>
  </si>
  <si>
    <t>0x6B</t>
    <phoneticPr fontId="2" type="noConversion"/>
  </si>
  <si>
    <t>0x7A</t>
    <phoneticPr fontId="2" type="noConversion"/>
  </si>
  <si>
    <t>0x7B</t>
    <phoneticPr fontId="2" type="noConversion"/>
  </si>
  <si>
    <t>Train Number</t>
    <phoneticPr fontId="2" type="noConversion"/>
  </si>
  <si>
    <t>PAC1(CRA)</t>
    <phoneticPr fontId="2" type="noConversion"/>
  </si>
  <si>
    <t>PAC2(CRB)</t>
    <phoneticPr fontId="2" type="noConversion"/>
  </si>
  <si>
    <t>Train line 485 ID</t>
    <phoneticPr fontId="2" type="noConversion"/>
  </si>
  <si>
    <t>Car8</t>
  </si>
  <si>
    <t>Car9</t>
  </si>
  <si>
    <t>Car10</t>
  </si>
  <si>
    <t>Car11</t>
  </si>
  <si>
    <t>Car12</t>
  </si>
  <si>
    <t>0x8A</t>
    <phoneticPr fontId="2" type="noConversion"/>
  </si>
  <si>
    <t>0x8B</t>
    <phoneticPr fontId="2" type="noConversion"/>
  </si>
  <si>
    <t>0x9A</t>
    <phoneticPr fontId="2" type="noConversion"/>
  </si>
  <si>
    <t>0x9B</t>
    <phoneticPr fontId="2" type="noConversion"/>
  </si>
  <si>
    <t>0xAA</t>
    <phoneticPr fontId="2" type="noConversion"/>
  </si>
  <si>
    <t>0xAB</t>
    <phoneticPr fontId="2" type="noConversion"/>
  </si>
  <si>
    <t>0xBA</t>
    <phoneticPr fontId="2" type="noConversion"/>
  </si>
  <si>
    <t>0xBB</t>
    <phoneticPr fontId="2" type="noConversion"/>
  </si>
  <si>
    <t>0xCA</t>
    <phoneticPr fontId="2" type="noConversion"/>
  </si>
  <si>
    <t>0xCB</t>
    <phoneticPr fontId="2" type="noConversion"/>
  </si>
  <si>
    <t>1~2</t>
    <phoneticPr fontId="2" type="noConversion"/>
  </si>
  <si>
    <t xml:space="preserve">M_Req </t>
    <phoneticPr fontId="2" type="noConversion"/>
  </si>
  <si>
    <t>CNCS</t>
    <phoneticPr fontId="2" type="noConversion"/>
  </si>
  <si>
    <t>Cab_B TRIC</t>
    <phoneticPr fontId="2" type="noConversion"/>
  </si>
  <si>
    <t>Cab_A TRIC</t>
    <phoneticPr fontId="2" type="noConversion"/>
  </si>
  <si>
    <t>CA_Token</t>
    <phoneticPr fontId="2" type="noConversion"/>
  </si>
  <si>
    <t>T_Toss</t>
    <phoneticPr fontId="2" type="noConversion"/>
  </si>
  <si>
    <t>T_Oder</t>
    <phoneticPr fontId="2" type="noConversion"/>
  </si>
  <si>
    <t>T_Req</t>
    <phoneticPr fontId="2" type="noConversion"/>
  </si>
  <si>
    <t>Main</t>
    <phoneticPr fontId="2" type="noConversion"/>
  </si>
  <si>
    <t>M_Order</t>
    <phoneticPr fontId="2" type="noConversion"/>
  </si>
  <si>
    <t>Spare</t>
    <phoneticPr fontId="2" type="noConversion"/>
  </si>
  <si>
    <t>B Cab On</t>
    <phoneticPr fontId="2" type="noConversion"/>
  </si>
  <si>
    <t>A Cab On</t>
    <phoneticPr fontId="2" type="noConversion"/>
  </si>
  <si>
    <t>Pattern Test</t>
    <phoneticPr fontId="2" type="noConversion"/>
  </si>
  <si>
    <t>Simulation</t>
    <phoneticPr fontId="2" type="noConversion"/>
  </si>
  <si>
    <t>Uncouple</t>
    <phoneticPr fontId="2" type="noConversion"/>
  </si>
  <si>
    <t>Forward</t>
    <phoneticPr fontId="2" type="noConversion"/>
  </si>
  <si>
    <t>B Cond Key</t>
    <phoneticPr fontId="2" type="noConversion"/>
  </si>
  <si>
    <t>A Cond Key</t>
    <phoneticPr fontId="2" type="noConversion"/>
  </si>
  <si>
    <t>Train Number Hundred Thousand Digit(BCD)</t>
    <phoneticPr fontId="2" type="noConversion"/>
  </si>
  <si>
    <t>Train Number Thousand Digit(BCD)</t>
    <phoneticPr fontId="2" type="noConversion"/>
  </si>
  <si>
    <t>Train Number Thousands Digit(BCD)</t>
    <phoneticPr fontId="2" type="noConversion"/>
  </si>
  <si>
    <t>Train Number Hundreds Digit(BCD)</t>
    <phoneticPr fontId="2" type="noConversion"/>
  </si>
  <si>
    <t>Bit7</t>
    <phoneticPr fontId="2" type="noConversion"/>
  </si>
  <si>
    <t>Bit6</t>
    <phoneticPr fontId="2" type="noConversion"/>
  </si>
  <si>
    <t>Bit5</t>
    <phoneticPr fontId="2" type="noConversion"/>
  </si>
  <si>
    <t>Bit4</t>
    <phoneticPr fontId="2" type="noConversion"/>
  </si>
  <si>
    <t>Bit3</t>
    <phoneticPr fontId="2" type="noConversion"/>
  </si>
  <si>
    <t>Bit2</t>
    <phoneticPr fontId="2" type="noConversion"/>
  </si>
  <si>
    <t>Bit1</t>
    <phoneticPr fontId="2" type="noConversion"/>
  </si>
  <si>
    <t>Bit0</t>
    <phoneticPr fontId="2" type="noConversion"/>
  </si>
  <si>
    <t>0x01: Start Code</t>
    <phoneticPr fontId="2" type="noConversion"/>
  </si>
  <si>
    <t>Source Device (All Device)</t>
    <phoneticPr fontId="2" type="noConversion"/>
  </si>
  <si>
    <t>Message Count(0~99)</t>
    <phoneticPr fontId="2" type="noConversion"/>
  </si>
  <si>
    <t>Communication Protocol Code Table</t>
    <phoneticPr fontId="2" type="noConversion"/>
  </si>
  <si>
    <t>Size(Byte)</t>
    <phoneticPr fontId="2" type="noConversion"/>
  </si>
  <si>
    <t>3~4</t>
    <phoneticPr fontId="2" type="noConversion"/>
  </si>
  <si>
    <t>5~6</t>
    <phoneticPr fontId="2" type="noConversion"/>
  </si>
  <si>
    <t>7~8</t>
    <phoneticPr fontId="2" type="noConversion"/>
  </si>
  <si>
    <t>Command Code</t>
    <phoneticPr fontId="2" type="noConversion"/>
  </si>
  <si>
    <t>9~10</t>
    <phoneticPr fontId="2" type="noConversion"/>
  </si>
  <si>
    <t xml:space="preserve"> Data Length Code</t>
    <phoneticPr fontId="2" type="noConversion"/>
  </si>
  <si>
    <t>PAC_B</t>
    <phoneticPr fontId="2" type="noConversion"/>
  </si>
  <si>
    <t>PAC_A</t>
    <phoneticPr fontId="2" type="noConversion"/>
  </si>
  <si>
    <t>CCP_B</t>
    <phoneticPr fontId="2" type="noConversion"/>
  </si>
  <si>
    <t>CCP_A</t>
    <phoneticPr fontId="2" type="noConversion"/>
  </si>
  <si>
    <t>M_Oder</t>
    <phoneticPr fontId="2" type="noConversion"/>
  </si>
  <si>
    <t xml:space="preserve">M_Return </t>
    <phoneticPr fontId="2" type="noConversion"/>
  </si>
  <si>
    <t>17~18</t>
    <phoneticPr fontId="2" type="noConversion"/>
  </si>
  <si>
    <t>19~20</t>
    <phoneticPr fontId="2" type="noConversion"/>
  </si>
  <si>
    <t>21~22</t>
    <phoneticPr fontId="2" type="noConversion"/>
  </si>
  <si>
    <t>23~24</t>
    <phoneticPr fontId="2" type="noConversion"/>
  </si>
  <si>
    <t>Train Number Tens Digit(BCD)</t>
    <phoneticPr fontId="2" type="noConversion"/>
  </si>
  <si>
    <t>Train Number Units Digit(BCD)</t>
    <phoneticPr fontId="2" type="noConversion"/>
  </si>
  <si>
    <t>Crew ID Number Hundred Thousand Digit(BCD)</t>
    <phoneticPr fontId="2" type="noConversion"/>
  </si>
  <si>
    <t>Crew ID Number Thousand Digit(BCD)</t>
    <phoneticPr fontId="2" type="noConversion"/>
  </si>
  <si>
    <t>Crew ID Number Thousands Digit(BCD)</t>
    <phoneticPr fontId="2" type="noConversion"/>
  </si>
  <si>
    <t>Crew ID Number Hundreds Digit(BCD)</t>
    <phoneticPr fontId="2" type="noConversion"/>
  </si>
  <si>
    <t>Crew ID Number Tens Digit(BCD)</t>
    <phoneticPr fontId="2" type="noConversion"/>
  </si>
  <si>
    <t>Crew ID Number Units Digit(BCD)</t>
    <phoneticPr fontId="2" type="noConversion"/>
  </si>
  <si>
    <t>Trigger ID Number Tens Digit(BCD)</t>
    <phoneticPr fontId="2" type="noConversion"/>
  </si>
  <si>
    <t>Trigger ID Number Units Digit(BCD)</t>
    <phoneticPr fontId="2" type="noConversion"/>
  </si>
  <si>
    <t>Car Number Hundereds(BCD)</t>
    <phoneticPr fontId="2" type="noConversion"/>
  </si>
  <si>
    <t>Car Number Tens(BCD)</t>
    <phoneticPr fontId="2" type="noConversion"/>
  </si>
  <si>
    <t>Car Number Unit(BCD)</t>
    <phoneticPr fontId="2" type="noConversion"/>
  </si>
  <si>
    <t>Spare("00H")</t>
    <phoneticPr fontId="2" type="noConversion"/>
  </si>
  <si>
    <t>Checksum Code</t>
    <phoneticPr fontId="2" type="noConversion"/>
  </si>
  <si>
    <t>0x04: End Code</t>
    <phoneticPr fontId="2" type="noConversion"/>
  </si>
  <si>
    <t>Bit7</t>
    <phoneticPr fontId="2" type="noConversion"/>
  </si>
  <si>
    <t>Bit6</t>
    <phoneticPr fontId="2" type="noConversion"/>
  </si>
  <si>
    <t>Bit5</t>
    <phoneticPr fontId="2" type="noConversion"/>
  </si>
  <si>
    <t>Bit4</t>
    <phoneticPr fontId="2" type="noConversion"/>
  </si>
  <si>
    <t>Bit3</t>
    <phoneticPr fontId="2" type="noConversion"/>
  </si>
  <si>
    <t>Bit2</t>
    <phoneticPr fontId="2" type="noConversion"/>
  </si>
  <si>
    <t>Bit1</t>
    <phoneticPr fontId="2" type="noConversion"/>
  </si>
  <si>
    <t>Bit0</t>
    <phoneticPr fontId="2" type="noConversion"/>
  </si>
  <si>
    <t>0x01: Start Code</t>
    <phoneticPr fontId="2" type="noConversion"/>
  </si>
  <si>
    <t>Source Device (All Device)</t>
    <phoneticPr fontId="2" type="noConversion"/>
  </si>
  <si>
    <t>Message Count(0~99)</t>
    <phoneticPr fontId="2" type="noConversion"/>
  </si>
  <si>
    <t>Data Length Code</t>
    <phoneticPr fontId="2" type="noConversion"/>
  </si>
  <si>
    <t>STOP</t>
    <phoneticPr fontId="2" type="noConversion"/>
  </si>
  <si>
    <t>SKIP</t>
    <phoneticPr fontId="2" type="noConversion"/>
  </si>
  <si>
    <t>EXP</t>
    <phoneticPr fontId="2" type="noConversion"/>
  </si>
  <si>
    <t>LOCAL</t>
    <phoneticPr fontId="2" type="noConversion"/>
  </si>
  <si>
    <t>Delay Number Tens Digit(BCD)</t>
    <phoneticPr fontId="2" type="noConversion"/>
  </si>
  <si>
    <t>Delay Number Units Digit(BCD)</t>
    <phoneticPr fontId="2" type="noConversion"/>
  </si>
  <si>
    <t>ISP</t>
    <phoneticPr fontId="2" type="noConversion"/>
  </si>
  <si>
    <t>ESP</t>
    <phoneticPr fontId="2" type="noConversion"/>
  </si>
  <si>
    <t>SOFT</t>
    <phoneticPr fontId="2" type="noConversion"/>
  </si>
  <si>
    <t>NORMAL</t>
    <phoneticPr fontId="2" type="noConversion"/>
  </si>
  <si>
    <t>MUTE</t>
    <phoneticPr fontId="2" type="noConversion"/>
  </si>
  <si>
    <t>MUTE_L</t>
    <phoneticPr fontId="2" type="noConversion"/>
  </si>
  <si>
    <t>MUTE_R</t>
    <phoneticPr fontId="2" type="noConversion"/>
  </si>
  <si>
    <t>PAC</t>
    <phoneticPr fontId="2" type="noConversion"/>
  </si>
  <si>
    <t>GPS</t>
    <phoneticPr fontId="2" type="noConversion"/>
  </si>
  <si>
    <t>LIC</t>
    <phoneticPr fontId="2" type="noConversion"/>
  </si>
  <si>
    <t>VTX</t>
    <phoneticPr fontId="2" type="noConversion"/>
  </si>
  <si>
    <t>TRIC2</t>
    <phoneticPr fontId="2" type="noConversion"/>
  </si>
  <si>
    <t>TRIC1</t>
    <phoneticPr fontId="2" type="noConversion"/>
  </si>
  <si>
    <t>CCP2</t>
    <phoneticPr fontId="2" type="noConversion"/>
  </si>
  <si>
    <t>CCP1</t>
    <phoneticPr fontId="2" type="noConversion"/>
  </si>
  <si>
    <t>DPO2</t>
    <phoneticPr fontId="2" type="noConversion"/>
  </si>
  <si>
    <t>DPO1</t>
    <phoneticPr fontId="2" type="noConversion"/>
  </si>
  <si>
    <t>CPO4</t>
    <phoneticPr fontId="2" type="noConversion"/>
  </si>
  <si>
    <t>CPO3</t>
    <phoneticPr fontId="2" type="noConversion"/>
  </si>
  <si>
    <t>CPO2</t>
    <phoneticPr fontId="2" type="noConversion"/>
  </si>
  <si>
    <t>CPO1</t>
    <phoneticPr fontId="2" type="noConversion"/>
  </si>
  <si>
    <t>FDI2</t>
    <phoneticPr fontId="2" type="noConversion"/>
  </si>
  <si>
    <t>FDI1</t>
    <phoneticPr fontId="2" type="noConversion"/>
  </si>
  <si>
    <t>PEI6</t>
    <phoneticPr fontId="2" type="noConversion"/>
  </si>
  <si>
    <t>PEI5</t>
    <phoneticPr fontId="2" type="noConversion"/>
  </si>
  <si>
    <t>PEI4</t>
    <phoneticPr fontId="2" type="noConversion"/>
  </si>
  <si>
    <t>PEI3</t>
    <phoneticPr fontId="2" type="noConversion"/>
  </si>
  <si>
    <t>PEI2</t>
    <phoneticPr fontId="2" type="noConversion"/>
  </si>
  <si>
    <t>PEI1</t>
    <phoneticPr fontId="2" type="noConversion"/>
  </si>
  <si>
    <t>PEI6 Call</t>
    <phoneticPr fontId="2" type="noConversion"/>
  </si>
  <si>
    <t>PEI5 Call</t>
    <phoneticPr fontId="2" type="noConversion"/>
  </si>
  <si>
    <t>PEI4 Call</t>
    <phoneticPr fontId="2" type="noConversion"/>
  </si>
  <si>
    <t>PEI3 Call</t>
    <phoneticPr fontId="2" type="noConversion"/>
  </si>
  <si>
    <t>PEI2 Call</t>
    <phoneticPr fontId="2" type="noConversion"/>
  </si>
  <si>
    <t>PEI1 Call</t>
    <phoneticPr fontId="2" type="noConversion"/>
  </si>
  <si>
    <t>SDI8</t>
    <phoneticPr fontId="2" type="noConversion"/>
  </si>
  <si>
    <t>SDI7</t>
    <phoneticPr fontId="2" type="noConversion"/>
  </si>
  <si>
    <t>SDI6</t>
    <phoneticPr fontId="2" type="noConversion"/>
  </si>
  <si>
    <t>SDI5</t>
    <phoneticPr fontId="2" type="noConversion"/>
  </si>
  <si>
    <t>SDI4</t>
    <phoneticPr fontId="2" type="noConversion"/>
  </si>
  <si>
    <t>SDI3</t>
    <phoneticPr fontId="2" type="noConversion"/>
  </si>
  <si>
    <t>SDI2</t>
    <phoneticPr fontId="2" type="noConversion"/>
  </si>
  <si>
    <t>SDI1</t>
    <phoneticPr fontId="2" type="noConversion"/>
  </si>
  <si>
    <t>PID1-8</t>
    <phoneticPr fontId="2" type="noConversion"/>
  </si>
  <si>
    <t>PID1-7</t>
    <phoneticPr fontId="2" type="noConversion"/>
  </si>
  <si>
    <t>PID1-6</t>
    <phoneticPr fontId="2" type="noConversion"/>
  </si>
  <si>
    <t>PID1-5</t>
    <phoneticPr fontId="2" type="noConversion"/>
  </si>
  <si>
    <t>PID1-4</t>
    <phoneticPr fontId="2" type="noConversion"/>
  </si>
  <si>
    <t>PID1-3</t>
    <phoneticPr fontId="2" type="noConversion"/>
  </si>
  <si>
    <t>PID1-2</t>
    <phoneticPr fontId="2" type="noConversion"/>
  </si>
  <si>
    <t>PID1-1</t>
    <phoneticPr fontId="2" type="noConversion"/>
  </si>
  <si>
    <t>PII4</t>
    <phoneticPr fontId="2" type="noConversion"/>
  </si>
  <si>
    <t>PII3</t>
    <phoneticPr fontId="2" type="noConversion"/>
  </si>
  <si>
    <t>PII2</t>
    <phoneticPr fontId="2" type="noConversion"/>
  </si>
  <si>
    <t>PII1</t>
    <phoneticPr fontId="2" type="noConversion"/>
  </si>
  <si>
    <t>PID2-4</t>
    <phoneticPr fontId="2" type="noConversion"/>
  </si>
  <si>
    <t>PID2-3</t>
    <phoneticPr fontId="2" type="noConversion"/>
  </si>
  <si>
    <t>PID2-2</t>
    <phoneticPr fontId="2" type="noConversion"/>
  </si>
  <si>
    <t>PID2-1</t>
    <phoneticPr fontId="2" type="noConversion"/>
  </si>
  <si>
    <t>25~26</t>
    <phoneticPr fontId="2" type="noConversion"/>
  </si>
  <si>
    <t>27~28</t>
    <phoneticPr fontId="2" type="noConversion"/>
  </si>
  <si>
    <t>29~30</t>
    <phoneticPr fontId="2" type="noConversion"/>
  </si>
  <si>
    <t>31~32</t>
    <phoneticPr fontId="2" type="noConversion"/>
  </si>
  <si>
    <t>33~34</t>
    <phoneticPr fontId="2" type="noConversion"/>
  </si>
  <si>
    <t>35~36</t>
    <phoneticPr fontId="2" type="noConversion"/>
  </si>
  <si>
    <t>37~38</t>
    <phoneticPr fontId="2" type="noConversion"/>
  </si>
  <si>
    <t>39~40</t>
    <phoneticPr fontId="2" type="noConversion"/>
  </si>
  <si>
    <t>41~42</t>
    <phoneticPr fontId="2" type="noConversion"/>
  </si>
  <si>
    <t>43~44</t>
    <phoneticPr fontId="2" type="noConversion"/>
  </si>
  <si>
    <t>45~46</t>
    <phoneticPr fontId="2" type="noConversion"/>
  </si>
  <si>
    <t>47~48</t>
    <phoneticPr fontId="2" type="noConversion"/>
  </si>
  <si>
    <t>49~50</t>
    <phoneticPr fontId="2" type="noConversion"/>
  </si>
  <si>
    <t>11~12</t>
    <phoneticPr fontId="2" type="noConversion"/>
  </si>
  <si>
    <t>13~14</t>
    <phoneticPr fontId="2" type="noConversion"/>
  </si>
  <si>
    <t>15~16</t>
    <phoneticPr fontId="2" type="noConversion"/>
  </si>
  <si>
    <t>21~22</t>
    <phoneticPr fontId="2" type="noConversion"/>
  </si>
  <si>
    <t>23~24</t>
    <phoneticPr fontId="2" type="noConversion"/>
  </si>
  <si>
    <t>51~52</t>
    <phoneticPr fontId="2" type="noConversion"/>
  </si>
  <si>
    <t>53~54</t>
    <phoneticPr fontId="2" type="noConversion"/>
  </si>
  <si>
    <t>55~56</t>
    <phoneticPr fontId="2" type="noConversion"/>
  </si>
  <si>
    <t>57~58</t>
    <phoneticPr fontId="2" type="noConversion"/>
  </si>
  <si>
    <t>59~60</t>
    <phoneticPr fontId="2" type="noConversion"/>
  </si>
  <si>
    <t>61~62</t>
    <phoneticPr fontId="2" type="noConversion"/>
  </si>
  <si>
    <t>63~64</t>
    <phoneticPr fontId="2" type="noConversion"/>
  </si>
  <si>
    <t>19~20</t>
    <phoneticPr fontId="2" type="noConversion"/>
  </si>
  <si>
    <t>Communication Protocol Code Table</t>
    <phoneticPr fontId="2" type="noConversion"/>
  </si>
  <si>
    <t>Project :</t>
    <phoneticPr fontId="2" type="noConversion"/>
  </si>
  <si>
    <t>SEPTA SL-V CS.</t>
    <phoneticPr fontId="2" type="noConversion"/>
  </si>
  <si>
    <t>2008.10.24</t>
    <phoneticPr fontId="2" type="noConversion"/>
  </si>
  <si>
    <t>Maker:</t>
    <phoneticPr fontId="2" type="noConversion"/>
  </si>
  <si>
    <t>No.</t>
    <phoneticPr fontId="2" type="noConversion"/>
  </si>
  <si>
    <t>Size(Byte)</t>
    <phoneticPr fontId="2" type="noConversion"/>
  </si>
  <si>
    <t>1~2</t>
    <phoneticPr fontId="2" type="noConversion"/>
  </si>
  <si>
    <t>3~4</t>
    <phoneticPr fontId="2" type="noConversion"/>
  </si>
  <si>
    <t>5~6</t>
    <phoneticPr fontId="2" type="noConversion"/>
  </si>
  <si>
    <t>25~26</t>
    <phoneticPr fontId="2" type="noConversion"/>
  </si>
  <si>
    <t>27~28</t>
    <phoneticPr fontId="2" type="noConversion"/>
  </si>
  <si>
    <t>29~30</t>
    <phoneticPr fontId="2" type="noConversion"/>
  </si>
  <si>
    <t>31~32</t>
    <phoneticPr fontId="2" type="noConversion"/>
  </si>
  <si>
    <t>37~38</t>
    <phoneticPr fontId="2" type="noConversion"/>
  </si>
  <si>
    <t>39~40</t>
    <phoneticPr fontId="2" type="noConversion"/>
  </si>
  <si>
    <t>41~42</t>
    <phoneticPr fontId="2" type="noConversion"/>
  </si>
  <si>
    <t>43~44</t>
    <phoneticPr fontId="2" type="noConversion"/>
  </si>
  <si>
    <t>45~46</t>
    <phoneticPr fontId="2" type="noConversion"/>
  </si>
  <si>
    <t>47~48</t>
    <phoneticPr fontId="2" type="noConversion"/>
  </si>
  <si>
    <t>51~52</t>
    <phoneticPr fontId="2" type="noConversion"/>
  </si>
  <si>
    <t>CRB1</t>
    <phoneticPr fontId="2" type="noConversion"/>
  </si>
  <si>
    <t>WLR</t>
    <phoneticPr fontId="2" type="noConversion"/>
  </si>
  <si>
    <t>55~56</t>
    <phoneticPr fontId="2" type="noConversion"/>
  </si>
  <si>
    <t>57~58</t>
    <phoneticPr fontId="2" type="noConversion"/>
  </si>
  <si>
    <t>59~60</t>
    <phoneticPr fontId="2" type="noConversion"/>
  </si>
  <si>
    <t>61~62</t>
    <phoneticPr fontId="2" type="noConversion"/>
  </si>
  <si>
    <t>63~64</t>
    <phoneticPr fontId="2" type="noConversion"/>
  </si>
  <si>
    <t>65~66</t>
    <phoneticPr fontId="2" type="noConversion"/>
  </si>
  <si>
    <t>67~68</t>
    <phoneticPr fontId="2" type="noConversion"/>
  </si>
  <si>
    <t>CRB2</t>
    <phoneticPr fontId="2" type="noConversion"/>
  </si>
  <si>
    <t>71~72</t>
    <phoneticPr fontId="2" type="noConversion"/>
  </si>
  <si>
    <t>73~74</t>
    <phoneticPr fontId="2" type="noConversion"/>
  </si>
  <si>
    <t>75~76</t>
    <phoneticPr fontId="2" type="noConversion"/>
  </si>
  <si>
    <t>77~78</t>
    <phoneticPr fontId="2" type="noConversion"/>
  </si>
  <si>
    <t>79~80</t>
    <phoneticPr fontId="2" type="noConversion"/>
  </si>
  <si>
    <t>81~82</t>
    <phoneticPr fontId="2" type="noConversion"/>
  </si>
  <si>
    <t>83~84</t>
    <phoneticPr fontId="2" type="noConversion"/>
  </si>
  <si>
    <t>CRB3</t>
    <phoneticPr fontId="2" type="noConversion"/>
  </si>
  <si>
    <t>CRA3</t>
    <phoneticPr fontId="2" type="noConversion"/>
  </si>
  <si>
    <t>87~88</t>
    <phoneticPr fontId="2" type="noConversion"/>
  </si>
  <si>
    <t>CRB4</t>
    <phoneticPr fontId="2" type="noConversion"/>
  </si>
  <si>
    <t>CRA4</t>
    <phoneticPr fontId="2" type="noConversion"/>
  </si>
  <si>
    <t>CRB5</t>
    <phoneticPr fontId="2" type="noConversion"/>
  </si>
  <si>
    <t>CRA5</t>
    <phoneticPr fontId="2" type="noConversion"/>
  </si>
  <si>
    <t>CRB6</t>
    <phoneticPr fontId="2" type="noConversion"/>
  </si>
  <si>
    <t>CRA6</t>
    <phoneticPr fontId="2" type="noConversion"/>
  </si>
  <si>
    <t>CRB7</t>
    <phoneticPr fontId="2" type="noConversion"/>
  </si>
  <si>
    <t>CRA7</t>
    <phoneticPr fontId="2" type="noConversion"/>
  </si>
  <si>
    <t>CRB8</t>
    <phoneticPr fontId="2" type="noConversion"/>
  </si>
  <si>
    <t>CRA8</t>
    <phoneticPr fontId="2" type="noConversion"/>
  </si>
  <si>
    <t>CRB9</t>
    <phoneticPr fontId="2" type="noConversion"/>
  </si>
  <si>
    <t>CRA9</t>
    <phoneticPr fontId="2" type="noConversion"/>
  </si>
  <si>
    <t>CRB10</t>
    <phoneticPr fontId="2" type="noConversion"/>
  </si>
  <si>
    <t>CRA10</t>
    <phoneticPr fontId="2" type="noConversion"/>
  </si>
  <si>
    <t>CRB11</t>
    <phoneticPr fontId="2" type="noConversion"/>
  </si>
  <si>
    <t>CRA11</t>
    <phoneticPr fontId="2" type="noConversion"/>
  </si>
  <si>
    <t>CRB12</t>
    <phoneticPr fontId="2" type="noConversion"/>
  </si>
  <si>
    <t>CRA12</t>
    <phoneticPr fontId="2" type="noConversion"/>
  </si>
  <si>
    <t>35~36</t>
    <phoneticPr fontId="2" type="noConversion"/>
  </si>
  <si>
    <t>11~12</t>
    <phoneticPr fontId="2" type="noConversion"/>
  </si>
  <si>
    <t>13~14</t>
    <phoneticPr fontId="2" type="noConversion"/>
  </si>
  <si>
    <t>15~16</t>
    <phoneticPr fontId="2" type="noConversion"/>
  </si>
  <si>
    <t>1.3. General Data Format of Car line(Main CCP-&gt;Master PAC(PIS/CNCS/TRIC))</t>
    <phoneticPr fontId="2" type="noConversion"/>
  </si>
  <si>
    <t>Start Code</t>
    <phoneticPr fontId="2" type="noConversion"/>
  </si>
  <si>
    <t>Contolled Trigger ID Number Thousands Digit(BCD)</t>
    <phoneticPr fontId="2" type="noConversion"/>
  </si>
  <si>
    <t>Contolled Trigger ID Number Hundreds Digit(BCD)</t>
    <phoneticPr fontId="2" type="noConversion"/>
  </si>
  <si>
    <t>49~50</t>
    <phoneticPr fontId="2" type="noConversion"/>
  </si>
  <si>
    <t>Contolled Trigger ID Number Tens Digit(BCD)</t>
    <phoneticPr fontId="2" type="noConversion"/>
  </si>
  <si>
    <t>Contolled Trigger ID Number Units Digit(BCD)</t>
    <phoneticPr fontId="2" type="noConversion"/>
  </si>
  <si>
    <t>69~70</t>
    <phoneticPr fontId="2" type="noConversion"/>
  </si>
  <si>
    <t>spare</t>
    <phoneticPr fontId="2" type="noConversion"/>
  </si>
  <si>
    <t>All Clear</t>
    <phoneticPr fontId="2" type="noConversion"/>
  </si>
  <si>
    <t>Clear</t>
    <phoneticPr fontId="2" type="noConversion"/>
  </si>
  <si>
    <t>Reprint</t>
    <phoneticPr fontId="2" type="noConversion"/>
  </si>
  <si>
    <t>Massage name of Month(01~12)</t>
    <phoneticPr fontId="2" type="noConversion"/>
  </si>
  <si>
    <t>Massage name of Day(01~31)</t>
    <phoneticPr fontId="2" type="noConversion"/>
  </si>
  <si>
    <t>Massage name of Hour(00~23)</t>
    <phoneticPr fontId="2" type="noConversion"/>
  </si>
  <si>
    <t>Massage name of Minute(00~59)</t>
    <phoneticPr fontId="2" type="noConversion"/>
  </si>
  <si>
    <t>Massage name of Second(00~59)</t>
    <phoneticPr fontId="2" type="noConversion"/>
  </si>
  <si>
    <t>85~86</t>
    <phoneticPr fontId="2" type="noConversion"/>
  </si>
  <si>
    <t xml:space="preserve"> Source Device (All Device)</t>
    <phoneticPr fontId="2" type="noConversion"/>
  </si>
  <si>
    <t>53~54</t>
    <phoneticPr fontId="2" type="noConversion"/>
  </si>
  <si>
    <t>Checksum Code to CNCS</t>
    <phoneticPr fontId="2" type="noConversion"/>
  </si>
  <si>
    <t>33~34</t>
    <phoneticPr fontId="2" type="noConversion"/>
  </si>
  <si>
    <t>Year(00~99)</t>
    <phoneticPr fontId="2" type="noConversion"/>
  </si>
  <si>
    <t>Month(01~12)</t>
    <phoneticPr fontId="2" type="noConversion"/>
  </si>
  <si>
    <t>Day(01~31)</t>
    <phoneticPr fontId="2" type="noConversion"/>
  </si>
  <si>
    <t>Hour(00~23)</t>
    <phoneticPr fontId="2" type="noConversion"/>
  </si>
  <si>
    <t>Minute(00~59)</t>
    <phoneticPr fontId="2" type="noConversion"/>
  </si>
  <si>
    <t>Second(00~59)</t>
    <phoneticPr fontId="2" type="noConversion"/>
  </si>
  <si>
    <t>GPRMC N Number Units Digit(BCD)</t>
    <phoneticPr fontId="2" type="noConversion"/>
  </si>
  <si>
    <r>
      <t xml:space="preserve">GPRMC N Number </t>
    </r>
    <r>
      <rPr>
        <sz val="8"/>
        <rFont val="돋움"/>
        <family val="3"/>
        <charset val="129"/>
      </rPr>
      <t>소수점</t>
    </r>
    <r>
      <rPr>
        <sz val="8"/>
        <rFont val="Arial"/>
        <family val="2"/>
      </rPr>
      <t xml:space="preserve"> 1</t>
    </r>
    <r>
      <rPr>
        <sz val="8"/>
        <rFont val="돋움"/>
        <family val="3"/>
        <charset val="129"/>
      </rPr>
      <t>자리</t>
    </r>
    <r>
      <rPr>
        <sz val="8"/>
        <rFont val="Arial"/>
        <family val="2"/>
      </rPr>
      <t xml:space="preserve"> Digit(BCD)</t>
    </r>
    <phoneticPr fontId="2" type="noConversion"/>
  </si>
  <si>
    <r>
      <t xml:space="preserve">GPRMC N Number </t>
    </r>
    <r>
      <rPr>
        <sz val="8"/>
        <rFont val="돋움"/>
        <family val="3"/>
        <charset val="129"/>
      </rPr>
      <t>소수점</t>
    </r>
    <r>
      <rPr>
        <sz val="8"/>
        <rFont val="Arial"/>
        <family val="2"/>
      </rPr>
      <t xml:space="preserve"> 2</t>
    </r>
    <r>
      <rPr>
        <sz val="8"/>
        <rFont val="돋움"/>
        <family val="3"/>
        <charset val="129"/>
      </rPr>
      <t>자리</t>
    </r>
    <r>
      <rPr>
        <sz val="8"/>
        <rFont val="Arial"/>
        <family val="2"/>
      </rPr>
      <t xml:space="preserve"> Digit(BCD)</t>
    </r>
    <phoneticPr fontId="2" type="noConversion"/>
  </si>
  <si>
    <r>
      <t xml:space="preserve">GPRMC N Number </t>
    </r>
    <r>
      <rPr>
        <sz val="8"/>
        <rFont val="돋움"/>
        <family val="3"/>
        <charset val="129"/>
      </rPr>
      <t>소수점</t>
    </r>
    <r>
      <rPr>
        <sz val="8"/>
        <rFont val="Arial"/>
        <family val="2"/>
      </rPr>
      <t xml:space="preserve"> 3</t>
    </r>
    <r>
      <rPr>
        <sz val="8"/>
        <rFont val="돋움"/>
        <family val="3"/>
        <charset val="129"/>
      </rPr>
      <t>자리</t>
    </r>
    <r>
      <rPr>
        <sz val="8"/>
        <rFont val="Arial"/>
        <family val="2"/>
      </rPr>
      <t xml:space="preserve"> Digit(BCD)</t>
    </r>
    <phoneticPr fontId="2" type="noConversion"/>
  </si>
  <si>
    <r>
      <t xml:space="preserve">GPRMC N Number </t>
    </r>
    <r>
      <rPr>
        <sz val="8"/>
        <rFont val="돋움"/>
        <family val="3"/>
        <charset val="129"/>
      </rPr>
      <t>소수점</t>
    </r>
    <r>
      <rPr>
        <sz val="8"/>
        <rFont val="Arial"/>
        <family val="2"/>
      </rPr>
      <t xml:space="preserve"> 4</t>
    </r>
    <r>
      <rPr>
        <sz val="8"/>
        <rFont val="돋움"/>
        <family val="3"/>
        <charset val="129"/>
      </rPr>
      <t>자리</t>
    </r>
    <r>
      <rPr>
        <sz val="8"/>
        <rFont val="Arial"/>
        <family val="2"/>
      </rPr>
      <t xml:space="preserve"> Digit(BCD)</t>
    </r>
    <phoneticPr fontId="2" type="noConversion"/>
  </si>
  <si>
    <r>
      <t xml:space="preserve">GPRMC N Number </t>
    </r>
    <r>
      <rPr>
        <sz val="8"/>
        <rFont val="돋움"/>
        <family val="3"/>
        <charset val="129"/>
      </rPr>
      <t>소수점</t>
    </r>
    <r>
      <rPr>
        <sz val="8"/>
        <rFont val="Arial"/>
        <family val="2"/>
      </rPr>
      <t xml:space="preserve"> 5</t>
    </r>
    <r>
      <rPr>
        <sz val="8"/>
        <rFont val="돋움"/>
        <family val="3"/>
        <charset val="129"/>
      </rPr>
      <t>자리</t>
    </r>
    <r>
      <rPr>
        <sz val="8"/>
        <rFont val="Arial"/>
        <family val="2"/>
      </rPr>
      <t xml:space="preserve"> Digit(BCD)</t>
    </r>
    <phoneticPr fontId="2" type="noConversion"/>
  </si>
  <si>
    <t>GPRMC E Number Tens Digit(BCD)</t>
    <phoneticPr fontId="2" type="noConversion"/>
  </si>
  <si>
    <t>GPRMC E Number Units Digit(BCD)</t>
    <phoneticPr fontId="2" type="noConversion"/>
  </si>
  <si>
    <r>
      <t xml:space="preserve">GPRMC E Number </t>
    </r>
    <r>
      <rPr>
        <sz val="8"/>
        <rFont val="돋움"/>
        <family val="3"/>
        <charset val="129"/>
      </rPr>
      <t>소수점</t>
    </r>
    <r>
      <rPr>
        <sz val="8"/>
        <rFont val="Arial"/>
        <family val="2"/>
      </rPr>
      <t xml:space="preserve"> 1</t>
    </r>
    <r>
      <rPr>
        <sz val="8"/>
        <rFont val="돋움"/>
        <family val="3"/>
        <charset val="129"/>
      </rPr>
      <t>자리</t>
    </r>
    <r>
      <rPr>
        <sz val="8"/>
        <rFont val="Arial"/>
        <family val="2"/>
      </rPr>
      <t xml:space="preserve"> Digit(BCD)</t>
    </r>
    <phoneticPr fontId="2" type="noConversion"/>
  </si>
  <si>
    <r>
      <t xml:space="preserve">GPRMC E Number </t>
    </r>
    <r>
      <rPr>
        <sz val="8"/>
        <rFont val="돋움"/>
        <family val="3"/>
        <charset val="129"/>
      </rPr>
      <t>소수점</t>
    </r>
    <r>
      <rPr>
        <sz val="8"/>
        <rFont val="Arial"/>
        <family val="2"/>
      </rPr>
      <t xml:space="preserve"> 2</t>
    </r>
    <r>
      <rPr>
        <sz val="8"/>
        <rFont val="돋움"/>
        <family val="3"/>
        <charset val="129"/>
      </rPr>
      <t>자리</t>
    </r>
    <r>
      <rPr>
        <sz val="8"/>
        <rFont val="Arial"/>
        <family val="2"/>
      </rPr>
      <t xml:space="preserve"> Digit(BCD)</t>
    </r>
    <phoneticPr fontId="2" type="noConversion"/>
  </si>
  <si>
    <r>
      <t xml:space="preserve">GPRMC E Number </t>
    </r>
    <r>
      <rPr>
        <sz val="8"/>
        <rFont val="돋움"/>
        <family val="3"/>
        <charset val="129"/>
      </rPr>
      <t>소수점</t>
    </r>
    <r>
      <rPr>
        <sz val="8"/>
        <rFont val="Arial"/>
        <family val="2"/>
      </rPr>
      <t xml:space="preserve"> 3</t>
    </r>
    <r>
      <rPr>
        <sz val="8"/>
        <rFont val="돋움"/>
        <family val="3"/>
        <charset val="129"/>
      </rPr>
      <t>자리</t>
    </r>
    <r>
      <rPr>
        <sz val="8"/>
        <rFont val="Arial"/>
        <family val="2"/>
      </rPr>
      <t xml:space="preserve"> Digit(BCD)</t>
    </r>
    <phoneticPr fontId="2" type="noConversion"/>
  </si>
  <si>
    <r>
      <t xml:space="preserve">GPRMC E Number </t>
    </r>
    <r>
      <rPr>
        <sz val="8"/>
        <rFont val="돋움"/>
        <family val="3"/>
        <charset val="129"/>
      </rPr>
      <t>소수점</t>
    </r>
    <r>
      <rPr>
        <sz val="8"/>
        <rFont val="Arial"/>
        <family val="2"/>
      </rPr>
      <t xml:space="preserve"> 4</t>
    </r>
    <r>
      <rPr>
        <sz val="8"/>
        <rFont val="돋움"/>
        <family val="3"/>
        <charset val="129"/>
      </rPr>
      <t>자리</t>
    </r>
    <r>
      <rPr>
        <sz val="8"/>
        <rFont val="Arial"/>
        <family val="2"/>
      </rPr>
      <t xml:space="preserve"> Digit(BCD)</t>
    </r>
    <phoneticPr fontId="2" type="noConversion"/>
  </si>
  <si>
    <r>
      <t xml:space="preserve">GPRMC E Number </t>
    </r>
    <r>
      <rPr>
        <sz val="8"/>
        <rFont val="돋움"/>
        <family val="3"/>
        <charset val="129"/>
      </rPr>
      <t>소수점</t>
    </r>
    <r>
      <rPr>
        <sz val="8"/>
        <rFont val="Arial"/>
        <family val="2"/>
      </rPr>
      <t xml:space="preserve"> 5</t>
    </r>
    <r>
      <rPr>
        <sz val="8"/>
        <rFont val="돋움"/>
        <family val="3"/>
        <charset val="129"/>
      </rPr>
      <t>자리</t>
    </r>
    <r>
      <rPr>
        <sz val="8"/>
        <rFont val="Arial"/>
        <family val="2"/>
      </rPr>
      <t xml:space="preserve"> Digit(BCD)</t>
    </r>
    <phoneticPr fontId="2" type="noConversion"/>
  </si>
  <si>
    <t>Hang-Up</t>
    <phoneticPr fontId="2" type="noConversion"/>
  </si>
  <si>
    <t>PTT</t>
    <phoneticPr fontId="2" type="noConversion"/>
  </si>
  <si>
    <t>Printed Fail</t>
    <phoneticPr fontId="2" type="noConversion"/>
  </si>
  <si>
    <t>Printed OK</t>
    <phoneticPr fontId="2" type="noConversion"/>
  </si>
  <si>
    <t>RPT</t>
    <phoneticPr fontId="2" type="noConversion"/>
  </si>
  <si>
    <t>Destination Device (All Device)</t>
    <phoneticPr fontId="2" type="noConversion"/>
  </si>
  <si>
    <t>Destination Device (All Device)</t>
    <phoneticPr fontId="2" type="noConversion"/>
  </si>
  <si>
    <t>Destination Device (All Device)</t>
    <phoneticPr fontId="2" type="noConversion"/>
  </si>
  <si>
    <t xml:space="preserve">Text Data
</t>
    <phoneticPr fontId="2" type="noConversion"/>
  </si>
  <si>
    <t>Source Device (All Device)</t>
    <phoneticPr fontId="2" type="noConversion"/>
  </si>
  <si>
    <t>Source Device (All Device)</t>
    <phoneticPr fontId="2" type="noConversion"/>
  </si>
  <si>
    <t>7~8</t>
    <phoneticPr fontId="2" type="noConversion"/>
  </si>
  <si>
    <t>9~10</t>
    <phoneticPr fontId="2" type="noConversion"/>
  </si>
  <si>
    <t>Route Number(1~9)</t>
    <phoneticPr fontId="2" type="noConversion"/>
  </si>
  <si>
    <t>Route Number(1~9)</t>
    <phoneticPr fontId="2" type="noConversion"/>
  </si>
  <si>
    <t>1.9. General Data Format of Car line( TRIC=&gt;PAC(CCP))</t>
    <phoneticPr fontId="2" type="noConversion"/>
  </si>
  <si>
    <t>SOH</t>
    <phoneticPr fontId="2" type="noConversion"/>
  </si>
  <si>
    <t>SID</t>
    <phoneticPr fontId="2" type="noConversion"/>
  </si>
  <si>
    <t>DID</t>
    <phoneticPr fontId="2" type="noConversion"/>
  </si>
  <si>
    <t>MC</t>
    <phoneticPr fontId="2" type="noConversion"/>
  </si>
  <si>
    <t>CMD</t>
    <phoneticPr fontId="2" type="noConversion"/>
  </si>
  <si>
    <t>LNG</t>
    <phoneticPr fontId="2" type="noConversion"/>
  </si>
  <si>
    <t>PAC_T</t>
    <phoneticPr fontId="2" type="noConversion"/>
  </si>
  <si>
    <t>13~14</t>
    <phoneticPr fontId="2" type="noConversion"/>
  </si>
  <si>
    <t>15~16</t>
    <phoneticPr fontId="2" type="noConversion"/>
  </si>
  <si>
    <t>CCP_M</t>
    <phoneticPr fontId="2" type="noConversion"/>
  </si>
  <si>
    <t>CNCS_T</t>
    <phoneticPr fontId="2" type="noConversion"/>
  </si>
  <si>
    <t>D1</t>
    <phoneticPr fontId="2" type="noConversion"/>
  </si>
  <si>
    <t>D2</t>
    <phoneticPr fontId="2" type="noConversion"/>
  </si>
  <si>
    <t>D3</t>
    <phoneticPr fontId="2" type="noConversion"/>
  </si>
  <si>
    <t>D4</t>
    <phoneticPr fontId="2" type="noConversion"/>
  </si>
  <si>
    <t>CHK</t>
    <phoneticPr fontId="2" type="noConversion"/>
  </si>
  <si>
    <t>EOT</t>
    <phoneticPr fontId="2" type="noConversion"/>
  </si>
  <si>
    <t>Abb</t>
    <phoneticPr fontId="2" type="noConversion"/>
  </si>
  <si>
    <t>Abb</t>
    <phoneticPr fontId="2" type="noConversion"/>
  </si>
  <si>
    <t>CID</t>
    <phoneticPr fontId="2" type="noConversion"/>
  </si>
  <si>
    <t>CARN</t>
    <phoneticPr fontId="2" type="noConversion"/>
  </si>
  <si>
    <t>SPARE</t>
    <phoneticPr fontId="2" type="noConversion"/>
  </si>
  <si>
    <t>TRAN</t>
    <phoneticPr fontId="2" type="noConversion"/>
  </si>
  <si>
    <t>TRIP</t>
    <phoneticPr fontId="2" type="noConversion"/>
  </si>
  <si>
    <t>SPK</t>
    <phoneticPr fontId="2" type="noConversion"/>
  </si>
  <si>
    <t>DTI</t>
    <phoneticPr fontId="2" type="noConversion"/>
  </si>
  <si>
    <t>D0</t>
    <phoneticPr fontId="2" type="noConversion"/>
  </si>
  <si>
    <t>CCI</t>
    <phoneticPr fontId="2" type="noConversion"/>
  </si>
  <si>
    <t>CAR1
INFO</t>
    <phoneticPr fontId="2" type="noConversion"/>
  </si>
  <si>
    <t>CRA2</t>
    <phoneticPr fontId="2" type="noConversion"/>
  </si>
  <si>
    <t>CRA1(Car1)</t>
    <phoneticPr fontId="2" type="noConversion"/>
  </si>
  <si>
    <t>CAR2
INFO</t>
  </si>
  <si>
    <t>CAR3
INFO</t>
  </si>
  <si>
    <t>CAR4
INFO</t>
  </si>
  <si>
    <t>CAR5
INFO</t>
  </si>
  <si>
    <t>CAR6
INFO</t>
  </si>
  <si>
    <t>CAR7
INFO</t>
  </si>
  <si>
    <t>CAR8
INFO</t>
  </si>
  <si>
    <t>CAR9
INFO</t>
  </si>
  <si>
    <t>CAR10
INFO</t>
  </si>
  <si>
    <t>CAR11
INFO</t>
  </si>
  <si>
    <t>CAR12
INFO</t>
  </si>
  <si>
    <t>Start Station Code High("00H")</t>
    <phoneticPr fontId="2" type="noConversion"/>
  </si>
  <si>
    <t>Start Station Code Low("00H")</t>
    <phoneticPr fontId="2" type="noConversion"/>
  </si>
  <si>
    <t>Now Station Code High("00H")</t>
    <phoneticPr fontId="2" type="noConversion"/>
  </si>
  <si>
    <t>Next Station Code High("00H")</t>
    <phoneticPr fontId="2" type="noConversion"/>
  </si>
  <si>
    <t>Destination Code High("00H")</t>
    <phoneticPr fontId="2" type="noConversion"/>
  </si>
  <si>
    <t>Now StationCode Low("00H")</t>
    <phoneticPr fontId="2" type="noConversion"/>
  </si>
  <si>
    <t>Next Station Code Low("00H")</t>
    <phoneticPr fontId="2" type="noConversion"/>
  </si>
  <si>
    <t>Destination Code Low("00H")</t>
    <phoneticPr fontId="2" type="noConversion"/>
  </si>
  <si>
    <t>STST</t>
    <phoneticPr fontId="2" type="noConversion"/>
  </si>
  <si>
    <t>NOST</t>
    <phoneticPr fontId="2" type="noConversion"/>
  </si>
  <si>
    <t>NEST</t>
    <phoneticPr fontId="2" type="noConversion"/>
  </si>
  <si>
    <t>DEST</t>
    <phoneticPr fontId="2" type="noConversion"/>
  </si>
  <si>
    <t>DATE</t>
    <phoneticPr fontId="2" type="noConversion"/>
  </si>
  <si>
    <t>SPARE</t>
    <phoneticPr fontId="2" type="noConversion"/>
  </si>
  <si>
    <t>CHK</t>
    <phoneticPr fontId="2" type="noConversion"/>
  </si>
  <si>
    <t>EOT</t>
    <phoneticPr fontId="2" type="noConversion"/>
  </si>
  <si>
    <t>59~60</t>
    <phoneticPr fontId="2" type="noConversion"/>
  </si>
  <si>
    <t>Start Station Code High("00H")</t>
    <phoneticPr fontId="2" type="noConversion"/>
  </si>
  <si>
    <t>Now Station Code High("00H")</t>
    <phoneticPr fontId="2" type="noConversion"/>
  </si>
  <si>
    <t>Next Station Code High("00H")</t>
    <phoneticPr fontId="2" type="noConversion"/>
  </si>
  <si>
    <t>Destination Code High("00H")</t>
    <phoneticPr fontId="2" type="noConversion"/>
  </si>
  <si>
    <t>Destination Code Low("00H")</t>
    <phoneticPr fontId="2" type="noConversion"/>
  </si>
  <si>
    <t>Next Station Code Low("00H")</t>
    <phoneticPr fontId="2" type="noConversion"/>
  </si>
  <si>
    <t>Now Station Code Low("00H")</t>
    <phoneticPr fontId="2" type="noConversion"/>
  </si>
  <si>
    <t>CNCHK</t>
    <phoneticPr fontId="2" type="noConversion"/>
  </si>
  <si>
    <t>Abb</t>
    <phoneticPr fontId="2" type="noConversion"/>
  </si>
  <si>
    <t>SOH</t>
    <phoneticPr fontId="2" type="noConversion"/>
  </si>
  <si>
    <t>SID</t>
    <phoneticPr fontId="2" type="noConversion"/>
  </si>
  <si>
    <t>DID</t>
    <phoneticPr fontId="2" type="noConversion"/>
  </si>
  <si>
    <t>MC</t>
    <phoneticPr fontId="2" type="noConversion"/>
  </si>
  <si>
    <t>CMD</t>
    <phoneticPr fontId="2" type="noConversion"/>
  </si>
  <si>
    <t>LNG</t>
    <phoneticPr fontId="2" type="noConversion"/>
  </si>
  <si>
    <t>D0</t>
    <phoneticPr fontId="2" type="noConversion"/>
  </si>
  <si>
    <t>DATA</t>
    <phoneticPr fontId="2" type="noConversion"/>
  </si>
  <si>
    <t>CHK</t>
    <phoneticPr fontId="2" type="noConversion"/>
  </si>
  <si>
    <t>EOT</t>
    <phoneticPr fontId="2" type="noConversion"/>
  </si>
  <si>
    <t>SOH</t>
    <phoneticPr fontId="2" type="noConversion"/>
  </si>
  <si>
    <t>SID</t>
    <phoneticPr fontId="2" type="noConversion"/>
  </si>
  <si>
    <t>DID</t>
    <phoneticPr fontId="2" type="noConversion"/>
  </si>
  <si>
    <t>MC</t>
    <phoneticPr fontId="2" type="noConversion"/>
  </si>
  <si>
    <t>CMD</t>
    <phoneticPr fontId="2" type="noConversion"/>
  </si>
  <si>
    <t>LNG</t>
    <phoneticPr fontId="2" type="noConversion"/>
  </si>
  <si>
    <t>LAT</t>
    <phoneticPr fontId="2" type="noConversion"/>
  </si>
  <si>
    <t>LON</t>
    <phoneticPr fontId="2" type="noConversion"/>
  </si>
  <si>
    <t>SPARE</t>
    <phoneticPr fontId="2" type="noConversion"/>
  </si>
  <si>
    <t>Message Count(0~99)</t>
    <phoneticPr fontId="2" type="noConversion"/>
  </si>
  <si>
    <t>Spare</t>
    <phoneticPr fontId="2" type="noConversion"/>
  </si>
  <si>
    <t>D1</t>
    <phoneticPr fontId="2" type="noConversion"/>
  </si>
  <si>
    <t>1.8. General Data Format of Car line( Master(PAC=&gt;GIA)</t>
    <phoneticPr fontId="2" type="noConversion"/>
  </si>
  <si>
    <t>33~34</t>
    <phoneticPr fontId="2" type="noConversion"/>
  </si>
  <si>
    <t>RNUM</t>
    <phoneticPr fontId="2" type="noConversion"/>
  </si>
  <si>
    <t>RH2</t>
    <phoneticPr fontId="2" type="noConversion"/>
  </si>
  <si>
    <t>Destination Code High("00H")</t>
    <phoneticPr fontId="2" type="noConversion"/>
  </si>
  <si>
    <t>Direction of next  door open  of married B(801)</t>
    <phoneticPr fontId="2" type="noConversion"/>
  </si>
  <si>
    <t>Direction of next door open of married A(802) or single</t>
    <phoneticPr fontId="2" type="noConversion"/>
  </si>
  <si>
    <t>Direction of now  door open  of married B(801)</t>
    <phoneticPr fontId="2" type="noConversion"/>
  </si>
  <si>
    <t>Direction of now door open of married A(802) or single</t>
    <phoneticPr fontId="2" type="noConversion"/>
  </si>
  <si>
    <t>Door status of merried B(801),(0:Close, 1:Open)</t>
    <phoneticPr fontId="2" type="noConversion"/>
  </si>
  <si>
    <t>Door status of merried B(801) or single(0:Close, 1:Open)</t>
    <phoneticPr fontId="2" type="noConversion"/>
  </si>
  <si>
    <t>DS</t>
    <phoneticPr fontId="2" type="noConversion"/>
  </si>
  <si>
    <t>NOWD</t>
    <phoneticPr fontId="2" type="noConversion"/>
  </si>
  <si>
    <t>NEXD</t>
    <phoneticPr fontId="2" type="noConversion"/>
  </si>
  <si>
    <t>LH2</t>
    <phoneticPr fontId="2" type="noConversion"/>
  </si>
  <si>
    <t>LL2</t>
    <phoneticPr fontId="2" type="noConversion"/>
  </si>
  <si>
    <t>RL2</t>
    <phoneticPr fontId="2" type="noConversion"/>
  </si>
  <si>
    <t>LH1</t>
    <phoneticPr fontId="2" type="noConversion"/>
  </si>
  <si>
    <t>LL1</t>
    <phoneticPr fontId="2" type="noConversion"/>
  </si>
  <si>
    <t>RH1</t>
    <phoneticPr fontId="2" type="noConversion"/>
  </si>
  <si>
    <t>35~36</t>
    <phoneticPr fontId="2" type="noConversion"/>
  </si>
  <si>
    <t>NOWD</t>
    <phoneticPr fontId="2" type="noConversion"/>
  </si>
  <si>
    <t>Direction of now  door open  of married B(801)</t>
    <phoneticPr fontId="2" type="noConversion"/>
  </si>
  <si>
    <t>Direction of now door open of married A(802) or single</t>
    <phoneticPr fontId="2" type="noConversion"/>
  </si>
  <si>
    <t>LH2</t>
    <phoneticPr fontId="2" type="noConversion"/>
  </si>
  <si>
    <t>LL2</t>
    <phoneticPr fontId="2" type="noConversion"/>
  </si>
  <si>
    <t>RH2</t>
    <phoneticPr fontId="2" type="noConversion"/>
  </si>
  <si>
    <t>RL2</t>
    <phoneticPr fontId="2" type="noConversion"/>
  </si>
  <si>
    <t>LH1</t>
    <phoneticPr fontId="2" type="noConversion"/>
  </si>
  <si>
    <t>LL1</t>
    <phoneticPr fontId="2" type="noConversion"/>
  </si>
  <si>
    <t>RH1</t>
    <phoneticPr fontId="2" type="noConversion"/>
  </si>
  <si>
    <t>RL1</t>
    <phoneticPr fontId="2" type="noConversion"/>
  </si>
  <si>
    <t>NEXD</t>
    <phoneticPr fontId="2" type="noConversion"/>
  </si>
  <si>
    <t>Direction of next  door open  of married B(801)</t>
    <phoneticPr fontId="2" type="noConversion"/>
  </si>
  <si>
    <t>Direction of next door open of married A(802) or single</t>
    <phoneticPr fontId="2" type="noConversion"/>
  </si>
  <si>
    <t>37~38</t>
  </si>
  <si>
    <t>51~52</t>
    <phoneticPr fontId="2" type="noConversion"/>
  </si>
  <si>
    <t>33~34</t>
    <phoneticPr fontId="2" type="noConversion"/>
  </si>
  <si>
    <t>DS</t>
    <phoneticPr fontId="2" type="noConversion"/>
  </si>
  <si>
    <t>33~34</t>
    <phoneticPr fontId="2" type="noConversion"/>
  </si>
  <si>
    <t>DS</t>
    <phoneticPr fontId="2" type="noConversion"/>
  </si>
  <si>
    <t>LH2</t>
    <phoneticPr fontId="2" type="noConversion"/>
  </si>
  <si>
    <t>LL2</t>
    <phoneticPr fontId="2" type="noConversion"/>
  </si>
  <si>
    <t>RH2</t>
    <phoneticPr fontId="2" type="noConversion"/>
  </si>
  <si>
    <t>RL2</t>
    <phoneticPr fontId="2" type="noConversion"/>
  </si>
  <si>
    <t>LH1</t>
    <phoneticPr fontId="2" type="noConversion"/>
  </si>
  <si>
    <t>LL1</t>
    <phoneticPr fontId="2" type="noConversion"/>
  </si>
  <si>
    <t>RH1</t>
    <phoneticPr fontId="2" type="noConversion"/>
  </si>
  <si>
    <t>RL1</t>
    <phoneticPr fontId="2" type="noConversion"/>
  </si>
  <si>
    <t>65~66</t>
    <phoneticPr fontId="2" type="noConversion"/>
  </si>
  <si>
    <t>69~70</t>
    <phoneticPr fontId="2" type="noConversion"/>
  </si>
  <si>
    <t>71~72</t>
    <phoneticPr fontId="2" type="noConversion"/>
  </si>
  <si>
    <t>PEI5 Call</t>
    <phoneticPr fontId="2" type="noConversion"/>
  </si>
  <si>
    <t>Trigger ID Number Hundreds Digit(BCD)</t>
    <phoneticPr fontId="2" type="noConversion"/>
  </si>
  <si>
    <t>Trigger ID Number Thousands Digit(BCD)</t>
    <phoneticPr fontId="2" type="noConversion"/>
  </si>
  <si>
    <t>Trigger ID Number Hundred Thousands Digit(BCD)</t>
    <phoneticPr fontId="2" type="noConversion"/>
  </si>
  <si>
    <t>Crew ID Number Ten Thousand Digit(BCD)</t>
    <phoneticPr fontId="2" type="noConversion"/>
  </si>
  <si>
    <t>Train Number Ten Thousand Digit(BCD)</t>
    <phoneticPr fontId="2" type="noConversion"/>
  </si>
  <si>
    <t>Crew ID Number Ten Thousand Digit(BCD)</t>
    <phoneticPr fontId="2" type="noConversion"/>
  </si>
  <si>
    <t>Trigger ID Number Ten Thousands Digit(BCD)</t>
    <phoneticPr fontId="2" type="noConversion"/>
  </si>
  <si>
    <t>Door status of merried B(801),(0:Close, 1:Open)</t>
    <phoneticPr fontId="2" type="noConversion"/>
  </si>
  <si>
    <t>Door status of merried A(802) or single(0:Close, 1:Open)</t>
    <phoneticPr fontId="2" type="noConversion"/>
  </si>
  <si>
    <t>57~58</t>
    <phoneticPr fontId="2" type="noConversion"/>
  </si>
  <si>
    <t>1.4. General Data Format of Car line(Master PAC=&gt;LIC)</t>
    <phoneticPr fontId="2" type="noConversion"/>
  </si>
  <si>
    <t>1.5. General Data Format of Car line(Master PAC=&gt;VTX)</t>
    <phoneticPr fontId="2" type="noConversion"/>
  </si>
  <si>
    <t>1.4. General Data Format of Car line( LIC=&gt;Master PAC)</t>
    <phoneticPr fontId="2" type="noConversion"/>
  </si>
  <si>
    <t>1.5. General Data Format of Car line( VTX=&gt;Master PAC)</t>
    <phoneticPr fontId="2" type="noConversion"/>
  </si>
  <si>
    <t>1.6. General Data Format of Car line (Master PAC =&gt;PIS)</t>
    <phoneticPr fontId="2" type="noConversion"/>
  </si>
  <si>
    <t>1.6. General Data Format of Car line( PIS =&gt; Master PAC)</t>
    <phoneticPr fontId="2" type="noConversion"/>
  </si>
  <si>
    <t>1.7. General Data Format of Car line(Master PAC =&gt; CNCS)</t>
    <phoneticPr fontId="2" type="noConversion"/>
  </si>
  <si>
    <t>1.7. General Data Format of Car line (CNCS-&gt;PAC( PIS) )</t>
    <phoneticPr fontId="2" type="noConversion"/>
  </si>
  <si>
    <t>1.9. General Data Format of Car line(Master PAC=&gt;TRIC)</t>
    <phoneticPr fontId="2" type="noConversion"/>
  </si>
  <si>
    <t>Spare</t>
    <phoneticPr fontId="2" type="noConversion"/>
  </si>
  <si>
    <t>Route Number</t>
    <phoneticPr fontId="2" type="noConversion"/>
  </si>
  <si>
    <t>B Cab On</t>
    <phoneticPr fontId="2" type="noConversion"/>
  </si>
  <si>
    <t>COD</t>
    <phoneticPr fontId="2" type="noConversion"/>
  </si>
  <si>
    <r>
      <t>Classify of Device(</t>
    </r>
    <r>
      <rPr>
        <sz val="8"/>
        <rFont val="돋움"/>
        <family val="3"/>
        <charset val="129"/>
      </rPr>
      <t>장치별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종류</t>
    </r>
    <r>
      <rPr>
        <sz val="8"/>
        <rFont val="Arial"/>
        <family val="2"/>
      </rPr>
      <t>)</t>
    </r>
    <phoneticPr fontId="2" type="noConversion"/>
  </si>
  <si>
    <t>GPRMC N Number Hundreds Digit(BCD)</t>
    <phoneticPr fontId="2" type="noConversion"/>
  </si>
  <si>
    <t>GPRMC E Number Thousand Digit(BCD)</t>
    <phoneticPr fontId="2" type="noConversion"/>
  </si>
  <si>
    <t>GPRMC E Number Hundreds Digit(BCD)</t>
    <phoneticPr fontId="2" type="noConversion"/>
  </si>
  <si>
    <t>GPRMC E Number Hundreds Thousand Digit(BCD)</t>
    <phoneticPr fontId="2" type="noConversion"/>
  </si>
  <si>
    <t>D0</t>
    <phoneticPr fontId="2" type="noConversion"/>
  </si>
  <si>
    <t>D1</t>
    <phoneticPr fontId="2" type="noConversion"/>
  </si>
  <si>
    <t>TCP Status</t>
    <phoneticPr fontId="2" type="noConversion"/>
  </si>
  <si>
    <t>Massage name of Year(00~99)</t>
    <phoneticPr fontId="2" type="noConversion"/>
  </si>
  <si>
    <t>Massage name of Month(01~12)</t>
    <phoneticPr fontId="2" type="noConversion"/>
  </si>
  <si>
    <t>Massage name of Day(01~31)</t>
    <phoneticPr fontId="2" type="noConversion"/>
  </si>
  <si>
    <t>Massage name of Hour(00~23)</t>
    <phoneticPr fontId="2" type="noConversion"/>
  </si>
  <si>
    <t>Massage name of Minute(00~59)</t>
    <phoneticPr fontId="2" type="noConversion"/>
  </si>
  <si>
    <t>Massage name of Second(00~59)</t>
    <phoneticPr fontId="2" type="noConversion"/>
  </si>
  <si>
    <t>53~54</t>
    <phoneticPr fontId="2" type="noConversion"/>
  </si>
  <si>
    <t>Trigger ID Number Units Digit(BCD)</t>
    <phoneticPr fontId="2" type="noConversion"/>
  </si>
  <si>
    <t>Train Number Hundreds Digit(BCD)</t>
    <phoneticPr fontId="2" type="noConversion"/>
  </si>
  <si>
    <t>1.2. General Data Format of Car line(Master PAC-&gt;Master CCP(CNCS,LIC))</t>
    <phoneticPr fontId="2" type="noConversion"/>
  </si>
  <si>
    <t>1.8. General Data Format of Car line(GIA=&gt;Master PAC(Master CCP, PIS, TRIC))</t>
    <phoneticPr fontId="2" type="noConversion"/>
  </si>
  <si>
    <t>73~74</t>
    <phoneticPr fontId="2" type="noConversion"/>
  </si>
  <si>
    <t>75~76</t>
    <phoneticPr fontId="2" type="noConversion"/>
  </si>
  <si>
    <t>93~94</t>
    <phoneticPr fontId="2" type="noConversion"/>
  </si>
  <si>
    <t>95~96</t>
    <phoneticPr fontId="2" type="noConversion"/>
  </si>
  <si>
    <t>97~98</t>
    <phoneticPr fontId="2" type="noConversion"/>
  </si>
  <si>
    <t>77~78</t>
    <phoneticPr fontId="2" type="noConversion"/>
  </si>
  <si>
    <t>79~80</t>
    <phoneticPr fontId="2" type="noConversion"/>
  </si>
  <si>
    <t>81~82</t>
    <phoneticPr fontId="2" type="noConversion"/>
  </si>
  <si>
    <t>83~84</t>
    <phoneticPr fontId="2" type="noConversion"/>
  </si>
  <si>
    <t>85~86</t>
    <phoneticPr fontId="2" type="noConversion"/>
  </si>
  <si>
    <t>87~88</t>
    <phoneticPr fontId="2" type="noConversion"/>
  </si>
  <si>
    <t>89~90</t>
    <phoneticPr fontId="2" type="noConversion"/>
  </si>
  <si>
    <t>91~92</t>
    <phoneticPr fontId="2" type="noConversion"/>
  </si>
  <si>
    <t>101~102</t>
    <phoneticPr fontId="2" type="noConversion"/>
  </si>
  <si>
    <t>103~104</t>
    <phoneticPr fontId="2" type="noConversion"/>
  </si>
  <si>
    <t>105~106</t>
    <phoneticPr fontId="2" type="noConversion"/>
  </si>
  <si>
    <t>107~108</t>
    <phoneticPr fontId="2" type="noConversion"/>
  </si>
  <si>
    <t>109~110</t>
    <phoneticPr fontId="2" type="noConversion"/>
  </si>
  <si>
    <t>99~100</t>
    <phoneticPr fontId="2" type="noConversion"/>
  </si>
  <si>
    <t>111~102</t>
    <phoneticPr fontId="2" type="noConversion"/>
  </si>
  <si>
    <t>113~104</t>
    <phoneticPr fontId="2" type="noConversion"/>
  </si>
  <si>
    <t>115~106</t>
    <phoneticPr fontId="2" type="noConversion"/>
  </si>
  <si>
    <t>117~118</t>
    <phoneticPr fontId="2" type="noConversion"/>
  </si>
  <si>
    <t>119~120</t>
    <phoneticPr fontId="2" type="noConversion"/>
  </si>
  <si>
    <t>121~122</t>
    <phoneticPr fontId="2" type="noConversion"/>
  </si>
  <si>
    <t>123~124</t>
    <phoneticPr fontId="2" type="noConversion"/>
  </si>
  <si>
    <t>125~126</t>
    <phoneticPr fontId="2" type="noConversion"/>
  </si>
  <si>
    <t>127~128</t>
    <phoneticPr fontId="2" type="noConversion"/>
  </si>
  <si>
    <t>129~130</t>
    <phoneticPr fontId="2" type="noConversion"/>
  </si>
  <si>
    <t>131~132</t>
    <phoneticPr fontId="2" type="noConversion"/>
  </si>
  <si>
    <t>133~134</t>
    <phoneticPr fontId="2" type="noConversion"/>
  </si>
  <si>
    <t>135~136</t>
    <phoneticPr fontId="2" type="noConversion"/>
  </si>
  <si>
    <t>137~138</t>
    <phoneticPr fontId="2" type="noConversion"/>
  </si>
  <si>
    <t>139~140</t>
    <phoneticPr fontId="2" type="noConversion"/>
  </si>
  <si>
    <t>141~142</t>
    <phoneticPr fontId="2" type="noConversion"/>
  </si>
  <si>
    <t>143~144</t>
    <phoneticPr fontId="2" type="noConversion"/>
  </si>
  <si>
    <t>145~146</t>
    <phoneticPr fontId="2" type="noConversion"/>
  </si>
  <si>
    <t>147~148</t>
    <phoneticPr fontId="2" type="noConversion"/>
  </si>
  <si>
    <t>149~150</t>
    <phoneticPr fontId="2" type="noConversion"/>
  </si>
  <si>
    <t>151~152</t>
    <phoneticPr fontId="2" type="noConversion"/>
  </si>
  <si>
    <t>155~156</t>
    <phoneticPr fontId="2" type="noConversion"/>
  </si>
  <si>
    <t>157~158</t>
    <phoneticPr fontId="2" type="noConversion"/>
  </si>
  <si>
    <t>153~154</t>
    <phoneticPr fontId="2" type="noConversion"/>
  </si>
  <si>
    <t>159~160</t>
    <phoneticPr fontId="2" type="noConversion"/>
  </si>
  <si>
    <t>161~162</t>
    <phoneticPr fontId="2" type="noConversion"/>
  </si>
  <si>
    <t>163~164</t>
    <phoneticPr fontId="2" type="noConversion"/>
  </si>
  <si>
    <t>165~166</t>
    <phoneticPr fontId="2" type="noConversion"/>
  </si>
  <si>
    <t>167~168</t>
    <phoneticPr fontId="2" type="noConversion"/>
  </si>
  <si>
    <t>169~170</t>
    <phoneticPr fontId="2" type="noConversion"/>
  </si>
  <si>
    <t>171~172</t>
    <phoneticPr fontId="2" type="noConversion"/>
  </si>
  <si>
    <t>173~174</t>
    <phoneticPr fontId="2" type="noConversion"/>
  </si>
  <si>
    <t>175~176</t>
    <phoneticPr fontId="2" type="noConversion"/>
  </si>
  <si>
    <t>177~158</t>
    <phoneticPr fontId="2" type="noConversion"/>
  </si>
  <si>
    <t>179~180</t>
    <phoneticPr fontId="2" type="noConversion"/>
  </si>
  <si>
    <t>181~182</t>
    <phoneticPr fontId="2" type="noConversion"/>
  </si>
  <si>
    <t>183~184</t>
    <phoneticPr fontId="2" type="noConversion"/>
  </si>
  <si>
    <t>185~186</t>
    <phoneticPr fontId="2" type="noConversion"/>
  </si>
  <si>
    <t>187~188</t>
    <phoneticPr fontId="2" type="noConversion"/>
  </si>
  <si>
    <t>189~190</t>
    <phoneticPr fontId="2" type="noConversion"/>
  </si>
  <si>
    <t>191~192</t>
    <phoneticPr fontId="2" type="noConversion"/>
  </si>
  <si>
    <t>193~194</t>
    <phoneticPr fontId="2" type="noConversion"/>
  </si>
  <si>
    <t>195~196</t>
    <phoneticPr fontId="2" type="noConversion"/>
  </si>
  <si>
    <t>197~198</t>
    <phoneticPr fontId="2" type="noConversion"/>
  </si>
  <si>
    <t>199~200</t>
    <phoneticPr fontId="2" type="noConversion"/>
  </si>
  <si>
    <t>203~204</t>
    <phoneticPr fontId="2" type="noConversion"/>
  </si>
  <si>
    <t>211~212</t>
    <phoneticPr fontId="2" type="noConversion"/>
  </si>
  <si>
    <t>205~206</t>
    <phoneticPr fontId="2" type="noConversion"/>
  </si>
  <si>
    <t>207~208</t>
    <phoneticPr fontId="2" type="noConversion"/>
  </si>
  <si>
    <t>209~210</t>
    <phoneticPr fontId="2" type="noConversion"/>
  </si>
  <si>
    <t>213~214</t>
    <phoneticPr fontId="2" type="noConversion"/>
  </si>
  <si>
    <t>215~216</t>
    <phoneticPr fontId="2" type="noConversion"/>
  </si>
  <si>
    <t>221~222</t>
    <phoneticPr fontId="2" type="noConversion"/>
  </si>
  <si>
    <t>201~202</t>
    <phoneticPr fontId="2" type="noConversion"/>
  </si>
  <si>
    <t>217~218</t>
    <phoneticPr fontId="2" type="noConversion"/>
  </si>
  <si>
    <t>219~220</t>
    <phoneticPr fontId="2" type="noConversion"/>
  </si>
  <si>
    <t>223~224</t>
    <phoneticPr fontId="2" type="noConversion"/>
  </si>
  <si>
    <t>225~226</t>
    <phoneticPr fontId="2" type="noConversion"/>
  </si>
  <si>
    <t>227~228</t>
    <phoneticPr fontId="2" type="noConversion"/>
  </si>
  <si>
    <t>229~230</t>
    <phoneticPr fontId="2" type="noConversion"/>
  </si>
  <si>
    <t>231~232</t>
    <phoneticPr fontId="2" type="noConversion"/>
  </si>
  <si>
    <t>233~234</t>
    <phoneticPr fontId="2" type="noConversion"/>
  </si>
  <si>
    <t>235~236</t>
    <phoneticPr fontId="2" type="noConversion"/>
  </si>
  <si>
    <t>237~238</t>
    <phoneticPr fontId="2" type="noConversion"/>
  </si>
  <si>
    <t>239~240</t>
    <phoneticPr fontId="2" type="noConversion"/>
  </si>
  <si>
    <t>241~242</t>
    <phoneticPr fontId="2" type="noConversion"/>
  </si>
  <si>
    <t>243~244</t>
    <phoneticPr fontId="2" type="noConversion"/>
  </si>
  <si>
    <t>245~246</t>
    <phoneticPr fontId="2" type="noConversion"/>
  </si>
  <si>
    <t>247~248</t>
    <phoneticPr fontId="2" type="noConversion"/>
  </si>
  <si>
    <t>249~250</t>
    <phoneticPr fontId="2" type="noConversion"/>
  </si>
  <si>
    <t>251~252</t>
    <phoneticPr fontId="2" type="noConversion"/>
  </si>
  <si>
    <t>253~254</t>
    <phoneticPr fontId="2" type="noConversion"/>
  </si>
  <si>
    <t>255~256</t>
    <phoneticPr fontId="2" type="noConversion"/>
  </si>
  <si>
    <t>257~258</t>
    <phoneticPr fontId="2" type="noConversion"/>
  </si>
  <si>
    <t>259~260</t>
    <phoneticPr fontId="2" type="noConversion"/>
  </si>
  <si>
    <t>261~262</t>
    <phoneticPr fontId="2" type="noConversion"/>
  </si>
  <si>
    <t>263~264</t>
    <phoneticPr fontId="2" type="noConversion"/>
  </si>
  <si>
    <t>265~266</t>
    <phoneticPr fontId="2" type="noConversion"/>
  </si>
  <si>
    <t>267~268</t>
    <phoneticPr fontId="2" type="noConversion"/>
  </si>
  <si>
    <t>269~270</t>
    <phoneticPr fontId="2" type="noConversion"/>
  </si>
  <si>
    <t>271~272</t>
    <phoneticPr fontId="2" type="noConversion"/>
  </si>
  <si>
    <t>273~274</t>
    <phoneticPr fontId="2" type="noConversion"/>
  </si>
  <si>
    <t>275~276</t>
    <phoneticPr fontId="2" type="noConversion"/>
  </si>
  <si>
    <t>277~278</t>
    <phoneticPr fontId="2" type="noConversion"/>
  </si>
  <si>
    <t>279~280</t>
    <phoneticPr fontId="2" type="noConversion"/>
  </si>
  <si>
    <t>281~282</t>
    <phoneticPr fontId="2" type="noConversion"/>
  </si>
  <si>
    <t>283~284</t>
    <phoneticPr fontId="2" type="noConversion"/>
  </si>
  <si>
    <t>285~286</t>
    <phoneticPr fontId="2" type="noConversion"/>
  </si>
  <si>
    <t>287~288</t>
    <phoneticPr fontId="2" type="noConversion"/>
  </si>
  <si>
    <t>289~290</t>
    <phoneticPr fontId="2" type="noConversion"/>
  </si>
  <si>
    <t>291~292</t>
    <phoneticPr fontId="2" type="noConversion"/>
  </si>
  <si>
    <t>293~294</t>
    <phoneticPr fontId="2" type="noConversion"/>
  </si>
  <si>
    <t>295~296</t>
    <phoneticPr fontId="2" type="noConversion"/>
  </si>
  <si>
    <t>297~298</t>
    <phoneticPr fontId="2" type="noConversion"/>
  </si>
  <si>
    <t>299~300</t>
    <phoneticPr fontId="2" type="noConversion"/>
  </si>
  <si>
    <t>301~302</t>
    <phoneticPr fontId="2" type="noConversion"/>
  </si>
  <si>
    <t>Spare(30)</t>
    <phoneticPr fontId="2" type="noConversion"/>
  </si>
  <si>
    <t>DST</t>
    <phoneticPr fontId="2" type="noConversion"/>
  </si>
  <si>
    <t>LNG1</t>
    <phoneticPr fontId="2" type="noConversion"/>
  </si>
  <si>
    <t>LNG2</t>
    <phoneticPr fontId="2" type="noConversion"/>
  </si>
  <si>
    <t>TRIC Message Count(00~99)</t>
    <phoneticPr fontId="2" type="noConversion"/>
  </si>
  <si>
    <t>High Data Length Code(0x00~0xFF)</t>
    <phoneticPr fontId="2" type="noConversion"/>
  </si>
  <si>
    <t>Low Data Length Code(0x00~0xFF)</t>
    <phoneticPr fontId="2" type="noConversion"/>
  </si>
  <si>
    <t>DATE 1</t>
    <phoneticPr fontId="2" type="noConversion"/>
  </si>
  <si>
    <t>DATE 2</t>
    <phoneticPr fontId="2" type="noConversion"/>
  </si>
  <si>
    <t>DATE 3</t>
  </si>
  <si>
    <t>DATE 4</t>
  </si>
  <si>
    <t>DATE 5</t>
  </si>
  <si>
    <t>DATE 6</t>
  </si>
  <si>
    <t>DATE 7</t>
  </si>
  <si>
    <t>DATE 8</t>
  </si>
  <si>
    <t>DATE 9</t>
  </si>
  <si>
    <t>DATE 10</t>
  </si>
  <si>
    <t>DATE 11</t>
  </si>
  <si>
    <t>DATE 12</t>
  </si>
  <si>
    <t>DATE 13</t>
  </si>
  <si>
    <t>DATE 14</t>
  </si>
  <si>
    <t>DATE 15</t>
  </si>
  <si>
    <t>DATE 16</t>
  </si>
  <si>
    <t>DATE 17</t>
  </si>
  <si>
    <t>DATE 18</t>
  </si>
  <si>
    <t>DATE 19</t>
  </si>
  <si>
    <t>DATE 20</t>
  </si>
  <si>
    <t>DATE 21</t>
  </si>
  <si>
    <t>DATE 22</t>
  </si>
  <si>
    <t>DATE 23</t>
  </si>
  <si>
    <t>DATE 24</t>
  </si>
  <si>
    <t>DATE 25</t>
  </si>
  <si>
    <t>DATE 26</t>
  </si>
  <si>
    <t>DATE 27</t>
  </si>
  <si>
    <t>DATE 28</t>
  </si>
  <si>
    <t>DATE 29</t>
  </si>
  <si>
    <t>DATE 30</t>
  </si>
  <si>
    <t>DATE 31</t>
  </si>
  <si>
    <t>DATE 32</t>
  </si>
  <si>
    <t>DATE 33</t>
  </si>
  <si>
    <t>DATE 34</t>
  </si>
  <si>
    <t>DATE 35</t>
  </si>
  <si>
    <t>DATE 36</t>
  </si>
  <si>
    <t>DATE 37</t>
  </si>
  <si>
    <t>DATE 38</t>
  </si>
  <si>
    <t>DATE 39</t>
  </si>
  <si>
    <t>DATE 40</t>
  </si>
  <si>
    <t>DATE 41</t>
  </si>
  <si>
    <t>DATE 42</t>
  </si>
  <si>
    <t>DATE 43</t>
  </si>
  <si>
    <t>DATE 44</t>
  </si>
  <si>
    <t>DATE 45</t>
  </si>
  <si>
    <t>DATE 46</t>
  </si>
  <si>
    <t>DATE 47</t>
  </si>
  <si>
    <t>DATE 48</t>
  </si>
  <si>
    <t>DATE 49</t>
  </si>
  <si>
    <t>DATE 50</t>
  </si>
  <si>
    <t>DATE 51</t>
  </si>
  <si>
    <t>DATE 52</t>
  </si>
  <si>
    <t>DATE 53</t>
  </si>
  <si>
    <t>DATE 54</t>
  </si>
  <si>
    <t>DATE 55</t>
  </si>
  <si>
    <t>DATE 56</t>
  </si>
  <si>
    <t>DATE 57</t>
  </si>
  <si>
    <t>DATE 58</t>
  </si>
  <si>
    <t>DATE 59</t>
  </si>
  <si>
    <t>DATE 60</t>
  </si>
  <si>
    <t>DATE 61</t>
  </si>
  <si>
    <t>DATE 62</t>
  </si>
  <si>
    <t>DATE 63</t>
  </si>
  <si>
    <t>DATE 64</t>
  </si>
  <si>
    <t>DATE 65</t>
  </si>
  <si>
    <t>DATE 66</t>
  </si>
  <si>
    <t>DATE 67</t>
  </si>
  <si>
    <t>DATE 68</t>
  </si>
  <si>
    <t>DATE 69</t>
  </si>
  <si>
    <t>DATE 70</t>
  </si>
  <si>
    <t>DATE 71</t>
  </si>
  <si>
    <t>DATE 72</t>
  </si>
  <si>
    <t>DATE 73</t>
  </si>
  <si>
    <t>DATE 74</t>
  </si>
  <si>
    <t>DATE 75</t>
  </si>
  <si>
    <t>DATE 76</t>
  </si>
  <si>
    <t>DATE 77</t>
  </si>
  <si>
    <t>DATE 78</t>
  </si>
  <si>
    <t>DATE 79</t>
  </si>
  <si>
    <t>DATE 80</t>
  </si>
  <si>
    <t>DATE 81</t>
  </si>
  <si>
    <t>DATE 82</t>
  </si>
  <si>
    <t>DATE 83</t>
  </si>
  <si>
    <t>DATE 84</t>
  </si>
  <si>
    <t>DATE 85</t>
  </si>
  <si>
    <t>DATE 86</t>
  </si>
  <si>
    <t>DATE 87</t>
  </si>
  <si>
    <t>DATE 88</t>
  </si>
  <si>
    <t>DATE 89</t>
  </si>
  <si>
    <t>DATE 90</t>
  </si>
  <si>
    <t>DATE 91</t>
  </si>
  <si>
    <t>DATE 92</t>
  </si>
  <si>
    <t>DATE 93</t>
  </si>
  <si>
    <t>DATE 94</t>
  </si>
  <si>
    <t>DATE 95</t>
  </si>
  <si>
    <t>DATE 96</t>
  </si>
  <si>
    <t>DATE 97</t>
  </si>
  <si>
    <t>DATE 98</t>
  </si>
  <si>
    <t>DATE 99</t>
  </si>
  <si>
    <t>DATE 100</t>
  </si>
  <si>
    <t>17~18</t>
    <phoneticPr fontId="2" type="noConversion"/>
  </si>
  <si>
    <t>19~20</t>
    <phoneticPr fontId="2" type="noConversion"/>
  </si>
  <si>
    <t>21~22</t>
    <phoneticPr fontId="2" type="noConversion"/>
  </si>
  <si>
    <t>23~24</t>
    <phoneticPr fontId="2" type="noConversion"/>
  </si>
  <si>
    <t>25~26</t>
    <phoneticPr fontId="2" type="noConversion"/>
  </si>
  <si>
    <t>27~28</t>
    <phoneticPr fontId="2" type="noConversion"/>
  </si>
  <si>
    <t>29~30</t>
    <phoneticPr fontId="2" type="noConversion"/>
  </si>
  <si>
    <t>3.1. Data Format for Command ( CNCS &lt;=&gt; PAC/LIC/VTX/CCP/PIS/GIA/TRIC/TR)</t>
    <phoneticPr fontId="2" type="noConversion"/>
  </si>
  <si>
    <t>Communication Protocol Code Table</t>
    <phoneticPr fontId="2" type="noConversion"/>
  </si>
  <si>
    <t>Project :</t>
    <phoneticPr fontId="2" type="noConversion"/>
  </si>
  <si>
    <t>SEPTA SL-V CS.</t>
    <phoneticPr fontId="2" type="noConversion"/>
  </si>
  <si>
    <t>2008.10.24</t>
    <phoneticPr fontId="2" type="noConversion"/>
  </si>
  <si>
    <t>Maker:</t>
    <phoneticPr fontId="2" type="noConversion"/>
  </si>
  <si>
    <t>No.</t>
    <phoneticPr fontId="2" type="noConversion"/>
  </si>
  <si>
    <t>Abb</t>
    <phoneticPr fontId="2" type="noConversion"/>
  </si>
  <si>
    <t>Bit7</t>
    <phoneticPr fontId="2" type="noConversion"/>
  </si>
  <si>
    <t>Bit6</t>
    <phoneticPr fontId="2" type="noConversion"/>
  </si>
  <si>
    <t>Bit5</t>
    <phoneticPr fontId="2" type="noConversion"/>
  </si>
  <si>
    <t>Bit4</t>
    <phoneticPr fontId="2" type="noConversion"/>
  </si>
  <si>
    <t>Bit3</t>
    <phoneticPr fontId="2" type="noConversion"/>
  </si>
  <si>
    <t>Bit2</t>
    <phoneticPr fontId="2" type="noConversion"/>
  </si>
  <si>
    <t>Bit1</t>
    <phoneticPr fontId="2" type="noConversion"/>
  </si>
  <si>
    <t>Bit0</t>
    <phoneticPr fontId="2" type="noConversion"/>
  </si>
  <si>
    <t>Size(Byte)</t>
    <phoneticPr fontId="2" type="noConversion"/>
  </si>
  <si>
    <t>SOH</t>
    <phoneticPr fontId="2" type="noConversion"/>
  </si>
  <si>
    <t>0x01: Start Code</t>
    <phoneticPr fontId="2" type="noConversion"/>
  </si>
  <si>
    <t>1~2</t>
    <phoneticPr fontId="2" type="noConversion"/>
  </si>
  <si>
    <t>SID</t>
    <phoneticPr fontId="2" type="noConversion"/>
  </si>
  <si>
    <t>Source Device (All Device)</t>
    <phoneticPr fontId="2" type="noConversion"/>
  </si>
  <si>
    <t>3~4</t>
    <phoneticPr fontId="2" type="noConversion"/>
  </si>
  <si>
    <t>DID</t>
    <phoneticPr fontId="2" type="noConversion"/>
  </si>
  <si>
    <t>Destination Device (All Device)</t>
    <phoneticPr fontId="2" type="noConversion"/>
  </si>
  <si>
    <t>5~6</t>
    <phoneticPr fontId="2" type="noConversion"/>
  </si>
  <si>
    <t>MC</t>
    <phoneticPr fontId="2" type="noConversion"/>
  </si>
  <si>
    <t>Message Count(0~99)</t>
    <phoneticPr fontId="2" type="noConversion"/>
  </si>
  <si>
    <t>7~8</t>
    <phoneticPr fontId="2" type="noConversion"/>
  </si>
  <si>
    <t>CMD</t>
    <phoneticPr fontId="2" type="noConversion"/>
  </si>
  <si>
    <t xml:space="preserve"> Command Code</t>
    <phoneticPr fontId="2" type="noConversion"/>
  </si>
  <si>
    <t>9~10</t>
    <phoneticPr fontId="2" type="noConversion"/>
  </si>
  <si>
    <t>LNG</t>
    <phoneticPr fontId="2" type="noConversion"/>
  </si>
  <si>
    <t>Data Length Code(High)</t>
    <phoneticPr fontId="2" type="noConversion"/>
  </si>
  <si>
    <t>11~12</t>
    <phoneticPr fontId="2" type="noConversion"/>
  </si>
  <si>
    <t>Data Length Code(low)</t>
    <phoneticPr fontId="2" type="noConversion"/>
  </si>
  <si>
    <t>13~14</t>
    <phoneticPr fontId="2" type="noConversion"/>
  </si>
  <si>
    <t>FCHK</t>
    <phoneticPr fontId="2" type="noConversion"/>
  </si>
  <si>
    <t xml:space="preserve">File Checksum Code </t>
    <phoneticPr fontId="2" type="noConversion"/>
  </si>
  <si>
    <t>15~16</t>
    <phoneticPr fontId="2" type="noConversion"/>
  </si>
  <si>
    <t>VER</t>
    <phoneticPr fontId="2" type="noConversion"/>
  </si>
  <si>
    <t>Production Digit of Version Number(BCD)</t>
    <phoneticPr fontId="2" type="noConversion"/>
  </si>
  <si>
    <t>Functional Digit of  Version Number Digit(BCD)</t>
    <phoneticPr fontId="2" type="noConversion"/>
  </si>
  <si>
    <t>17~18</t>
    <phoneticPr fontId="2" type="noConversion"/>
  </si>
  <si>
    <t>Debugging Tens Digit of Version Number(BCD)</t>
    <phoneticPr fontId="2" type="noConversion"/>
  </si>
  <si>
    <t>Debugging Tens Units of Version Number(BCD)</t>
    <phoneticPr fontId="2" type="noConversion"/>
  </si>
  <si>
    <t>19~20</t>
    <phoneticPr fontId="2" type="noConversion"/>
  </si>
  <si>
    <t>CHK</t>
    <phoneticPr fontId="2" type="noConversion"/>
  </si>
  <si>
    <t>Checksum Code</t>
    <phoneticPr fontId="2" type="noConversion"/>
  </si>
  <si>
    <t>EOT</t>
    <phoneticPr fontId="2" type="noConversion"/>
  </si>
  <si>
    <t>0x04: End Code</t>
    <phoneticPr fontId="2" type="noConversion"/>
  </si>
  <si>
    <t>3.2. Software or Contents  Upload Data Format (CNCS=&gt; PAC/LIC/VTX/CCP/PIS/GIA/TRIC/TR)</t>
    <phoneticPr fontId="2" type="noConversion"/>
  </si>
  <si>
    <t>Data Length Code(high)</t>
    <phoneticPr fontId="2" type="noConversion"/>
  </si>
  <si>
    <t>13
~
1036</t>
    <phoneticPr fontId="2" type="noConversion"/>
  </si>
  <si>
    <t>POF</t>
    <phoneticPr fontId="2" type="noConversion"/>
  </si>
  <si>
    <t>.</t>
    <phoneticPr fontId="2" type="noConversion"/>
  </si>
  <si>
    <t>1037~1038</t>
    <phoneticPr fontId="2" type="noConversion"/>
  </si>
  <si>
    <t xml:space="preserve"> Checksum Code </t>
    <phoneticPr fontId="2" type="noConversion"/>
  </si>
  <si>
    <t>MP3_C</t>
  </si>
  <si>
    <t>PEI_C</t>
  </si>
  <si>
    <t>TRIC_C</t>
  </si>
  <si>
    <t>DPO_C</t>
  </si>
  <si>
    <t>SPKV</t>
    <phoneticPr fontId="2" type="noConversion"/>
  </si>
  <si>
    <t>DPO Input Volume Value (0~0x3F)</t>
    <phoneticPr fontId="2" type="noConversion"/>
  </si>
  <si>
    <t>TRIC Input Volume Value (0~0x3F)</t>
    <phoneticPr fontId="2" type="noConversion"/>
  </si>
  <si>
    <t>MP3 Input Volume Value (0~0x3F)</t>
    <phoneticPr fontId="2" type="noConversion"/>
  </si>
  <si>
    <t>TrainLine Output Volume Value (0~0x3F)</t>
    <phoneticPr fontId="2" type="noConversion"/>
  </si>
  <si>
    <t>TrainLine Input Max Voltage High Value (0~0xFF)</t>
    <phoneticPr fontId="2" type="noConversion"/>
  </si>
  <si>
    <t>TrainLine Input Max Voltage Low Value (0~0xFF)</t>
    <phoneticPr fontId="2" type="noConversion"/>
  </si>
  <si>
    <t>TrainLine Input Min Voltage High Value (0~0xFF)</t>
    <phoneticPr fontId="2" type="noConversion"/>
  </si>
  <si>
    <t>TrainLine Input Min Voltage Low Value (0~0xFF)</t>
    <phoneticPr fontId="2" type="noConversion"/>
  </si>
  <si>
    <t>TrainLine Input Voltage Divide Value (0~0xFF)</t>
    <phoneticPr fontId="2" type="noConversion"/>
  </si>
  <si>
    <t>TrainLine Input Vol High Value (0~0xFF)</t>
    <phoneticPr fontId="2" type="noConversion"/>
  </si>
  <si>
    <t>TrainLine Input Vol Low Value (0~0xFF)</t>
    <phoneticPr fontId="2" type="noConversion"/>
  </si>
  <si>
    <t>TrainLine Input Vol Divide Value (0~0xFF)</t>
    <phoneticPr fontId="2" type="noConversion"/>
  </si>
  <si>
    <t>TrainLine Input Vol Changeable Value (0~0xFF)</t>
    <phoneticPr fontId="2" type="noConversion"/>
  </si>
  <si>
    <t>TrainLine Input Changeable Value (0~0xFF)</t>
    <phoneticPr fontId="2" type="noConversion"/>
  </si>
  <si>
    <t xml:space="preserve">Single ISP Normal Value (0~0x3F) </t>
    <phoneticPr fontId="2" type="noConversion"/>
  </si>
  <si>
    <t xml:space="preserve">Single ESP Normal Value (0~0x3F) </t>
    <phoneticPr fontId="2" type="noConversion"/>
  </si>
  <si>
    <t xml:space="preserve">Single Normal Changeable Value (0~0xFF) </t>
    <phoneticPr fontId="2" type="noConversion"/>
  </si>
  <si>
    <t xml:space="preserve">Single ESP Soft Value (0~0x3F) </t>
    <phoneticPr fontId="2" type="noConversion"/>
  </si>
  <si>
    <t xml:space="preserve">Single Soft Changeable Value (0~0xFF) </t>
    <phoneticPr fontId="2" type="noConversion"/>
  </si>
  <si>
    <t xml:space="preserve">Married ISP Normal Value (0~0x3F) </t>
    <phoneticPr fontId="2" type="noConversion"/>
  </si>
  <si>
    <t xml:space="preserve">Married ESP Normal Value (0~0x3F) </t>
    <phoneticPr fontId="2" type="noConversion"/>
  </si>
  <si>
    <t xml:space="preserve">Married Changeable Value (0~0xFF) </t>
    <phoneticPr fontId="2" type="noConversion"/>
  </si>
  <si>
    <t xml:space="preserve">Married ISP Soft Value (0~0x3F) </t>
    <phoneticPr fontId="2" type="noConversion"/>
  </si>
  <si>
    <t xml:space="preserve">Married ESP Soft Value (0~0x3F) </t>
    <phoneticPr fontId="2" type="noConversion"/>
  </si>
  <si>
    <t>T</t>
    <phoneticPr fontId="2" type="noConversion"/>
  </si>
  <si>
    <t>E</t>
    <phoneticPr fontId="2" type="noConversion"/>
  </si>
  <si>
    <t>S</t>
    <phoneticPr fontId="2" type="noConversion"/>
  </si>
  <si>
    <t>GPRMC N Number Thousands Digit(BCD)</t>
    <phoneticPr fontId="2" type="noConversion"/>
  </si>
  <si>
    <t>GPRMC N Number Tens Digit(BCD)</t>
    <phoneticPr fontId="2" type="noConversion"/>
  </si>
  <si>
    <t>2009.6.15</t>
    <phoneticPr fontId="2" type="noConversion"/>
  </si>
  <si>
    <t>TYPE</t>
    <phoneticPr fontId="2" type="noConversion"/>
  </si>
  <si>
    <t>R22</t>
    <phoneticPr fontId="2" type="noConversion"/>
  </si>
  <si>
    <t>INTERCOM Input Volume Value (0~0x3F)</t>
  </si>
  <si>
    <t>// 0x3F</t>
  </si>
  <si>
    <t>TRIC Input Volume Value (0~0x3F)</t>
  </si>
  <si>
    <t>MP3 Input Volume Value (0~0x3F)</t>
  </si>
  <si>
    <t>TrainLine Input Max Voltage Low Value (0~0xFF)</t>
  </si>
  <si>
    <t>TrainLine Input Min Voltage Low Value (0~0xFF)</t>
  </si>
  <si>
    <t>TrainLine Input Vol Low Value (0~0xFF)</t>
  </si>
  <si>
    <t>// 0x23</t>
  </si>
  <si>
    <t>// ANS MIC 입니다. 내용이 틀립니다.</t>
  </si>
  <si>
    <t>// 0x2B</t>
  </si>
  <si>
    <t>Single ESP Normal Value (0~0x3F)</t>
  </si>
  <si>
    <t>// 0x27</t>
  </si>
  <si>
    <t>// 0x39</t>
  </si>
  <si>
    <t>// 0x33</t>
  </si>
  <si>
    <t>Married Soft Changeable Value (0~0xFF) -&gt; Spare</t>
    <phoneticPr fontId="2" type="noConversion"/>
  </si>
  <si>
    <t>TrainLine Output Volume Value (0~0x3F)</t>
    <phoneticPr fontId="2" type="noConversion"/>
  </si>
  <si>
    <t>TrainLine Input Max Voltage High Value (0~0xFF)</t>
    <phoneticPr fontId="2" type="noConversion"/>
  </si>
  <si>
    <t>TrainLine Input Min Voltage High Value (0~0xFF)</t>
    <phoneticPr fontId="2" type="noConversion"/>
  </si>
  <si>
    <t>TrainLine Input Voltage Divide Value (0~0xFF)</t>
    <phoneticPr fontId="2" type="noConversion"/>
  </si>
  <si>
    <t>TrainLine Input Vol High Value (0~0xFF)</t>
    <phoneticPr fontId="2" type="noConversion"/>
  </si>
  <si>
    <t>TrainLine Input Vol Divide Value (0~0xFF)</t>
    <phoneticPr fontId="2" type="noConversion"/>
  </si>
  <si>
    <t>TrainLine Input Vol Changeable Value (0~0xFF)</t>
    <phoneticPr fontId="2" type="noConversion"/>
  </si>
  <si>
    <t>TrainLine Input Changeable Value (0~0xFF)</t>
    <phoneticPr fontId="2" type="noConversion"/>
  </si>
  <si>
    <t>Single ISP Normal Value (0~0x3F)</t>
    <phoneticPr fontId="2" type="noConversion"/>
  </si>
  <si>
    <t>Single Normal Changeable Value (0~0xFF)</t>
    <phoneticPr fontId="2" type="noConversion"/>
  </si>
  <si>
    <t>Single ISP Soft Value (0~0x3F)</t>
    <phoneticPr fontId="2" type="noConversion"/>
  </si>
  <si>
    <t>Single ESP Soft Value (0~0x3F)</t>
    <phoneticPr fontId="2" type="noConversion"/>
  </si>
  <si>
    <t>Single Soft Changeable Value (0~0xFF)</t>
    <phoneticPr fontId="2" type="noConversion"/>
  </si>
  <si>
    <t>Married ISP Normal Value (0~0x3F)</t>
    <phoneticPr fontId="2" type="noConversion"/>
  </si>
  <si>
    <t>Married ESP Normal Value (0~0x3F)</t>
    <phoneticPr fontId="2" type="noConversion"/>
  </si>
  <si>
    <t>Married Changeable Value (0~0xFF)</t>
    <phoneticPr fontId="2" type="noConversion"/>
  </si>
  <si>
    <t>Married ISP Soft Value (0~0x3F)</t>
    <phoneticPr fontId="2" type="noConversion"/>
  </si>
  <si>
    <t>Married ESP Soft Value (0~0x3F)</t>
    <phoneticPr fontId="2" type="noConversion"/>
  </si>
  <si>
    <t>0x01: Source Device (All Device)</t>
    <phoneticPr fontId="2" type="noConversion"/>
  </si>
  <si>
    <t>0x04: End Code</t>
    <phoneticPr fontId="2" type="noConversion"/>
  </si>
  <si>
    <t xml:space="preserve">Married Soft Changeable Value (0~0xFF) </t>
    <phoneticPr fontId="2" type="noConversion"/>
  </si>
  <si>
    <t xml:space="preserve">Single ISP Soft Value (0~0x3F) </t>
    <phoneticPr fontId="2" type="noConversion"/>
  </si>
  <si>
    <t>O</t>
    <phoneticPr fontId="2" type="noConversion"/>
  </si>
  <si>
    <t>Binary of S/W  or Contents(max 1024 byte)</t>
    <phoneticPr fontId="2" type="noConversion"/>
  </si>
  <si>
    <t>CCP Update 방안</t>
    <phoneticPr fontId="2" type="noConversion"/>
  </si>
  <si>
    <t>1. 업데이트 순서</t>
    <phoneticPr fontId="2" type="noConversion"/>
  </si>
  <si>
    <t>- S/W</t>
    <phoneticPr fontId="2" type="noConversion"/>
  </si>
  <si>
    <t>- Schudel</t>
    <phoneticPr fontId="2" type="noConversion"/>
  </si>
  <si>
    <t>- Station Name</t>
    <phoneticPr fontId="2" type="noConversion"/>
  </si>
  <si>
    <t>- Trigger</t>
    <phoneticPr fontId="2" type="noConversion"/>
  </si>
  <si>
    <t>2. 업데이트 전송 프로토콜</t>
    <phoneticPr fontId="2" type="noConversion"/>
  </si>
  <si>
    <t>- Version</t>
    <phoneticPr fontId="2" type="noConversion"/>
  </si>
  <si>
    <t>- Ready</t>
    <phoneticPr fontId="2" type="noConversion"/>
  </si>
  <si>
    <t>- Update Complate</t>
    <phoneticPr fontId="2" type="noConversion"/>
  </si>
  <si>
    <t>- Update</t>
    <phoneticPr fontId="2" type="noConversion"/>
  </si>
  <si>
    <t>- Reset</t>
    <phoneticPr fontId="2" type="noConversion"/>
  </si>
  <si>
    <t>CCP</t>
    <phoneticPr fontId="2" type="noConversion"/>
  </si>
  <si>
    <t>-&gt;</t>
    <phoneticPr fontId="2" type="noConversion"/>
  </si>
  <si>
    <t>&lt;-</t>
    <phoneticPr fontId="2" type="noConversion"/>
  </si>
  <si>
    <t>※ &lt;- 표시는 CCP의 ACK표시임.</t>
    <phoneticPr fontId="2" type="noConversion"/>
  </si>
  <si>
    <t>- CCP의 그룹 Code 0x3F일 경우, ACK를 전송하지 않음.</t>
    <phoneticPr fontId="2" type="noConversion"/>
  </si>
  <si>
    <t>- CCP 개별 Code 0x31 또는 0x32일 경우는 ACK를 전송.</t>
    <phoneticPr fontId="2" type="noConversion"/>
  </si>
  <si>
    <t>3. Command별 기능 및 통신 정의</t>
    <phoneticPr fontId="2" type="noConversion"/>
  </si>
  <si>
    <t>※ 그룹 및 개별로 전송해야함.</t>
    <phoneticPr fontId="2" type="noConversion"/>
  </si>
  <si>
    <t>※ 파일 전송이 완료될 경우 까지, Update부분 과 Update Complate를 반복함.</t>
    <phoneticPr fontId="2" type="noConversion"/>
  </si>
  <si>
    <t>※ 파일 전송시작시는 Ready 정보를 처음에 전송함.</t>
    <phoneticPr fontId="2" type="noConversion"/>
  </si>
  <si>
    <t>전송한 실패할 파일 패킷 정보를 전송함. 만약 버전이 다를 경우, 0xFFFF를 전송하여, 전체전송을 알림.</t>
    <phoneticPr fontId="2" type="noConversion"/>
  </si>
  <si>
    <t>파일의 패킷을 전송함(패킷 번호 + 256 Byte단위로 전송함)</t>
    <phoneticPr fontId="2" type="noConversion"/>
  </si>
  <si>
    <t>파일 업데이트가 완료되었을 경우, 파일 업데이트 적용.</t>
    <phoneticPr fontId="2" type="noConversion"/>
  </si>
  <si>
    <t>전송팔 파일의 버전정보.</t>
    <phoneticPr fontId="2" type="noConversion"/>
  </si>
  <si>
    <t>업데이트 시작을 알림.</t>
    <phoneticPr fontId="2" type="noConversion"/>
  </si>
  <si>
    <t>4. 패킷 구조</t>
    <phoneticPr fontId="2" type="noConversion"/>
  </si>
  <si>
    <t>Body 없음</t>
    <phoneticPr fontId="2" type="noConversion"/>
  </si>
  <si>
    <t>S/W</t>
    <phoneticPr fontId="2" type="noConversion"/>
  </si>
  <si>
    <t>Schudule</t>
    <phoneticPr fontId="2" type="noConversion"/>
  </si>
  <si>
    <t>S-Update</t>
    <phoneticPr fontId="2" type="noConversion"/>
  </si>
  <si>
    <t>대상</t>
    <phoneticPr fontId="2" type="noConversion"/>
  </si>
  <si>
    <t>코드</t>
    <phoneticPr fontId="2" type="noConversion"/>
  </si>
  <si>
    <t>DB1</t>
    <phoneticPr fontId="2" type="noConversion"/>
  </si>
  <si>
    <t>DB2</t>
    <phoneticPr fontId="2" type="noConversion"/>
  </si>
  <si>
    <t>DB3</t>
    <phoneticPr fontId="2" type="noConversion"/>
  </si>
  <si>
    <t>Station</t>
    <phoneticPr fontId="2" type="noConversion"/>
  </si>
  <si>
    <t>Trigger</t>
    <phoneticPr fontId="2" type="noConversion"/>
  </si>
  <si>
    <t>파일크기</t>
    <phoneticPr fontId="2" type="noConversion"/>
  </si>
  <si>
    <t>전체 패킷 개수</t>
    <phoneticPr fontId="2" type="noConversion"/>
  </si>
  <si>
    <t>불량 개수</t>
    <phoneticPr fontId="2" type="noConversion"/>
  </si>
  <si>
    <t>재전송 패킷 Index1</t>
    <phoneticPr fontId="2" type="noConversion"/>
  </si>
  <si>
    <t>재전송 패킷 Index2</t>
    <phoneticPr fontId="2" type="noConversion"/>
  </si>
  <si>
    <t>재전송 패킷 Index3</t>
  </si>
  <si>
    <t>재전송 패킷 Index…</t>
    <phoneticPr fontId="2" type="noConversion"/>
  </si>
  <si>
    <t>공통 코드일 경우, Ack 없음</t>
    <phoneticPr fontId="2" type="noConversion"/>
  </si>
  <si>
    <t>X &lt;-</t>
    <phoneticPr fontId="2" type="noConversion"/>
  </si>
  <si>
    <t>패킷 번호</t>
    <phoneticPr fontId="2" type="noConversion"/>
  </si>
  <si>
    <t>데이터(256Byte)</t>
    <phoneticPr fontId="2" type="noConversion"/>
  </si>
  <si>
    <t>※ Reset일 경우, 프로그램 및 데이터 파일을 업데이트 하나, Update 데이터 프레임중 오류가 있을 경우, Reset 명령어가 도달 하여도, Update하지 않음.</t>
    <phoneticPr fontId="2" type="noConversion"/>
  </si>
  <si>
    <t>※ X &lt;- ACK 신호를 전송하지 않음.</t>
    <phoneticPr fontId="2" type="noConversion"/>
  </si>
  <si>
    <t>Version</t>
    <phoneticPr fontId="2" type="noConversion"/>
  </si>
  <si>
    <t>※ 전체 업데이의 요청일 경우, 0xFFFFFF를 전송함.</t>
    <phoneticPr fontId="2" type="noConversion"/>
  </si>
  <si>
    <t>전송 파일 코드(1Byte)</t>
    <phoneticPr fontId="2" type="noConversion"/>
  </si>
  <si>
    <t>전송 파일 코드(1Byte)</t>
    <phoneticPr fontId="2" type="noConversion"/>
  </si>
  <si>
    <t>(특별한 언급이 없을 경우, 4Byte 단위를 기본 단위로 사용함)</t>
    <phoneticPr fontId="2" type="noConversion"/>
  </si>
  <si>
    <t>5. 버전표기방법</t>
    <phoneticPr fontId="2" type="noConversion"/>
  </si>
  <si>
    <t>파일명_버전.exe로 표기</t>
    <phoneticPr fontId="2" type="noConversion"/>
  </si>
  <si>
    <t>버전은 정해진 형식으로 전송함.</t>
    <phoneticPr fontId="2" type="noConversion"/>
  </si>
  <si>
    <t>Ex) AnCCP_MFC_XXXXXXXX.Exe</t>
    <phoneticPr fontId="2" type="noConversion"/>
  </si>
  <si>
    <t>- DB</t>
    <phoneticPr fontId="2" type="noConversion"/>
  </si>
  <si>
    <t>파일의 첫번째 라인에 #을 넣은 후, Version정보를 표기함.</t>
    <phoneticPr fontId="2" type="noConversion"/>
  </si>
  <si>
    <t>※한 개의 고장 프레임 정보는 최대 60개임으로, 60개가 넘는 고장일 경우, 다음 프레임 요청시 이어서 전송하도록 한다.</t>
    <phoneticPr fontId="2" type="noConversion"/>
  </si>
  <si>
    <t>디폴트</t>
  </si>
  <si>
    <t>10진수</t>
  </si>
  <si>
    <t>Update</t>
    <phoneticPr fontId="2" type="noConversion"/>
  </si>
  <si>
    <t>AMF</t>
    <phoneticPr fontId="2" type="noConversion"/>
  </si>
  <si>
    <t>LED</t>
    <phoneticPr fontId="2" type="noConversion"/>
  </si>
  <si>
    <t>Update DateFile</t>
    <phoneticPr fontId="2" type="noConversion"/>
  </si>
  <si>
    <t>Update Date File</t>
    <phoneticPr fontId="2" type="noConversion"/>
  </si>
  <si>
    <t>Folder</t>
    <phoneticPr fontId="2" type="noConversion"/>
  </si>
  <si>
    <t xml:space="preserve">R </t>
    <phoneticPr fontId="2" type="noConversion"/>
  </si>
  <si>
    <t>F0</t>
    <phoneticPr fontId="2" type="noConversion"/>
  </si>
  <si>
    <t>FDIS</t>
    <phoneticPr fontId="2" type="noConversion"/>
  </si>
  <si>
    <t>SDIS</t>
    <phoneticPr fontId="2" type="noConversion"/>
  </si>
  <si>
    <t>PIITV</t>
    <phoneticPr fontId="2" type="noConversion"/>
  </si>
  <si>
    <t>PIIM</t>
    <phoneticPr fontId="2" type="noConversion"/>
  </si>
  <si>
    <t>FSSV</t>
    <phoneticPr fontId="2" type="noConversion"/>
  </si>
  <si>
    <t>// Version 숫자 8자리(YYYYMMDD)</t>
    <phoneticPr fontId="2" type="noConversion"/>
  </si>
  <si>
    <t>// R-TYPE-VERSION.Hex(R-XX-NN.Hex)</t>
    <phoneticPr fontId="2" type="noConversion"/>
  </si>
  <si>
    <t>PTU</t>
    <phoneticPr fontId="2" type="noConversion"/>
  </si>
  <si>
    <t>0xA1</t>
    <phoneticPr fontId="2" type="noConversion"/>
  </si>
  <si>
    <t>2010.06.01</t>
    <phoneticPr fontId="2" type="noConversion"/>
  </si>
  <si>
    <t>17~18</t>
  </si>
  <si>
    <t>19~20</t>
  </si>
  <si>
    <t>21~22</t>
  </si>
  <si>
    <t>23~24</t>
  </si>
  <si>
    <t>25~26</t>
  </si>
  <si>
    <t>27~28</t>
  </si>
  <si>
    <t>29~30</t>
  </si>
  <si>
    <t>31~32</t>
  </si>
  <si>
    <t>33~34</t>
  </si>
  <si>
    <t>35~36</t>
  </si>
  <si>
    <t>39~40</t>
  </si>
  <si>
    <t>41~42</t>
  </si>
  <si>
    <t>43~44</t>
  </si>
  <si>
    <t>45~46</t>
  </si>
  <si>
    <t>47~48</t>
  </si>
  <si>
    <t>49~50</t>
  </si>
  <si>
    <t>51~52</t>
  </si>
  <si>
    <t>53~54</t>
  </si>
  <si>
    <t>55~56</t>
  </si>
  <si>
    <t>57~58</t>
  </si>
  <si>
    <t>59~60</t>
  </si>
  <si>
    <t>61~62</t>
  </si>
  <si>
    <t>63~64</t>
  </si>
  <si>
    <t>65~66</t>
  </si>
  <si>
    <t>67~68</t>
  </si>
  <si>
    <t>69~70</t>
  </si>
  <si>
    <t>71~72</t>
  </si>
  <si>
    <t>73~74</t>
  </si>
  <si>
    <t>75~76</t>
  </si>
  <si>
    <t>77~78</t>
  </si>
  <si>
    <t>79~80</t>
  </si>
  <si>
    <t>81~82</t>
  </si>
  <si>
    <t>83~84</t>
  </si>
  <si>
    <t>85~86</t>
  </si>
  <si>
    <t>87~88</t>
  </si>
  <si>
    <t>89~90</t>
  </si>
  <si>
    <t>91~92</t>
  </si>
  <si>
    <t>93~94</t>
  </si>
  <si>
    <t>95~96</t>
  </si>
  <si>
    <t>97~98</t>
  </si>
  <si>
    <t>99~100</t>
  </si>
  <si>
    <t>101~102</t>
  </si>
  <si>
    <t>103~104</t>
  </si>
  <si>
    <t>105~106</t>
  </si>
  <si>
    <t>107~108</t>
  </si>
  <si>
    <t>109~110</t>
  </si>
  <si>
    <t>111~112</t>
  </si>
  <si>
    <t>113~114</t>
  </si>
  <si>
    <t>115~116</t>
  </si>
  <si>
    <t>117~118</t>
  </si>
  <si>
    <t>119~120</t>
  </si>
  <si>
    <t>121~122</t>
  </si>
  <si>
    <t>123~124</t>
  </si>
  <si>
    <t>125~126</t>
  </si>
  <si>
    <t>127~128</t>
  </si>
  <si>
    <t>129~130</t>
  </si>
  <si>
    <t>PTU</t>
    <phoneticPr fontId="2" type="noConversion"/>
  </si>
  <si>
    <t>Clibration</t>
    <phoneticPr fontId="2" type="noConversion"/>
  </si>
  <si>
    <t>CCP1 Req</t>
    <phoneticPr fontId="2" type="noConversion"/>
  </si>
  <si>
    <t>CCP2 Req</t>
    <phoneticPr fontId="2" type="noConversion"/>
  </si>
  <si>
    <r>
      <rPr>
        <strike/>
        <sz val="8"/>
        <rFont val="Arial"/>
        <family val="2"/>
      </rPr>
      <t>TR2</t>
    </r>
    <r>
      <rPr>
        <sz val="8"/>
        <rFont val="Arial"/>
        <family val="2"/>
      </rPr>
      <t xml:space="preserve">
B Cab On</t>
    </r>
    <phoneticPr fontId="2" type="noConversion"/>
  </si>
  <si>
    <r>
      <rPr>
        <strike/>
        <sz val="8"/>
        <rFont val="Arial"/>
        <family val="2"/>
      </rPr>
      <t>TR1</t>
    </r>
    <r>
      <rPr>
        <sz val="8"/>
        <rFont val="Arial"/>
        <family val="2"/>
      </rPr>
      <t xml:space="preserve">
A Cab On</t>
    </r>
    <phoneticPr fontId="2" type="noConversion"/>
  </si>
  <si>
    <t>Trigger ID Number Tens Digit(BCD)</t>
    <phoneticPr fontId="2" type="noConversion"/>
  </si>
  <si>
    <t>Trigger ID Number Units Digit(BCD)</t>
    <phoneticPr fontId="2" type="noConversion"/>
  </si>
  <si>
    <t>LED MARK</t>
    <phoneticPr fontId="2" type="noConversion"/>
  </si>
  <si>
    <t>Station Type</t>
    <phoneticPr fontId="2" type="noConversion"/>
  </si>
  <si>
    <r>
      <t xml:space="preserve">Spare
</t>
    </r>
    <r>
      <rPr>
        <sz val="8"/>
        <color indexed="10"/>
        <rFont val="Arial"/>
        <family val="2"/>
      </rPr>
      <t>STOP</t>
    </r>
    <phoneticPr fontId="2" type="noConversion"/>
  </si>
  <si>
    <r>
      <t xml:space="preserve">Spare
</t>
    </r>
    <r>
      <rPr>
        <sz val="8"/>
        <color indexed="10"/>
        <rFont val="Arial"/>
        <family val="2"/>
      </rPr>
      <t>SKIP</t>
    </r>
    <phoneticPr fontId="2" type="noConversion"/>
  </si>
  <si>
    <r>
      <t xml:space="preserve">SKIP
</t>
    </r>
    <r>
      <rPr>
        <sz val="8"/>
        <color indexed="10"/>
        <rFont val="Arial"/>
        <family val="2"/>
      </rPr>
      <t>EXP</t>
    </r>
    <phoneticPr fontId="2" type="noConversion"/>
  </si>
  <si>
    <r>
      <t xml:space="preserve">EXP
</t>
    </r>
    <r>
      <rPr>
        <sz val="8"/>
        <color indexed="10"/>
        <rFont val="Arial"/>
        <family val="2"/>
      </rPr>
      <t>LTD</t>
    </r>
    <phoneticPr fontId="2" type="noConversion"/>
  </si>
  <si>
    <r>
      <t xml:space="preserve">LOCAL
</t>
    </r>
    <r>
      <rPr>
        <sz val="8"/>
        <color indexed="10"/>
        <rFont val="Arial"/>
        <family val="2"/>
      </rPr>
      <t>SEPTA LOG</t>
    </r>
    <phoneticPr fontId="2" type="noConversion"/>
  </si>
  <si>
    <r>
      <t xml:space="preserve">STOP
</t>
    </r>
    <r>
      <rPr>
        <sz val="8"/>
        <color indexed="10"/>
        <rFont val="Arial"/>
        <family val="2"/>
      </rPr>
      <t>Route</t>
    </r>
    <phoneticPr fontId="2" type="noConversion"/>
  </si>
  <si>
    <t>MUTE_L</t>
    <phoneticPr fontId="2" type="noConversion"/>
  </si>
  <si>
    <t>MUTE_R</t>
    <phoneticPr fontId="2" type="noConversion"/>
  </si>
  <si>
    <t>LED 교차
출력시점</t>
    <phoneticPr fontId="2" type="noConversion"/>
  </si>
  <si>
    <r>
      <t xml:space="preserve">LED </t>
    </r>
    <r>
      <rPr>
        <sz val="8"/>
        <color indexed="10"/>
        <rFont val="돋움"/>
        <family val="3"/>
        <charset val="129"/>
      </rPr>
      <t>교차</t>
    </r>
    <r>
      <rPr>
        <sz val="8"/>
        <color indexed="10"/>
        <rFont val="Arial"/>
        <family val="2"/>
      </rPr>
      <t xml:space="preserve"> </t>
    </r>
    <r>
      <rPr>
        <sz val="8"/>
        <color indexed="10"/>
        <rFont val="돋움"/>
        <family val="3"/>
        <charset val="129"/>
      </rPr>
      <t>출력시간</t>
    </r>
    <phoneticPr fontId="2" type="noConversion"/>
  </si>
  <si>
    <t>Skip 1</t>
  </si>
  <si>
    <t>Skip 6</t>
  </si>
  <si>
    <t>Skip 5</t>
  </si>
  <si>
    <t>Skip 4</t>
  </si>
  <si>
    <t>Skip 3</t>
  </si>
  <si>
    <t>Skip 2</t>
  </si>
  <si>
    <t>Skip 0</t>
  </si>
  <si>
    <t>Skip7</t>
    <phoneticPr fontId="2" type="noConversion"/>
  </si>
  <si>
    <t>Skip 14</t>
    <phoneticPr fontId="2" type="noConversion"/>
  </si>
  <si>
    <t>Skip15</t>
    <phoneticPr fontId="2" type="noConversion"/>
  </si>
  <si>
    <t>Skip13</t>
  </si>
  <si>
    <t>Skip12</t>
  </si>
  <si>
    <t>Skip11</t>
  </si>
  <si>
    <t>Skip10</t>
  </si>
  <si>
    <t>Skip9</t>
  </si>
  <si>
    <t>Skip8</t>
  </si>
  <si>
    <t>Skip23</t>
  </si>
  <si>
    <t>Skip 22</t>
  </si>
  <si>
    <t>Skip 21</t>
  </si>
  <si>
    <t>Skip 20</t>
  </si>
  <si>
    <t>Skip 19</t>
  </si>
  <si>
    <t>Skip 18</t>
  </si>
  <si>
    <t>Skip 17</t>
  </si>
  <si>
    <t>Skip 16</t>
  </si>
  <si>
    <t>Skip31</t>
  </si>
  <si>
    <t>Skip 30</t>
  </si>
  <si>
    <t>Skip 29</t>
  </si>
  <si>
    <t>Skip 28</t>
  </si>
  <si>
    <t>Skip 27</t>
  </si>
  <si>
    <t>Skip 26</t>
  </si>
  <si>
    <t>Skip 25</t>
  </si>
  <si>
    <t>Skip 24</t>
  </si>
  <si>
    <t>Skip39</t>
  </si>
  <si>
    <t>Skip 38</t>
  </si>
  <si>
    <t>Skip 37</t>
  </si>
  <si>
    <t>Skip 36</t>
  </si>
  <si>
    <t>Skip 35</t>
  </si>
  <si>
    <t>Skip 34</t>
  </si>
  <si>
    <t>Skip 33</t>
  </si>
  <si>
    <t>Skip 32</t>
  </si>
  <si>
    <t>Skip47</t>
  </si>
  <si>
    <t>Skip 46</t>
  </si>
  <si>
    <t>Skip 45</t>
  </si>
  <si>
    <t>Skip 44</t>
  </si>
  <si>
    <t>Skip 43</t>
  </si>
  <si>
    <t>Skip 42</t>
  </si>
  <si>
    <t>Skip 41</t>
  </si>
  <si>
    <t>Skip 40</t>
  </si>
  <si>
    <t>Skip55</t>
  </si>
  <si>
    <t>Skip 54</t>
  </si>
  <si>
    <t>Skip 53</t>
  </si>
  <si>
    <t>Skip 52</t>
  </si>
  <si>
    <t>Skip 51</t>
  </si>
  <si>
    <t>Skip 50</t>
  </si>
  <si>
    <t>Skip 49</t>
  </si>
  <si>
    <t>Skip 48</t>
  </si>
  <si>
    <t>Skip63</t>
  </si>
  <si>
    <t>Skip 62</t>
  </si>
  <si>
    <t>Skip 61</t>
  </si>
  <si>
    <t>Skip 60</t>
  </si>
  <si>
    <t>Skip 59</t>
  </si>
  <si>
    <t>Skip 58</t>
  </si>
  <si>
    <t>Skip 57</t>
  </si>
  <si>
    <t>Skip 56</t>
  </si>
  <si>
    <t>Skip71</t>
  </si>
  <si>
    <t>Skip 70</t>
  </si>
  <si>
    <t>Skip 69</t>
  </si>
  <si>
    <t>Skip 68</t>
  </si>
  <si>
    <t>Skip 67</t>
  </si>
  <si>
    <t>Skip 66</t>
  </si>
  <si>
    <t>Skip 65</t>
  </si>
  <si>
    <t>Skip 64</t>
  </si>
  <si>
    <t>Skip79</t>
  </si>
  <si>
    <t>Skip 78</t>
  </si>
  <si>
    <t>Skip 77</t>
  </si>
  <si>
    <t>Skip 76</t>
  </si>
  <si>
    <t>Skip 75</t>
  </si>
  <si>
    <t>Skip 74</t>
  </si>
  <si>
    <t>Skip 73</t>
  </si>
  <si>
    <t>Skip 72</t>
  </si>
  <si>
    <r>
      <t>SKIP</t>
    </r>
    <r>
      <rPr>
        <sz val="8"/>
        <rFont val="돋움"/>
        <family val="3"/>
        <charset val="129"/>
      </rPr>
      <t>역
설정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정보</t>
    </r>
    <phoneticPr fontId="2" type="noConversion"/>
  </si>
  <si>
    <t xml:space="preserve">5F </t>
  </si>
  <si>
    <t xml:space="preserve">0E </t>
  </si>
  <si>
    <t xml:space="preserve">E0 </t>
  </si>
  <si>
    <t xml:space="preserve">7F </t>
  </si>
  <si>
    <t>Up/Down</t>
    <phoneticPr fontId="2" type="noConversion"/>
  </si>
  <si>
    <t>Connect</t>
    <phoneticPr fontId="2" type="noConversion"/>
  </si>
  <si>
    <t>WLAN State</t>
    <phoneticPr fontId="2" type="noConversion"/>
  </si>
  <si>
    <t>R24</t>
    <phoneticPr fontId="2" type="noConversion"/>
  </si>
  <si>
    <t>R25</t>
    <phoneticPr fontId="2" type="noConversion"/>
  </si>
  <si>
    <t>Revision</t>
    <phoneticPr fontId="2" type="noConversion"/>
  </si>
  <si>
    <t>날짜</t>
    <phoneticPr fontId="2" type="noConversion"/>
  </si>
  <si>
    <t>변경내용</t>
    <phoneticPr fontId="2" type="noConversion"/>
  </si>
  <si>
    <t>대상 Sheet</t>
    <phoneticPr fontId="2" type="noConversion"/>
  </si>
  <si>
    <t>PAC-&gt;CCP(CNCS,LIC)</t>
  </si>
  <si>
    <r>
      <t xml:space="preserve">TR1, TR2-&gt; Cab On </t>
    </r>
    <r>
      <rPr>
        <sz val="8"/>
        <rFont val="돋움"/>
        <family val="3"/>
        <charset val="129"/>
      </rPr>
      <t>신호로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변경</t>
    </r>
    <phoneticPr fontId="2" type="noConversion"/>
  </si>
  <si>
    <t>순번</t>
    <phoneticPr fontId="2" type="noConversion"/>
  </si>
  <si>
    <t>적용위치</t>
    <phoneticPr fontId="2" type="noConversion"/>
  </si>
  <si>
    <t>- Trigger ID Number 마지막 두자리를 FF에서 유효코드로 변경.</t>
    <phoneticPr fontId="2" type="noConversion"/>
  </si>
  <si>
    <t>- TR1, TR2-&gt; Cab On 신호로 변경.</t>
    <phoneticPr fontId="2" type="noConversion"/>
  </si>
  <si>
    <t>· 00일경우, 방송안함.</t>
    <phoneticPr fontId="2" type="noConversion"/>
  </si>
  <si>
    <t>· 01~99까지의 유효코드로 사용.</t>
    <phoneticPr fontId="2" type="noConversion"/>
  </si>
  <si>
    <t>※ 방송별 구분 코드 정의가 필요함.</t>
    <phoneticPr fontId="2" type="noConversion"/>
  </si>
  <si>
    <t>변경사유</t>
    <phoneticPr fontId="2" type="noConversion"/>
  </si>
  <si>
    <t>- 같은 Trigger Point에서 다중 현시 기능을 추가하기 하여 프로토콜 수정</t>
    <phoneticPr fontId="2" type="noConversion"/>
  </si>
  <si>
    <t>- CCP의 Master CCP를 표현하기 위해 수정.</t>
    <phoneticPr fontId="2" type="noConversion"/>
  </si>
  <si>
    <t>- LED Mark 및 Station Type 코드 추가</t>
    <phoneticPr fontId="2" type="noConversion"/>
  </si>
  <si>
    <t>· FDI/SDI의 Color LED의 표출 데이터 구분코드 추가</t>
    <phoneticPr fontId="2" type="noConversion"/>
  </si>
  <si>
    <t>· FDI/SDI의 행선지명과 Via Center City의 교차 출력을 동기화 비트 추가</t>
    <phoneticPr fontId="2" type="noConversion"/>
  </si>
  <si>
    <t>· 역정차 정보 표출 위치 수정.</t>
    <phoneticPr fontId="2" type="noConversion"/>
  </si>
  <si>
    <t>139~140</t>
  </si>
  <si>
    <t>259~260</t>
  </si>
  <si>
    <t>297~298</t>
  </si>
  <si>
    <t>- LED의 표출 문장을 동기화 하기 위해</t>
    <phoneticPr fontId="2" type="noConversion"/>
  </si>
  <si>
    <t>- CNCS에서 받은 LED 교차 출력시간을 CCP로 전송함.</t>
    <phoneticPr fontId="2" type="noConversion"/>
  </si>
  <si>
    <t>CCP-&gt;PAC(PIS,CNCS,TRIC)</t>
  </si>
  <si>
    <t>- MUTE_L, MUTE_R 프로토콜에는 존재하느 CCP에서 PAC로 전송할때에는 값을 넣어주지 않음.</t>
    <phoneticPr fontId="2" type="noConversion"/>
  </si>
  <si>
    <t>· ISK/ESK의 구분 및 동시방송을 제어하기 위해 CCP에서 제어하기로함.</t>
    <phoneticPr fontId="2" type="noConversion"/>
  </si>
  <si>
    <t>※ Speak 구분 코드 정의가 필요함.</t>
    <phoneticPr fontId="2" type="noConversion"/>
  </si>
  <si>
    <t>상동</t>
    <phoneticPr fontId="2" type="noConversion"/>
  </si>
  <si>
    <t>- FDI/SDI의 Color 표출 문자을 변경 하기위해 수정.</t>
    <phoneticPr fontId="2" type="noConversion"/>
  </si>
  <si>
    <t>- 방송 출력 스피커 제어</t>
    <phoneticPr fontId="2" type="noConversion"/>
  </si>
  <si>
    <t>89~108</t>
    <phoneticPr fontId="2" type="noConversion"/>
  </si>
  <si>
    <t>- CCP의 A와 B의 정차역 정보를 동기화하기 위하여, Skip 역정보를 추가함.</t>
    <phoneticPr fontId="2" type="noConversion"/>
  </si>
  <si>
    <t>- CCP의 백업기능을 위해 프로토콜 수정.</t>
    <phoneticPr fontId="2" type="noConversion"/>
  </si>
  <si>
    <t>CNCS&lt;-&gt;PAC(PIS)</t>
  </si>
  <si>
    <t>135~136</t>
  </si>
  <si>
    <t xml:space="preserve">- LED 교차 출력 시간 </t>
    <phoneticPr fontId="2" type="noConversion"/>
  </si>
  <si>
    <t>- FDI/SDI 동기화 교차시간 조정</t>
    <phoneticPr fontId="2" type="noConversion"/>
  </si>
  <si>
    <t>- WLAN State 프로토콜 추가</t>
    <phoneticPr fontId="2" type="noConversion"/>
  </si>
  <si>
    <t>· Up/Download 작업상태.</t>
    <phoneticPr fontId="2" type="noConversion"/>
  </si>
  <si>
    <t>· WLAN Connection 상태.</t>
    <phoneticPr fontId="2" type="noConversion"/>
  </si>
  <si>
    <t>- CCP의 화면에 WLAN의 작업 상태를 표출하기 위해 추가</t>
    <phoneticPr fontId="2" type="noConversion"/>
  </si>
  <si>
    <t>299~300</t>
  </si>
  <si>
    <t>- LED 교차출력시간</t>
    <phoneticPr fontId="2" type="noConversion"/>
  </si>
  <si>
    <t>· CNCS와 동일한 포멧의 데이터를 전송하기위해 R24에서의 위치에서 수정함.</t>
    <phoneticPr fontId="2" type="noConversion"/>
  </si>
  <si>
    <t>- CNCS와 동일한 프로토콜을 갖도로 프로토콜 수정.</t>
    <phoneticPr fontId="2" type="noConversion"/>
  </si>
  <si>
    <t>- WLAN State 및 DST Bit 상태 추가.</t>
    <phoneticPr fontId="2" type="noConversion"/>
  </si>
  <si>
    <t>- CCP의 WLAN 상태 표시를 위해 프로토콜 추가</t>
    <phoneticPr fontId="2" type="noConversion"/>
  </si>
  <si>
    <t xml:space="preserve">1F </t>
  </si>
  <si>
    <t xml:space="preserve">7D </t>
  </si>
  <si>
    <t xml:space="preserve">3. 전송주기 : </t>
    <phoneticPr fontId="2" type="noConversion"/>
  </si>
  <si>
    <t xml:space="preserve">1. 통신방식 : </t>
    <phoneticPr fontId="2" type="noConversion"/>
  </si>
  <si>
    <t>RS-232C</t>
    <phoneticPr fontId="2" type="noConversion"/>
  </si>
  <si>
    <t xml:space="preserve">2. 통신속도 : </t>
    <phoneticPr fontId="2" type="noConversion"/>
  </si>
  <si>
    <t>38400bps</t>
    <phoneticPr fontId="2" type="noConversion"/>
  </si>
  <si>
    <t>50ms</t>
    <phoneticPr fontId="2" type="noConversion"/>
  </si>
  <si>
    <t>R26</t>
    <phoneticPr fontId="2" type="noConversion"/>
  </si>
  <si>
    <t>2010.08.04</t>
    <phoneticPr fontId="2" type="noConversion"/>
  </si>
  <si>
    <t>TEXT</t>
    <phoneticPr fontId="2" type="noConversion"/>
  </si>
  <si>
    <t>Content</t>
    <phoneticPr fontId="2" type="noConversion"/>
  </si>
  <si>
    <t>n+1~n+2</t>
    <phoneticPr fontId="2" type="noConversion"/>
  </si>
  <si>
    <t>n+3~n+4</t>
    <phoneticPr fontId="2" type="noConversion"/>
  </si>
  <si>
    <t>4. 통신주체 :</t>
    <phoneticPr fontId="2" type="noConversion"/>
  </si>
  <si>
    <t>LIC -&gt; CNCS</t>
    <phoneticPr fontId="2" type="noConversion"/>
  </si>
  <si>
    <t>Basic Protocol</t>
    <phoneticPr fontId="2" type="noConversion"/>
  </si>
  <si>
    <t>시간 정보 요청(LIC -&gt; CNCS)</t>
    <phoneticPr fontId="2" type="noConversion"/>
  </si>
  <si>
    <t>Conent CMD(08)</t>
    <phoneticPr fontId="2" type="noConversion"/>
  </si>
  <si>
    <t>시간 정보 응답(CNCS -&gt; LIC)</t>
    <phoneticPr fontId="2" type="noConversion"/>
  </si>
  <si>
    <t>Conent CMD(09)</t>
    <phoneticPr fontId="2" type="noConversion"/>
  </si>
  <si>
    <t>년</t>
    <phoneticPr fontId="2" type="noConversion"/>
  </si>
  <si>
    <t>SYSTEM
TIME</t>
    <phoneticPr fontId="2" type="noConversion"/>
  </si>
  <si>
    <t>월</t>
    <phoneticPr fontId="2" type="noConversion"/>
  </si>
  <si>
    <t>일</t>
    <phoneticPr fontId="2" type="noConversion"/>
  </si>
  <si>
    <t>시</t>
    <phoneticPr fontId="2" type="noConversion"/>
  </si>
  <si>
    <t>분</t>
    <phoneticPr fontId="2" type="noConversion"/>
  </si>
  <si>
    <t>초</t>
    <phoneticPr fontId="2" type="noConversion"/>
  </si>
  <si>
    <t>Wayside State</t>
    <phoneticPr fontId="2" type="noConversion"/>
  </si>
  <si>
    <t>Wayside</t>
    <phoneticPr fontId="2" type="noConversion"/>
  </si>
  <si>
    <t>LIC Data Type</t>
    <phoneticPr fontId="2" type="noConversion"/>
  </si>
  <si>
    <t>LIC Data</t>
    <phoneticPr fontId="2" type="noConversion"/>
  </si>
  <si>
    <t>Request Time</t>
    <phoneticPr fontId="2" type="noConversion"/>
  </si>
  <si>
    <t>Fault
Request 
Time</t>
    <phoneticPr fontId="2" type="noConversion"/>
  </si>
  <si>
    <t>Conent CMD(04)</t>
    <phoneticPr fontId="2" type="noConversion"/>
  </si>
  <si>
    <t>CDT Type</t>
    <phoneticPr fontId="2" type="noConversion"/>
  </si>
  <si>
    <t>A' Or 'B'</t>
    <phoneticPr fontId="2" type="noConversion"/>
  </si>
  <si>
    <t>CDT Data</t>
    <phoneticPr fontId="2" type="noConversion"/>
  </si>
  <si>
    <t>고장 정보 응답(CNCS -&gt; LIC)</t>
    <phoneticPr fontId="2" type="noConversion"/>
  </si>
  <si>
    <r>
      <rPr>
        <sz val="8"/>
        <rFont val="돋움"/>
        <family val="3"/>
        <charset val="129"/>
      </rPr>
      <t>고장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정보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응답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없음</t>
    </r>
    <r>
      <rPr>
        <sz val="8"/>
        <rFont val="Arial"/>
        <family val="2"/>
      </rPr>
      <t>.</t>
    </r>
    <phoneticPr fontId="2" type="noConversion"/>
  </si>
  <si>
    <t>고장 정보 전송 완료(LIC -&gt; CNCS)</t>
    <phoneticPr fontId="2" type="noConversion"/>
  </si>
  <si>
    <t>No.</t>
    <phoneticPr fontId="2" type="noConversion"/>
  </si>
  <si>
    <t>Conent CMD(06)</t>
    <phoneticPr fontId="2" type="noConversion"/>
  </si>
  <si>
    <t>Conent CMD(07)</t>
    <phoneticPr fontId="2" type="noConversion"/>
  </si>
  <si>
    <t>Fault 
Packet
Number</t>
    <phoneticPr fontId="2" type="noConversion"/>
  </si>
  <si>
    <t>손실 패킷 번호</t>
    <phoneticPr fontId="2" type="noConversion"/>
  </si>
  <si>
    <t>CNCS &lt;=&gt; LIC(RS232)</t>
    <phoneticPr fontId="2" type="noConversion"/>
  </si>
  <si>
    <t>- LIC 프로토콜 신규 정의</t>
    <phoneticPr fontId="2" type="noConversion"/>
  </si>
  <si>
    <r>
      <t xml:space="preserve">GIA
</t>
    </r>
    <r>
      <rPr>
        <sz val="8"/>
        <rFont val="돋움"/>
        <family val="3"/>
        <charset val="129"/>
      </rPr>
      <t>시간정보</t>
    </r>
    <phoneticPr fontId="2" type="noConversion"/>
  </si>
  <si>
    <t>Head
Bit</t>
    <phoneticPr fontId="2" type="noConversion"/>
  </si>
  <si>
    <t>중복역
0:M,1:S</t>
    <phoneticPr fontId="2" type="noConversion"/>
  </si>
  <si>
    <t>0B</t>
  </si>
  <si>
    <t>1C</t>
  </si>
  <si>
    <t>A4</t>
  </si>
  <si>
    <t>A0</t>
  </si>
  <si>
    <t>0D</t>
  </si>
  <si>
    <t>- Train Line</t>
    <phoneticPr fontId="2" type="noConversion"/>
  </si>
  <si>
    <t>DB4</t>
    <phoneticPr fontId="2" type="noConversion"/>
  </si>
  <si>
    <t xml:space="preserve">2E </t>
  </si>
  <si>
    <t xml:space="preserve">2D </t>
  </si>
  <si>
    <t>GPS</t>
    <phoneticPr fontId="2" type="noConversion"/>
  </si>
  <si>
    <t>Head
Bit</t>
    <phoneticPr fontId="2" type="noConversion"/>
  </si>
  <si>
    <t>PAC</t>
    <phoneticPr fontId="2" type="noConversion"/>
  </si>
  <si>
    <t>CNCS</t>
    <phoneticPr fontId="2" type="noConversion"/>
  </si>
  <si>
    <t>VTX</t>
    <phoneticPr fontId="2" type="noConversion"/>
  </si>
  <si>
    <t>CCP2</t>
    <phoneticPr fontId="2" type="noConversion"/>
  </si>
  <si>
    <t>DPO2</t>
    <phoneticPr fontId="2" type="noConversion"/>
  </si>
  <si>
    <t>DPO1</t>
    <phoneticPr fontId="2" type="noConversion"/>
  </si>
  <si>
    <t>TRIC1</t>
    <phoneticPr fontId="2" type="noConversion"/>
  </si>
  <si>
    <t>TRIC2</t>
    <phoneticPr fontId="2" type="noConversion"/>
  </si>
  <si>
    <t>`</t>
    <phoneticPr fontId="2" type="noConversion"/>
  </si>
  <si>
    <t>CPO2</t>
    <phoneticPr fontId="2" type="noConversion"/>
  </si>
  <si>
    <t>CPO1</t>
    <phoneticPr fontId="2" type="noConversion"/>
  </si>
  <si>
    <t>PEI3</t>
    <phoneticPr fontId="2" type="noConversion"/>
  </si>
  <si>
    <t>PEI2</t>
    <phoneticPr fontId="2" type="noConversion"/>
  </si>
  <si>
    <t>PEI1</t>
    <phoneticPr fontId="2" type="noConversion"/>
  </si>
  <si>
    <t>SDI4</t>
    <phoneticPr fontId="2" type="noConversion"/>
  </si>
  <si>
    <t>SDI3</t>
    <phoneticPr fontId="2" type="noConversion"/>
  </si>
  <si>
    <t>SDI7</t>
    <phoneticPr fontId="2" type="noConversion"/>
  </si>
  <si>
    <t>SDI8</t>
    <phoneticPr fontId="2" type="noConversion"/>
  </si>
  <si>
    <t>PID2-3</t>
    <phoneticPr fontId="2" type="noConversion"/>
  </si>
  <si>
    <t>PID2-2</t>
    <phoneticPr fontId="2" type="noConversion"/>
  </si>
  <si>
    <t>PII1</t>
    <phoneticPr fontId="2" type="noConversion"/>
  </si>
  <si>
    <t>PII4</t>
    <phoneticPr fontId="2" type="noConversion"/>
  </si>
  <si>
    <t>B Cond</t>
  </si>
  <si>
    <t>A Cond</t>
  </si>
  <si>
    <t>VERSION</t>
    <phoneticPr fontId="2" type="noConversion"/>
  </si>
  <si>
    <t xml:space="preserve">GPS </t>
    <phoneticPr fontId="2" type="noConversion"/>
  </si>
  <si>
    <t>D0</t>
    <phoneticPr fontId="2" type="noConversion"/>
  </si>
  <si>
    <t>Version</t>
    <phoneticPr fontId="2" type="noConversion"/>
  </si>
  <si>
    <t>Build Date</t>
    <phoneticPr fontId="2" type="noConversion"/>
  </si>
  <si>
    <t>TRIC
B</t>
    <phoneticPr fontId="2" type="noConversion"/>
  </si>
  <si>
    <t>TRIC 
F/A</t>
    <phoneticPr fontId="2" type="noConversion"/>
  </si>
  <si>
    <t>CCP
F/A</t>
    <phoneticPr fontId="2" type="noConversion"/>
  </si>
  <si>
    <t>LIC-LON</t>
    <phoneticPr fontId="2" type="noConversion"/>
  </si>
  <si>
    <t>VTX</t>
    <phoneticPr fontId="2" type="noConversion"/>
  </si>
  <si>
    <t>PAC
F/A</t>
    <phoneticPr fontId="2" type="noConversion"/>
  </si>
  <si>
    <t>PAC
B</t>
    <phoneticPr fontId="2" type="noConversion"/>
  </si>
  <si>
    <t>FDI
F/A</t>
    <phoneticPr fontId="2" type="noConversion"/>
  </si>
  <si>
    <t>FDI
B</t>
    <phoneticPr fontId="2" type="noConversion"/>
  </si>
  <si>
    <t>SDI2</t>
  </si>
  <si>
    <t>SDI3</t>
  </si>
  <si>
    <t>SDI4</t>
  </si>
  <si>
    <t>SDI5</t>
  </si>
  <si>
    <t>SDI6</t>
  </si>
  <si>
    <t>SDI7</t>
  </si>
  <si>
    <t>SDI8</t>
  </si>
  <si>
    <t>PII2</t>
  </si>
  <si>
    <t>PII3</t>
  </si>
  <si>
    <t>PII4</t>
  </si>
  <si>
    <t>VRX1</t>
    <phoneticPr fontId="2" type="noConversion"/>
  </si>
  <si>
    <t>VRX2</t>
  </si>
  <si>
    <t>VRX3</t>
  </si>
  <si>
    <t>VRX4</t>
  </si>
  <si>
    <t>VRX5</t>
  </si>
  <si>
    <t>VRX6</t>
  </si>
  <si>
    <t>VRX7</t>
  </si>
  <si>
    <t>VRX8</t>
  </si>
  <si>
    <t>VRX9</t>
  </si>
  <si>
    <t>VRX10</t>
  </si>
  <si>
    <t>VRX11</t>
  </si>
  <si>
    <t>VRX12</t>
  </si>
  <si>
    <t>CNCS
MAIN</t>
    <phoneticPr fontId="2" type="noConversion"/>
  </si>
  <si>
    <t>CNCS
LAUNCHER</t>
    <phoneticPr fontId="2" type="noConversion"/>
  </si>
  <si>
    <t>CNCS
PP</t>
    <phoneticPr fontId="2" type="noConversion"/>
  </si>
  <si>
    <t>CNCS
UPDATE</t>
    <phoneticPr fontId="2" type="noConversion"/>
  </si>
  <si>
    <t>CNCS
SP</t>
    <phoneticPr fontId="2" type="noConversion"/>
  </si>
  <si>
    <t>CNCS
FTPDATA</t>
    <phoneticPr fontId="2" type="noConversion"/>
  </si>
  <si>
    <t>CNCS
CDTDATA</t>
    <phoneticPr fontId="2" type="noConversion"/>
  </si>
  <si>
    <t>R27</t>
    <phoneticPr fontId="2" type="noConversion"/>
  </si>
  <si>
    <t>- LIC 프로토콜 Version 및 Build date에 추가함.</t>
    <phoneticPr fontId="2" type="noConversion"/>
  </si>
  <si>
    <t>15~16</t>
  </si>
  <si>
    <t xml:space="preserve">Firmware
Version
</t>
    <phoneticPr fontId="2" type="noConversion"/>
  </si>
  <si>
    <t>PAC&lt;-&gt;VTX</t>
  </si>
  <si>
    <t>-</t>
    <phoneticPr fontId="2" type="noConversion"/>
  </si>
  <si>
    <t>Version Build date를 추가함.</t>
    <phoneticPr fontId="2" type="noConversion"/>
  </si>
  <si>
    <t>PAC&lt;-&gt;GIA</t>
  </si>
  <si>
    <t>CDT</t>
    <phoneticPr fontId="2" type="noConversion"/>
  </si>
  <si>
    <t>All Door 
Close</t>
    <phoneticPr fontId="2" type="noConversion"/>
  </si>
  <si>
    <t>58~60</t>
  </si>
  <si>
    <t>84 16 07 11 03 10 02 00 0C</t>
  </si>
  <si>
    <t>PAC&lt;-&gt;PAC</t>
    <phoneticPr fontId="2" type="noConversion"/>
  </si>
  <si>
    <t>CCP-&gt;PAC</t>
    <phoneticPr fontId="2" type="noConversion"/>
  </si>
  <si>
    <t>PAC&lt;-&gt;PIS</t>
  </si>
  <si>
    <t>CDT All Door Close Bit 추가함.</t>
    <phoneticPr fontId="2" type="noConversion"/>
  </si>
  <si>
    <t>131~132</t>
  </si>
  <si>
    <t>133~134</t>
  </si>
  <si>
    <t>137~138</t>
  </si>
  <si>
    <t>141~142</t>
  </si>
  <si>
    <t>LED Time</t>
    <phoneticPr fontId="2" type="noConversion"/>
  </si>
  <si>
    <t>135~136</t>
    <phoneticPr fontId="2" type="noConversion"/>
  </si>
  <si>
    <t>PAC&lt;-&gt;TRIC(CCP)</t>
  </si>
  <si>
    <t>5~8</t>
    <phoneticPr fontId="2" type="noConversion"/>
  </si>
  <si>
    <t>13~14</t>
  </si>
  <si>
    <t>Message Count(0~9999)</t>
    <phoneticPr fontId="2" type="noConversion"/>
  </si>
  <si>
    <t>All Doors
Closed</t>
    <phoneticPr fontId="2" type="noConversion"/>
  </si>
  <si>
    <t>EP mode
placeholder</t>
    <phoneticPr fontId="2" type="noConversion"/>
  </si>
  <si>
    <t>Traction
Command</t>
    <phoneticPr fontId="2" type="noConversion"/>
  </si>
  <si>
    <t>Active 
Cab</t>
    <phoneticPr fontId="2" type="noConversion"/>
  </si>
  <si>
    <t>15~272</t>
    <phoneticPr fontId="2" type="noConversion"/>
  </si>
  <si>
    <t>273~274</t>
    <phoneticPr fontId="2" type="noConversion"/>
  </si>
  <si>
    <t>81~86</t>
    <phoneticPr fontId="2" type="noConversion"/>
  </si>
  <si>
    <t>113~118</t>
    <phoneticPr fontId="2" type="noConversion"/>
  </si>
  <si>
    <t>15~20</t>
    <phoneticPr fontId="2" type="noConversion"/>
  </si>
  <si>
    <t>51~56</t>
    <phoneticPr fontId="2" type="noConversion"/>
  </si>
  <si>
    <t>53~58</t>
    <phoneticPr fontId="2" type="noConversion"/>
  </si>
  <si>
    <t>39~243</t>
    <phoneticPr fontId="2" type="noConversion"/>
  </si>
  <si>
    <t>41~44</t>
  </si>
  <si>
    <t>45~50</t>
  </si>
  <si>
    <t>51~54</t>
  </si>
  <si>
    <t>55~60</t>
  </si>
  <si>
    <t>61~64</t>
  </si>
  <si>
    <t>65~70</t>
  </si>
  <si>
    <t>71~74</t>
  </si>
  <si>
    <t>75~80</t>
  </si>
  <si>
    <t>81~84</t>
  </si>
  <si>
    <t>85~90</t>
  </si>
  <si>
    <t>91~94</t>
  </si>
  <si>
    <t>95~100</t>
  </si>
  <si>
    <t>101~104</t>
  </si>
  <si>
    <t>105~110</t>
  </si>
  <si>
    <t>111~114</t>
  </si>
  <si>
    <t>115~120</t>
  </si>
  <si>
    <t>121~124</t>
  </si>
  <si>
    <t>125~130</t>
  </si>
  <si>
    <t>131~134</t>
  </si>
  <si>
    <t>135~140</t>
  </si>
  <si>
    <t>141~144</t>
  </si>
  <si>
    <t>145~150</t>
  </si>
  <si>
    <t>151~154</t>
  </si>
  <si>
    <t>155~160</t>
  </si>
  <si>
    <t>161~164</t>
  </si>
  <si>
    <t>165~170</t>
  </si>
  <si>
    <t>171~174</t>
  </si>
  <si>
    <t>175~180</t>
  </si>
  <si>
    <t>181~184</t>
  </si>
  <si>
    <t>185~190</t>
  </si>
  <si>
    <t>191~194</t>
  </si>
  <si>
    <t>195~200</t>
  </si>
  <si>
    <t>201~204</t>
  </si>
  <si>
    <t>205~210</t>
  </si>
  <si>
    <t>211~214</t>
  </si>
  <si>
    <t>215~220</t>
  </si>
  <si>
    <t>221~224</t>
  </si>
  <si>
    <t>225~230</t>
  </si>
  <si>
    <t>231~234</t>
  </si>
  <si>
    <t>235~240</t>
  </si>
  <si>
    <t>241~244</t>
  </si>
  <si>
    <t>245~250</t>
  </si>
  <si>
    <t>251~254</t>
  </si>
  <si>
    <t>255~260</t>
  </si>
  <si>
    <t>261~264</t>
  </si>
  <si>
    <t>265~270</t>
  </si>
  <si>
    <t>271~274</t>
  </si>
  <si>
    <t>275~280</t>
  </si>
  <si>
    <t>281~284</t>
  </si>
  <si>
    <t>285~290</t>
  </si>
  <si>
    <t>291~294</t>
  </si>
  <si>
    <t>295~300</t>
  </si>
  <si>
    <t>301~304</t>
  </si>
  <si>
    <t>305~310</t>
  </si>
  <si>
    <t>311~314</t>
  </si>
  <si>
    <t>315~320</t>
  </si>
  <si>
    <t>321~324</t>
  </si>
  <si>
    <t>325~330</t>
  </si>
  <si>
    <t>331~334</t>
  </si>
  <si>
    <t>335~340</t>
  </si>
  <si>
    <t>341~344</t>
  </si>
  <si>
    <t>345~350</t>
  </si>
  <si>
    <t>351~354</t>
  </si>
  <si>
    <t>355~360</t>
  </si>
  <si>
    <t>361~364</t>
  </si>
  <si>
    <t>365~370</t>
  </si>
  <si>
    <t>371~374</t>
  </si>
  <si>
    <t>375~380</t>
  </si>
  <si>
    <t>381~384</t>
  </si>
  <si>
    <t>385~390</t>
  </si>
  <si>
    <t>391~394</t>
  </si>
  <si>
    <t>395~400</t>
  </si>
  <si>
    <t>401~404</t>
  </si>
  <si>
    <t>405~410</t>
  </si>
  <si>
    <t>411~414</t>
  </si>
  <si>
    <t>415~420</t>
  </si>
  <si>
    <t>421~424</t>
  </si>
  <si>
    <t>425~430</t>
  </si>
  <si>
    <t>431~434</t>
  </si>
  <si>
    <t>435~440</t>
  </si>
  <si>
    <t>441~444</t>
  </si>
  <si>
    <t>445~450</t>
  </si>
  <si>
    <t>451~454</t>
  </si>
  <si>
    <t>455~460</t>
  </si>
  <si>
    <t>461~462</t>
  </si>
  <si>
    <t>Communication Protocol Code Table</t>
  </si>
  <si>
    <t>Project :</t>
  </si>
  <si>
    <t>SEPTA SL-V CS.</t>
  </si>
  <si>
    <t>2008.10.24</t>
  </si>
  <si>
    <t>Maker:</t>
  </si>
  <si>
    <t>JW. Kim</t>
  </si>
  <si>
    <t>Revision Date:</t>
  </si>
  <si>
    <t>2009.6.15</t>
  </si>
  <si>
    <t>Revision No.</t>
  </si>
  <si>
    <t>R22</t>
  </si>
  <si>
    <t>1.1. General Data Format of Car line  (Master PAC&lt;=&gt;Sub PAC(Car line))</t>
  </si>
  <si>
    <t>No.</t>
  </si>
  <si>
    <t>Abb</t>
  </si>
  <si>
    <t>Bit7</t>
  </si>
  <si>
    <t>Bit6</t>
  </si>
  <si>
    <t>Bit5</t>
  </si>
  <si>
    <t>Bit4</t>
  </si>
  <si>
    <t>Bit3</t>
  </si>
  <si>
    <t>Bit2</t>
  </si>
  <si>
    <t>Bit1</t>
  </si>
  <si>
    <t>Bit0</t>
  </si>
  <si>
    <t>Size(Byte)</t>
  </si>
  <si>
    <t>SOH</t>
  </si>
  <si>
    <t>0x01: Start Code</t>
  </si>
  <si>
    <t>1~2</t>
  </si>
  <si>
    <t>SID</t>
  </si>
  <si>
    <t>Source Device (All Device)</t>
  </si>
  <si>
    <t>3~4</t>
  </si>
  <si>
    <t>DID</t>
  </si>
  <si>
    <t>Destination Device (All Device)</t>
  </si>
  <si>
    <t>5~6</t>
  </si>
  <si>
    <t>MC</t>
  </si>
  <si>
    <t>Message Count(0~99)</t>
  </si>
  <si>
    <t>7~8</t>
  </si>
  <si>
    <t>CMD</t>
  </si>
  <si>
    <t>Command Code</t>
  </si>
  <si>
    <t>9~10</t>
  </si>
  <si>
    <t>LNG</t>
  </si>
  <si>
    <t xml:space="preserve"> Data Length Code</t>
  </si>
  <si>
    <t>11~12</t>
  </si>
  <si>
    <t>PAC_T</t>
  </si>
  <si>
    <t>PAC_B</t>
  </si>
  <si>
    <t>PAC_A</t>
  </si>
  <si>
    <t>CA_Token</t>
  </si>
  <si>
    <t>T_Toss</t>
  </si>
  <si>
    <t>T_Req</t>
  </si>
  <si>
    <t>CCP_M</t>
  </si>
  <si>
    <t>CCP_B</t>
  </si>
  <si>
    <t>CCP_A</t>
  </si>
  <si>
    <t>Main</t>
  </si>
  <si>
    <t>M_Oder</t>
  </si>
  <si>
    <t xml:space="preserve">M_Return </t>
  </si>
  <si>
    <t xml:space="preserve">M_Req </t>
  </si>
  <si>
    <t>CNCS_T</t>
  </si>
  <si>
    <t xml:space="preserve">CNCS </t>
  </si>
  <si>
    <t>Cab_B TRIC</t>
  </si>
  <si>
    <t>Cab_A TRIC</t>
  </si>
  <si>
    <t>M_Order</t>
  </si>
  <si>
    <t>D0</t>
  </si>
  <si>
    <t>B Cab On</t>
  </si>
  <si>
    <t>A Cab On</t>
  </si>
  <si>
    <t>Pattern Test</t>
  </si>
  <si>
    <t>Simulation</t>
  </si>
  <si>
    <t>Uncouple</t>
  </si>
  <si>
    <t>Forward</t>
  </si>
  <si>
    <t>D1</t>
  </si>
  <si>
    <t>B DPO</t>
  </si>
  <si>
    <t>B Cond Key</t>
  </si>
  <si>
    <t>A Cond Key</t>
  </si>
  <si>
    <t>A DPO</t>
  </si>
  <si>
    <t>Route Number(1~9)</t>
  </si>
  <si>
    <t>TRAN</t>
  </si>
  <si>
    <t>Train Number Hundred Thousand Digit(BCD)</t>
  </si>
  <si>
    <t>Train Number Ten Thousand Digit(BCD)</t>
  </si>
  <si>
    <t>Train Number Thousands Digit(BCD)</t>
  </si>
  <si>
    <t>Train Number Hundreds Digit(BCD)</t>
  </si>
  <si>
    <t>Train Number Tens Digit(BCD)</t>
  </si>
  <si>
    <t>Train Number Units Digit(BCD)</t>
  </si>
  <si>
    <t>CID</t>
  </si>
  <si>
    <t>Crew ID Number Hundred Thousand Digit(BCD)</t>
  </si>
  <si>
    <t>Crew ID Number Ten Thousand Digit(BCD)</t>
  </si>
  <si>
    <t>Crew ID Number Thousands Digit(BCD)</t>
  </si>
  <si>
    <t>Crew ID Number Hundreds Digit(BCD)</t>
  </si>
  <si>
    <t>Crew ID Number Tens Digit(BCD)</t>
  </si>
  <si>
    <t>Crew ID Number Units Digit(BCD)</t>
  </si>
  <si>
    <t>DS</t>
  </si>
  <si>
    <t>Door status of merried B(801),(0:Close, 1:Open)</t>
  </si>
  <si>
    <t>Door status of merried A(802) or single(0:Close, 1:Open)</t>
  </si>
  <si>
    <t>LH2</t>
  </si>
  <si>
    <t>LL2</t>
  </si>
  <si>
    <t>RH2</t>
  </si>
  <si>
    <t>RL2</t>
  </si>
  <si>
    <t>LH1</t>
  </si>
  <si>
    <t>LL1</t>
  </si>
  <si>
    <t>RH1</t>
  </si>
  <si>
    <t>RL1</t>
  </si>
  <si>
    <t>NOWD</t>
  </si>
  <si>
    <t>Direction of now  door open  of married B(801)</t>
  </si>
  <si>
    <t>Direction of now door open of married A(802) or single</t>
  </si>
  <si>
    <t>NEXD</t>
  </si>
  <si>
    <t>Direction of next  door open  of married B(801)</t>
  </si>
  <si>
    <t>Direction of next door open of married A(802) or single</t>
  </si>
  <si>
    <t>ANS CRA 볼륨값</t>
  </si>
  <si>
    <t>TRIP</t>
  </si>
  <si>
    <t>Trigger ID Number Hundred Thousands Digit(BCD)</t>
  </si>
  <si>
    <t>Trigger ID Number Ten Thousands Digit(BCD)</t>
  </si>
  <si>
    <t>Trigger ID Number Thousands Digit(BCD)</t>
  </si>
  <si>
    <t>Trigger ID Number Hundreds Digit(BCD)</t>
  </si>
  <si>
    <t>Trigger ID Number Tens Digit(BCD)</t>
  </si>
  <si>
    <t>Trigger ID Number Units Digit(BCD)</t>
  </si>
  <si>
    <t>CARN</t>
  </si>
  <si>
    <t>Car Number Hundereds(BCD)</t>
  </si>
  <si>
    <t>Car Number Tens(BCD)</t>
  </si>
  <si>
    <t>Car Number Unit(BCD)</t>
  </si>
  <si>
    <t>SPK</t>
  </si>
  <si>
    <t>ESP_FLAG</t>
  </si>
  <si>
    <t>ISP</t>
  </si>
  <si>
    <t>ESP</t>
  </si>
  <si>
    <t>SOFT</t>
  </si>
  <si>
    <t>NORMAL</t>
  </si>
  <si>
    <t>MUTE</t>
  </si>
  <si>
    <t>MUTE_L</t>
  </si>
  <si>
    <t>MUTE_R</t>
  </si>
  <si>
    <t>CAR
INFO</t>
  </si>
  <si>
    <t>HEADING</t>
  </si>
  <si>
    <t>CRB</t>
  </si>
  <si>
    <t>CRA</t>
  </si>
  <si>
    <t>PAC</t>
  </si>
  <si>
    <t>GPS</t>
  </si>
  <si>
    <t>WLAN</t>
  </si>
  <si>
    <t>LIC</t>
  </si>
  <si>
    <t>CNCS</t>
  </si>
  <si>
    <t>VTX</t>
  </si>
  <si>
    <t>B Cab</t>
  </si>
  <si>
    <t>A Cab</t>
  </si>
  <si>
    <t>TRIC2</t>
  </si>
  <si>
    <t>TRIC1</t>
  </si>
  <si>
    <t>CCP2</t>
  </si>
  <si>
    <t>CCP1</t>
  </si>
  <si>
    <t>DPO2</t>
  </si>
  <si>
    <t>DPO1</t>
  </si>
  <si>
    <t>CPO4</t>
  </si>
  <si>
    <t>CPO3</t>
  </si>
  <si>
    <t>CPO2</t>
  </si>
  <si>
    <t>CPO1</t>
  </si>
  <si>
    <t>FDI2</t>
  </si>
  <si>
    <t>FDI1</t>
  </si>
  <si>
    <t>PEI6</t>
  </si>
  <si>
    <t>PEI5</t>
  </si>
  <si>
    <t>PEI4</t>
  </si>
  <si>
    <t>PEI3</t>
  </si>
  <si>
    <t>PEI2</t>
  </si>
  <si>
    <t>PEI1</t>
  </si>
  <si>
    <t>PEI6 Call</t>
  </si>
  <si>
    <t>PEI5 Call</t>
  </si>
  <si>
    <t>PEI4 Call</t>
  </si>
  <si>
    <t>PEI3 Call</t>
  </si>
  <si>
    <t>PEI2 Call</t>
  </si>
  <si>
    <t>PEI1 Call</t>
  </si>
  <si>
    <t>SDI1</t>
  </si>
  <si>
    <t>PID1-8</t>
  </si>
  <si>
    <t>PID1-7</t>
  </si>
  <si>
    <t>PID1-6</t>
  </si>
  <si>
    <t>PID1-5</t>
  </si>
  <si>
    <t>PID1-4</t>
  </si>
  <si>
    <t>PID1-3</t>
  </si>
  <si>
    <t>PID1-2</t>
  </si>
  <si>
    <t>PID1-1</t>
  </si>
  <si>
    <t>PII1</t>
  </si>
  <si>
    <t>PID2-4</t>
  </si>
  <si>
    <t>PID2-3</t>
  </si>
  <si>
    <t>PID2-2</t>
  </si>
  <si>
    <t>PID2-1</t>
  </si>
  <si>
    <t>IN_PA</t>
  </si>
  <si>
    <t>SPARE</t>
  </si>
  <si>
    <t>Coupling ID</t>
  </si>
  <si>
    <t>Train Length</t>
  </si>
  <si>
    <t>TEST1</t>
  </si>
  <si>
    <t>TEST2</t>
  </si>
  <si>
    <t>버전</t>
  </si>
  <si>
    <r>
      <rPr>
        <sz val="8"/>
        <color indexed="10"/>
        <rFont val="돋움"/>
        <family val="3"/>
        <charset val="129"/>
      </rPr>
      <t>버전</t>
    </r>
    <r>
      <rPr>
        <sz val="8"/>
        <color indexed="10"/>
        <rFont val="Arial"/>
        <family val="2"/>
      </rPr>
      <t xml:space="preserve"> 1</t>
    </r>
  </si>
  <si>
    <r>
      <rPr>
        <sz val="8"/>
        <color indexed="10"/>
        <rFont val="돋움"/>
        <family val="3"/>
        <charset val="129"/>
      </rPr>
      <t>버전</t>
    </r>
    <r>
      <rPr>
        <sz val="8"/>
        <color indexed="10"/>
        <rFont val="Arial"/>
        <family val="2"/>
      </rPr>
      <t xml:space="preserve"> 2</t>
    </r>
  </si>
  <si>
    <r>
      <rPr>
        <sz val="8"/>
        <color indexed="10"/>
        <rFont val="돋움"/>
        <family val="3"/>
        <charset val="129"/>
      </rPr>
      <t>버전</t>
    </r>
    <r>
      <rPr>
        <sz val="8"/>
        <color indexed="10"/>
        <rFont val="Arial"/>
        <family val="2"/>
      </rPr>
      <t xml:space="preserve"> 3</t>
    </r>
  </si>
  <si>
    <t>버전 4</t>
  </si>
  <si>
    <t>CHK</t>
  </si>
  <si>
    <t>Checksum Code</t>
  </si>
  <si>
    <t>EOT</t>
  </si>
  <si>
    <t>0x04: End Code</t>
  </si>
  <si>
    <t>2. General Data Format of Train Line (Master PAC&lt;=&gt;Master PAC(TRAIN LINE))</t>
  </si>
  <si>
    <t>Data Length Code</t>
  </si>
  <si>
    <t>Coupling</t>
  </si>
  <si>
    <t>TL_Token</t>
  </si>
  <si>
    <t>TL_Token Pass</t>
  </si>
  <si>
    <t>RNUM</t>
  </si>
  <si>
    <t>Trigger ID Number Ten Hundreds Digit(BCD)</t>
  </si>
  <si>
    <t>Stop</t>
  </si>
  <si>
    <t>Skip</t>
  </si>
  <si>
    <r>
      <t xml:space="preserve">LED </t>
    </r>
    <r>
      <rPr>
        <sz val="8"/>
        <color indexed="10"/>
        <rFont val="돋움"/>
        <family val="3"/>
        <charset val="129"/>
      </rPr>
      <t>교차</t>
    </r>
  </si>
  <si>
    <t>Route</t>
  </si>
  <si>
    <t>EXP</t>
  </si>
  <si>
    <t>LTD</t>
  </si>
  <si>
    <t>Setpa Logo</t>
  </si>
  <si>
    <t>DTI</t>
  </si>
  <si>
    <t>Delay Number Tens Digit(BCD)</t>
  </si>
  <si>
    <t>Delay Number Units Digit(BCD)</t>
  </si>
  <si>
    <t>STST</t>
  </si>
  <si>
    <t>Start Station Code High("00H")</t>
  </si>
  <si>
    <t>Start Station Code Low("00H")</t>
  </si>
  <si>
    <t>NOST</t>
  </si>
  <si>
    <t>Now Station Code High("00H")</t>
  </si>
  <si>
    <t>Now StationCode Low("00H")</t>
  </si>
  <si>
    <t>NEST</t>
  </si>
  <si>
    <t>Next Station Code High("00H")</t>
  </si>
  <si>
    <t>Next Station Code Low("00H")</t>
  </si>
  <si>
    <t>DEST</t>
  </si>
  <si>
    <t>Destination Code High("00H")</t>
  </si>
  <si>
    <t>Destination Code Low("00H")</t>
  </si>
  <si>
    <t>TLID</t>
  </si>
  <si>
    <t>Train Len</t>
  </si>
  <si>
    <t>Target Coupling ID</t>
  </si>
  <si>
    <t>4B</t>
  </si>
  <si>
    <t>A7</t>
  </si>
  <si>
    <t>F0</t>
  </si>
  <si>
    <t>CC</t>
  </si>
  <si>
    <t>81~82</t>
    <phoneticPr fontId="2" type="noConversion"/>
  </si>
  <si>
    <t>83~84</t>
    <phoneticPr fontId="2" type="noConversion"/>
  </si>
  <si>
    <t>85~86</t>
    <phoneticPr fontId="2" type="noConversion"/>
  </si>
  <si>
    <t>Build
Date</t>
    <phoneticPr fontId="2" type="noConversion"/>
  </si>
  <si>
    <t>Year</t>
    <phoneticPr fontId="2" type="noConversion"/>
  </si>
  <si>
    <t>Month</t>
    <phoneticPr fontId="2" type="noConversion"/>
  </si>
  <si>
    <t>Day</t>
    <phoneticPr fontId="2" type="noConversion"/>
  </si>
  <si>
    <t>Data Length Code</t>
    <phoneticPr fontId="2" type="noConversion"/>
  </si>
  <si>
    <t>CNCS &lt;-&gt; LIC(RS232)</t>
    <phoneticPr fontId="2" type="noConversion"/>
  </si>
  <si>
    <t>23~24</t>
    <phoneticPr fontId="2" type="noConversion"/>
  </si>
  <si>
    <t>25~26</t>
    <phoneticPr fontId="2" type="noConversion"/>
  </si>
  <si>
    <t xml:space="preserve">LON - Firmware
Version
</t>
    <phoneticPr fontId="2" type="noConversion"/>
  </si>
  <si>
    <t xml:space="preserve">MPU - Firmware
Version
</t>
    <phoneticPr fontId="2" type="noConversion"/>
  </si>
  <si>
    <t>R28</t>
    <phoneticPr fontId="2" type="noConversion"/>
  </si>
  <si>
    <t>PAC&lt;-&gt;LIC(RS485)</t>
    <phoneticPr fontId="2" type="noConversion"/>
  </si>
  <si>
    <t>- LIC의 Door 신호를 PAC로 직접 넘겨주도록 수정함.</t>
    <phoneticPr fontId="2" type="noConversion"/>
  </si>
  <si>
    <t>R29</t>
    <phoneticPr fontId="2" type="noConversion"/>
  </si>
  <si>
    <t>25~34</t>
    <phoneticPr fontId="2" type="noConversion"/>
  </si>
  <si>
    <t>35~44</t>
    <phoneticPr fontId="2" type="noConversion"/>
  </si>
  <si>
    <t>- LIC LON 버전 및 Build Date 추가</t>
    <phoneticPr fontId="2" type="noConversion"/>
  </si>
  <si>
    <t>- LIC MPU 버전 및 Build Date 추가</t>
    <phoneticPr fontId="2" type="noConversion"/>
  </si>
  <si>
    <t>CCP Clibration</t>
    <phoneticPr fontId="2" type="noConversion"/>
  </si>
  <si>
    <t>CCP1
Cancel</t>
    <phoneticPr fontId="2" type="noConversion"/>
  </si>
  <si>
    <t>CCP1
Execute</t>
    <phoneticPr fontId="2" type="noConversion"/>
  </si>
  <si>
    <t>CCP2
Cancel</t>
    <phoneticPr fontId="2" type="noConversion"/>
  </si>
  <si>
    <t>CCP2
Execute</t>
    <phoneticPr fontId="2" type="noConversion"/>
  </si>
  <si>
    <t>TEST</t>
    <phoneticPr fontId="2" type="noConversion"/>
  </si>
  <si>
    <t>1B</t>
  </si>
  <si>
    <t>5D</t>
  </si>
  <si>
    <t>3F</t>
  </si>
  <si>
    <t>0A</t>
  </si>
  <si>
    <t>FF</t>
  </si>
  <si>
    <t>1.4. Commod Code</t>
    <phoneticPr fontId="2" type="noConversion"/>
  </si>
  <si>
    <t>HEX</t>
    <phoneticPr fontId="2" type="noConversion"/>
  </si>
  <si>
    <r>
      <t xml:space="preserve">Wayside On </t>
    </r>
    <r>
      <rPr>
        <sz val="8"/>
        <rFont val="돋움"/>
        <family val="3"/>
        <charset val="129"/>
      </rPr>
      <t>요청</t>
    </r>
    <phoneticPr fontId="2" type="noConversion"/>
  </si>
  <si>
    <t>Wayside On ACK</t>
    <phoneticPr fontId="2" type="noConversion"/>
  </si>
  <si>
    <r>
      <t xml:space="preserve">Married B </t>
    </r>
    <r>
      <rPr>
        <sz val="8"/>
        <rFont val="돋움"/>
        <family val="3"/>
        <charset val="129"/>
      </rPr>
      <t>도어정소</t>
    </r>
    <phoneticPr fontId="2" type="noConversion"/>
  </si>
  <si>
    <t>0x01</t>
    <phoneticPr fontId="2" type="noConversion"/>
  </si>
  <si>
    <t>0x02</t>
  </si>
  <si>
    <t>0x05</t>
    <phoneticPr fontId="2" type="noConversion"/>
  </si>
  <si>
    <t>0x06</t>
    <phoneticPr fontId="2" type="noConversion"/>
  </si>
  <si>
    <t>0x07</t>
  </si>
  <si>
    <t>0x08</t>
  </si>
  <si>
    <t>0x09</t>
  </si>
  <si>
    <t>0x0A</t>
    <phoneticPr fontId="2" type="noConversion"/>
  </si>
  <si>
    <t>0x0B</t>
    <phoneticPr fontId="2" type="noConversion"/>
  </si>
  <si>
    <t>0x0C</t>
    <phoneticPr fontId="2" type="noConversion"/>
  </si>
  <si>
    <t>0x0D</t>
    <phoneticPr fontId="2" type="noConversion"/>
  </si>
  <si>
    <t>0x0E</t>
    <phoneticPr fontId="2" type="noConversion"/>
  </si>
  <si>
    <t>0x0F</t>
    <phoneticPr fontId="2" type="noConversion"/>
  </si>
  <si>
    <t>NO.</t>
    <phoneticPr fontId="2" type="noConversion"/>
  </si>
  <si>
    <t>Information</t>
    <phoneticPr fontId="2" type="noConversion"/>
  </si>
  <si>
    <r>
      <t xml:space="preserve">FTP TX </t>
    </r>
    <r>
      <rPr>
        <sz val="8"/>
        <rFont val="돋움"/>
        <family val="3"/>
        <charset val="129"/>
      </rPr>
      <t>요청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전송</t>
    </r>
    <phoneticPr fontId="2" type="noConversion"/>
  </si>
  <si>
    <r>
      <t xml:space="preserve">FTP TX </t>
    </r>
    <r>
      <rPr>
        <sz val="8"/>
        <rFont val="돋움"/>
        <family val="3"/>
        <charset val="129"/>
      </rPr>
      <t>종료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전송</t>
    </r>
    <phoneticPr fontId="2" type="noConversion"/>
  </si>
  <si>
    <r>
      <t xml:space="preserve">Car Number </t>
    </r>
    <r>
      <rPr>
        <sz val="8"/>
        <rFont val="돋움"/>
        <family val="3"/>
        <charset val="129"/>
      </rPr>
      <t>전송</t>
    </r>
    <phoneticPr fontId="2" type="noConversion"/>
  </si>
  <si>
    <r>
      <rPr>
        <sz val="8"/>
        <rFont val="돋움"/>
        <family val="3"/>
        <charset val="129"/>
      </rPr>
      <t>시간정보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요청</t>
    </r>
    <phoneticPr fontId="2" type="noConversion"/>
  </si>
  <si>
    <r>
      <rPr>
        <sz val="8"/>
        <rFont val="돋움"/>
        <family val="3"/>
        <charset val="129"/>
      </rPr>
      <t>시간정보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응답</t>
    </r>
    <phoneticPr fontId="2" type="noConversion"/>
  </si>
  <si>
    <r>
      <rPr>
        <sz val="8"/>
        <rFont val="돋움"/>
        <family val="3"/>
        <charset val="129"/>
      </rPr>
      <t>장치상태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요청</t>
    </r>
    <phoneticPr fontId="2" type="noConversion"/>
  </si>
  <si>
    <r>
      <rPr>
        <sz val="8"/>
        <rFont val="돋움"/>
        <family val="3"/>
        <charset val="129"/>
      </rPr>
      <t>장치상태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응답</t>
    </r>
    <phoneticPr fontId="2" type="noConversion"/>
  </si>
  <si>
    <r>
      <rPr>
        <sz val="8"/>
        <rFont val="돋움"/>
        <family val="3"/>
        <charset val="129"/>
      </rPr>
      <t>버전정보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요청</t>
    </r>
    <phoneticPr fontId="2" type="noConversion"/>
  </si>
  <si>
    <r>
      <rPr>
        <sz val="8"/>
        <rFont val="돋움"/>
        <family val="3"/>
        <charset val="129"/>
      </rPr>
      <t>버전정보</t>
    </r>
    <r>
      <rPr>
        <sz val="8"/>
        <rFont val="Arial"/>
        <family val="2"/>
      </rPr>
      <t xml:space="preserve"> </t>
    </r>
    <r>
      <rPr>
        <sz val="8"/>
        <rFont val="돋움"/>
        <family val="3"/>
        <charset val="129"/>
      </rPr>
      <t>응답</t>
    </r>
    <phoneticPr fontId="2" type="noConversion"/>
  </si>
  <si>
    <r>
      <t xml:space="preserve">Married A | Single Car </t>
    </r>
    <r>
      <rPr>
        <sz val="8"/>
        <rFont val="돋움"/>
        <family val="3"/>
        <charset val="129"/>
      </rPr>
      <t>도어정보</t>
    </r>
    <phoneticPr fontId="2" type="noConversion"/>
  </si>
  <si>
    <t>LW_WAYSIDE_ON_ACK</t>
  </si>
  <si>
    <t>LW_FTP_TX</t>
    <phoneticPr fontId="2" type="noConversion"/>
  </si>
  <si>
    <t>LW_FTP_TX_END</t>
    <phoneticPr fontId="2" type="noConversion"/>
  </si>
  <si>
    <t>LW_CARNO</t>
  </si>
  <si>
    <t>LW_TIME_REQ</t>
  </si>
  <si>
    <t>LW_TIME_TX</t>
  </si>
  <si>
    <t>LW_WAYSIDE_ON_REQ</t>
    <phoneticPr fontId="2" type="noConversion"/>
  </si>
  <si>
    <t>0x05</t>
    <phoneticPr fontId="2" type="noConversion"/>
  </si>
  <si>
    <t>0x06</t>
    <phoneticPr fontId="2" type="noConversion"/>
  </si>
  <si>
    <t>LW_COMMST_REQ</t>
    <phoneticPr fontId="2" type="noConversion"/>
  </si>
  <si>
    <t>LW_COMMST_TX</t>
    <phoneticPr fontId="2" type="noConversion"/>
  </si>
  <si>
    <t>LW_VERSION_REQ</t>
    <phoneticPr fontId="2" type="noConversion"/>
  </si>
  <si>
    <t>LW_VERSION_TX</t>
    <phoneticPr fontId="2" type="noConversion"/>
  </si>
  <si>
    <t>LW_DOOR_ST_REQ1</t>
    <phoneticPr fontId="2" type="noConversion"/>
  </si>
  <si>
    <t>LW_DDOR_ST_REQ2</t>
    <phoneticPr fontId="2" type="noConversion"/>
  </si>
  <si>
    <t>0x0B</t>
    <phoneticPr fontId="2" type="noConversion"/>
  </si>
  <si>
    <t>17~18</t>
    <phoneticPr fontId="2" type="noConversion"/>
  </si>
  <si>
    <t>19~20</t>
    <phoneticPr fontId="2" type="noConversion"/>
  </si>
  <si>
    <t>21~22</t>
    <phoneticPr fontId="2" type="noConversion"/>
  </si>
  <si>
    <t>23~24</t>
    <phoneticPr fontId="2" type="noConversion"/>
  </si>
  <si>
    <t>25~26</t>
    <phoneticPr fontId="2" type="noConversion"/>
  </si>
  <si>
    <t>Data Length Code(H)</t>
    <phoneticPr fontId="2" type="noConversion"/>
  </si>
  <si>
    <t>Data Length Code(L)</t>
    <phoneticPr fontId="2" type="noConversion"/>
  </si>
  <si>
    <t>LNG</t>
    <phoneticPr fontId="2" type="noConversion"/>
  </si>
  <si>
    <t>CMD</t>
    <phoneticPr fontId="2" type="noConversion"/>
  </si>
  <si>
    <t>Conent CMD</t>
    <phoneticPr fontId="2" type="noConversion"/>
  </si>
  <si>
    <r>
      <t xml:space="preserve">TrainLine Input Max Voltage High Value (0~0xFF)  -&gt;  </t>
    </r>
    <r>
      <rPr>
        <sz val="9"/>
        <color indexed="10"/>
        <rFont val="Arial"/>
        <family val="2"/>
      </rPr>
      <t>ANS MIC (0~2)</t>
    </r>
    <phoneticPr fontId="2" type="noConversion"/>
  </si>
  <si>
    <r>
      <rPr>
        <strike/>
        <sz val="8"/>
        <rFont val="Arial"/>
        <family val="2"/>
      </rPr>
      <t>TrainLine Input Max Voltage High Value (0~0xFF) -&gt;</t>
    </r>
    <r>
      <rPr>
        <sz val="8"/>
        <rFont val="Arial"/>
        <family val="2"/>
      </rPr>
      <t xml:space="preserve">  </t>
    </r>
    <r>
      <rPr>
        <b/>
        <sz val="8"/>
        <color rgb="FFFF0000"/>
        <rFont val="Arial"/>
        <family val="2"/>
      </rPr>
      <t>ANS MIC (0~2)</t>
    </r>
    <phoneticPr fontId="2" type="noConversion"/>
  </si>
  <si>
    <t>CAR Consist Informaion(0x00~0xFF)</t>
    <phoneticPr fontId="2" type="noConversion"/>
  </si>
  <si>
    <t>2D</t>
  </si>
  <si>
    <t>0F</t>
  </si>
  <si>
    <t>3D</t>
  </si>
  <si>
    <t>PTU Update State</t>
    <phoneticPr fontId="2" type="noConversion"/>
  </si>
  <si>
    <t>PTU Update Step</t>
    <phoneticPr fontId="2" type="noConversion"/>
  </si>
  <si>
    <t>1.9. General Data Format of Car line(CNCS =&gt; PTU)</t>
    <phoneticPr fontId="2" type="noConversion"/>
  </si>
  <si>
    <t>PTU Update State</t>
    <phoneticPr fontId="2" type="noConversion"/>
  </si>
  <si>
    <t>8
MSB
|
LSB</t>
    <phoneticPr fontId="2" type="noConversion"/>
  </si>
  <si>
    <t>고장 정보 전송(LIC -&gt; CNCS)</t>
    <phoneticPr fontId="2" type="noConversion"/>
  </si>
  <si>
    <t>고장 정보 전송 완료 응답(CNCS -&gt; LIC)</t>
    <phoneticPr fontId="2" type="noConversion"/>
  </si>
  <si>
    <t>4
MSB
|
LSB</t>
    <phoneticPr fontId="2" type="noConversion"/>
  </si>
  <si>
    <t>13~16</t>
    <phoneticPr fontId="2" type="noConversion"/>
  </si>
</sst>
</file>

<file path=xl/styles.xml><?xml version="1.0" encoding="utf-8"?>
<styleSheet xmlns="http://schemas.openxmlformats.org/spreadsheetml/2006/main">
  <numFmts count="4">
    <numFmt numFmtId="42" formatCode="_-&quot;₩&quot;* #,##0_-;\-&quot;₩&quot;* #,##0_-;_-&quot;₩&quot;* &quot;-&quot;_-;_-@_-"/>
    <numFmt numFmtId="176" formatCode="0_ "/>
    <numFmt numFmtId="177" formatCode="00"/>
    <numFmt numFmtId="178" formatCode="00\ "/>
  </numFmts>
  <fonts count="43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sz val="9"/>
      <color indexed="81"/>
      <name val="굴림"/>
      <family val="3"/>
      <charset val="129"/>
    </font>
    <font>
      <b/>
      <sz val="9"/>
      <color indexed="81"/>
      <name val="굴림"/>
      <family val="3"/>
      <charset val="129"/>
    </font>
    <font>
      <b/>
      <sz val="9"/>
      <color indexed="10"/>
      <name val="굴림"/>
      <family val="3"/>
      <charset val="129"/>
    </font>
    <font>
      <sz val="8"/>
      <name val="Arial"/>
      <family val="2"/>
    </font>
    <font>
      <b/>
      <sz val="8"/>
      <color indexed="10"/>
      <name val="Arial"/>
      <family val="2"/>
    </font>
    <font>
      <sz val="8"/>
      <color indexed="10"/>
      <name val="Arial"/>
      <family val="2"/>
    </font>
    <font>
      <b/>
      <sz val="8"/>
      <name val="Arial"/>
      <family val="2"/>
    </font>
    <font>
      <b/>
      <u/>
      <sz val="8"/>
      <name val="Arial"/>
      <family val="2"/>
    </font>
    <font>
      <sz val="8"/>
      <color indexed="10"/>
      <name val="돋움"/>
      <family val="3"/>
      <charset val="129"/>
    </font>
    <font>
      <b/>
      <sz val="10"/>
      <color indexed="8"/>
      <name val="굴림"/>
      <family val="3"/>
      <charset val="129"/>
    </font>
    <font>
      <b/>
      <u/>
      <sz val="8"/>
      <name val="굴림"/>
      <family val="3"/>
      <charset val="129"/>
    </font>
    <font>
      <sz val="11"/>
      <name val="굴림"/>
      <family val="3"/>
      <charset val="129"/>
    </font>
    <font>
      <sz val="8"/>
      <name val="굴림"/>
      <family val="3"/>
      <charset val="129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1"/>
      <name val="돋움"/>
      <family val="3"/>
      <charset val="129"/>
    </font>
    <font>
      <strike/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trike/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color rgb="FFFF0000"/>
      <name val="돋움"/>
      <family val="3"/>
      <charset val="129"/>
    </font>
    <font>
      <strike/>
      <sz val="8"/>
      <color rgb="FFFF0000"/>
      <name val="돋움"/>
      <family val="3"/>
      <charset val="129"/>
    </font>
    <font>
      <strike/>
      <sz val="8"/>
      <color rgb="FFFF0000"/>
      <name val="Arial"/>
      <family val="2"/>
    </font>
    <font>
      <sz val="8"/>
      <color rgb="FFFF0000"/>
      <name val="Arial"/>
      <family val="2"/>
    </font>
    <font>
      <sz val="8"/>
      <color rgb="FFFF0000"/>
      <name val="돋움체"/>
      <family val="3"/>
      <charset val="129"/>
    </font>
    <font>
      <sz val="11"/>
      <color rgb="FFFF0000"/>
      <name val="돋움"/>
      <family val="3"/>
      <charset val="129"/>
    </font>
    <font>
      <sz val="11"/>
      <color rgb="FFFFFF00"/>
      <name val="굴림"/>
      <family val="3"/>
      <charset val="129"/>
    </font>
    <font>
      <sz val="8"/>
      <color rgb="FFFFFF00"/>
      <name val="굴림"/>
      <family val="3"/>
      <charset val="129"/>
    </font>
    <font>
      <strike/>
      <sz val="8"/>
      <color theme="1"/>
      <name val="Arial"/>
      <family val="2"/>
    </font>
    <font>
      <strike/>
      <sz val="8"/>
      <color rgb="FFFF0000"/>
      <name val="맑은 고딕"/>
      <family val="3"/>
      <charset val="129"/>
    </font>
    <font>
      <sz val="8"/>
      <name val="Arial Unicode MS"/>
      <family val="3"/>
      <charset val="129"/>
    </font>
    <font>
      <sz val="9"/>
      <color indexed="81"/>
      <name val="돋움"/>
      <family val="3"/>
      <charset val="129"/>
    </font>
    <font>
      <b/>
      <sz val="8"/>
      <name val="돋움"/>
      <family val="3"/>
      <charset val="129"/>
    </font>
    <font>
      <b/>
      <sz val="8"/>
      <color rgb="FFFF0000"/>
      <name val="Arial"/>
      <family val="2"/>
    </font>
    <font>
      <b/>
      <sz val="8"/>
      <color theme="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</fills>
  <borders count="17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55"/>
      </left>
      <right style="medium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 style="thin">
        <color indexed="55"/>
      </right>
      <top style="medium">
        <color indexed="64"/>
      </top>
      <bottom style="medium">
        <color indexed="64"/>
      </bottom>
      <diagonal/>
    </border>
    <border>
      <left style="thin">
        <color indexed="55"/>
      </left>
      <right style="thin">
        <color indexed="55"/>
      </right>
      <top style="medium">
        <color indexed="64"/>
      </top>
      <bottom style="medium">
        <color indexed="64"/>
      </bottom>
      <diagonal/>
    </border>
    <border>
      <left style="thin">
        <color indexed="55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55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medium">
        <color indexed="64"/>
      </bottom>
      <diagonal/>
    </border>
    <border>
      <left style="thin">
        <color indexed="55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 style="medium">
        <color indexed="64"/>
      </right>
      <top/>
      <bottom/>
      <diagonal/>
    </border>
    <border>
      <left style="thin">
        <color indexed="55"/>
      </left>
      <right style="medium">
        <color indexed="64"/>
      </right>
      <top style="thin">
        <color indexed="55"/>
      </top>
      <bottom/>
      <diagonal/>
    </border>
    <border>
      <left style="medium">
        <color indexed="64"/>
      </left>
      <right style="thin">
        <color indexed="55"/>
      </right>
      <top style="thin">
        <color indexed="55"/>
      </top>
      <bottom style="medium">
        <color indexed="64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medium">
        <color indexed="64"/>
      </top>
      <bottom style="medium">
        <color indexed="64"/>
      </bottom>
      <diagonal/>
    </border>
    <border>
      <left style="thin">
        <color indexed="55"/>
      </left>
      <right/>
      <top style="thin">
        <color indexed="55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55"/>
      </right>
      <top/>
      <bottom/>
      <diagonal/>
    </border>
    <border>
      <left/>
      <right style="thin">
        <color indexed="55"/>
      </right>
      <top style="medium">
        <color indexed="64"/>
      </top>
      <bottom/>
      <diagonal/>
    </border>
    <border>
      <left style="thin">
        <color indexed="55"/>
      </left>
      <right style="thin">
        <color indexed="55"/>
      </right>
      <top style="medium">
        <color indexed="64"/>
      </top>
      <bottom/>
      <diagonal/>
    </border>
    <border>
      <left style="thin">
        <color indexed="55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 style="medium">
        <color indexed="64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/>
      <top/>
      <bottom style="thin">
        <color indexed="55"/>
      </bottom>
      <diagonal/>
    </border>
    <border>
      <left style="medium">
        <color indexed="64"/>
      </left>
      <right/>
      <top style="thin">
        <color indexed="55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55"/>
      </top>
      <bottom style="thin">
        <color indexed="55"/>
      </bottom>
      <diagonal/>
    </border>
    <border>
      <left style="medium">
        <color indexed="64"/>
      </left>
      <right/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55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10"/>
      </right>
      <top style="medium">
        <color indexed="10"/>
      </top>
      <bottom/>
      <diagonal/>
    </border>
    <border>
      <left style="medium">
        <color indexed="10"/>
      </left>
      <right style="medium">
        <color indexed="64"/>
      </right>
      <top/>
      <bottom style="medium">
        <color indexed="10"/>
      </bottom>
      <diagonal/>
    </border>
    <border>
      <left style="medium">
        <color indexed="64"/>
      </left>
      <right style="medium">
        <color indexed="64"/>
      </right>
      <top/>
      <bottom style="medium">
        <color indexed="10"/>
      </bottom>
      <diagonal/>
    </border>
    <border>
      <left/>
      <right style="medium">
        <color indexed="10"/>
      </right>
      <top/>
      <bottom/>
      <diagonal/>
    </border>
    <border>
      <left style="medium">
        <color indexed="10"/>
      </left>
      <right style="medium">
        <color indexed="64"/>
      </right>
      <top/>
      <bottom/>
      <diagonal/>
    </border>
    <border>
      <left style="medium">
        <color indexed="1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10"/>
      </left>
      <right style="medium">
        <color indexed="64"/>
      </right>
      <top style="medium">
        <color indexed="10"/>
      </top>
      <bottom/>
      <diagonal/>
    </border>
    <border>
      <left style="medium">
        <color indexed="64"/>
      </left>
      <right style="medium">
        <color indexed="64"/>
      </right>
      <top style="medium">
        <color indexed="10"/>
      </top>
      <bottom/>
      <diagonal/>
    </border>
    <border>
      <left/>
      <right style="thin">
        <color indexed="55"/>
      </right>
      <top style="thin">
        <color indexed="55"/>
      </top>
      <bottom style="medium">
        <color indexed="1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medium">
        <color indexed="10"/>
      </bottom>
      <diagonal/>
    </border>
    <border>
      <left style="thin">
        <color indexed="55"/>
      </left>
      <right style="medium">
        <color indexed="64"/>
      </right>
      <top style="thin">
        <color indexed="55"/>
      </top>
      <bottom style="medium">
        <color indexed="1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55"/>
      </bottom>
      <diagonal/>
    </border>
    <border>
      <left/>
      <right/>
      <top/>
      <bottom style="thin">
        <color indexed="55"/>
      </bottom>
      <diagonal/>
    </border>
    <border>
      <left style="thin">
        <color indexed="55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55"/>
      </top>
      <bottom style="medium">
        <color indexed="64"/>
      </bottom>
      <diagonal/>
    </border>
    <border>
      <left style="thin">
        <color indexed="55"/>
      </left>
      <right style="medium">
        <color indexed="64"/>
      </right>
      <top/>
      <bottom style="thin">
        <color indexed="55"/>
      </bottom>
      <diagonal/>
    </border>
    <border>
      <left style="thin">
        <color indexed="55"/>
      </left>
      <right/>
      <top style="medium">
        <color indexed="64"/>
      </top>
      <bottom style="thin">
        <color indexed="55"/>
      </bottom>
      <diagonal/>
    </border>
    <border>
      <left/>
      <right/>
      <top style="medium">
        <color indexed="64"/>
      </top>
      <bottom style="thin">
        <color indexed="55"/>
      </bottom>
      <diagonal/>
    </border>
    <border>
      <left/>
      <right style="medium">
        <color indexed="64"/>
      </right>
      <top style="medium">
        <color indexed="64"/>
      </top>
      <bottom style="thin">
        <color indexed="55"/>
      </bottom>
      <diagonal/>
    </border>
    <border>
      <left/>
      <right style="thin">
        <color indexed="55"/>
      </right>
      <top style="medium">
        <color indexed="64"/>
      </top>
      <bottom style="thin">
        <color indexed="55"/>
      </bottom>
      <diagonal/>
    </border>
    <border>
      <left/>
      <right style="thin">
        <color indexed="55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55"/>
      </right>
      <top style="thin">
        <color indexed="55"/>
      </top>
      <bottom/>
      <diagonal/>
    </border>
    <border>
      <left/>
      <right/>
      <top style="thin">
        <color indexed="55"/>
      </top>
      <bottom/>
      <diagonal/>
    </border>
    <border>
      <left/>
      <right style="medium">
        <color indexed="64"/>
      </right>
      <top style="thin">
        <color indexed="55"/>
      </top>
      <bottom/>
      <diagonal/>
    </border>
    <border>
      <left style="thin">
        <color indexed="55"/>
      </left>
      <right/>
      <top/>
      <bottom style="thin">
        <color indexed="55"/>
      </bottom>
      <diagonal/>
    </border>
    <border>
      <left style="medium">
        <color indexed="64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medium">
        <color indexed="64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55"/>
      </right>
      <top style="medium">
        <color indexed="64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medium">
        <color indexed="64"/>
      </bottom>
      <diagonal/>
    </border>
    <border>
      <left style="thin">
        <color indexed="55"/>
      </left>
      <right style="thin">
        <color indexed="55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medium">
        <color indexed="64"/>
      </left>
      <right style="thin">
        <color indexed="55"/>
      </right>
      <top style="medium">
        <color indexed="64"/>
      </top>
      <bottom/>
      <diagonal/>
    </border>
    <border>
      <left/>
      <right/>
      <top style="thin">
        <color indexed="55"/>
      </top>
      <bottom style="thin">
        <color indexed="64"/>
      </bottom>
      <diagonal/>
    </border>
    <border>
      <left style="thin">
        <color indexed="55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55"/>
      </right>
      <top style="medium">
        <color indexed="64"/>
      </top>
      <bottom style="thin">
        <color indexed="64"/>
      </bottom>
      <diagonal/>
    </border>
    <border>
      <left style="thin">
        <color indexed="55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55"/>
      </top>
      <bottom style="medium">
        <color indexed="10"/>
      </bottom>
      <diagonal/>
    </border>
    <border>
      <left/>
      <right/>
      <top style="thin">
        <color indexed="55"/>
      </top>
      <bottom style="medium">
        <color indexed="10"/>
      </bottom>
      <diagonal/>
    </border>
    <border>
      <left/>
      <right style="medium">
        <color indexed="64"/>
      </right>
      <top style="thin">
        <color indexed="55"/>
      </top>
      <bottom style="medium">
        <color indexed="10"/>
      </bottom>
      <diagonal/>
    </border>
    <border>
      <left style="medium">
        <color indexed="64"/>
      </left>
      <right/>
      <top style="medium">
        <color indexed="10"/>
      </top>
      <bottom style="thin">
        <color indexed="55"/>
      </bottom>
      <diagonal/>
    </border>
    <border>
      <left/>
      <right/>
      <top style="medium">
        <color indexed="10"/>
      </top>
      <bottom style="thin">
        <color indexed="55"/>
      </bottom>
      <diagonal/>
    </border>
    <border>
      <left/>
      <right style="medium">
        <color indexed="64"/>
      </right>
      <top style="medium">
        <color indexed="10"/>
      </top>
      <bottom style="thin">
        <color indexed="55"/>
      </bottom>
      <diagonal/>
    </border>
    <border>
      <left style="thin">
        <color indexed="55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55"/>
      </right>
      <top style="thin">
        <color indexed="64"/>
      </top>
      <bottom/>
      <diagonal/>
    </border>
    <border>
      <left style="thin">
        <color indexed="55"/>
      </left>
      <right style="thin">
        <color indexed="55"/>
      </right>
      <top style="thin">
        <color indexed="64"/>
      </top>
      <bottom/>
      <diagonal/>
    </border>
    <border>
      <left style="thin">
        <color indexed="55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55"/>
      </right>
      <top style="thin">
        <color indexed="55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64"/>
      </bottom>
      <diagonal/>
    </border>
    <border>
      <left style="thin">
        <color indexed="55"/>
      </left>
      <right style="medium">
        <color indexed="64"/>
      </right>
      <top style="thin">
        <color indexed="55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32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4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0" fontId="9" fillId="0" borderId="1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0" fontId="9" fillId="4" borderId="24" xfId="0" applyFont="1" applyFill="1" applyBorder="1" applyAlignment="1">
      <alignment horizontal="center" vertical="center"/>
    </xf>
    <xf numFmtId="0" fontId="9" fillId="3" borderId="25" xfId="0" applyFont="1" applyFill="1" applyBorder="1" applyAlignment="1">
      <alignment horizontal="center" vertical="center"/>
    </xf>
    <xf numFmtId="0" fontId="9" fillId="3" borderId="26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 shrinkToFit="1"/>
    </xf>
    <xf numFmtId="0" fontId="9" fillId="3" borderId="28" xfId="0" applyFont="1" applyFill="1" applyBorder="1" applyAlignment="1">
      <alignment horizontal="center" vertical="center" shrinkToFit="1"/>
    </xf>
    <xf numFmtId="0" fontId="9" fillId="3" borderId="28" xfId="0" applyFont="1" applyFill="1" applyBorder="1" applyAlignment="1">
      <alignment vertical="center" shrinkToFit="1"/>
    </xf>
    <xf numFmtId="0" fontId="9" fillId="3" borderId="29" xfId="0" applyFont="1" applyFill="1" applyBorder="1" applyAlignment="1">
      <alignment horizontal="center" vertical="center" shrinkToFit="1"/>
    </xf>
    <xf numFmtId="0" fontId="9" fillId="4" borderId="18" xfId="0" applyFont="1" applyFill="1" applyBorder="1" applyAlignment="1">
      <alignment vertical="center"/>
    </xf>
    <xf numFmtId="0" fontId="9" fillId="3" borderId="30" xfId="0" applyFont="1" applyFill="1" applyBorder="1" applyAlignment="1">
      <alignment horizontal="center" vertical="center"/>
    </xf>
    <xf numFmtId="0" fontId="9" fillId="3" borderId="31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9" fillId="3" borderId="24" xfId="0" applyFont="1" applyFill="1" applyBorder="1" applyAlignment="1">
      <alignment horizontal="center" vertical="center"/>
    </xf>
    <xf numFmtId="0" fontId="9" fillId="3" borderId="32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9" fillId="0" borderId="33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>
      <alignment vertical="center"/>
    </xf>
    <xf numFmtId="0" fontId="9" fillId="0" borderId="39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2" fillId="0" borderId="0" xfId="0" applyFont="1" applyFill="1">
      <alignment vertical="center"/>
    </xf>
    <xf numFmtId="0" fontId="9" fillId="4" borderId="26" xfId="0" applyFont="1" applyFill="1" applyBorder="1" applyAlignment="1">
      <alignment horizontal="center" vertical="center"/>
    </xf>
    <xf numFmtId="0" fontId="9" fillId="4" borderId="30" xfId="0" applyFont="1" applyFill="1" applyBorder="1" applyAlignment="1">
      <alignment horizontal="center" vertical="center"/>
    </xf>
    <xf numFmtId="0" fontId="9" fillId="4" borderId="16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9" fillId="4" borderId="32" xfId="0" applyFont="1" applyFill="1" applyBorder="1" applyAlignment="1">
      <alignment horizontal="center" vertical="center"/>
    </xf>
    <xf numFmtId="0" fontId="9" fillId="4" borderId="20" xfId="0" applyFont="1" applyFill="1" applyBorder="1" applyAlignment="1">
      <alignment horizontal="center" vertical="center"/>
    </xf>
    <xf numFmtId="0" fontId="9" fillId="0" borderId="36" xfId="0" applyFont="1" applyFill="1" applyBorder="1" applyAlignment="1">
      <alignment horizontal="center" vertical="center"/>
    </xf>
    <xf numFmtId="0" fontId="9" fillId="0" borderId="37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39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9" fillId="0" borderId="45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9" fillId="0" borderId="4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9" fillId="0" borderId="4" xfId="0" applyFont="1" applyBorder="1" applyAlignment="1">
      <alignment horizontal="center" vertical="center"/>
    </xf>
    <xf numFmtId="0" fontId="9" fillId="0" borderId="28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vertical="center" shrinkToFit="1"/>
    </xf>
    <xf numFmtId="0" fontId="9" fillId="4" borderId="33" xfId="0" applyFont="1" applyFill="1" applyBorder="1" applyAlignment="1">
      <alignment vertical="center"/>
    </xf>
    <xf numFmtId="0" fontId="9" fillId="4" borderId="25" xfId="0" applyFont="1" applyFill="1" applyBorder="1" applyAlignment="1">
      <alignment horizontal="center" vertical="center"/>
    </xf>
    <xf numFmtId="0" fontId="9" fillId="4" borderId="28" xfId="0" applyFont="1" applyFill="1" applyBorder="1" applyAlignment="1">
      <alignment horizontal="center" vertical="center"/>
    </xf>
    <xf numFmtId="0" fontId="9" fillId="4" borderId="29" xfId="0" applyFont="1" applyFill="1" applyBorder="1" applyAlignment="1">
      <alignment horizontal="center" vertical="center"/>
    </xf>
    <xf numFmtId="0" fontId="9" fillId="4" borderId="46" xfId="0" applyFont="1" applyFill="1" applyBorder="1" applyAlignment="1">
      <alignment vertical="center"/>
    </xf>
    <xf numFmtId="0" fontId="9" fillId="4" borderId="26" xfId="0" applyFont="1" applyFill="1" applyBorder="1" applyAlignment="1">
      <alignment vertical="center"/>
    </xf>
    <xf numFmtId="0" fontId="2" fillId="4" borderId="26" xfId="0" applyFont="1" applyFill="1" applyBorder="1" applyAlignment="1">
      <alignment horizontal="center" vertical="center"/>
    </xf>
    <xf numFmtId="0" fontId="9" fillId="3" borderId="47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48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vertical="center"/>
    </xf>
    <xf numFmtId="0" fontId="9" fillId="0" borderId="9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49" xfId="0" applyFont="1" applyFill="1" applyBorder="1" applyAlignment="1">
      <alignment horizontal="center" vertical="center"/>
    </xf>
    <xf numFmtId="0" fontId="9" fillId="3" borderId="49" xfId="0" applyFont="1" applyFill="1" applyBorder="1" applyAlignment="1">
      <alignment horizontal="center" vertical="center"/>
    </xf>
    <xf numFmtId="0" fontId="9" fillId="0" borderId="32" xfId="0" applyFont="1" applyFill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9" fillId="4" borderId="26" xfId="0" applyFont="1" applyFill="1" applyBorder="1" applyAlignment="1">
      <alignment horizontal="center" vertical="center" shrinkToFit="1"/>
    </xf>
    <xf numFmtId="0" fontId="9" fillId="3" borderId="53" xfId="0" applyFont="1" applyFill="1" applyBorder="1" applyAlignment="1">
      <alignment vertical="center" shrinkToFit="1"/>
    </xf>
    <xf numFmtId="0" fontId="9" fillId="3" borderId="18" xfId="0" applyFont="1" applyFill="1" applyBorder="1" applyAlignment="1">
      <alignment vertical="center" shrinkToFit="1"/>
    </xf>
    <xf numFmtId="0" fontId="9" fillId="3" borderId="18" xfId="0" applyFont="1" applyFill="1" applyBorder="1" applyAlignment="1">
      <alignment horizontal="center" vertical="center" shrinkToFit="1"/>
    </xf>
    <xf numFmtId="0" fontId="9" fillId="3" borderId="19" xfId="0" applyFont="1" applyFill="1" applyBorder="1" applyAlignment="1">
      <alignment horizontal="center" vertical="center" shrinkToFit="1"/>
    </xf>
    <xf numFmtId="0" fontId="9" fillId="4" borderId="49" xfId="0" applyFont="1" applyFill="1" applyBorder="1" applyAlignment="1">
      <alignment vertical="center"/>
    </xf>
    <xf numFmtId="0" fontId="9" fillId="4" borderId="28" xfId="0" applyFont="1" applyFill="1" applyBorder="1" applyAlignment="1">
      <alignment vertical="center"/>
    </xf>
    <xf numFmtId="0" fontId="9" fillId="5" borderId="20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vertical="center"/>
    </xf>
    <xf numFmtId="0" fontId="12" fillId="4" borderId="54" xfId="0" applyFont="1" applyFill="1" applyBorder="1" applyAlignment="1">
      <alignment vertical="center"/>
    </xf>
    <xf numFmtId="0" fontId="12" fillId="4" borderId="55" xfId="0" applyFont="1" applyFill="1" applyBorder="1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9" fillId="4" borderId="31" xfId="0" applyFont="1" applyFill="1" applyBorder="1" applyAlignment="1">
      <alignment horizontal="center" vertical="center"/>
    </xf>
    <xf numFmtId="0" fontId="9" fillId="0" borderId="6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58" xfId="0" applyFont="1" applyBorder="1" applyAlignment="1">
      <alignment horizontal="left" vertical="center"/>
    </xf>
    <xf numFmtId="0" fontId="2" fillId="0" borderId="63" xfId="0" applyFont="1" applyBorder="1" applyAlignment="1">
      <alignment horizontal="center" vertical="center"/>
    </xf>
    <xf numFmtId="0" fontId="9" fillId="0" borderId="64" xfId="0" applyFont="1" applyBorder="1" applyAlignment="1">
      <alignment horizontal="left" vertical="center"/>
    </xf>
    <xf numFmtId="0" fontId="2" fillId="0" borderId="35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9" fillId="5" borderId="31" xfId="0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9" fillId="0" borderId="68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9" fillId="6" borderId="69" xfId="0" applyFont="1" applyFill="1" applyBorder="1" applyAlignment="1">
      <alignment vertical="center"/>
    </xf>
    <xf numFmtId="0" fontId="9" fillId="0" borderId="46" xfId="0" applyFont="1" applyFill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9" fillId="0" borderId="70" xfId="0" applyFont="1" applyBorder="1" applyAlignment="1">
      <alignment horizontal="center" vertical="center"/>
    </xf>
    <xf numFmtId="0" fontId="9" fillId="0" borderId="71" xfId="0" applyFont="1" applyBorder="1" applyAlignment="1">
      <alignment horizontal="center" vertical="center"/>
    </xf>
    <xf numFmtId="0" fontId="17" fillId="0" borderId="0" xfId="0" applyFont="1">
      <alignment vertical="center"/>
    </xf>
    <xf numFmtId="0" fontId="18" fillId="0" borderId="7" xfId="0" applyFont="1" applyBorder="1" applyAlignment="1">
      <alignment horizontal="left" vertical="center"/>
    </xf>
    <xf numFmtId="0" fontId="18" fillId="0" borderId="7" xfId="0" applyFont="1" applyBorder="1" applyAlignment="1">
      <alignment horizontal="center" vertical="center"/>
    </xf>
    <xf numFmtId="0" fontId="18" fillId="0" borderId="7" xfId="0" applyFont="1" applyBorder="1" applyAlignment="1">
      <alignment vertical="center"/>
    </xf>
    <xf numFmtId="0" fontId="18" fillId="0" borderId="8" xfId="0" applyFont="1" applyBorder="1" applyAlignment="1">
      <alignment horizontal="center" vertical="center"/>
    </xf>
    <xf numFmtId="0" fontId="18" fillId="0" borderId="2" xfId="0" applyFont="1" applyBorder="1" applyAlignment="1">
      <alignment vertical="center"/>
    </xf>
    <xf numFmtId="0" fontId="18" fillId="0" borderId="4" xfId="0" applyFont="1" applyBorder="1" applyAlignment="1">
      <alignment horizontal="center" vertical="center"/>
    </xf>
    <xf numFmtId="0" fontId="18" fillId="0" borderId="12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9" fillId="0" borderId="73" xfId="0" applyFont="1" applyBorder="1" applyAlignment="1">
      <alignment horizontal="center" vertical="center"/>
    </xf>
    <xf numFmtId="0" fontId="9" fillId="0" borderId="74" xfId="0" applyFont="1" applyBorder="1" applyAlignment="1">
      <alignment horizontal="center" vertical="center"/>
    </xf>
    <xf numFmtId="0" fontId="9" fillId="0" borderId="76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0" fontId="18" fillId="0" borderId="77" xfId="0" applyFont="1" applyBorder="1" applyAlignment="1">
      <alignment horizontal="center" vertical="center"/>
    </xf>
    <xf numFmtId="0" fontId="9" fillId="0" borderId="78" xfId="0" applyFont="1" applyBorder="1" applyAlignment="1">
      <alignment horizontal="center" vertical="center"/>
    </xf>
    <xf numFmtId="0" fontId="2" fillId="0" borderId="79" xfId="0" applyFont="1" applyBorder="1" applyAlignment="1">
      <alignment horizontal="center" vertical="center"/>
    </xf>
    <xf numFmtId="0" fontId="9" fillId="4" borderId="80" xfId="0" applyFont="1" applyFill="1" applyBorder="1" applyAlignment="1">
      <alignment horizontal="center" vertical="center"/>
    </xf>
    <xf numFmtId="0" fontId="9" fillId="4" borderId="81" xfId="0" applyFont="1" applyFill="1" applyBorder="1" applyAlignment="1">
      <alignment horizontal="center" vertical="center" shrinkToFit="1"/>
    </xf>
    <xf numFmtId="0" fontId="9" fillId="4" borderId="81" xfId="0" applyFont="1" applyFill="1" applyBorder="1" applyAlignment="1">
      <alignment horizontal="center" vertical="center"/>
    </xf>
    <xf numFmtId="0" fontId="9" fillId="4" borderId="82" xfId="0" applyFont="1" applyFill="1" applyBorder="1" applyAlignment="1">
      <alignment horizontal="center" vertical="center"/>
    </xf>
    <xf numFmtId="0" fontId="4" fillId="0" borderId="83" xfId="0" applyFont="1" applyBorder="1" applyAlignment="1">
      <alignment vertical="center"/>
    </xf>
    <xf numFmtId="0" fontId="4" fillId="0" borderId="84" xfId="0" applyFont="1" applyBorder="1" applyAlignment="1">
      <alignment vertical="center"/>
    </xf>
    <xf numFmtId="0" fontId="9" fillId="6" borderId="26" xfId="0" applyFont="1" applyFill="1" applyBorder="1" applyAlignment="1">
      <alignment horizontal="center" vertical="center"/>
    </xf>
    <xf numFmtId="0" fontId="9" fillId="6" borderId="32" xfId="0" applyFont="1" applyFill="1" applyBorder="1" applyAlignment="1">
      <alignment horizontal="center" vertical="center"/>
    </xf>
    <xf numFmtId="0" fontId="9" fillId="6" borderId="16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8" fillId="0" borderId="9" xfId="0" applyFont="1" applyBorder="1" applyAlignment="1">
      <alignment horizontal="right" vertical="center"/>
    </xf>
    <xf numFmtId="0" fontId="18" fillId="0" borderId="7" xfId="0" applyFont="1" applyBorder="1" applyAlignment="1">
      <alignment horizontal="right" vertical="center"/>
    </xf>
    <xf numFmtId="0" fontId="17" fillId="0" borderId="0" xfId="0" applyFont="1" applyAlignment="1">
      <alignment horizontal="left" vertical="center"/>
    </xf>
    <xf numFmtId="0" fontId="2" fillId="0" borderId="27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27" xfId="0" applyFont="1" applyBorder="1">
      <alignment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4" fillId="0" borderId="27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2" fillId="0" borderId="75" xfId="0" applyFont="1" applyBorder="1" applyAlignment="1">
      <alignment horizontal="center" vertical="center"/>
    </xf>
    <xf numFmtId="0" fontId="2" fillId="0" borderId="0" xfId="0" quotePrefix="1" applyFont="1">
      <alignment vertical="center"/>
    </xf>
    <xf numFmtId="0" fontId="28" fillId="0" borderId="0" xfId="0" applyFont="1">
      <alignment vertical="center"/>
    </xf>
    <xf numFmtId="0" fontId="28" fillId="0" borderId="0" xfId="0" applyFont="1" applyAlignment="1">
      <alignment horizontal="center" vertical="center"/>
    </xf>
    <xf numFmtId="0" fontId="29" fillId="0" borderId="0" xfId="0" applyFont="1">
      <alignment vertical="center"/>
    </xf>
    <xf numFmtId="0" fontId="19" fillId="0" borderId="0" xfId="0" applyFont="1" applyBorder="1" applyAlignment="1">
      <alignment vertical="center" wrapText="1"/>
    </xf>
    <xf numFmtId="0" fontId="19" fillId="0" borderId="0" xfId="0" applyFont="1" applyBorder="1" applyAlignment="1">
      <alignment vertical="center"/>
    </xf>
    <xf numFmtId="0" fontId="0" fillId="0" borderId="0" xfId="0" quotePrefix="1">
      <alignment vertical="center"/>
    </xf>
    <xf numFmtId="0" fontId="0" fillId="10" borderId="2" xfId="0" applyFill="1" applyBorder="1">
      <alignment vertical="center"/>
    </xf>
    <xf numFmtId="0" fontId="0" fillId="0" borderId="0" xfId="0" applyAlignment="1">
      <alignment horizontal="left" vertical="center"/>
    </xf>
    <xf numFmtId="176" fontId="28" fillId="0" borderId="0" xfId="0" applyNumberFormat="1" applyFont="1">
      <alignment vertical="center"/>
    </xf>
    <xf numFmtId="0" fontId="9" fillId="0" borderId="0" xfId="0" applyFont="1" applyFill="1" applyBorder="1" applyAlignment="1">
      <alignment horizontal="center" vertical="center" wrapText="1"/>
    </xf>
    <xf numFmtId="177" fontId="9" fillId="0" borderId="0" xfId="0" applyNumberFormat="1" applyFont="1" applyAlignment="1">
      <alignment horizontal="center" vertical="center"/>
    </xf>
    <xf numFmtId="0" fontId="9" fillId="0" borderId="85" xfId="0" applyFont="1" applyBorder="1" applyAlignment="1">
      <alignment horizontal="center" vertical="center"/>
    </xf>
    <xf numFmtId="0" fontId="9" fillId="0" borderId="86" xfId="0" applyFont="1" applyBorder="1" applyAlignment="1">
      <alignment horizontal="center" vertical="center"/>
    </xf>
    <xf numFmtId="0" fontId="9" fillId="4" borderId="16" xfId="0" applyFont="1" applyFill="1" applyBorder="1" applyAlignment="1">
      <alignment horizontal="center" vertical="center" wrapText="1"/>
    </xf>
    <xf numFmtId="0" fontId="9" fillId="4" borderId="32" xfId="0" applyFont="1" applyFill="1" applyBorder="1" applyAlignment="1">
      <alignment horizontal="center" vertical="center" wrapText="1"/>
    </xf>
    <xf numFmtId="0" fontId="30" fillId="4" borderId="51" xfId="0" applyFont="1" applyFill="1" applyBorder="1" applyAlignment="1">
      <alignment horizontal="center" vertical="center" wrapText="1"/>
    </xf>
    <xf numFmtId="0" fontId="30" fillId="4" borderId="52" xfId="0" applyFont="1" applyFill="1" applyBorder="1" applyAlignment="1">
      <alignment horizontal="center" vertical="center" wrapText="1"/>
    </xf>
    <xf numFmtId="0" fontId="31" fillId="4" borderId="26" xfId="0" applyFont="1" applyFill="1" applyBorder="1" applyAlignment="1">
      <alignment horizontal="center" vertical="center"/>
    </xf>
    <xf numFmtId="0" fontId="31" fillId="4" borderId="30" xfId="0" applyFont="1" applyFill="1" applyBorder="1" applyAlignment="1">
      <alignment horizontal="center" vertical="center"/>
    </xf>
    <xf numFmtId="0" fontId="31" fillId="4" borderId="51" xfId="0" applyFont="1" applyFill="1" applyBorder="1" applyAlignment="1">
      <alignment horizontal="center" vertical="center" wrapText="1"/>
    </xf>
    <xf numFmtId="0" fontId="32" fillId="0" borderId="21" xfId="0" applyFont="1" applyBorder="1" applyAlignment="1">
      <alignment horizontal="center" vertical="center"/>
    </xf>
    <xf numFmtId="0" fontId="32" fillId="0" borderId="87" xfId="0" applyFont="1" applyFill="1" applyBorder="1" applyAlignment="1">
      <alignment horizontal="center" vertical="center"/>
    </xf>
    <xf numFmtId="0" fontId="32" fillId="0" borderId="88" xfId="0" applyFont="1" applyFill="1" applyBorder="1" applyAlignment="1">
      <alignment horizontal="center" vertical="center"/>
    </xf>
    <xf numFmtId="0" fontId="32" fillId="0" borderId="27" xfId="0" applyFont="1" applyFill="1" applyBorder="1" applyAlignment="1">
      <alignment horizontal="center" vertical="center"/>
    </xf>
    <xf numFmtId="0" fontId="32" fillId="0" borderId="0" xfId="0" applyFont="1" applyFill="1" applyBorder="1" applyAlignment="1">
      <alignment horizontal="center" vertical="center"/>
    </xf>
    <xf numFmtId="0" fontId="32" fillId="0" borderId="71" xfId="0" applyFont="1" applyFill="1" applyBorder="1" applyAlignment="1">
      <alignment horizontal="center" vertical="center"/>
    </xf>
    <xf numFmtId="0" fontId="32" fillId="0" borderId="27" xfId="0" applyFont="1" applyBorder="1" applyAlignment="1">
      <alignment horizontal="center" vertical="center"/>
    </xf>
    <xf numFmtId="0" fontId="32" fillId="0" borderId="22" xfId="0" applyFont="1" applyFill="1" applyBorder="1" applyAlignment="1">
      <alignment horizontal="center" vertical="center"/>
    </xf>
    <xf numFmtId="0" fontId="32" fillId="0" borderId="70" xfId="0" applyFont="1" applyFill="1" applyBorder="1" applyAlignment="1">
      <alignment horizontal="center" vertical="center"/>
    </xf>
    <xf numFmtId="0" fontId="32" fillId="0" borderId="89" xfId="0" applyFont="1" applyFill="1" applyBorder="1" applyAlignment="1">
      <alignment horizontal="center" vertical="center"/>
    </xf>
    <xf numFmtId="0" fontId="26" fillId="0" borderId="74" xfId="0" applyFont="1" applyBorder="1" applyAlignment="1">
      <alignment horizontal="center" vertical="center"/>
    </xf>
    <xf numFmtId="42" fontId="9" fillId="0" borderId="87" xfId="0" applyNumberFormat="1" applyFont="1" applyFill="1" applyBorder="1" applyAlignment="1">
      <alignment horizontal="center" vertical="center" wrapText="1"/>
    </xf>
    <xf numFmtId="42" fontId="9" fillId="0" borderId="88" xfId="0" applyNumberFormat="1" applyFont="1" applyFill="1" applyBorder="1" applyAlignment="1">
      <alignment horizontal="center" vertical="center" wrapText="1"/>
    </xf>
    <xf numFmtId="42" fontId="9" fillId="6" borderId="90" xfId="0" applyNumberFormat="1" applyFont="1" applyFill="1" applyBorder="1" applyAlignment="1">
      <alignment vertical="center"/>
    </xf>
    <xf numFmtId="42" fontId="28" fillId="0" borderId="56" xfId="0" applyNumberFormat="1" applyFont="1" applyBorder="1">
      <alignment vertical="center"/>
    </xf>
    <xf numFmtId="42" fontId="31" fillId="0" borderId="91" xfId="0" applyNumberFormat="1" applyFont="1" applyFill="1" applyBorder="1" applyAlignment="1">
      <alignment vertical="center" wrapText="1"/>
    </xf>
    <xf numFmtId="14" fontId="0" fillId="0" borderId="0" xfId="0" applyNumberFormat="1">
      <alignment vertical="center"/>
    </xf>
    <xf numFmtId="0" fontId="33" fillId="0" borderId="0" xfId="0" applyFont="1">
      <alignment vertical="center"/>
    </xf>
    <xf numFmtId="177" fontId="9" fillId="0" borderId="92" xfId="0" applyNumberFormat="1" applyFont="1" applyFill="1" applyBorder="1" applyAlignment="1">
      <alignment horizontal="center" vertical="center"/>
    </xf>
    <xf numFmtId="177" fontId="2" fillId="0" borderId="0" xfId="0" applyNumberFormat="1" applyFont="1">
      <alignment vertical="center"/>
    </xf>
    <xf numFmtId="177" fontId="2" fillId="0" borderId="0" xfId="0" applyNumberFormat="1" applyFont="1" applyFill="1">
      <alignment vertical="center"/>
    </xf>
    <xf numFmtId="0" fontId="9" fillId="0" borderId="93" xfId="0" applyFont="1" applyBorder="1" applyAlignment="1">
      <alignment horizontal="center" vertical="center"/>
    </xf>
    <xf numFmtId="0" fontId="34" fillId="11" borderId="0" xfId="0" applyFont="1" applyFill="1" applyAlignment="1">
      <alignment horizontal="center" vertical="center"/>
    </xf>
    <xf numFmtId="0" fontId="34" fillId="11" borderId="0" xfId="0" applyFont="1" applyFill="1">
      <alignment vertical="center"/>
    </xf>
    <xf numFmtId="0" fontId="35" fillId="11" borderId="0" xfId="0" applyFont="1" applyFill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18" fillId="0" borderId="59" xfId="0" applyFont="1" applyBorder="1" applyAlignment="1">
      <alignment horizontal="center" vertical="center"/>
    </xf>
    <xf numFmtId="0" fontId="18" fillId="0" borderId="4" xfId="0" applyFont="1" applyBorder="1" applyAlignment="1">
      <alignment vertical="center"/>
    </xf>
    <xf numFmtId="0" fontId="18" fillId="0" borderId="4" xfId="0" applyFont="1" applyBorder="1" applyAlignment="1">
      <alignment horizontal="right" vertical="center"/>
    </xf>
    <xf numFmtId="0" fontId="9" fillId="0" borderId="4" xfId="0" applyFont="1" applyBorder="1" applyAlignment="1">
      <alignment horizontal="right" vertical="center"/>
    </xf>
    <xf numFmtId="0" fontId="9" fillId="0" borderId="94" xfId="0" applyFont="1" applyBorder="1" applyAlignment="1">
      <alignment horizontal="center" vertical="center"/>
    </xf>
    <xf numFmtId="0" fontId="28" fillId="10" borderId="18" xfId="0" applyFont="1" applyFill="1" applyBorder="1" applyAlignment="1">
      <alignment horizontal="center" vertical="center" wrapText="1"/>
    </xf>
    <xf numFmtId="0" fontId="31" fillId="3" borderId="16" xfId="0" applyFont="1" applyFill="1" applyBorder="1" applyAlignment="1">
      <alignment horizontal="center" vertical="center"/>
    </xf>
    <xf numFmtId="0" fontId="31" fillId="3" borderId="14" xfId="0" applyFont="1" applyFill="1" applyBorder="1" applyAlignment="1">
      <alignment horizontal="center" vertical="center"/>
    </xf>
    <xf numFmtId="0" fontId="36" fillId="4" borderId="16" xfId="0" applyFont="1" applyFill="1" applyBorder="1" applyAlignment="1">
      <alignment horizontal="center" vertical="center" wrapText="1"/>
    </xf>
    <xf numFmtId="0" fontId="31" fillId="6" borderId="16" xfId="0" applyFont="1" applyFill="1" applyBorder="1" applyAlignment="1">
      <alignment horizontal="center" vertical="center"/>
    </xf>
    <xf numFmtId="0" fontId="31" fillId="6" borderId="32" xfId="0" applyFont="1" applyFill="1" applyBorder="1" applyAlignment="1">
      <alignment horizontal="center" vertical="center"/>
    </xf>
    <xf numFmtId="0" fontId="31" fillId="6" borderId="26" xfId="0" applyFont="1" applyFill="1" applyBorder="1" applyAlignment="1">
      <alignment horizontal="center" vertical="center"/>
    </xf>
    <xf numFmtId="0" fontId="31" fillId="3" borderId="26" xfId="0" applyFont="1" applyFill="1" applyBorder="1" applyAlignment="1">
      <alignment horizontal="center" vertical="center"/>
    </xf>
    <xf numFmtId="0" fontId="31" fillId="6" borderId="25" xfId="0" applyFont="1" applyFill="1" applyBorder="1" applyAlignment="1">
      <alignment horizontal="center" vertical="center"/>
    </xf>
    <xf numFmtId="0" fontId="9" fillId="10" borderId="16" xfId="1" applyFont="1" applyFill="1" applyBorder="1" applyAlignment="1">
      <alignment horizontal="center" vertical="center"/>
    </xf>
    <xf numFmtId="0" fontId="9" fillId="10" borderId="14" xfId="1" applyFont="1" applyFill="1" applyBorder="1" applyAlignment="1">
      <alignment horizontal="center" vertical="center"/>
    </xf>
    <xf numFmtId="0" fontId="9" fillId="10" borderId="16" xfId="1" applyFont="1" applyFill="1" applyBorder="1" applyAlignment="1">
      <alignment horizontal="center" vertical="center"/>
    </xf>
    <xf numFmtId="0" fontId="9" fillId="10" borderId="14" xfId="1" applyFont="1" applyFill="1" applyBorder="1" applyAlignment="1">
      <alignment horizontal="center" vertical="center"/>
    </xf>
    <xf numFmtId="0" fontId="9" fillId="10" borderId="16" xfId="1" applyFont="1" applyFill="1" applyBorder="1" applyAlignment="1">
      <alignment horizontal="center" vertical="center"/>
    </xf>
    <xf numFmtId="0" fontId="9" fillId="10" borderId="14" xfId="1" applyFont="1" applyFill="1" applyBorder="1" applyAlignment="1">
      <alignment horizontal="center" vertical="center"/>
    </xf>
    <xf numFmtId="0" fontId="9" fillId="10" borderId="16" xfId="1" applyFont="1" applyFill="1" applyBorder="1" applyAlignment="1">
      <alignment horizontal="center" vertical="center"/>
    </xf>
    <xf numFmtId="0" fontId="9" fillId="10" borderId="14" xfId="1" applyFont="1" applyFill="1" applyBorder="1" applyAlignment="1">
      <alignment horizontal="center" vertical="center"/>
    </xf>
    <xf numFmtId="0" fontId="9" fillId="10" borderId="16" xfId="1" applyFont="1" applyFill="1" applyBorder="1" applyAlignment="1">
      <alignment horizontal="center" vertical="center"/>
    </xf>
    <xf numFmtId="0" fontId="9" fillId="10" borderId="14" xfId="1" applyFont="1" applyFill="1" applyBorder="1" applyAlignment="1">
      <alignment horizontal="center" vertical="center"/>
    </xf>
    <xf numFmtId="0" fontId="9" fillId="10" borderId="16" xfId="1" applyFont="1" applyFill="1" applyBorder="1" applyAlignment="1">
      <alignment horizontal="center" vertical="center"/>
    </xf>
    <xf numFmtId="0" fontId="9" fillId="10" borderId="14" xfId="1" applyFont="1" applyFill="1" applyBorder="1" applyAlignment="1">
      <alignment horizontal="center" vertical="center"/>
    </xf>
    <xf numFmtId="0" fontId="9" fillId="10" borderId="16" xfId="1" applyFont="1" applyFill="1" applyBorder="1" applyAlignment="1">
      <alignment horizontal="center" vertical="center"/>
    </xf>
    <xf numFmtId="0" fontId="9" fillId="10" borderId="14" xfId="1" applyFont="1" applyFill="1" applyBorder="1" applyAlignment="1">
      <alignment horizontal="center" vertical="center"/>
    </xf>
    <xf numFmtId="0" fontId="9" fillId="10" borderId="16" xfId="1" applyFont="1" applyFill="1" applyBorder="1" applyAlignment="1">
      <alignment horizontal="center" vertical="center"/>
    </xf>
    <xf numFmtId="0" fontId="9" fillId="10" borderId="14" xfId="1" applyFont="1" applyFill="1" applyBorder="1" applyAlignment="1">
      <alignment horizontal="center" vertical="center"/>
    </xf>
    <xf numFmtId="0" fontId="9" fillId="10" borderId="16" xfId="1" applyFont="1" applyFill="1" applyBorder="1" applyAlignment="1">
      <alignment horizontal="center" vertical="center"/>
    </xf>
    <xf numFmtId="0" fontId="9" fillId="10" borderId="14" xfId="1" applyFont="1" applyFill="1" applyBorder="1" applyAlignment="1">
      <alignment horizontal="center" vertical="center"/>
    </xf>
    <xf numFmtId="0" fontId="9" fillId="10" borderId="16" xfId="1" applyFont="1" applyFill="1" applyBorder="1" applyAlignment="1">
      <alignment horizontal="center" vertical="center"/>
    </xf>
    <xf numFmtId="0" fontId="9" fillId="10" borderId="14" xfId="1" applyFont="1" applyFill="1" applyBorder="1" applyAlignment="1">
      <alignment horizontal="center" vertical="center"/>
    </xf>
    <xf numFmtId="0" fontId="9" fillId="10" borderId="16" xfId="1" applyFont="1" applyFill="1" applyBorder="1" applyAlignment="1">
      <alignment horizontal="center" vertical="center"/>
    </xf>
    <xf numFmtId="0" fontId="9" fillId="10" borderId="14" xfId="1" applyFont="1" applyFill="1" applyBorder="1" applyAlignment="1">
      <alignment horizontal="center" vertical="center"/>
    </xf>
    <xf numFmtId="0" fontId="9" fillId="10" borderId="16" xfId="1" applyFont="1" applyFill="1" applyBorder="1" applyAlignment="1">
      <alignment horizontal="center" vertical="center"/>
    </xf>
    <xf numFmtId="0" fontId="9" fillId="10" borderId="14" xfId="1" applyFont="1" applyFill="1" applyBorder="1" applyAlignment="1">
      <alignment horizontal="center" vertical="center"/>
    </xf>
    <xf numFmtId="0" fontId="9" fillId="0" borderId="25" xfId="0" applyFont="1" applyFill="1" applyBorder="1" applyAlignment="1">
      <alignment horizontal="center" vertical="center"/>
    </xf>
    <xf numFmtId="0" fontId="9" fillId="6" borderId="52" xfId="0" applyFont="1" applyFill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9" fillId="10" borderId="115" xfId="0" applyFont="1" applyFill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31" fillId="0" borderId="36" xfId="0" applyFont="1" applyBorder="1" applyAlignment="1">
      <alignment vertical="center"/>
    </xf>
    <xf numFmtId="0" fontId="9" fillId="10" borderId="36" xfId="0" applyFont="1" applyFill="1" applyBorder="1" applyAlignment="1">
      <alignment horizontal="center" vertical="center"/>
    </xf>
    <xf numFmtId="0" fontId="2" fillId="10" borderId="36" xfId="0" applyFont="1" applyFill="1" applyBorder="1" applyAlignment="1">
      <alignment horizontal="center" vertical="center"/>
    </xf>
    <xf numFmtId="0" fontId="9" fillId="10" borderId="43" xfId="0" applyFont="1" applyFill="1" applyBorder="1" applyAlignment="1">
      <alignment horizontal="center" vertical="center"/>
    </xf>
    <xf numFmtId="0" fontId="2" fillId="10" borderId="43" xfId="0" applyFont="1" applyFill="1" applyBorder="1" applyAlignment="1">
      <alignment horizontal="center" vertical="center"/>
    </xf>
    <xf numFmtId="0" fontId="9" fillId="10" borderId="37" xfId="0" applyFont="1" applyFill="1" applyBorder="1" applyAlignment="1">
      <alignment horizontal="center" vertical="center"/>
    </xf>
    <xf numFmtId="0" fontId="2" fillId="10" borderId="37" xfId="0" applyFont="1" applyFill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9" fillId="0" borderId="37" xfId="0" applyFont="1" applyBorder="1" applyAlignment="1">
      <alignment vertical="center"/>
    </xf>
    <xf numFmtId="0" fontId="9" fillId="4" borderId="152" xfId="0" applyFont="1" applyFill="1" applyBorder="1" applyAlignment="1">
      <alignment horizontal="center" vertical="center"/>
    </xf>
    <xf numFmtId="0" fontId="9" fillId="4" borderId="153" xfId="0" applyFont="1" applyFill="1" applyBorder="1" applyAlignment="1">
      <alignment horizontal="center" vertical="center"/>
    </xf>
    <xf numFmtId="0" fontId="30" fillId="4" borderId="153" xfId="0" applyFont="1" applyFill="1" applyBorder="1" applyAlignment="1">
      <alignment horizontal="center" vertical="center" wrapText="1"/>
    </xf>
    <xf numFmtId="0" fontId="30" fillId="4" borderId="154" xfId="0" applyFont="1" applyFill="1" applyBorder="1" applyAlignment="1">
      <alignment horizontal="center" vertical="center" wrapText="1"/>
    </xf>
    <xf numFmtId="42" fontId="28" fillId="0" borderId="70" xfId="0" applyNumberFormat="1" applyFont="1" applyBorder="1" applyAlignment="1">
      <alignment horizontal="center" vertical="center"/>
    </xf>
    <xf numFmtId="42" fontId="31" fillId="0" borderId="70" xfId="0" applyNumberFormat="1" applyFont="1" applyFill="1" applyBorder="1" applyAlignment="1">
      <alignment horizontal="center" vertical="center" wrapText="1"/>
    </xf>
    <xf numFmtId="42" fontId="31" fillId="10" borderId="70" xfId="0" applyNumberFormat="1" applyFont="1" applyFill="1" applyBorder="1" applyAlignment="1">
      <alignment horizontal="center" vertical="center" wrapText="1"/>
    </xf>
    <xf numFmtId="0" fontId="9" fillId="0" borderId="60" xfId="0" applyFont="1" applyBorder="1" applyAlignment="1">
      <alignment vertical="center"/>
    </xf>
    <xf numFmtId="0" fontId="9" fillId="0" borderId="39" xfId="0" applyFont="1" applyBorder="1" applyAlignment="1">
      <alignment vertical="center"/>
    </xf>
    <xf numFmtId="42" fontId="9" fillId="0" borderId="89" xfId="0" applyNumberFormat="1" applyFont="1" applyFill="1" applyBorder="1" applyAlignment="1">
      <alignment horizontal="center" vertical="center"/>
    </xf>
    <xf numFmtId="0" fontId="9" fillId="10" borderId="21" xfId="0" applyFont="1" applyFill="1" applyBorder="1" applyAlignment="1">
      <alignment horizontal="center" vertical="center"/>
    </xf>
    <xf numFmtId="0" fontId="9" fillId="10" borderId="13" xfId="0" applyFont="1" applyFill="1" applyBorder="1" applyAlignment="1">
      <alignment vertical="center"/>
    </xf>
    <xf numFmtId="0" fontId="9" fillId="10" borderId="142" xfId="0" applyFont="1" applyFill="1" applyBorder="1" applyAlignment="1">
      <alignment vertical="center"/>
    </xf>
    <xf numFmtId="0" fontId="9" fillId="10" borderId="142" xfId="0" applyFont="1" applyFill="1" applyBorder="1" applyAlignment="1">
      <alignment vertical="center" wrapText="1"/>
    </xf>
    <xf numFmtId="0" fontId="9" fillId="10" borderId="146" xfId="0" applyFont="1" applyFill="1" applyBorder="1" applyAlignment="1">
      <alignment vertical="center" wrapText="1"/>
    </xf>
    <xf numFmtId="0" fontId="9" fillId="10" borderId="88" xfId="0" applyFont="1" applyFill="1" applyBorder="1" applyAlignment="1">
      <alignment horizontal="center" vertical="center"/>
    </xf>
    <xf numFmtId="0" fontId="9" fillId="10" borderId="45" xfId="0" applyFont="1" applyFill="1" applyBorder="1" applyAlignment="1">
      <alignment horizontal="center" vertical="center"/>
    </xf>
    <xf numFmtId="0" fontId="9" fillId="10" borderId="93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27" fillId="0" borderId="0" xfId="1">
      <alignment vertical="center"/>
    </xf>
    <xf numFmtId="0" fontId="9" fillId="4" borderId="15" xfId="4" applyFont="1" applyFill="1" applyBorder="1" applyAlignment="1">
      <alignment horizontal="center" vertical="center"/>
    </xf>
    <xf numFmtId="0" fontId="9" fillId="0" borderId="2" xfId="4" applyFont="1" applyBorder="1" applyAlignment="1">
      <alignment horizontal="left" vertical="center"/>
    </xf>
    <xf numFmtId="0" fontId="9" fillId="0" borderId="2" xfId="4" applyFont="1" applyBorder="1" applyAlignment="1">
      <alignment horizontal="center" vertical="center"/>
    </xf>
    <xf numFmtId="0" fontId="9" fillId="0" borderId="2" xfId="4" applyFont="1" applyBorder="1" applyAlignment="1">
      <alignment vertical="center"/>
    </xf>
    <xf numFmtId="0" fontId="9" fillId="0" borderId="3" xfId="4" applyFont="1" applyBorder="1" applyAlignment="1">
      <alignment horizontal="center" vertical="center"/>
    </xf>
    <xf numFmtId="0" fontId="9" fillId="0" borderId="4" xfId="4" applyFont="1" applyBorder="1" applyAlignment="1">
      <alignment vertical="center"/>
    </xf>
    <xf numFmtId="0" fontId="9" fillId="0" borderId="12" xfId="4" applyFont="1" applyBorder="1" applyAlignment="1">
      <alignment horizontal="center" vertical="center"/>
    </xf>
    <xf numFmtId="0" fontId="9" fillId="0" borderId="17" xfId="4" applyFont="1" applyBorder="1" applyAlignment="1">
      <alignment horizontal="center" vertical="center"/>
    </xf>
    <xf numFmtId="0" fontId="9" fillId="0" borderId="18" xfId="4" applyFont="1" applyBorder="1" applyAlignment="1">
      <alignment horizontal="center" vertical="center"/>
    </xf>
    <xf numFmtId="0" fontId="9" fillId="0" borderId="19" xfId="4" applyFont="1" applyBorder="1" applyAlignment="1">
      <alignment horizontal="center" vertical="center"/>
    </xf>
    <xf numFmtId="0" fontId="9" fillId="4" borderId="21" xfId="4" applyFont="1" applyFill="1" applyBorder="1" applyAlignment="1">
      <alignment vertical="center"/>
    </xf>
    <xf numFmtId="0" fontId="9" fillId="4" borderId="22" xfId="4" applyFont="1" applyFill="1" applyBorder="1" applyAlignment="1">
      <alignment vertical="center"/>
    </xf>
    <xf numFmtId="0" fontId="9" fillId="4" borderId="23" xfId="4" applyFont="1" applyFill="1" applyBorder="1" applyAlignment="1">
      <alignment horizontal="center" vertical="center"/>
    </xf>
    <xf numFmtId="0" fontId="9" fillId="4" borderId="24" xfId="4" applyFont="1" applyFill="1" applyBorder="1" applyAlignment="1">
      <alignment horizontal="center" vertical="center"/>
    </xf>
    <xf numFmtId="0" fontId="9" fillId="3" borderId="25" xfId="4" applyFont="1" applyFill="1" applyBorder="1" applyAlignment="1">
      <alignment horizontal="center" vertical="center"/>
    </xf>
    <xf numFmtId="0" fontId="9" fillId="3" borderId="26" xfId="4" applyFont="1" applyFill="1" applyBorder="1" applyAlignment="1">
      <alignment horizontal="center" vertical="center"/>
    </xf>
    <xf numFmtId="0" fontId="9" fillId="3" borderId="27" xfId="4" applyFont="1" applyFill="1" applyBorder="1" applyAlignment="1">
      <alignment vertical="center" shrinkToFit="1"/>
    </xf>
    <xf numFmtId="0" fontId="9" fillId="3" borderId="28" xfId="4" applyFont="1" applyFill="1" applyBorder="1" applyAlignment="1">
      <alignment horizontal="center" vertical="center" shrinkToFit="1"/>
    </xf>
    <xf numFmtId="0" fontId="9" fillId="3" borderId="28" xfId="4" applyFont="1" applyFill="1" applyBorder="1" applyAlignment="1">
      <alignment vertical="center" shrinkToFit="1"/>
    </xf>
    <xf numFmtId="0" fontId="9" fillId="3" borderId="29" xfId="4" applyFont="1" applyFill="1" applyBorder="1" applyAlignment="1">
      <alignment horizontal="center" vertical="center" shrinkToFit="1"/>
    </xf>
    <xf numFmtId="0" fontId="9" fillId="4" borderId="18" xfId="4" applyFont="1" applyFill="1" applyBorder="1" applyAlignment="1">
      <alignment vertical="center"/>
    </xf>
    <xf numFmtId="0" fontId="9" fillId="3" borderId="31" xfId="4" applyFont="1" applyFill="1" applyBorder="1" applyAlignment="1">
      <alignment horizontal="center" vertical="center"/>
    </xf>
    <xf numFmtId="0" fontId="9" fillId="3" borderId="23" xfId="4" applyFont="1" applyFill="1" applyBorder="1" applyAlignment="1">
      <alignment horizontal="center" vertical="center"/>
    </xf>
    <xf numFmtId="0" fontId="9" fillId="3" borderId="20" xfId="4" applyFont="1" applyFill="1" applyBorder="1" applyAlignment="1">
      <alignment horizontal="center" vertical="center"/>
    </xf>
    <xf numFmtId="0" fontId="9" fillId="3" borderId="24" xfId="4" applyFont="1" applyFill="1" applyBorder="1" applyAlignment="1">
      <alignment horizontal="center" vertical="center"/>
    </xf>
    <xf numFmtId="0" fontId="9" fillId="3" borderId="34" xfId="4" applyFont="1" applyFill="1" applyBorder="1" applyAlignment="1">
      <alignment horizontal="center" vertical="center"/>
    </xf>
    <xf numFmtId="0" fontId="9" fillId="0" borderId="35" xfId="4" applyFont="1" applyBorder="1" applyAlignment="1">
      <alignment horizontal="center" vertical="center"/>
    </xf>
    <xf numFmtId="0" fontId="9" fillId="0" borderId="36" xfId="4" applyFont="1" applyBorder="1" applyAlignment="1">
      <alignment horizontal="center" vertical="center"/>
    </xf>
    <xf numFmtId="0" fontId="9" fillId="0" borderId="37" xfId="4" applyFont="1" applyBorder="1" applyAlignment="1">
      <alignment horizontal="center" vertical="center"/>
    </xf>
    <xf numFmtId="0" fontId="9" fillId="0" borderId="1" xfId="4" applyFont="1" applyBorder="1" applyAlignment="1">
      <alignment horizontal="center" vertical="center"/>
    </xf>
    <xf numFmtId="0" fontId="2" fillId="0" borderId="38" xfId="4" applyFont="1" applyBorder="1" applyAlignment="1">
      <alignment horizontal="center" vertical="center"/>
    </xf>
    <xf numFmtId="0" fontId="9" fillId="0" borderId="39" xfId="4" applyFont="1" applyBorder="1" applyAlignment="1">
      <alignment horizontal="center" vertical="center"/>
    </xf>
    <xf numFmtId="0" fontId="9" fillId="0" borderId="40" xfId="4" applyFont="1" applyBorder="1" applyAlignment="1">
      <alignment horizontal="center" vertical="center"/>
    </xf>
    <xf numFmtId="0" fontId="9" fillId="0" borderId="41" xfId="4" applyFont="1" applyBorder="1" applyAlignment="1">
      <alignment horizontal="center" vertical="center"/>
    </xf>
    <xf numFmtId="0" fontId="9" fillId="0" borderId="42" xfId="4" applyFont="1" applyBorder="1" applyAlignment="1">
      <alignment horizontal="center" vertical="center"/>
    </xf>
    <xf numFmtId="0" fontId="9" fillId="0" borderId="43" xfId="4" applyFont="1" applyBorder="1" applyAlignment="1">
      <alignment horizontal="center" vertical="center"/>
    </xf>
    <xf numFmtId="0" fontId="9" fillId="0" borderId="44" xfId="4" applyFont="1" applyBorder="1" applyAlignment="1">
      <alignment horizontal="center" vertical="center"/>
    </xf>
    <xf numFmtId="0" fontId="9" fillId="4" borderId="26" xfId="4" applyFont="1" applyFill="1" applyBorder="1" applyAlignment="1">
      <alignment horizontal="center" vertical="center"/>
    </xf>
    <xf numFmtId="0" fontId="9" fillId="4" borderId="30" xfId="4" applyFont="1" applyFill="1" applyBorder="1" applyAlignment="1">
      <alignment horizontal="center" vertical="center"/>
    </xf>
    <xf numFmtId="0" fontId="9" fillId="4" borderId="16" xfId="4" applyFont="1" applyFill="1" applyBorder="1" applyAlignment="1">
      <alignment horizontal="center" vertical="center"/>
    </xf>
    <xf numFmtId="0" fontId="9" fillId="4" borderId="14" xfId="4" applyFont="1" applyFill="1" applyBorder="1" applyAlignment="1">
      <alignment horizontal="center" vertical="center"/>
    </xf>
    <xf numFmtId="0" fontId="9" fillId="4" borderId="32" xfId="4" applyFont="1" applyFill="1" applyBorder="1" applyAlignment="1">
      <alignment horizontal="center" vertical="center"/>
    </xf>
    <xf numFmtId="0" fontId="9" fillId="4" borderId="20" xfId="4" applyFont="1" applyFill="1" applyBorder="1" applyAlignment="1">
      <alignment horizontal="center" vertical="center"/>
    </xf>
    <xf numFmtId="0" fontId="9" fillId="0" borderId="39" xfId="4" applyFont="1" applyFill="1" applyBorder="1" applyAlignment="1">
      <alignment horizontal="center" vertical="center"/>
    </xf>
    <xf numFmtId="0" fontId="2" fillId="0" borderId="43" xfId="4" applyFont="1" applyBorder="1" applyAlignment="1">
      <alignment horizontal="center" vertical="center"/>
    </xf>
    <xf numFmtId="0" fontId="2" fillId="0" borderId="36" xfId="4" applyFont="1" applyBorder="1" applyAlignment="1">
      <alignment horizontal="center" vertical="center"/>
    </xf>
    <xf numFmtId="0" fontId="2" fillId="0" borderId="37" xfId="4" applyFont="1" applyBorder="1" applyAlignment="1">
      <alignment horizontal="center" vertical="center"/>
    </xf>
    <xf numFmtId="0" fontId="2" fillId="0" borderId="37" xfId="4" applyFont="1" applyFill="1" applyBorder="1" applyAlignment="1">
      <alignment horizontal="center" vertical="center"/>
    </xf>
    <xf numFmtId="0" fontId="2" fillId="0" borderId="43" xfId="4" applyFont="1" applyFill="1" applyBorder="1" applyAlignment="1">
      <alignment horizontal="center" vertical="center"/>
    </xf>
    <xf numFmtId="0" fontId="9" fillId="4" borderId="25" xfId="4" applyFont="1" applyFill="1" applyBorder="1" applyAlignment="1">
      <alignment horizontal="center" vertical="center"/>
    </xf>
    <xf numFmtId="0" fontId="9" fillId="5" borderId="20" xfId="4" applyFont="1" applyFill="1" applyBorder="1" applyAlignment="1">
      <alignment horizontal="center" vertical="center"/>
    </xf>
    <xf numFmtId="0" fontId="9" fillId="5" borderId="23" xfId="4" applyFont="1" applyFill="1" applyBorder="1" applyAlignment="1">
      <alignment horizontal="center" vertical="center"/>
    </xf>
    <xf numFmtId="0" fontId="9" fillId="5" borderId="24" xfId="4" applyFont="1" applyFill="1" applyBorder="1" applyAlignment="1">
      <alignment horizontal="center" vertical="center"/>
    </xf>
    <xf numFmtId="0" fontId="9" fillId="0" borderId="56" xfId="4" applyFont="1" applyBorder="1" applyAlignment="1">
      <alignment horizontal="center" vertical="center"/>
    </xf>
    <xf numFmtId="0" fontId="9" fillId="0" borderId="57" xfId="4" applyFont="1" applyBorder="1" applyAlignment="1">
      <alignment horizontal="center" vertical="center"/>
    </xf>
    <xf numFmtId="0" fontId="9" fillId="0" borderId="58" xfId="4" applyFont="1" applyBorder="1" applyAlignment="1">
      <alignment horizontal="center" vertical="center"/>
    </xf>
    <xf numFmtId="0" fontId="2" fillId="0" borderId="59" xfId="4" applyFont="1" applyBorder="1" applyAlignment="1">
      <alignment horizontal="center" vertical="center"/>
    </xf>
    <xf numFmtId="0" fontId="9" fillId="0" borderId="60" xfId="4" applyFont="1" applyBorder="1" applyAlignment="1">
      <alignment horizontal="center" vertical="center"/>
    </xf>
    <xf numFmtId="0" fontId="9" fillId="0" borderId="61" xfId="4" applyFont="1" applyBorder="1" applyAlignment="1">
      <alignment horizontal="center" vertical="center"/>
    </xf>
    <xf numFmtId="0" fontId="9" fillId="0" borderId="21" xfId="4" applyFont="1" applyBorder="1" applyAlignment="1">
      <alignment horizontal="center" vertical="center"/>
    </xf>
    <xf numFmtId="0" fontId="9" fillId="0" borderId="27" xfId="4" applyFont="1" applyBorder="1" applyAlignment="1">
      <alignment horizontal="center" vertical="center"/>
    </xf>
    <xf numFmtId="0" fontId="9" fillId="0" borderId="62" xfId="4" applyFont="1" applyBorder="1" applyAlignment="1">
      <alignment horizontal="center" vertical="center"/>
    </xf>
    <xf numFmtId="0" fontId="9" fillId="5" borderId="31" xfId="4" applyFont="1" applyFill="1" applyBorder="1" applyAlignment="1">
      <alignment horizontal="center" vertical="center"/>
    </xf>
    <xf numFmtId="0" fontId="9" fillId="3" borderId="23" xfId="4" applyFont="1" applyFill="1" applyBorder="1" applyAlignment="1">
      <alignment vertical="center"/>
    </xf>
    <xf numFmtId="0" fontId="2" fillId="3" borderId="23" xfId="4" applyFont="1" applyFill="1" applyBorder="1" applyAlignment="1">
      <alignment horizontal="center" vertical="center"/>
    </xf>
    <xf numFmtId="0" fontId="9" fillId="4" borderId="18" xfId="4" applyFont="1" applyFill="1" applyBorder="1" applyAlignment="1">
      <alignment horizontal="center" vertical="center"/>
    </xf>
    <xf numFmtId="0" fontId="9" fillId="4" borderId="17" xfId="4" applyFont="1" applyFill="1" applyBorder="1" applyAlignment="1">
      <alignment horizontal="center" vertical="center"/>
    </xf>
    <xf numFmtId="0" fontId="9" fillId="4" borderId="96" xfId="4" applyFont="1" applyFill="1" applyBorder="1" applyAlignment="1">
      <alignment horizontal="center" vertical="center"/>
    </xf>
    <xf numFmtId="0" fontId="9" fillId="4" borderId="46" xfId="4" applyFont="1" applyFill="1" applyBorder="1" applyAlignment="1">
      <alignment horizontal="center" vertical="center"/>
    </xf>
    <xf numFmtId="0" fontId="9" fillId="4" borderId="31" xfId="4" applyFont="1" applyFill="1" applyBorder="1" applyAlignment="1">
      <alignment horizontal="center" vertical="center"/>
    </xf>
    <xf numFmtId="0" fontId="9" fillId="0" borderId="36" xfId="4" applyFont="1" applyFill="1" applyBorder="1" applyAlignment="1">
      <alignment horizontal="center" vertical="center"/>
    </xf>
    <xf numFmtId="0" fontId="9" fillId="0" borderId="37" xfId="4" applyFont="1" applyFill="1" applyBorder="1" applyAlignment="1">
      <alignment horizontal="center" vertical="center"/>
    </xf>
    <xf numFmtId="0" fontId="9" fillId="0" borderId="33" xfId="4" applyFont="1" applyBorder="1" applyAlignment="1">
      <alignment horizontal="center" vertical="center"/>
    </xf>
    <xf numFmtId="0" fontId="2" fillId="0" borderId="39" xfId="4" applyFont="1" applyBorder="1" applyAlignment="1">
      <alignment horizontal="center" vertical="center"/>
    </xf>
    <xf numFmtId="0" fontId="2" fillId="0" borderId="35" xfId="4" applyFont="1" applyBorder="1" applyAlignment="1">
      <alignment horizontal="center" vertical="center"/>
    </xf>
    <xf numFmtId="0" fontId="2" fillId="0" borderId="44" xfId="4" applyFont="1" applyBorder="1" applyAlignment="1">
      <alignment horizontal="center" vertical="center"/>
    </xf>
    <xf numFmtId="0" fontId="2" fillId="0" borderId="41" xfId="4" applyFont="1" applyBorder="1" applyAlignment="1">
      <alignment horizontal="center" vertical="center"/>
    </xf>
    <xf numFmtId="0" fontId="2" fillId="0" borderId="65" xfId="4" applyFont="1" applyBorder="1" applyAlignment="1">
      <alignment horizontal="center" vertical="center"/>
    </xf>
    <xf numFmtId="0" fontId="2" fillId="0" borderId="66" xfId="4" applyFont="1" applyBorder="1" applyAlignment="1">
      <alignment horizontal="center" vertical="center"/>
    </xf>
    <xf numFmtId="0" fontId="2" fillId="0" borderId="67" xfId="4" applyFont="1" applyBorder="1" applyAlignment="1">
      <alignment horizontal="center" vertical="center"/>
    </xf>
    <xf numFmtId="0" fontId="9" fillId="3" borderId="87" xfId="4" applyFont="1" applyFill="1" applyBorder="1" applyAlignment="1">
      <alignment horizontal="center" vertical="center" shrinkToFit="1"/>
    </xf>
    <xf numFmtId="0" fontId="9" fillId="3" borderId="51" xfId="4" applyFont="1" applyFill="1" applyBorder="1" applyAlignment="1">
      <alignment horizontal="center" vertical="center" shrinkToFit="1"/>
    </xf>
    <xf numFmtId="0" fontId="9" fillId="3" borderId="52" xfId="4" applyFont="1" applyFill="1" applyBorder="1" applyAlignment="1">
      <alignment horizontal="center" vertical="center" shrinkToFit="1"/>
    </xf>
    <xf numFmtId="0" fontId="9" fillId="10" borderId="15" xfId="4" applyFont="1" applyFill="1" applyBorder="1" applyAlignment="1">
      <alignment horizontal="center" vertical="center"/>
    </xf>
    <xf numFmtId="0" fontId="2" fillId="10" borderId="16" xfId="4" applyFont="1" applyFill="1" applyBorder="1" applyAlignment="1">
      <alignment horizontal="center" vertical="center"/>
    </xf>
    <xf numFmtId="0" fontId="9" fillId="10" borderId="16" xfId="4" applyFont="1" applyFill="1" applyBorder="1" applyAlignment="1">
      <alignment horizontal="center" vertical="center"/>
    </xf>
    <xf numFmtId="0" fontId="9" fillId="10" borderId="14" xfId="4" applyFont="1" applyFill="1" applyBorder="1" applyAlignment="1">
      <alignment horizontal="center" vertical="center"/>
    </xf>
    <xf numFmtId="0" fontId="9" fillId="10" borderId="41" xfId="4" applyFont="1" applyFill="1" applyBorder="1" applyAlignment="1">
      <alignment horizontal="center" vertical="center"/>
    </xf>
    <xf numFmtId="0" fontId="9" fillId="10" borderId="32" xfId="4" applyFont="1" applyFill="1" applyBorder="1" applyAlignment="1">
      <alignment horizontal="center" vertical="center"/>
    </xf>
    <xf numFmtId="0" fontId="2" fillId="10" borderId="43" xfId="4" applyFont="1" applyFill="1" applyBorder="1" applyAlignment="1">
      <alignment horizontal="center" vertical="center"/>
    </xf>
    <xf numFmtId="0" fontId="31" fillId="10" borderId="32" xfId="4" applyFont="1" applyFill="1" applyBorder="1" applyAlignment="1">
      <alignment horizontal="center" vertical="center"/>
    </xf>
    <xf numFmtId="0" fontId="31" fillId="10" borderId="16" xfId="4" applyFont="1" applyFill="1" applyBorder="1" applyAlignment="1">
      <alignment horizontal="center" vertical="center"/>
    </xf>
    <xf numFmtId="0" fontId="9" fillId="10" borderId="43" xfId="4" applyFont="1" applyFill="1" applyBorder="1" applyAlignment="1">
      <alignment horizontal="center" vertical="center"/>
    </xf>
    <xf numFmtId="0" fontId="9" fillId="10" borderId="37" xfId="4" applyFont="1" applyFill="1" applyBorder="1" applyAlignment="1">
      <alignment horizontal="center" vertical="center"/>
    </xf>
    <xf numFmtId="0" fontId="2" fillId="10" borderId="37" xfId="4" applyFont="1" applyFill="1" applyBorder="1" applyAlignment="1">
      <alignment horizontal="center" vertical="center"/>
    </xf>
    <xf numFmtId="0" fontId="9" fillId="10" borderId="36" xfId="4" applyFont="1" applyFill="1" applyBorder="1" applyAlignment="1">
      <alignment horizontal="center" vertical="center"/>
    </xf>
    <xf numFmtId="0" fontId="2" fillId="10" borderId="36" xfId="4" applyFont="1" applyFill="1" applyBorder="1" applyAlignment="1">
      <alignment horizontal="center" vertical="center"/>
    </xf>
    <xf numFmtId="0" fontId="9" fillId="10" borderId="17" xfId="4" applyFont="1" applyFill="1" applyBorder="1" applyAlignment="1">
      <alignment horizontal="center" vertical="center"/>
    </xf>
    <xf numFmtId="0" fontId="9" fillId="10" borderId="18" xfId="4" applyFont="1" applyFill="1" applyBorder="1" applyAlignment="1">
      <alignment horizontal="center" vertical="center"/>
    </xf>
    <xf numFmtId="0" fontId="9" fillId="10" borderId="19" xfId="4" applyFont="1" applyFill="1" applyBorder="1" applyAlignment="1">
      <alignment horizontal="center" vertical="center"/>
    </xf>
    <xf numFmtId="0" fontId="2" fillId="10" borderId="39" xfId="4" applyFont="1" applyFill="1" applyBorder="1" applyAlignment="1">
      <alignment horizontal="center" vertical="center"/>
    </xf>
    <xf numFmtId="0" fontId="31" fillId="10" borderId="17" xfId="4" applyFont="1" applyFill="1" applyBorder="1" applyAlignment="1">
      <alignment horizontal="center" vertical="center"/>
    </xf>
    <xf numFmtId="0" fontId="9" fillId="10" borderId="39" xfId="4" applyFont="1" applyFill="1" applyBorder="1" applyAlignment="1">
      <alignment horizontal="center" vertical="center"/>
    </xf>
    <xf numFmtId="0" fontId="31" fillId="10" borderId="18" xfId="4" applyFont="1" applyFill="1" applyBorder="1" applyAlignment="1">
      <alignment horizontal="center" vertical="center"/>
    </xf>
    <xf numFmtId="0" fontId="31" fillId="10" borderId="19" xfId="4" applyFont="1" applyFill="1" applyBorder="1" applyAlignment="1">
      <alignment horizontal="center" vertical="center"/>
    </xf>
    <xf numFmtId="0" fontId="9" fillId="10" borderId="23" xfId="4" applyFont="1" applyFill="1" applyBorder="1" applyAlignment="1">
      <alignment vertical="center"/>
    </xf>
    <xf numFmtId="0" fontId="9" fillId="10" borderId="23" xfId="4" applyFont="1" applyFill="1" applyBorder="1" applyAlignment="1">
      <alignment horizontal="center" vertical="center"/>
    </xf>
    <xf numFmtId="0" fontId="2" fillId="10" borderId="23" xfId="4" applyFont="1" applyFill="1" applyBorder="1" applyAlignment="1">
      <alignment horizontal="center" vertical="center"/>
    </xf>
    <xf numFmtId="0" fontId="9" fillId="10" borderId="24" xfId="4" applyFont="1" applyFill="1" applyBorder="1" applyAlignment="1">
      <alignment horizontal="center" vertical="center"/>
    </xf>
    <xf numFmtId="0" fontId="9" fillId="13" borderId="39" xfId="4" applyFont="1" applyFill="1" applyBorder="1" applyAlignment="1">
      <alignment horizontal="center" vertical="center"/>
    </xf>
    <xf numFmtId="0" fontId="9" fillId="13" borderId="17" xfId="4" applyFont="1" applyFill="1" applyBorder="1" applyAlignment="1">
      <alignment horizontal="center" vertical="center"/>
    </xf>
    <xf numFmtId="0" fontId="9" fillId="13" borderId="18" xfId="4" applyFont="1" applyFill="1" applyBorder="1" applyAlignment="1">
      <alignment horizontal="center" vertical="center"/>
    </xf>
    <xf numFmtId="0" fontId="31" fillId="13" borderId="18" xfId="4" applyFont="1" applyFill="1" applyBorder="1" applyAlignment="1">
      <alignment horizontal="center" vertical="center"/>
    </xf>
    <xf numFmtId="0" fontId="31" fillId="13" borderId="19" xfId="4" applyFont="1" applyFill="1" applyBorder="1" applyAlignment="1">
      <alignment horizontal="center" vertical="center"/>
    </xf>
    <xf numFmtId="0" fontId="2" fillId="13" borderId="39" xfId="4" applyFont="1" applyFill="1" applyBorder="1" applyAlignment="1">
      <alignment horizontal="center" vertical="center"/>
    </xf>
    <xf numFmtId="0" fontId="31" fillId="10" borderId="157" xfId="4" applyFont="1" applyFill="1" applyBorder="1" applyAlignment="1">
      <alignment horizontal="center" vertical="center"/>
    </xf>
    <xf numFmtId="0" fontId="31" fillId="10" borderId="160" xfId="4" applyFont="1" applyFill="1" applyBorder="1" applyAlignment="1">
      <alignment horizontal="center" vertical="center"/>
    </xf>
    <xf numFmtId="0" fontId="31" fillId="10" borderId="163" xfId="4" applyFont="1" applyFill="1" applyBorder="1" applyAlignment="1">
      <alignment horizontal="center" vertical="center"/>
    </xf>
    <xf numFmtId="0" fontId="31" fillId="10" borderId="166" xfId="4" applyFont="1" applyFill="1" applyBorder="1" applyAlignment="1">
      <alignment horizontal="center" vertical="center"/>
    </xf>
    <xf numFmtId="0" fontId="31" fillId="10" borderId="167" xfId="4" applyFont="1" applyFill="1" applyBorder="1" applyAlignment="1">
      <alignment horizontal="center" vertical="center"/>
    </xf>
    <xf numFmtId="0" fontId="31" fillId="10" borderId="168" xfId="4" applyFont="1" applyFill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9" fillId="10" borderId="169" xfId="0" applyFont="1" applyFill="1" applyBorder="1" applyAlignment="1">
      <alignment vertical="center"/>
    </xf>
    <xf numFmtId="0" fontId="9" fillId="10" borderId="169" xfId="0" applyFont="1" applyFill="1" applyBorder="1" applyAlignment="1">
      <alignment horizontal="center" vertical="center"/>
    </xf>
    <xf numFmtId="0" fontId="9" fillId="10" borderId="155" xfId="0" applyFont="1" applyFill="1" applyBorder="1" applyAlignment="1">
      <alignment horizontal="center" vertical="center" wrapText="1"/>
    </xf>
    <xf numFmtId="0" fontId="9" fillId="10" borderId="149" xfId="0" applyFont="1" applyFill="1" applyBorder="1" applyAlignment="1">
      <alignment horizontal="center" vertical="center" wrapText="1"/>
    </xf>
    <xf numFmtId="0" fontId="9" fillId="10" borderId="155" xfId="0" applyFont="1" applyFill="1" applyBorder="1" applyAlignment="1">
      <alignment horizontal="center" vertical="center"/>
    </xf>
    <xf numFmtId="0" fontId="9" fillId="0" borderId="49" xfId="0" applyFont="1" applyFill="1" applyBorder="1" applyAlignment="1">
      <alignment horizontal="center" vertical="center"/>
    </xf>
    <xf numFmtId="42" fontId="9" fillId="0" borderId="70" xfId="0" applyNumberFormat="1" applyFont="1" applyFill="1" applyBorder="1" applyAlignment="1">
      <alignment horizontal="center" vertical="center" wrapText="1"/>
    </xf>
    <xf numFmtId="0" fontId="26" fillId="0" borderId="73" xfId="0" applyFont="1" applyBorder="1" applyAlignment="1">
      <alignment horizontal="center" vertical="center"/>
    </xf>
    <xf numFmtId="178" fontId="2" fillId="0" borderId="0" xfId="0" applyNumberFormat="1" applyFont="1">
      <alignment vertical="center"/>
    </xf>
    <xf numFmtId="0" fontId="12" fillId="0" borderId="110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9" fillId="0" borderId="89" xfId="0" applyFont="1" applyBorder="1" applyAlignment="1">
      <alignment horizontal="center" vertical="center"/>
    </xf>
    <xf numFmtId="0" fontId="9" fillId="0" borderId="131" xfId="0" applyFont="1" applyBorder="1" applyAlignment="1">
      <alignment horizontal="left" vertical="center"/>
    </xf>
    <xf numFmtId="0" fontId="9" fillId="0" borderId="129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0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40" fillId="0" borderId="60" xfId="0" applyFont="1" applyBorder="1" applyAlignment="1">
      <alignment horizontal="center" vertical="center"/>
    </xf>
    <xf numFmtId="0" fontId="40" fillId="0" borderId="39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4" borderId="31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4" borderId="20" xfId="0" applyFont="1" applyFill="1" applyBorder="1" applyAlignment="1">
      <alignment horizontal="center" vertical="center"/>
    </xf>
    <xf numFmtId="0" fontId="9" fillId="4" borderId="24" xfId="0" applyFont="1" applyFill="1" applyBorder="1" applyAlignment="1">
      <alignment horizontal="center" vertical="center"/>
    </xf>
    <xf numFmtId="0" fontId="9" fillId="3" borderId="26" xfId="0" applyFont="1" applyFill="1" applyBorder="1" applyAlignment="1">
      <alignment horizontal="center" vertical="center"/>
    </xf>
    <xf numFmtId="0" fontId="9" fillId="3" borderId="30" xfId="0" applyFont="1" applyFill="1" applyBorder="1" applyAlignment="1">
      <alignment horizontal="center" vertical="center"/>
    </xf>
    <xf numFmtId="0" fontId="9" fillId="3" borderId="25" xfId="0" applyFont="1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9" fillId="3" borderId="24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7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36" xfId="4" applyFont="1" applyBorder="1" applyAlignment="1">
      <alignment horizontal="center" vertical="center"/>
    </xf>
    <xf numFmtId="0" fontId="2" fillId="0" borderId="37" xfId="4" applyFont="1" applyBorder="1" applyAlignment="1">
      <alignment horizontal="center" vertical="center"/>
    </xf>
    <xf numFmtId="0" fontId="9" fillId="10" borderId="36" xfId="4" applyFont="1" applyFill="1" applyBorder="1" applyAlignment="1">
      <alignment horizontal="center" vertical="center"/>
    </xf>
    <xf numFmtId="0" fontId="9" fillId="10" borderId="35" xfId="4" applyFont="1" applyFill="1" applyBorder="1" applyAlignment="1">
      <alignment horizontal="center" vertical="center"/>
    </xf>
    <xf numFmtId="0" fontId="9" fillId="0" borderId="36" xfId="4" applyFont="1" applyBorder="1" applyAlignment="1">
      <alignment horizontal="center" vertical="center" wrapText="1"/>
    </xf>
    <xf numFmtId="0" fontId="9" fillId="0" borderId="43" xfId="4" applyFont="1" applyBorder="1" applyAlignment="1">
      <alignment horizontal="center" vertical="center" wrapText="1"/>
    </xf>
    <xf numFmtId="0" fontId="9" fillId="0" borderId="37" xfId="4" applyFont="1" applyBorder="1" applyAlignment="1">
      <alignment horizontal="center" vertical="center" wrapText="1"/>
    </xf>
    <xf numFmtId="0" fontId="31" fillId="10" borderId="117" xfId="4" applyFont="1" applyFill="1" applyBorder="1" applyAlignment="1">
      <alignment horizontal="center" vertical="center"/>
    </xf>
    <xf numFmtId="0" fontId="31" fillId="10" borderId="108" xfId="4" applyFont="1" applyFill="1" applyBorder="1" applyAlignment="1">
      <alignment horizontal="center" vertical="center"/>
    </xf>
    <xf numFmtId="0" fontId="9" fillId="10" borderId="97" xfId="4" applyFont="1" applyFill="1" applyBorder="1" applyAlignment="1">
      <alignment horizontal="center" vertical="center"/>
    </xf>
    <xf numFmtId="0" fontId="9" fillId="10" borderId="98" xfId="4" applyFont="1" applyFill="1" applyBorder="1" applyAlignment="1">
      <alignment horizontal="center" vertical="center"/>
    </xf>
    <xf numFmtId="0" fontId="9" fillId="10" borderId="99" xfId="4" applyFont="1" applyFill="1" applyBorder="1" applyAlignment="1">
      <alignment horizontal="center" vertical="center"/>
    </xf>
    <xf numFmtId="0" fontId="9" fillId="10" borderId="43" xfId="4" applyFont="1" applyFill="1" applyBorder="1" applyAlignment="1">
      <alignment horizontal="center" vertical="center"/>
    </xf>
    <xf numFmtId="0" fontId="9" fillId="0" borderId="36" xfId="4" applyFont="1" applyBorder="1" applyAlignment="1">
      <alignment horizontal="center" vertical="center"/>
    </xf>
    <xf numFmtId="0" fontId="9" fillId="0" borderId="37" xfId="4" applyFont="1" applyBorder="1" applyAlignment="1">
      <alignment horizontal="center" vertical="center"/>
    </xf>
    <xf numFmtId="0" fontId="9" fillId="3" borderId="26" xfId="4" applyFont="1" applyFill="1" applyBorder="1" applyAlignment="1">
      <alignment horizontal="center" vertical="center"/>
    </xf>
    <xf numFmtId="0" fontId="9" fillId="3" borderId="30" xfId="4" applyFont="1" applyFill="1" applyBorder="1" applyAlignment="1">
      <alignment horizontal="center" vertical="center"/>
    </xf>
    <xf numFmtId="0" fontId="9" fillId="4" borderId="47" xfId="4" applyFont="1" applyFill="1" applyBorder="1" applyAlignment="1">
      <alignment horizontal="center" vertical="center"/>
    </xf>
    <xf numFmtId="0" fontId="9" fillId="4" borderId="69" xfId="4" applyFont="1" applyFill="1" applyBorder="1" applyAlignment="1">
      <alignment horizontal="center" vertical="center"/>
    </xf>
    <xf numFmtId="0" fontId="9" fillId="3" borderId="97" xfId="4" applyFont="1" applyFill="1" applyBorder="1" applyAlignment="1">
      <alignment horizontal="center" vertical="center"/>
    </xf>
    <xf numFmtId="0" fontId="9" fillId="3" borderId="98" xfId="4" applyFont="1" applyFill="1" applyBorder="1" applyAlignment="1">
      <alignment horizontal="center" vertical="center"/>
    </xf>
    <xf numFmtId="0" fontId="9" fillId="3" borderId="99" xfId="4" applyFont="1" applyFill="1" applyBorder="1" applyAlignment="1">
      <alignment horizontal="center" vertical="center"/>
    </xf>
    <xf numFmtId="0" fontId="9" fillId="4" borderId="102" xfId="4" applyFont="1" applyFill="1" applyBorder="1" applyAlignment="1">
      <alignment horizontal="center" vertical="center"/>
    </xf>
    <xf numFmtId="0" fontId="9" fillId="4" borderId="98" xfId="4" applyFont="1" applyFill="1" applyBorder="1" applyAlignment="1">
      <alignment horizontal="center" vertical="center"/>
    </xf>
    <xf numFmtId="0" fontId="9" fillId="4" borderId="100" xfId="4" applyFont="1" applyFill="1" applyBorder="1" applyAlignment="1">
      <alignment horizontal="center" vertical="center"/>
    </xf>
    <xf numFmtId="0" fontId="9" fillId="4" borderId="97" xfId="4" applyFont="1" applyFill="1" applyBorder="1" applyAlignment="1">
      <alignment horizontal="center" vertical="center"/>
    </xf>
    <xf numFmtId="0" fontId="9" fillId="4" borderId="99" xfId="4" applyFont="1" applyFill="1" applyBorder="1" applyAlignment="1">
      <alignment horizontal="center" vertical="center"/>
    </xf>
    <xf numFmtId="0" fontId="9" fillId="3" borderId="100" xfId="4" applyFont="1" applyFill="1" applyBorder="1" applyAlignment="1">
      <alignment horizontal="center" vertical="center"/>
    </xf>
    <xf numFmtId="0" fontId="2" fillId="10" borderId="85" xfId="4" applyFont="1" applyFill="1" applyBorder="1" applyAlignment="1">
      <alignment horizontal="center" vertical="center"/>
    </xf>
    <xf numFmtId="0" fontId="2" fillId="10" borderId="86" xfId="4" applyFont="1" applyFill="1" applyBorder="1" applyAlignment="1">
      <alignment horizontal="center" vertical="center"/>
    </xf>
    <xf numFmtId="0" fontId="2" fillId="0" borderId="85" xfId="4" applyFont="1" applyBorder="1" applyAlignment="1">
      <alignment horizontal="center" vertical="center"/>
    </xf>
    <xf numFmtId="0" fontId="2" fillId="0" borderId="86" xfId="4" applyFont="1" applyBorder="1" applyAlignment="1">
      <alignment horizontal="center" vertical="center"/>
    </xf>
    <xf numFmtId="0" fontId="9" fillId="3" borderId="102" xfId="4" applyFont="1" applyFill="1" applyBorder="1" applyAlignment="1">
      <alignment horizontal="center" vertical="center" shrinkToFit="1"/>
    </xf>
    <xf numFmtId="0" fontId="9" fillId="3" borderId="98" xfId="4" applyFont="1" applyFill="1" applyBorder="1" applyAlignment="1">
      <alignment horizontal="center" vertical="center" shrinkToFit="1"/>
    </xf>
    <xf numFmtId="0" fontId="9" fillId="3" borderId="100" xfId="4" applyFont="1" applyFill="1" applyBorder="1" applyAlignment="1">
      <alignment horizontal="center" vertical="center" shrinkToFit="1"/>
    </xf>
    <xf numFmtId="0" fontId="9" fillId="3" borderId="97" xfId="4" applyFont="1" applyFill="1" applyBorder="1" applyAlignment="1">
      <alignment horizontal="center" vertical="center" shrinkToFit="1"/>
    </xf>
    <xf numFmtId="0" fontId="9" fillId="3" borderId="99" xfId="4" applyFont="1" applyFill="1" applyBorder="1" applyAlignment="1">
      <alignment horizontal="center" vertical="center" shrinkToFit="1"/>
    </xf>
    <xf numFmtId="0" fontId="9" fillId="10" borderId="37" xfId="4" applyFont="1" applyFill="1" applyBorder="1" applyAlignment="1">
      <alignment horizontal="center" vertical="center"/>
    </xf>
    <xf numFmtId="0" fontId="9" fillId="0" borderId="43" xfId="4" applyFont="1" applyBorder="1" applyAlignment="1">
      <alignment horizontal="center" vertical="center"/>
    </xf>
    <xf numFmtId="0" fontId="9" fillId="4" borderId="111" xfId="4" applyFont="1" applyFill="1" applyBorder="1" applyAlignment="1">
      <alignment horizontal="center" vertical="center"/>
    </xf>
    <xf numFmtId="0" fontId="9" fillId="4" borderId="112" xfId="4" applyFont="1" applyFill="1" applyBorder="1" applyAlignment="1">
      <alignment horizontal="center" vertical="center"/>
    </xf>
    <xf numFmtId="0" fontId="9" fillId="4" borderId="95" xfId="4" applyFont="1" applyFill="1" applyBorder="1" applyAlignment="1">
      <alignment horizontal="center" vertical="center"/>
    </xf>
    <xf numFmtId="0" fontId="9" fillId="4" borderId="68" xfId="4" applyFont="1" applyFill="1" applyBorder="1" applyAlignment="1">
      <alignment horizontal="center" vertical="center"/>
    </xf>
    <xf numFmtId="0" fontId="9" fillId="0" borderId="35" xfId="4" applyFont="1" applyBorder="1" applyAlignment="1">
      <alignment horizontal="center" vertical="center"/>
    </xf>
    <xf numFmtId="0" fontId="31" fillId="10" borderId="56" xfId="4" applyFont="1" applyFill="1" applyBorder="1" applyAlignment="1">
      <alignment horizontal="center" vertical="center"/>
    </xf>
    <xf numFmtId="0" fontId="31" fillId="10" borderId="91" xfId="4" applyFont="1" applyFill="1" applyBorder="1" applyAlignment="1">
      <alignment horizontal="center" vertical="center"/>
    </xf>
    <xf numFmtId="0" fontId="31" fillId="10" borderId="90" xfId="4" applyFont="1" applyFill="1" applyBorder="1" applyAlignment="1">
      <alignment horizontal="center" vertical="center"/>
    </xf>
    <xf numFmtId="0" fontId="9" fillId="3" borderId="103" xfId="4" applyFont="1" applyFill="1" applyBorder="1" applyAlignment="1">
      <alignment horizontal="center" vertical="center"/>
    </xf>
    <xf numFmtId="0" fontId="28" fillId="10" borderId="62" xfId="4" applyFont="1" applyFill="1" applyBorder="1" applyAlignment="1">
      <alignment horizontal="center" vertical="center"/>
    </xf>
    <xf numFmtId="0" fontId="31" fillId="10" borderId="95" xfId="4" applyFont="1" applyFill="1" applyBorder="1" applyAlignment="1">
      <alignment horizontal="center" vertical="center"/>
    </xf>
    <xf numFmtId="0" fontId="31" fillId="10" borderId="68" xfId="4" applyFont="1" applyFill="1" applyBorder="1" applyAlignment="1">
      <alignment horizontal="center" vertical="center"/>
    </xf>
    <xf numFmtId="0" fontId="31" fillId="10" borderId="97" xfId="4" applyFont="1" applyFill="1" applyBorder="1" applyAlignment="1">
      <alignment horizontal="center" vertical="center"/>
    </xf>
    <xf numFmtId="0" fontId="31" fillId="10" borderId="98" xfId="4" applyFont="1" applyFill="1" applyBorder="1" applyAlignment="1">
      <alignment horizontal="center" vertical="center"/>
    </xf>
    <xf numFmtId="0" fontId="31" fillId="10" borderId="99" xfId="4" applyFont="1" applyFill="1" applyBorder="1" applyAlignment="1">
      <alignment horizontal="center" vertical="center"/>
    </xf>
    <xf numFmtId="0" fontId="31" fillId="10" borderId="62" xfId="4" applyFont="1" applyFill="1" applyBorder="1" applyAlignment="1">
      <alignment horizontal="center" vertical="center"/>
    </xf>
    <xf numFmtId="0" fontId="31" fillId="10" borderId="20" xfId="4" applyFont="1" applyFill="1" applyBorder="1" applyAlignment="1">
      <alignment horizontal="center" vertical="center"/>
    </xf>
    <xf numFmtId="0" fontId="2" fillId="10" borderId="36" xfId="4" applyFont="1" applyFill="1" applyBorder="1" applyAlignment="1">
      <alignment horizontal="center" vertical="center"/>
    </xf>
    <xf numFmtId="0" fontId="28" fillId="10" borderId="112" xfId="4" applyFont="1" applyFill="1" applyBorder="1" applyAlignment="1">
      <alignment horizontal="center" vertical="center"/>
    </xf>
    <xf numFmtId="0" fontId="9" fillId="7" borderId="102" xfId="4" applyFont="1" applyFill="1" applyBorder="1" applyAlignment="1">
      <alignment horizontal="center" vertical="center"/>
    </xf>
    <xf numFmtId="0" fontId="9" fillId="7" borderId="98" xfId="4" applyFont="1" applyFill="1" applyBorder="1" applyAlignment="1">
      <alignment horizontal="center" vertical="center"/>
    </xf>
    <xf numFmtId="0" fontId="9" fillId="7" borderId="99" xfId="4" applyFont="1" applyFill="1" applyBorder="1" applyAlignment="1">
      <alignment horizontal="center" vertical="center"/>
    </xf>
    <xf numFmtId="0" fontId="9" fillId="10" borderId="36" xfId="4" applyFont="1" applyFill="1" applyBorder="1" applyAlignment="1">
      <alignment horizontal="center" vertical="center" wrapText="1"/>
    </xf>
    <xf numFmtId="0" fontId="9" fillId="10" borderId="43" xfId="4" applyFont="1" applyFill="1" applyBorder="1" applyAlignment="1">
      <alignment horizontal="center" vertical="center" wrapText="1"/>
    </xf>
    <xf numFmtId="0" fontId="9" fillId="10" borderId="37" xfId="4" applyFont="1" applyFill="1" applyBorder="1" applyAlignment="1">
      <alignment horizontal="center" vertical="center" wrapText="1"/>
    </xf>
    <xf numFmtId="0" fontId="31" fillId="10" borderId="157" xfId="4" applyFont="1" applyFill="1" applyBorder="1" applyAlignment="1">
      <alignment horizontal="center" vertical="center"/>
    </xf>
    <xf numFmtId="0" fontId="31" fillId="10" borderId="158" xfId="4" applyFont="1" applyFill="1" applyBorder="1" applyAlignment="1">
      <alignment horizontal="center" vertical="center"/>
    </xf>
    <xf numFmtId="0" fontId="31" fillId="10" borderId="159" xfId="4" applyFont="1" applyFill="1" applyBorder="1" applyAlignment="1">
      <alignment horizontal="center" vertical="center"/>
    </xf>
    <xf numFmtId="0" fontId="31" fillId="10" borderId="160" xfId="4" applyFont="1" applyFill="1" applyBorder="1" applyAlignment="1">
      <alignment horizontal="center" vertical="center"/>
    </xf>
    <xf numFmtId="0" fontId="31" fillId="10" borderId="161" xfId="4" applyFont="1" applyFill="1" applyBorder="1" applyAlignment="1">
      <alignment horizontal="center" vertical="center"/>
    </xf>
    <xf numFmtId="0" fontId="31" fillId="10" borderId="162" xfId="4" applyFont="1" applyFill="1" applyBorder="1" applyAlignment="1">
      <alignment horizontal="center" vertical="center"/>
    </xf>
    <xf numFmtId="0" fontId="31" fillId="10" borderId="163" xfId="4" applyFont="1" applyFill="1" applyBorder="1" applyAlignment="1">
      <alignment horizontal="center" vertical="center"/>
    </xf>
    <xf numFmtId="0" fontId="31" fillId="10" borderId="164" xfId="4" applyFont="1" applyFill="1" applyBorder="1" applyAlignment="1">
      <alignment horizontal="center" vertical="center"/>
    </xf>
    <xf numFmtId="0" fontId="31" fillId="10" borderId="165" xfId="4" applyFont="1" applyFill="1" applyBorder="1" applyAlignment="1">
      <alignment horizontal="center" vertical="center"/>
    </xf>
    <xf numFmtId="0" fontId="9" fillId="10" borderId="21" xfId="4" applyFont="1" applyFill="1" applyBorder="1" applyAlignment="1">
      <alignment horizontal="center" vertical="center"/>
    </xf>
    <xf numFmtId="0" fontId="9" fillId="10" borderId="27" xfId="4" applyFont="1" applyFill="1" applyBorder="1" applyAlignment="1">
      <alignment horizontal="center" vertical="center"/>
    </xf>
    <xf numFmtId="0" fontId="9" fillId="10" borderId="22" xfId="4" applyFont="1" applyFill="1" applyBorder="1" applyAlignment="1">
      <alignment horizontal="center" vertical="center"/>
    </xf>
    <xf numFmtId="0" fontId="9" fillId="3" borderId="15" xfId="4" applyFont="1" applyFill="1" applyBorder="1" applyAlignment="1">
      <alignment horizontal="center" vertical="center"/>
    </xf>
    <xf numFmtId="0" fontId="9" fillId="3" borderId="96" xfId="4" applyFont="1" applyFill="1" applyBorder="1" applyAlignment="1">
      <alignment horizontal="center" vertical="center"/>
    </xf>
    <xf numFmtId="0" fontId="12" fillId="0" borderId="60" xfId="4" applyFont="1" applyBorder="1" applyAlignment="1">
      <alignment horizontal="center" vertical="center"/>
    </xf>
    <xf numFmtId="0" fontId="12" fillId="0" borderId="53" xfId="4" applyFont="1" applyBorder="1" applyAlignment="1">
      <alignment horizontal="center" vertical="center"/>
    </xf>
    <xf numFmtId="0" fontId="12" fillId="0" borderId="110" xfId="4" applyFont="1" applyBorder="1" applyAlignment="1">
      <alignment horizontal="center" vertical="center"/>
    </xf>
    <xf numFmtId="0" fontId="9" fillId="7" borderId="100" xfId="4" applyFont="1" applyFill="1" applyBorder="1" applyAlignment="1">
      <alignment horizontal="center" vertical="center"/>
    </xf>
    <xf numFmtId="0" fontId="9" fillId="7" borderId="47" xfId="4" applyFont="1" applyFill="1" applyBorder="1" applyAlignment="1">
      <alignment horizontal="center" vertical="center"/>
    </xf>
    <xf numFmtId="0" fontId="9" fillId="7" borderId="69" xfId="4" applyFont="1" applyFill="1" applyBorder="1" applyAlignment="1">
      <alignment horizontal="center" vertical="center"/>
    </xf>
    <xf numFmtId="0" fontId="9" fillId="3" borderId="95" xfId="4" applyFont="1" applyFill="1" applyBorder="1" applyAlignment="1">
      <alignment horizontal="center" vertical="center"/>
    </xf>
    <xf numFmtId="0" fontId="9" fillId="3" borderId="68" xfId="4" applyFont="1" applyFill="1" applyBorder="1" applyAlignment="1">
      <alignment horizontal="center" vertical="center"/>
    </xf>
    <xf numFmtId="0" fontId="9" fillId="7" borderId="95" xfId="4" applyFont="1" applyFill="1" applyBorder="1" applyAlignment="1">
      <alignment horizontal="center" vertical="center"/>
    </xf>
    <xf numFmtId="0" fontId="9" fillId="7" borderId="68" xfId="4" applyFont="1" applyFill="1" applyBorder="1" applyAlignment="1">
      <alignment horizontal="center" vertical="center"/>
    </xf>
    <xf numFmtId="0" fontId="31" fillId="10" borderId="104" xfId="4" applyFont="1" applyFill="1" applyBorder="1" applyAlignment="1">
      <alignment horizontal="center" vertical="center"/>
    </xf>
    <xf numFmtId="0" fontId="31" fillId="10" borderId="34" xfId="4" applyFont="1" applyFill="1" applyBorder="1" applyAlignment="1">
      <alignment horizontal="center" vertical="center"/>
    </xf>
    <xf numFmtId="0" fontId="31" fillId="10" borderId="105" xfId="4" applyFont="1" applyFill="1" applyBorder="1" applyAlignment="1">
      <alignment horizontal="center" vertical="center"/>
    </xf>
    <xf numFmtId="0" fontId="9" fillId="4" borderId="0" xfId="4" applyFont="1" applyFill="1" applyBorder="1" applyAlignment="1">
      <alignment horizontal="center" vertical="center"/>
    </xf>
    <xf numFmtId="0" fontId="9" fillId="7" borderId="32" xfId="4" applyFont="1" applyFill="1" applyBorder="1" applyAlignment="1">
      <alignment horizontal="center" vertical="center"/>
    </xf>
    <xf numFmtId="0" fontId="9" fillId="7" borderId="16" xfId="4" applyFont="1" applyFill="1" applyBorder="1" applyAlignment="1">
      <alignment horizontal="center" vertical="center"/>
    </xf>
    <xf numFmtId="0" fontId="9" fillId="7" borderId="14" xfId="4" applyFont="1" applyFill="1" applyBorder="1" applyAlignment="1">
      <alignment horizontal="center" vertical="center"/>
    </xf>
    <xf numFmtId="0" fontId="9" fillId="7" borderId="54" xfId="4" applyFont="1" applyFill="1" applyBorder="1" applyAlignment="1">
      <alignment horizontal="center" vertical="center"/>
    </xf>
    <xf numFmtId="0" fontId="9" fillId="7" borderId="55" xfId="4" applyFont="1" applyFill="1" applyBorder="1" applyAlignment="1">
      <alignment horizontal="center" vertical="center"/>
    </xf>
    <xf numFmtId="0" fontId="11" fillId="7" borderId="32" xfId="4" applyFont="1" applyFill="1" applyBorder="1" applyAlignment="1">
      <alignment horizontal="center" vertical="center"/>
    </xf>
    <xf numFmtId="0" fontId="11" fillId="7" borderId="16" xfId="4" applyFont="1" applyFill="1" applyBorder="1" applyAlignment="1">
      <alignment horizontal="center" vertical="center"/>
    </xf>
    <xf numFmtId="0" fontId="11" fillId="7" borderId="14" xfId="4" applyFont="1" applyFill="1" applyBorder="1" applyAlignment="1">
      <alignment horizontal="center" vertical="center"/>
    </xf>
    <xf numFmtId="0" fontId="9" fillId="7" borderId="25" xfId="4" applyFont="1" applyFill="1" applyBorder="1" applyAlignment="1">
      <alignment horizontal="center" vertical="center"/>
    </xf>
    <xf numFmtId="0" fontId="9" fillId="7" borderId="26" xfId="4" applyFont="1" applyFill="1" applyBorder="1" applyAlignment="1">
      <alignment horizontal="center" vertical="center"/>
    </xf>
    <xf numFmtId="0" fontId="9" fillId="7" borderId="30" xfId="4" applyFont="1" applyFill="1" applyBorder="1" applyAlignment="1">
      <alignment horizontal="center" vertical="center"/>
    </xf>
    <xf numFmtId="0" fontId="9" fillId="3" borderId="54" xfId="4" applyFont="1" applyFill="1" applyBorder="1" applyAlignment="1">
      <alignment horizontal="center" vertical="center"/>
    </xf>
    <xf numFmtId="0" fontId="9" fillId="3" borderId="55" xfId="4" applyFont="1" applyFill="1" applyBorder="1" applyAlignment="1">
      <alignment horizontal="center" vertical="center"/>
    </xf>
    <xf numFmtId="0" fontId="31" fillId="10" borderId="106" xfId="4" applyFont="1" applyFill="1" applyBorder="1" applyAlignment="1">
      <alignment horizontal="center" vertical="center"/>
    </xf>
    <xf numFmtId="0" fontId="9" fillId="3" borderId="46" xfId="4" applyFont="1" applyFill="1" applyBorder="1" applyAlignment="1">
      <alignment horizontal="center" vertical="center"/>
    </xf>
    <xf numFmtId="0" fontId="31" fillId="10" borderId="100" xfId="4" applyFont="1" applyFill="1" applyBorder="1" applyAlignment="1">
      <alignment horizontal="center" vertical="center"/>
    </xf>
    <xf numFmtId="0" fontId="31" fillId="10" borderId="47" xfId="4" applyFont="1" applyFill="1" applyBorder="1" applyAlignment="1">
      <alignment horizontal="center" vertical="center"/>
    </xf>
    <xf numFmtId="0" fontId="31" fillId="10" borderId="69" xfId="4" applyFont="1" applyFill="1" applyBorder="1" applyAlignment="1">
      <alignment horizontal="center" vertical="center"/>
    </xf>
    <xf numFmtId="0" fontId="9" fillId="3" borderId="91" xfId="4" applyFont="1" applyFill="1" applyBorder="1" applyAlignment="1">
      <alignment horizontal="center" vertical="center"/>
    </xf>
    <xf numFmtId="0" fontId="9" fillId="4" borderId="107" xfId="4" applyFont="1" applyFill="1" applyBorder="1" applyAlignment="1">
      <alignment horizontal="center" vertical="center"/>
    </xf>
    <xf numFmtId="0" fontId="9" fillId="4" borderId="16" xfId="4" applyFont="1" applyFill="1" applyBorder="1" applyAlignment="1">
      <alignment horizontal="center" vertical="center"/>
    </xf>
    <xf numFmtId="0" fontId="9" fillId="4" borderId="31" xfId="4" applyFont="1" applyFill="1" applyBorder="1" applyAlignment="1">
      <alignment horizontal="center" vertical="center"/>
    </xf>
    <xf numFmtId="0" fontId="9" fillId="4" borderId="23" xfId="4" applyFont="1" applyFill="1" applyBorder="1" applyAlignment="1">
      <alignment horizontal="center" vertical="center"/>
    </xf>
    <xf numFmtId="0" fontId="9" fillId="7" borderId="62" xfId="4" applyFont="1" applyFill="1" applyBorder="1" applyAlignment="1">
      <alignment horizontal="center" vertical="center"/>
    </xf>
    <xf numFmtId="0" fontId="9" fillId="3" borderId="50" xfId="4" applyFont="1" applyFill="1" applyBorder="1" applyAlignment="1">
      <alignment horizontal="center" vertical="center"/>
    </xf>
    <xf numFmtId="0" fontId="9" fillId="3" borderId="101" xfId="4" applyFont="1" applyFill="1" applyBorder="1" applyAlignment="1">
      <alignment horizontal="center" vertical="center"/>
    </xf>
    <xf numFmtId="0" fontId="9" fillId="4" borderId="62" xfId="4" applyFont="1" applyFill="1" applyBorder="1" applyAlignment="1">
      <alignment horizontal="center" vertical="center"/>
    </xf>
    <xf numFmtId="0" fontId="9" fillId="4" borderId="20" xfId="4" applyFont="1" applyFill="1" applyBorder="1" applyAlignment="1">
      <alignment horizontal="center" vertical="center"/>
    </xf>
    <xf numFmtId="0" fontId="9" fillId="4" borderId="14" xfId="4" applyFont="1" applyFill="1" applyBorder="1" applyAlignment="1">
      <alignment horizontal="center" vertical="center"/>
    </xf>
    <xf numFmtId="0" fontId="9" fillId="3" borderId="16" xfId="4" applyFont="1" applyFill="1" applyBorder="1" applyAlignment="1">
      <alignment horizontal="center" vertical="center"/>
    </xf>
    <xf numFmtId="0" fontId="9" fillId="3" borderId="14" xfId="4" applyFont="1" applyFill="1" applyBorder="1" applyAlignment="1">
      <alignment horizontal="center" vertical="center"/>
    </xf>
    <xf numFmtId="0" fontId="9" fillId="3" borderId="108" xfId="4" applyFont="1" applyFill="1" applyBorder="1" applyAlignment="1">
      <alignment horizontal="center" vertical="center"/>
    </xf>
    <xf numFmtId="0" fontId="31" fillId="10" borderId="57" xfId="4" applyFont="1" applyFill="1" applyBorder="1" applyAlignment="1">
      <alignment horizontal="center" vertical="center"/>
    </xf>
    <xf numFmtId="0" fontId="31" fillId="10" borderId="102" xfId="4" applyFont="1" applyFill="1" applyBorder="1" applyAlignment="1">
      <alignment horizontal="center" vertical="center"/>
    </xf>
    <xf numFmtId="0" fontId="9" fillId="4" borderId="24" xfId="4" applyFont="1" applyFill="1" applyBorder="1" applyAlignment="1">
      <alignment horizontal="center" vertical="center"/>
    </xf>
    <xf numFmtId="0" fontId="9" fillId="10" borderId="102" xfId="4" applyFont="1" applyFill="1" applyBorder="1" applyAlignment="1">
      <alignment horizontal="center" vertical="center" shrinkToFit="1"/>
    </xf>
    <xf numFmtId="0" fontId="9" fillId="10" borderId="98" xfId="4" applyFont="1" applyFill="1" applyBorder="1" applyAlignment="1">
      <alignment horizontal="center" vertical="center" shrinkToFit="1"/>
    </xf>
    <xf numFmtId="0" fontId="9" fillId="10" borderId="100" xfId="4" applyFont="1" applyFill="1" applyBorder="1" applyAlignment="1">
      <alignment horizontal="center" vertical="center" shrinkToFit="1"/>
    </xf>
    <xf numFmtId="0" fontId="9" fillId="10" borderId="97" xfId="4" applyFont="1" applyFill="1" applyBorder="1" applyAlignment="1">
      <alignment horizontal="center" vertical="center" shrinkToFit="1"/>
    </xf>
    <xf numFmtId="0" fontId="9" fillId="10" borderId="99" xfId="4" applyFont="1" applyFill="1" applyBorder="1" applyAlignment="1">
      <alignment horizontal="center" vertical="center" shrinkToFit="1"/>
    </xf>
    <xf numFmtId="0" fontId="9" fillId="3" borderId="106" xfId="4" applyFont="1" applyFill="1" applyBorder="1" applyAlignment="1">
      <alignment horizontal="center" vertical="center"/>
    </xf>
    <xf numFmtId="0" fontId="9" fillId="4" borderId="109" xfId="4" applyFont="1" applyFill="1" applyBorder="1" applyAlignment="1">
      <alignment horizontal="center" vertical="center"/>
    </xf>
    <xf numFmtId="0" fontId="9" fillId="4" borderId="53" xfId="4" applyFont="1" applyFill="1" applyBorder="1" applyAlignment="1">
      <alignment horizontal="center" vertical="center"/>
    </xf>
    <xf numFmtId="0" fontId="9" fillId="4" borderId="110" xfId="4" applyFont="1" applyFill="1" applyBorder="1" applyAlignment="1">
      <alignment horizontal="center" vertical="center"/>
    </xf>
    <xf numFmtId="0" fontId="9" fillId="3" borderId="107" xfId="4" applyFont="1" applyFill="1" applyBorder="1" applyAlignment="1">
      <alignment horizontal="center" vertical="center"/>
    </xf>
    <xf numFmtId="0" fontId="9" fillId="5" borderId="102" xfId="4" applyFont="1" applyFill="1" applyBorder="1" applyAlignment="1">
      <alignment horizontal="center" vertical="center"/>
    </xf>
    <xf numFmtId="0" fontId="1" fillId="0" borderId="98" xfId="4" applyBorder="1">
      <alignment vertical="center"/>
    </xf>
    <xf numFmtId="0" fontId="1" fillId="0" borderId="100" xfId="4" applyBorder="1">
      <alignment vertical="center"/>
    </xf>
    <xf numFmtId="0" fontId="5" fillId="0" borderId="114" xfId="4" applyFont="1" applyBorder="1" applyAlignment="1">
      <alignment horizontal="center" vertical="center"/>
    </xf>
    <xf numFmtId="0" fontId="5" fillId="0" borderId="115" xfId="4" applyFont="1" applyBorder="1" applyAlignment="1">
      <alignment horizontal="center" vertical="center"/>
    </xf>
    <xf numFmtId="0" fontId="5" fillId="0" borderId="65" xfId="4" applyFont="1" applyBorder="1" applyAlignment="1">
      <alignment horizontal="center" vertical="center"/>
    </xf>
    <xf numFmtId="0" fontId="9" fillId="0" borderId="36" xfId="4" applyFont="1" applyFill="1" applyBorder="1" applyAlignment="1">
      <alignment horizontal="center" vertical="center"/>
    </xf>
    <xf numFmtId="0" fontId="9" fillId="0" borderId="37" xfId="4" applyFont="1" applyFill="1" applyBorder="1" applyAlignment="1">
      <alignment horizontal="center" vertical="center"/>
    </xf>
    <xf numFmtId="0" fontId="2" fillId="0" borderId="45" xfId="4" applyFont="1" applyBorder="1" applyAlignment="1">
      <alignment horizontal="center" vertical="center"/>
    </xf>
    <xf numFmtId="0" fontId="2" fillId="0" borderId="93" xfId="4" applyFont="1" applyBorder="1" applyAlignment="1">
      <alignment horizontal="center" vertical="center"/>
    </xf>
    <xf numFmtId="0" fontId="9" fillId="7" borderId="61" xfId="4" applyFont="1" applyFill="1" applyBorder="1" applyAlignment="1">
      <alignment horizontal="center" vertical="center"/>
    </xf>
    <xf numFmtId="0" fontId="10" fillId="7" borderId="107" xfId="4" applyFont="1" applyFill="1" applyBorder="1" applyAlignment="1">
      <alignment horizontal="center" vertical="center"/>
    </xf>
    <xf numFmtId="0" fontId="10" fillId="7" borderId="16" xfId="4" applyFont="1" applyFill="1" applyBorder="1" applyAlignment="1">
      <alignment horizontal="center" vertical="center"/>
    </xf>
    <xf numFmtId="0" fontId="10" fillId="7" borderId="14" xfId="4" applyFont="1" applyFill="1" applyBorder="1" applyAlignment="1">
      <alignment horizontal="center" vertical="center"/>
    </xf>
    <xf numFmtId="0" fontId="9" fillId="7" borderId="108" xfId="4" applyFont="1" applyFill="1" applyBorder="1" applyAlignment="1">
      <alignment horizontal="center" vertical="center"/>
    </xf>
    <xf numFmtId="0" fontId="9" fillId="7" borderId="15" xfId="4" applyFont="1" applyFill="1" applyBorder="1" applyAlignment="1">
      <alignment horizontal="center" vertical="center"/>
    </xf>
    <xf numFmtId="0" fontId="9" fillId="7" borderId="96" xfId="4" applyFont="1" applyFill="1" applyBorder="1" applyAlignment="1">
      <alignment horizontal="center" vertical="center"/>
    </xf>
    <xf numFmtId="0" fontId="2" fillId="0" borderId="54" xfId="4" applyFont="1" applyBorder="1">
      <alignment vertical="center"/>
    </xf>
    <xf numFmtId="0" fontId="2" fillId="0" borderId="55" xfId="4" applyFont="1" applyBorder="1">
      <alignment vertical="center"/>
    </xf>
    <xf numFmtId="0" fontId="9" fillId="7" borderId="107" xfId="4" applyFont="1" applyFill="1" applyBorder="1" applyAlignment="1">
      <alignment horizontal="center" vertical="center"/>
    </xf>
    <xf numFmtId="0" fontId="9" fillId="7" borderId="103" xfId="4" applyFont="1" applyFill="1" applyBorder="1" applyAlignment="1">
      <alignment horizontal="center" vertical="center"/>
    </xf>
    <xf numFmtId="0" fontId="9" fillId="0" borderId="112" xfId="4" applyFont="1" applyFill="1" applyBorder="1" applyAlignment="1">
      <alignment horizontal="center" vertical="center" shrinkToFit="1"/>
    </xf>
    <xf numFmtId="0" fontId="9" fillId="0" borderId="95" xfId="4" applyFont="1" applyFill="1" applyBorder="1" applyAlignment="1">
      <alignment horizontal="center" vertical="center" shrinkToFit="1"/>
    </xf>
    <xf numFmtId="0" fontId="9" fillId="0" borderId="20" xfId="4" applyFont="1" applyFill="1" applyBorder="1" applyAlignment="1">
      <alignment horizontal="center" vertical="center" shrinkToFit="1"/>
    </xf>
    <xf numFmtId="0" fontId="9" fillId="0" borderId="85" xfId="4" applyFont="1" applyBorder="1" applyAlignment="1">
      <alignment horizontal="center" vertical="center"/>
    </xf>
    <xf numFmtId="0" fontId="9" fillId="0" borderId="86" xfId="4" applyFont="1" applyBorder="1" applyAlignment="1">
      <alignment horizontal="center" vertical="center"/>
    </xf>
    <xf numFmtId="0" fontId="9" fillId="4" borderId="51" xfId="4" applyFont="1" applyFill="1" applyBorder="1" applyAlignment="1">
      <alignment horizontal="center" vertical="center"/>
    </xf>
    <xf numFmtId="0" fontId="9" fillId="4" borderId="113" xfId="4" applyFont="1" applyFill="1" applyBorder="1" applyAlignment="1">
      <alignment horizontal="center" vertical="center"/>
    </xf>
    <xf numFmtId="0" fontId="9" fillId="5" borderId="97" xfId="4" applyFont="1" applyFill="1" applyBorder="1" applyAlignment="1">
      <alignment horizontal="center" vertical="center" shrinkToFit="1"/>
    </xf>
    <xf numFmtId="0" fontId="9" fillId="5" borderId="98" xfId="4" applyFont="1" applyFill="1" applyBorder="1" applyAlignment="1">
      <alignment horizontal="center" vertical="center" shrinkToFit="1"/>
    </xf>
    <xf numFmtId="0" fontId="9" fillId="5" borderId="99" xfId="4" applyFont="1" applyFill="1" applyBorder="1" applyAlignment="1">
      <alignment horizontal="center" vertical="center" shrinkToFit="1"/>
    </xf>
    <xf numFmtId="0" fontId="9" fillId="0" borderId="41" xfId="4" applyFont="1" applyBorder="1" applyAlignment="1">
      <alignment horizontal="center" vertical="center"/>
    </xf>
    <xf numFmtId="0" fontId="31" fillId="10" borderId="0" xfId="4" applyFont="1" applyFill="1" applyBorder="1" applyAlignment="1">
      <alignment horizontal="center" vertical="center"/>
    </xf>
    <xf numFmtId="0" fontId="31" fillId="10" borderId="71" xfId="4" applyFont="1" applyFill="1" applyBorder="1" applyAlignment="1">
      <alignment horizontal="center" vertical="center"/>
    </xf>
    <xf numFmtId="0" fontId="9" fillId="0" borderId="44" xfId="4" applyFont="1" applyBorder="1" applyAlignment="1">
      <alignment horizontal="center" vertical="center"/>
    </xf>
    <xf numFmtId="0" fontId="9" fillId="4" borderId="106" xfId="4" applyFont="1" applyFill="1" applyBorder="1" applyAlignment="1">
      <alignment horizontal="center" vertical="center"/>
    </xf>
    <xf numFmtId="0" fontId="9" fillId="4" borderId="91" xfId="4" applyFont="1" applyFill="1" applyBorder="1" applyAlignment="1">
      <alignment horizontal="center" vertical="center"/>
    </xf>
    <xf numFmtId="0" fontId="9" fillId="4" borderId="90" xfId="4" applyFont="1" applyFill="1" applyBorder="1" applyAlignment="1">
      <alignment horizontal="center" vertical="center"/>
    </xf>
    <xf numFmtId="0" fontId="9" fillId="3" borderId="31" xfId="4" applyFont="1" applyFill="1" applyBorder="1" applyAlignment="1">
      <alignment horizontal="center" vertical="center"/>
    </xf>
    <xf numFmtId="0" fontId="9" fillId="3" borderId="23" xfId="4" applyFont="1" applyFill="1" applyBorder="1" applyAlignment="1">
      <alignment horizontal="center" vertical="center"/>
    </xf>
    <xf numFmtId="0" fontId="9" fillId="3" borderId="32" xfId="4" applyFont="1" applyFill="1" applyBorder="1" applyAlignment="1">
      <alignment horizontal="center" vertical="center"/>
    </xf>
    <xf numFmtId="0" fontId="9" fillId="4" borderId="28" xfId="4" applyFont="1" applyFill="1" applyBorder="1" applyAlignment="1">
      <alignment horizontal="center" vertical="center"/>
    </xf>
    <xf numFmtId="0" fontId="9" fillId="4" borderId="29" xfId="4" applyFont="1" applyFill="1" applyBorder="1" applyAlignment="1">
      <alignment horizontal="center" vertical="center"/>
    </xf>
    <xf numFmtId="0" fontId="9" fillId="10" borderId="53" xfId="4" applyFont="1" applyFill="1" applyBorder="1" applyAlignment="1">
      <alignment horizontal="center" vertical="center"/>
    </xf>
    <xf numFmtId="0" fontId="9" fillId="10" borderId="110" xfId="4" applyFont="1" applyFill="1" applyBorder="1" applyAlignment="1">
      <alignment horizontal="center" vertical="center"/>
    </xf>
    <xf numFmtId="0" fontId="2" fillId="10" borderId="37" xfId="4" applyFont="1" applyFill="1" applyBorder="1" applyAlignment="1">
      <alignment horizontal="center" vertical="center"/>
    </xf>
    <xf numFmtId="0" fontId="9" fillId="10" borderId="100" xfId="4" applyFont="1" applyFill="1" applyBorder="1" applyAlignment="1">
      <alignment horizontal="center" vertical="center"/>
    </xf>
    <xf numFmtId="0" fontId="9" fillId="3" borderId="24" xfId="4" applyFont="1" applyFill="1" applyBorder="1" applyAlignment="1">
      <alignment horizontal="center" vertical="center"/>
    </xf>
    <xf numFmtId="0" fontId="9" fillId="4" borderId="104" xfId="4" applyFont="1" applyFill="1" applyBorder="1" applyAlignment="1">
      <alignment horizontal="center" vertical="center"/>
    </xf>
    <xf numFmtId="0" fontId="9" fillId="4" borderId="34" xfId="4" applyFont="1" applyFill="1" applyBorder="1" applyAlignment="1">
      <alignment horizontal="center" vertical="center"/>
    </xf>
    <xf numFmtId="0" fontId="9" fillId="4" borderId="105" xfId="4" applyFont="1" applyFill="1" applyBorder="1" applyAlignment="1">
      <alignment horizontal="center" vertical="center"/>
    </xf>
    <xf numFmtId="0" fontId="9" fillId="4" borderId="97" xfId="4" applyFont="1" applyFill="1" applyBorder="1" applyAlignment="1">
      <alignment horizontal="center" vertical="center" shrinkToFit="1"/>
    </xf>
    <xf numFmtId="0" fontId="9" fillId="4" borderId="98" xfId="4" applyFont="1" applyFill="1" applyBorder="1" applyAlignment="1">
      <alignment horizontal="center" vertical="center" shrinkToFit="1"/>
    </xf>
    <xf numFmtId="0" fontId="9" fillId="4" borderId="99" xfId="4" applyFont="1" applyFill="1" applyBorder="1" applyAlignment="1">
      <alignment horizontal="center" vertical="center" shrinkToFit="1"/>
    </xf>
    <xf numFmtId="0" fontId="9" fillId="3" borderId="47" xfId="4" applyFont="1" applyFill="1" applyBorder="1" applyAlignment="1">
      <alignment horizontal="center" vertical="center"/>
    </xf>
    <xf numFmtId="0" fontId="9" fillId="3" borderId="69" xfId="4" applyFont="1" applyFill="1" applyBorder="1" applyAlignment="1">
      <alignment horizontal="center" vertical="center"/>
    </xf>
    <xf numFmtId="0" fontId="9" fillId="3" borderId="25" xfId="4" applyFont="1" applyFill="1" applyBorder="1" applyAlignment="1">
      <alignment horizontal="center" vertical="center"/>
    </xf>
    <xf numFmtId="0" fontId="9" fillId="3" borderId="90" xfId="4" applyFont="1" applyFill="1" applyBorder="1" applyAlignment="1">
      <alignment horizontal="center" vertical="center"/>
    </xf>
    <xf numFmtId="0" fontId="9" fillId="4" borderId="32" xfId="4" applyFont="1" applyFill="1" applyBorder="1" applyAlignment="1">
      <alignment horizontal="center" vertical="center"/>
    </xf>
    <xf numFmtId="0" fontId="31" fillId="10" borderId="50" xfId="4" applyFont="1" applyFill="1" applyBorder="1" applyAlignment="1">
      <alignment horizontal="center" vertical="center"/>
    </xf>
    <xf numFmtId="0" fontId="31" fillId="10" borderId="101" xfId="4" applyFont="1" applyFill="1" applyBorder="1" applyAlignment="1">
      <alignment horizontal="center" vertical="center"/>
    </xf>
    <xf numFmtId="0" fontId="9" fillId="4" borderId="102" xfId="4" applyFont="1" applyFill="1" applyBorder="1" applyAlignment="1">
      <alignment horizontal="center" vertical="center" shrinkToFit="1"/>
    </xf>
    <xf numFmtId="0" fontId="9" fillId="4" borderId="100" xfId="4" applyFont="1" applyFill="1" applyBorder="1" applyAlignment="1">
      <alignment horizontal="center" vertical="center" shrinkToFit="1"/>
    </xf>
    <xf numFmtId="0" fontId="9" fillId="3" borderId="111" xfId="4" applyFont="1" applyFill="1" applyBorder="1" applyAlignment="1">
      <alignment horizontal="center" vertical="center"/>
    </xf>
    <xf numFmtId="0" fontId="9" fillId="10" borderId="15" xfId="4" applyFont="1" applyFill="1" applyBorder="1" applyAlignment="1">
      <alignment horizontal="center" vertical="center"/>
    </xf>
    <xf numFmtId="0" fontId="9" fillId="10" borderId="96" xfId="4" applyFont="1" applyFill="1" applyBorder="1" applyAlignment="1">
      <alignment horizontal="center" vertical="center"/>
    </xf>
    <xf numFmtId="42" fontId="9" fillId="0" borderId="91" xfId="0" applyNumberFormat="1" applyFont="1" applyFill="1" applyBorder="1" applyAlignment="1">
      <alignment horizontal="center" vertical="center"/>
    </xf>
    <xf numFmtId="0" fontId="9" fillId="3" borderId="95" xfId="0" applyFont="1" applyFill="1" applyBorder="1" applyAlignment="1">
      <alignment horizontal="center" vertical="center"/>
    </xf>
    <xf numFmtId="0" fontId="9" fillId="3" borderId="112" xfId="0" applyFont="1" applyFill="1" applyBorder="1" applyAlignment="1">
      <alignment horizontal="center" vertical="center"/>
    </xf>
    <xf numFmtId="0" fontId="9" fillId="3" borderId="68" xfId="0" applyFont="1" applyFill="1" applyBorder="1" applyAlignment="1">
      <alignment horizontal="center" vertical="center"/>
    </xf>
    <xf numFmtId="0" fontId="9" fillId="4" borderId="54" xfId="0" applyFont="1" applyFill="1" applyBorder="1" applyAlignment="1">
      <alignment horizontal="center" vertical="center"/>
    </xf>
    <xf numFmtId="0" fontId="9" fillId="4" borderId="116" xfId="0" applyFont="1" applyFill="1" applyBorder="1" applyAlignment="1">
      <alignment horizontal="center" vertical="center"/>
    </xf>
    <xf numFmtId="0" fontId="9" fillId="4" borderId="55" xfId="0" applyFont="1" applyFill="1" applyBorder="1" applyAlignment="1">
      <alignment horizontal="center" vertical="center"/>
    </xf>
    <xf numFmtId="0" fontId="9" fillId="4" borderId="104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0" fontId="9" fillId="4" borderId="105" xfId="0" applyFont="1" applyFill="1" applyBorder="1" applyAlignment="1">
      <alignment horizontal="center" vertical="center"/>
    </xf>
    <xf numFmtId="0" fontId="9" fillId="3" borderId="54" xfId="0" applyFont="1" applyFill="1" applyBorder="1" applyAlignment="1">
      <alignment horizontal="center" vertical="center"/>
    </xf>
    <xf numFmtId="0" fontId="9" fillId="3" borderId="116" xfId="0" applyFont="1" applyFill="1" applyBorder="1" applyAlignment="1">
      <alignment horizontal="center" vertical="center"/>
    </xf>
    <xf numFmtId="0" fontId="9" fillId="3" borderId="55" xfId="0" applyFont="1" applyFill="1" applyBorder="1" applyAlignment="1">
      <alignment horizontal="center" vertical="center"/>
    </xf>
    <xf numFmtId="0" fontId="9" fillId="4" borderId="117" xfId="0" applyFont="1" applyFill="1" applyBorder="1" applyAlignment="1">
      <alignment horizontal="center" vertical="center" wrapText="1"/>
    </xf>
    <xf numFmtId="0" fontId="9" fillId="4" borderId="108" xfId="0" applyFont="1" applyFill="1" applyBorder="1" applyAlignment="1">
      <alignment horizontal="center" vertical="center"/>
    </xf>
    <xf numFmtId="0" fontId="9" fillId="3" borderId="97" xfId="0" applyFont="1" applyFill="1" applyBorder="1" applyAlignment="1">
      <alignment horizontal="center" vertical="center"/>
    </xf>
    <xf numFmtId="0" fontId="9" fillId="3" borderId="98" xfId="0" applyFont="1" applyFill="1" applyBorder="1" applyAlignment="1">
      <alignment horizontal="center" vertical="center"/>
    </xf>
    <xf numFmtId="0" fontId="9" fillId="3" borderId="99" xfId="0" applyFont="1" applyFill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4" borderId="107" xfId="0" applyFont="1" applyFill="1" applyBorder="1" applyAlignment="1">
      <alignment horizontal="center" vertical="center"/>
    </xf>
    <xf numFmtId="0" fontId="9" fillId="4" borderId="16" xfId="0" applyFont="1" applyFill="1" applyBorder="1" applyAlignment="1">
      <alignment horizontal="center" vertical="center"/>
    </xf>
    <xf numFmtId="0" fontId="9" fillId="0" borderId="36" xfId="0" applyFont="1" applyBorder="1" applyAlignment="1">
      <alignment horizontal="center" vertical="center" wrapText="1"/>
    </xf>
    <xf numFmtId="0" fontId="9" fillId="0" borderId="43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4" borderId="31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0" fontId="9" fillId="3" borderId="61" xfId="0" applyFont="1" applyFill="1" applyBorder="1" applyAlignment="1">
      <alignment horizontal="center" vertical="center"/>
    </xf>
    <xf numFmtId="0" fontId="9" fillId="3" borderId="62" xfId="0" applyFont="1" applyFill="1" applyBorder="1" applyAlignment="1">
      <alignment horizontal="center" vertical="center"/>
    </xf>
    <xf numFmtId="0" fontId="9" fillId="4" borderId="95" xfId="0" applyFont="1" applyFill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4" borderId="47" xfId="0" applyFont="1" applyFill="1" applyBorder="1" applyAlignment="1">
      <alignment horizontal="center" vertical="center"/>
    </xf>
    <xf numFmtId="0" fontId="9" fillId="4" borderId="100" xfId="0" applyFont="1" applyFill="1" applyBorder="1" applyAlignment="1">
      <alignment horizontal="center" vertical="center"/>
    </xf>
    <xf numFmtId="0" fontId="9" fillId="4" borderId="20" xfId="0" applyFont="1" applyFill="1" applyBorder="1" applyAlignment="1">
      <alignment horizontal="center" vertical="center"/>
    </xf>
    <xf numFmtId="0" fontId="9" fillId="7" borderId="61" xfId="0" applyFont="1" applyFill="1" applyBorder="1" applyAlignment="1">
      <alignment horizontal="center" vertical="center"/>
    </xf>
    <xf numFmtId="0" fontId="9" fillId="7" borderId="54" xfId="0" applyFont="1" applyFill="1" applyBorder="1" applyAlignment="1">
      <alignment horizontal="center" vertical="center"/>
    </xf>
    <xf numFmtId="0" fontId="9" fillId="7" borderId="32" xfId="0" applyFont="1" applyFill="1" applyBorder="1" applyAlignment="1">
      <alignment horizontal="center" vertical="center"/>
    </xf>
    <xf numFmtId="0" fontId="9" fillId="7" borderId="116" xfId="0" applyFont="1" applyFill="1" applyBorder="1" applyAlignment="1">
      <alignment horizontal="center" vertical="center"/>
    </xf>
    <xf numFmtId="0" fontId="9" fillId="7" borderId="55" xfId="0" applyFont="1" applyFill="1" applyBorder="1" applyAlignment="1">
      <alignment horizontal="center" vertical="center"/>
    </xf>
    <xf numFmtId="0" fontId="9" fillId="7" borderId="62" xfId="0" applyFont="1" applyFill="1" applyBorder="1" applyAlignment="1">
      <alignment horizontal="center" vertical="center"/>
    </xf>
    <xf numFmtId="0" fontId="9" fillId="7" borderId="95" xfId="0" applyFont="1" applyFill="1" applyBorder="1" applyAlignment="1">
      <alignment horizontal="center" vertical="center"/>
    </xf>
    <xf numFmtId="0" fontId="9" fillId="7" borderId="20" xfId="0" applyFont="1" applyFill="1" applyBorder="1" applyAlignment="1">
      <alignment horizontal="center" vertical="center"/>
    </xf>
    <xf numFmtId="0" fontId="9" fillId="4" borderId="102" xfId="0" applyFont="1" applyFill="1" applyBorder="1" applyAlignment="1">
      <alignment horizontal="center" vertical="center" shrinkToFit="1"/>
    </xf>
    <xf numFmtId="0" fontId="9" fillId="4" borderId="98" xfId="0" applyFont="1" applyFill="1" applyBorder="1" applyAlignment="1">
      <alignment horizontal="center" vertical="center" shrinkToFit="1"/>
    </xf>
    <xf numFmtId="0" fontId="9" fillId="4" borderId="100" xfId="0" applyFont="1" applyFill="1" applyBorder="1" applyAlignment="1">
      <alignment horizontal="center" vertical="center" shrinkToFit="1"/>
    </xf>
    <xf numFmtId="0" fontId="9" fillId="4" borderId="14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96" xfId="0" applyFont="1" applyFill="1" applyBorder="1" applyAlignment="1">
      <alignment horizontal="center" vertical="center"/>
    </xf>
    <xf numFmtId="0" fontId="9" fillId="4" borderId="24" xfId="0" applyFont="1" applyFill="1" applyBorder="1" applyAlignment="1">
      <alignment horizontal="center" vertical="center"/>
    </xf>
    <xf numFmtId="0" fontId="12" fillId="0" borderId="60" xfId="0" applyFont="1" applyBorder="1" applyAlignment="1">
      <alignment horizontal="center" vertical="center"/>
    </xf>
    <xf numFmtId="0" fontId="12" fillId="0" borderId="53" xfId="0" applyFont="1" applyBorder="1" applyAlignment="1">
      <alignment horizontal="center" vertical="center"/>
    </xf>
    <xf numFmtId="0" fontId="12" fillId="0" borderId="110" xfId="0" applyFont="1" applyBorder="1" applyAlignment="1">
      <alignment horizontal="center" vertical="center"/>
    </xf>
    <xf numFmtId="0" fontId="13" fillId="0" borderId="114" xfId="0" applyFont="1" applyBorder="1" applyAlignment="1">
      <alignment horizontal="center" vertical="center"/>
    </xf>
    <xf numFmtId="0" fontId="13" fillId="0" borderId="115" xfId="0" applyFont="1" applyBorder="1" applyAlignment="1">
      <alignment horizontal="center" vertical="center"/>
    </xf>
    <xf numFmtId="0" fontId="13" fillId="0" borderId="65" xfId="0" applyFont="1" applyBorder="1" applyAlignment="1">
      <alignment horizontal="center" vertical="center"/>
    </xf>
    <xf numFmtId="0" fontId="9" fillId="0" borderId="85" xfId="0" applyFont="1" applyBorder="1" applyAlignment="1">
      <alignment horizontal="center" vertical="center"/>
    </xf>
    <xf numFmtId="0" fontId="9" fillId="0" borderId="86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93" xfId="0" applyFont="1" applyBorder="1" applyAlignment="1">
      <alignment horizontal="center" vertical="center"/>
    </xf>
    <xf numFmtId="0" fontId="2" fillId="0" borderId="85" xfId="0" applyFont="1" applyBorder="1" applyAlignment="1">
      <alignment horizontal="center" vertical="center"/>
    </xf>
    <xf numFmtId="0" fontId="2" fillId="0" borderId="86" xfId="0" applyFont="1" applyBorder="1" applyAlignment="1">
      <alignment horizontal="center" vertical="center"/>
    </xf>
    <xf numFmtId="0" fontId="31" fillId="4" borderId="117" xfId="0" applyFont="1" applyFill="1" applyBorder="1" applyAlignment="1">
      <alignment horizontal="center" vertical="center" wrapText="1"/>
    </xf>
    <xf numFmtId="0" fontId="31" fillId="4" borderId="108" xfId="0" applyFont="1" applyFill="1" applyBorder="1" applyAlignment="1">
      <alignment horizontal="center" vertical="center"/>
    </xf>
    <xf numFmtId="0" fontId="31" fillId="0" borderId="62" xfId="0" applyFont="1" applyFill="1" applyBorder="1" applyAlignment="1">
      <alignment horizontal="center" vertical="center"/>
    </xf>
    <xf numFmtId="0" fontId="0" fillId="0" borderId="95" xfId="0" applyBorder="1">
      <alignment vertical="center"/>
    </xf>
    <xf numFmtId="0" fontId="0" fillId="0" borderId="68" xfId="0" applyBorder="1">
      <alignment vertical="center"/>
    </xf>
    <xf numFmtId="0" fontId="9" fillId="3" borderId="33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4" borderId="106" xfId="0" applyFont="1" applyFill="1" applyBorder="1" applyAlignment="1">
      <alignment horizontal="center" vertical="center"/>
    </xf>
    <xf numFmtId="0" fontId="9" fillId="4" borderId="91" xfId="0" applyFont="1" applyFill="1" applyBorder="1" applyAlignment="1">
      <alignment horizontal="center" vertical="center"/>
    </xf>
    <xf numFmtId="0" fontId="9" fillId="4" borderId="90" xfId="0" applyFont="1" applyFill="1" applyBorder="1" applyAlignment="1">
      <alignment horizontal="center" vertical="center"/>
    </xf>
    <xf numFmtId="0" fontId="9" fillId="4" borderId="112" xfId="0" applyFont="1" applyFill="1" applyBorder="1" applyAlignment="1">
      <alignment horizontal="center" vertical="center"/>
    </xf>
    <xf numFmtId="0" fontId="9" fillId="4" borderId="68" xfId="0" applyFont="1" applyFill="1" applyBorder="1" applyAlignment="1">
      <alignment horizontal="center" vertical="center"/>
    </xf>
    <xf numFmtId="0" fontId="9" fillId="3" borderId="102" xfId="0" applyFont="1" applyFill="1" applyBorder="1" applyAlignment="1">
      <alignment horizontal="center" vertical="center" shrinkToFit="1"/>
    </xf>
    <xf numFmtId="0" fontId="9" fillId="3" borderId="98" xfId="0" applyFont="1" applyFill="1" applyBorder="1" applyAlignment="1">
      <alignment horizontal="center" vertical="center" shrinkToFit="1"/>
    </xf>
    <xf numFmtId="0" fontId="9" fillId="3" borderId="100" xfId="0" applyFont="1" applyFill="1" applyBorder="1" applyAlignment="1">
      <alignment horizontal="center" vertical="center" shrinkToFit="1"/>
    </xf>
    <xf numFmtId="0" fontId="9" fillId="3" borderId="97" xfId="0" applyFont="1" applyFill="1" applyBorder="1" applyAlignment="1">
      <alignment horizontal="center" vertical="center" shrinkToFit="1"/>
    </xf>
    <xf numFmtId="0" fontId="9" fillId="3" borderId="99" xfId="0" applyFont="1" applyFill="1" applyBorder="1" applyAlignment="1">
      <alignment horizontal="center" vertical="center" shrinkToFit="1"/>
    </xf>
    <xf numFmtId="0" fontId="9" fillId="4" borderId="0" xfId="0" applyFont="1" applyFill="1" applyBorder="1" applyAlignment="1">
      <alignment horizontal="center" vertical="center"/>
    </xf>
    <xf numFmtId="0" fontId="9" fillId="4" borderId="49" xfId="0" applyFont="1" applyFill="1" applyBorder="1" applyAlignment="1">
      <alignment horizontal="center" vertical="center"/>
    </xf>
    <xf numFmtId="0" fontId="9" fillId="7" borderId="25" xfId="0" applyFont="1" applyFill="1" applyBorder="1" applyAlignment="1">
      <alignment horizontal="center" vertical="center"/>
    </xf>
    <xf numFmtId="0" fontId="9" fillId="7" borderId="26" xfId="0" applyFont="1" applyFill="1" applyBorder="1" applyAlignment="1">
      <alignment horizontal="center" vertical="center"/>
    </xf>
    <xf numFmtId="0" fontId="9" fillId="7" borderId="30" xfId="0" applyFont="1" applyFill="1" applyBorder="1" applyAlignment="1">
      <alignment horizontal="center" vertical="center"/>
    </xf>
    <xf numFmtId="0" fontId="9" fillId="4" borderId="32" xfId="0" applyFont="1" applyFill="1" applyBorder="1" applyAlignment="1">
      <alignment horizontal="center" vertical="center"/>
    </xf>
    <xf numFmtId="0" fontId="9" fillId="3" borderId="26" xfId="0" applyFont="1" applyFill="1" applyBorder="1" applyAlignment="1">
      <alignment horizontal="center" vertical="center"/>
    </xf>
    <xf numFmtId="0" fontId="9" fillId="3" borderId="30" xfId="0" applyFont="1" applyFill="1" applyBorder="1" applyAlignment="1">
      <alignment horizontal="center" vertical="center"/>
    </xf>
    <xf numFmtId="0" fontId="9" fillId="4" borderId="69" xfId="0" applyFont="1" applyFill="1" applyBorder="1" applyAlignment="1">
      <alignment horizontal="center" vertical="center"/>
    </xf>
    <xf numFmtId="0" fontId="9" fillId="3" borderId="46" xfId="0" applyFont="1" applyFill="1" applyBorder="1" applyAlignment="1">
      <alignment horizontal="center" vertical="center"/>
    </xf>
    <xf numFmtId="0" fontId="9" fillId="7" borderId="98" xfId="0" applyFont="1" applyFill="1" applyBorder="1" applyAlignment="1">
      <alignment horizontal="center" vertical="center"/>
    </xf>
    <xf numFmtId="0" fontId="9" fillId="7" borderId="99" xfId="0" applyFont="1" applyFill="1" applyBorder="1" applyAlignment="1">
      <alignment horizontal="center" vertical="center"/>
    </xf>
    <xf numFmtId="0" fontId="9" fillId="7" borderId="68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7" borderId="112" xfId="0" applyFont="1" applyFill="1" applyBorder="1" applyAlignment="1">
      <alignment horizontal="center" vertical="center"/>
    </xf>
    <xf numFmtId="0" fontId="9" fillId="3" borderId="32" xfId="0" applyFont="1" applyFill="1" applyBorder="1" applyAlignment="1">
      <alignment horizontal="center" vertical="center"/>
    </xf>
    <xf numFmtId="0" fontId="9" fillId="7" borderId="46" xfId="0" applyFont="1" applyFill="1" applyBorder="1" applyAlignment="1">
      <alignment horizontal="center" vertical="center"/>
    </xf>
    <xf numFmtId="0" fontId="9" fillId="7" borderId="15" xfId="0" applyFont="1" applyFill="1" applyBorder="1" applyAlignment="1">
      <alignment horizontal="center" vertical="center"/>
    </xf>
    <xf numFmtId="0" fontId="9" fillId="7" borderId="96" xfId="0" applyFont="1" applyFill="1" applyBorder="1" applyAlignment="1">
      <alignment horizontal="center" vertical="center"/>
    </xf>
    <xf numFmtId="0" fontId="9" fillId="7" borderId="16" xfId="0" applyFont="1" applyFill="1" applyBorder="1" applyAlignment="1">
      <alignment horizontal="center" vertical="center"/>
    </xf>
    <xf numFmtId="0" fontId="9" fillId="7" borderId="14" xfId="0" applyFont="1" applyFill="1" applyBorder="1" applyAlignment="1">
      <alignment horizontal="center" vertical="center"/>
    </xf>
    <xf numFmtId="0" fontId="9" fillId="3" borderId="25" xfId="0" applyFont="1" applyFill="1" applyBorder="1" applyAlignment="1">
      <alignment horizontal="center" vertical="center"/>
    </xf>
    <xf numFmtId="0" fontId="9" fillId="3" borderId="53" xfId="0" applyFont="1" applyFill="1" applyBorder="1" applyAlignment="1">
      <alignment horizontal="center" vertical="center"/>
    </xf>
    <xf numFmtId="0" fontId="10" fillId="7" borderId="32" xfId="0" applyFont="1" applyFill="1" applyBorder="1" applyAlignment="1">
      <alignment horizontal="center" vertical="center"/>
    </xf>
    <xf numFmtId="0" fontId="10" fillId="7" borderId="16" xfId="0" applyFont="1" applyFill="1" applyBorder="1" applyAlignment="1">
      <alignment horizontal="center" vertical="center"/>
    </xf>
    <xf numFmtId="0" fontId="10" fillId="7" borderId="14" xfId="0" applyFont="1" applyFill="1" applyBorder="1" applyAlignment="1">
      <alignment horizontal="center" vertical="center"/>
    </xf>
    <xf numFmtId="0" fontId="9" fillId="4" borderId="18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/>
    </xf>
    <xf numFmtId="0" fontId="9" fillId="5" borderId="97" xfId="0" applyFont="1" applyFill="1" applyBorder="1" applyAlignment="1">
      <alignment horizontal="center" vertical="center" shrinkToFit="1"/>
    </xf>
    <xf numFmtId="0" fontId="9" fillId="5" borderId="98" xfId="0" applyFont="1" applyFill="1" applyBorder="1" applyAlignment="1">
      <alignment horizontal="center" vertical="center" shrinkToFit="1"/>
    </xf>
    <xf numFmtId="0" fontId="9" fillId="5" borderId="99" xfId="0" applyFont="1" applyFill="1" applyBorder="1" applyAlignment="1">
      <alignment horizontal="center" vertical="center" shrinkToFit="1"/>
    </xf>
    <xf numFmtId="0" fontId="9" fillId="7" borderId="102" xfId="0" applyFont="1" applyFill="1" applyBorder="1" applyAlignment="1">
      <alignment horizontal="center" vertical="center"/>
    </xf>
    <xf numFmtId="0" fontId="9" fillId="7" borderId="100" xfId="0" applyFont="1" applyFill="1" applyBorder="1" applyAlignment="1">
      <alignment horizontal="center" vertical="center"/>
    </xf>
    <xf numFmtId="0" fontId="9" fillId="7" borderId="97" xfId="0" applyFont="1" applyFill="1" applyBorder="1" applyAlignment="1">
      <alignment horizontal="center" vertical="center"/>
    </xf>
    <xf numFmtId="0" fontId="9" fillId="5" borderId="102" xfId="0" applyFont="1" applyFill="1" applyBorder="1" applyAlignment="1">
      <alignment horizontal="center" vertical="center"/>
    </xf>
    <xf numFmtId="0" fontId="0" fillId="0" borderId="98" xfId="0" applyBorder="1">
      <alignment vertical="center"/>
    </xf>
    <xf numFmtId="0" fontId="0" fillId="0" borderId="100" xfId="0" applyBorder="1">
      <alignment vertical="center"/>
    </xf>
    <xf numFmtId="0" fontId="9" fillId="4" borderId="97" xfId="0" applyFont="1" applyFill="1" applyBorder="1" applyAlignment="1">
      <alignment horizontal="center" vertical="center" shrinkToFit="1"/>
    </xf>
    <xf numFmtId="0" fontId="9" fillId="4" borderId="99" xfId="0" applyFont="1" applyFill="1" applyBorder="1" applyAlignment="1">
      <alignment horizontal="center" vertical="center" shrinkToFit="1"/>
    </xf>
    <xf numFmtId="0" fontId="9" fillId="0" borderId="21" xfId="0" applyFont="1" applyFill="1" applyBorder="1" applyAlignment="1">
      <alignment horizontal="center" vertical="center" wrapText="1"/>
    </xf>
    <xf numFmtId="0" fontId="9" fillId="0" borderId="87" xfId="0" applyFont="1" applyFill="1" applyBorder="1" applyAlignment="1">
      <alignment horizontal="center" vertical="center" wrapText="1"/>
    </xf>
    <xf numFmtId="0" fontId="9" fillId="0" borderId="88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9" fillId="0" borderId="70" xfId="0" applyFont="1" applyFill="1" applyBorder="1" applyAlignment="1">
      <alignment horizontal="center" vertical="center" wrapText="1"/>
    </xf>
    <xf numFmtId="0" fontId="9" fillId="0" borderId="89" xfId="0" applyFont="1" applyFill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13" fillId="0" borderId="60" xfId="0" applyFont="1" applyBorder="1" applyAlignment="1">
      <alignment horizontal="center" vertical="center"/>
    </xf>
    <xf numFmtId="0" fontId="13" fillId="0" borderId="53" xfId="0" applyFont="1" applyBorder="1" applyAlignment="1">
      <alignment horizontal="center" vertical="center"/>
    </xf>
    <xf numFmtId="0" fontId="13" fillId="0" borderId="110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9" fillId="7" borderId="104" xfId="0" applyFont="1" applyFill="1" applyBorder="1" applyAlignment="1">
      <alignment horizontal="center" vertical="center"/>
    </xf>
    <xf numFmtId="0" fontId="9" fillId="7" borderId="105" xfId="0" applyFont="1" applyFill="1" applyBorder="1" applyAlignment="1">
      <alignment horizontal="center" vertical="center"/>
    </xf>
    <xf numFmtId="0" fontId="9" fillId="7" borderId="91" xfId="0" applyFont="1" applyFill="1" applyBorder="1" applyAlignment="1">
      <alignment horizontal="center" vertical="center"/>
    </xf>
    <xf numFmtId="0" fontId="9" fillId="7" borderId="90" xfId="0" applyFont="1" applyFill="1" applyBorder="1" applyAlignment="1">
      <alignment horizontal="center" vertical="center"/>
    </xf>
    <xf numFmtId="0" fontId="9" fillId="4" borderId="46" xfId="0" applyFont="1" applyFill="1" applyBorder="1" applyAlignment="1">
      <alignment horizontal="center" vertical="center"/>
    </xf>
    <xf numFmtId="0" fontId="9" fillId="3" borderId="100" xfId="0" applyFont="1" applyFill="1" applyBorder="1" applyAlignment="1">
      <alignment horizontal="center" vertical="center"/>
    </xf>
    <xf numFmtId="0" fontId="9" fillId="3" borderId="47" xfId="0" applyFont="1" applyFill="1" applyBorder="1" applyAlignment="1">
      <alignment horizontal="center" vertical="center"/>
    </xf>
    <xf numFmtId="0" fontId="9" fillId="3" borderId="69" xfId="0" applyFont="1" applyFill="1" applyBorder="1" applyAlignment="1">
      <alignment horizontal="center" vertical="center"/>
    </xf>
    <xf numFmtId="0" fontId="2" fillId="0" borderId="0" xfId="0" applyFont="1" applyBorder="1">
      <alignment vertical="center"/>
    </xf>
    <xf numFmtId="0" fontId="2" fillId="0" borderId="49" xfId="0" applyFont="1" applyBorder="1">
      <alignment vertical="center"/>
    </xf>
    <xf numFmtId="0" fontId="9" fillId="0" borderId="44" xfId="0" applyFont="1" applyBorder="1" applyAlignment="1">
      <alignment horizontal="center" vertical="center"/>
    </xf>
    <xf numFmtId="0" fontId="10" fillId="7" borderId="54" xfId="0" applyFont="1" applyFill="1" applyBorder="1" applyAlignment="1">
      <alignment horizontal="center" vertical="center"/>
    </xf>
    <xf numFmtId="0" fontId="10" fillId="7" borderId="55" xfId="0" applyFont="1" applyFill="1" applyBorder="1" applyAlignment="1">
      <alignment horizontal="center" vertical="center"/>
    </xf>
    <xf numFmtId="0" fontId="31" fillId="7" borderId="62" xfId="0" applyFont="1" applyFill="1" applyBorder="1" applyAlignment="1">
      <alignment horizontal="center" vertical="center"/>
    </xf>
    <xf numFmtId="0" fontId="31" fillId="7" borderId="95" xfId="0" applyFont="1" applyFill="1" applyBorder="1" applyAlignment="1">
      <alignment horizontal="center" vertical="center"/>
    </xf>
    <xf numFmtId="0" fontId="31" fillId="7" borderId="20" xfId="0" applyFont="1" applyFill="1" applyBorder="1" applyAlignment="1">
      <alignment horizontal="center" vertical="center"/>
    </xf>
    <xf numFmtId="0" fontId="31" fillId="7" borderId="112" xfId="0" applyFont="1" applyFill="1" applyBorder="1" applyAlignment="1">
      <alignment horizontal="center" vertical="center"/>
    </xf>
    <xf numFmtId="0" fontId="31" fillId="7" borderId="68" xfId="0" applyFont="1" applyFill="1" applyBorder="1" applyAlignment="1">
      <alignment horizontal="center" vertical="center"/>
    </xf>
    <xf numFmtId="0" fontId="9" fillId="4" borderId="60" xfId="0" applyFont="1" applyFill="1" applyBorder="1" applyAlignment="1">
      <alignment horizontal="center" vertical="center"/>
    </xf>
    <xf numFmtId="0" fontId="9" fillId="4" borderId="53" xfId="0" applyFont="1" applyFill="1" applyBorder="1" applyAlignment="1">
      <alignment horizontal="center" vertical="center"/>
    </xf>
    <xf numFmtId="0" fontId="9" fillId="4" borderId="110" xfId="0" applyFont="1" applyFill="1" applyBorder="1" applyAlignment="1">
      <alignment horizontal="center" vertical="center"/>
    </xf>
    <xf numFmtId="0" fontId="9" fillId="10" borderId="36" xfId="0" applyFont="1" applyFill="1" applyBorder="1" applyAlignment="1">
      <alignment horizontal="center" vertical="center" wrapText="1"/>
    </xf>
    <xf numFmtId="0" fontId="9" fillId="10" borderId="43" xfId="0" applyFont="1" applyFill="1" applyBorder="1" applyAlignment="1">
      <alignment horizontal="center" vertical="center"/>
    </xf>
    <xf numFmtId="0" fontId="9" fillId="10" borderId="37" xfId="0" applyFont="1" applyFill="1" applyBorder="1" applyAlignment="1">
      <alignment horizontal="center" vertical="center"/>
    </xf>
    <xf numFmtId="0" fontId="2" fillId="10" borderId="21" xfId="0" applyFont="1" applyFill="1" applyBorder="1" applyAlignment="1">
      <alignment horizontal="center" vertical="center"/>
    </xf>
    <xf numFmtId="0" fontId="2" fillId="10" borderId="87" xfId="0" applyFont="1" applyFill="1" applyBorder="1" applyAlignment="1">
      <alignment horizontal="center" vertical="center"/>
    </xf>
    <xf numFmtId="0" fontId="2" fillId="10" borderId="88" xfId="0" applyFont="1" applyFill="1" applyBorder="1" applyAlignment="1">
      <alignment horizontal="center" vertical="center"/>
    </xf>
    <xf numFmtId="0" fontId="2" fillId="10" borderId="27" xfId="0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horizontal="center" vertical="center"/>
    </xf>
    <xf numFmtId="0" fontId="2" fillId="10" borderId="71" xfId="0" applyFont="1" applyFill="1" applyBorder="1" applyAlignment="1">
      <alignment horizontal="center" vertical="center"/>
    </xf>
    <xf numFmtId="0" fontId="2" fillId="10" borderId="22" xfId="0" applyFont="1" applyFill="1" applyBorder="1" applyAlignment="1">
      <alignment horizontal="center" vertical="center"/>
    </xf>
    <xf numFmtId="0" fontId="2" fillId="10" borderId="70" xfId="0" applyFont="1" applyFill="1" applyBorder="1" applyAlignment="1">
      <alignment horizontal="center" vertical="center"/>
    </xf>
    <xf numFmtId="0" fontId="2" fillId="10" borderId="89" xfId="0" applyFont="1" applyFill="1" applyBorder="1" applyAlignment="1">
      <alignment horizontal="center" vertical="center"/>
    </xf>
    <xf numFmtId="0" fontId="9" fillId="4" borderId="98" xfId="0" applyFont="1" applyFill="1" applyBorder="1" applyAlignment="1">
      <alignment horizontal="center" vertical="center"/>
    </xf>
    <xf numFmtId="0" fontId="9" fillId="3" borderId="104" xfId="0" applyFont="1" applyFill="1" applyBorder="1" applyAlignment="1">
      <alignment horizontal="center" vertical="center"/>
    </xf>
    <xf numFmtId="0" fontId="9" fillId="4" borderId="109" xfId="0" applyFont="1" applyFill="1" applyBorder="1" applyAlignment="1">
      <alignment horizontal="center" vertical="center"/>
    </xf>
    <xf numFmtId="0" fontId="9" fillId="3" borderId="91" xfId="0" applyFont="1" applyFill="1" applyBorder="1" applyAlignment="1">
      <alignment horizontal="center" vertical="center"/>
    </xf>
    <xf numFmtId="0" fontId="9" fillId="3" borderId="106" xfId="0" applyFont="1" applyFill="1" applyBorder="1" applyAlignment="1">
      <alignment horizontal="center" vertical="center"/>
    </xf>
    <xf numFmtId="0" fontId="9" fillId="3" borderId="90" xfId="0" applyFont="1" applyFill="1" applyBorder="1" applyAlignment="1">
      <alignment horizontal="center" vertical="center"/>
    </xf>
    <xf numFmtId="0" fontId="11" fillId="7" borderId="32" xfId="0" applyFont="1" applyFill="1" applyBorder="1" applyAlignment="1">
      <alignment horizontal="center" vertical="center"/>
    </xf>
    <xf numFmtId="0" fontId="11" fillId="7" borderId="16" xfId="0" applyFont="1" applyFill="1" applyBorder="1" applyAlignment="1">
      <alignment horizontal="center" vertical="center"/>
    </xf>
    <xf numFmtId="0" fontId="11" fillId="7" borderId="14" xfId="0" applyFont="1" applyFill="1" applyBorder="1" applyAlignment="1">
      <alignment horizontal="center" vertical="center"/>
    </xf>
    <xf numFmtId="0" fontId="9" fillId="3" borderId="34" xfId="0" applyFont="1" applyFill="1" applyBorder="1" applyAlignment="1">
      <alignment horizontal="center" vertical="center"/>
    </xf>
    <xf numFmtId="0" fontId="9" fillId="3" borderId="105" xfId="0" applyFont="1" applyFill="1" applyBorder="1" applyAlignment="1">
      <alignment horizontal="center" vertical="center"/>
    </xf>
    <xf numFmtId="0" fontId="9" fillId="4" borderId="97" xfId="0" applyFont="1" applyFill="1" applyBorder="1" applyAlignment="1">
      <alignment horizontal="center" vertical="center"/>
    </xf>
    <xf numFmtId="0" fontId="9" fillId="4" borderId="99" xfId="0" applyFont="1" applyFill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96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27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9" fillId="0" borderId="171" xfId="0" applyFont="1" applyBorder="1" applyAlignment="1">
      <alignment horizontal="left" vertical="center"/>
    </xf>
    <xf numFmtId="0" fontId="2" fillId="0" borderId="27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89" xfId="0" applyFont="1" applyBorder="1" applyAlignment="1">
      <alignment horizontal="center" vertical="center"/>
    </xf>
    <xf numFmtId="0" fontId="12" fillId="0" borderId="17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87" xfId="0" applyFont="1" applyBorder="1" applyAlignment="1">
      <alignment horizontal="center" vertical="center"/>
    </xf>
    <xf numFmtId="0" fontId="9" fillId="0" borderId="173" xfId="0" applyFont="1" applyBorder="1" applyAlignment="1">
      <alignment horizontal="center" vertical="center"/>
    </xf>
    <xf numFmtId="0" fontId="9" fillId="0" borderId="22" xfId="0" applyFont="1" applyBorder="1" applyAlignment="1">
      <alignment horizontal="left" vertical="center"/>
    </xf>
    <xf numFmtId="0" fontId="9" fillId="0" borderId="70" xfId="0" applyFont="1" applyBorder="1" applyAlignment="1">
      <alignment horizontal="left" vertical="center"/>
    </xf>
    <xf numFmtId="0" fontId="9" fillId="0" borderId="172" xfId="0" applyFont="1" applyBorder="1" applyAlignment="1">
      <alignment horizontal="left" vertical="center"/>
    </xf>
    <xf numFmtId="0" fontId="40" fillId="0" borderId="60" xfId="0" applyFont="1" applyBorder="1" applyAlignment="1">
      <alignment horizontal="center" vertical="center"/>
    </xf>
    <xf numFmtId="0" fontId="40" fillId="0" borderId="53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87" xfId="0" applyFont="1" applyBorder="1" applyAlignment="1">
      <alignment horizontal="center" vertical="center"/>
    </xf>
    <xf numFmtId="0" fontId="40" fillId="0" borderId="70" xfId="0" applyFont="1" applyBorder="1" applyAlignment="1">
      <alignment horizontal="center" vertical="center"/>
    </xf>
    <xf numFmtId="0" fontId="9" fillId="0" borderId="100" xfId="0" applyFont="1" applyFill="1" applyBorder="1" applyAlignment="1">
      <alignment horizontal="center" vertical="center"/>
    </xf>
    <xf numFmtId="0" fontId="9" fillId="0" borderId="47" xfId="0" applyFont="1" applyFill="1" applyBorder="1" applyAlignment="1">
      <alignment horizontal="center" vertical="center"/>
    </xf>
    <xf numFmtId="0" fontId="9" fillId="0" borderId="69" xfId="0" applyFont="1" applyFill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7" borderId="106" xfId="0" applyFont="1" applyFill="1" applyBorder="1" applyAlignment="1">
      <alignment horizontal="center" vertical="center"/>
    </xf>
    <xf numFmtId="0" fontId="9" fillId="7" borderId="118" xfId="0" applyFont="1" applyFill="1" applyBorder="1" applyAlignment="1">
      <alignment horizontal="center" vertical="center"/>
    </xf>
    <xf numFmtId="0" fontId="11" fillId="7" borderId="116" xfId="0" applyFont="1" applyFill="1" applyBorder="1" applyAlignment="1">
      <alignment horizontal="center" vertical="center"/>
    </xf>
    <xf numFmtId="0" fontId="9" fillId="7" borderId="34" xfId="0" applyFont="1" applyFill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2" fillId="4" borderId="114" xfId="0" applyFont="1" applyFill="1" applyBorder="1" applyAlignment="1">
      <alignment horizontal="center" vertical="center"/>
    </xf>
    <xf numFmtId="0" fontId="9" fillId="4" borderId="115" xfId="0" applyFont="1" applyFill="1" applyBorder="1" applyAlignment="1">
      <alignment horizontal="center" vertical="center"/>
    </xf>
    <xf numFmtId="0" fontId="9" fillId="4" borderId="65" xfId="0" applyFont="1" applyFill="1" applyBorder="1" applyAlignment="1">
      <alignment horizontal="center" vertical="center"/>
    </xf>
    <xf numFmtId="0" fontId="2" fillId="4" borderId="130" xfId="0" applyFont="1" applyFill="1" applyBorder="1" applyAlignment="1">
      <alignment horizontal="center" vertical="center"/>
    </xf>
    <xf numFmtId="0" fontId="9" fillId="4" borderId="140" xfId="0" applyFont="1" applyFill="1" applyBorder="1" applyAlignment="1">
      <alignment horizontal="center" vertical="center"/>
    </xf>
    <xf numFmtId="0" fontId="9" fillId="4" borderId="66" xfId="0" applyFont="1" applyFill="1" applyBorder="1" applyAlignment="1">
      <alignment horizontal="center" vertical="center"/>
    </xf>
    <xf numFmtId="0" fontId="9" fillId="4" borderId="114" xfId="0" applyFont="1" applyFill="1" applyBorder="1" applyAlignment="1">
      <alignment horizontal="center" vertical="center"/>
    </xf>
    <xf numFmtId="0" fontId="9" fillId="4" borderId="120" xfId="0" applyFont="1" applyFill="1" applyBorder="1" applyAlignment="1">
      <alignment horizontal="center" vertical="center"/>
    </xf>
    <xf numFmtId="0" fontId="9" fillId="4" borderId="121" xfId="0" applyFont="1" applyFill="1" applyBorder="1" applyAlignment="1">
      <alignment horizontal="center" vertical="center"/>
    </xf>
    <xf numFmtId="0" fontId="2" fillId="4" borderId="135" xfId="0" applyFont="1" applyFill="1" applyBorder="1" applyAlignment="1">
      <alignment horizontal="center" vertical="center"/>
    </xf>
    <xf numFmtId="0" fontId="9" fillId="4" borderId="136" xfId="0" applyFont="1" applyFill="1" applyBorder="1" applyAlignment="1">
      <alignment horizontal="center" vertical="center"/>
    </xf>
    <xf numFmtId="0" fontId="9" fillId="4" borderId="67" xfId="0" applyFont="1" applyFill="1" applyBorder="1" applyAlignment="1">
      <alignment horizontal="center" vertical="center"/>
    </xf>
    <xf numFmtId="0" fontId="9" fillId="0" borderId="101" xfId="0" applyFont="1" applyFill="1" applyBorder="1" applyAlignment="1">
      <alignment horizontal="center" vertical="center"/>
    </xf>
    <xf numFmtId="0" fontId="9" fillId="0" borderId="113" xfId="0" applyFont="1" applyFill="1" applyBorder="1" applyAlignment="1">
      <alignment horizontal="center" vertical="center"/>
    </xf>
    <xf numFmtId="0" fontId="9" fillId="0" borderId="119" xfId="0" applyFont="1" applyFill="1" applyBorder="1" applyAlignment="1">
      <alignment horizontal="center" vertical="center"/>
    </xf>
    <xf numFmtId="0" fontId="37" fillId="4" borderId="122" xfId="0" applyFont="1" applyFill="1" applyBorder="1" applyAlignment="1">
      <alignment horizontal="center" vertical="center" shrinkToFit="1"/>
    </xf>
    <xf numFmtId="0" fontId="37" fillId="4" borderId="123" xfId="0" applyFont="1" applyFill="1" applyBorder="1" applyAlignment="1">
      <alignment horizontal="center" vertical="center" shrinkToFit="1"/>
    </xf>
    <xf numFmtId="0" fontId="37" fillId="4" borderId="124" xfId="0" applyFont="1" applyFill="1" applyBorder="1" applyAlignment="1">
      <alignment horizontal="center" vertical="center" shrinkToFit="1"/>
    </xf>
    <xf numFmtId="0" fontId="9" fillId="4" borderId="61" xfId="0" applyFont="1" applyFill="1" applyBorder="1" applyAlignment="1">
      <alignment horizontal="center" vertical="center"/>
    </xf>
    <xf numFmtId="0" fontId="9" fillId="4" borderId="57" xfId="0" applyFont="1" applyFill="1" applyBorder="1" applyAlignment="1">
      <alignment horizontal="center" vertical="center"/>
    </xf>
    <xf numFmtId="0" fontId="9" fillId="4" borderId="125" xfId="0" applyFont="1" applyFill="1" applyBorder="1" applyAlignment="1">
      <alignment horizontal="center" vertical="center"/>
    </xf>
    <xf numFmtId="0" fontId="9" fillId="4" borderId="126" xfId="0" applyFont="1" applyFill="1" applyBorder="1" applyAlignment="1">
      <alignment horizontal="center" vertical="center"/>
    </xf>
    <xf numFmtId="0" fontId="9" fillId="4" borderId="127" xfId="0" applyFont="1" applyFill="1" applyBorder="1" applyAlignment="1">
      <alignment horizontal="center" vertical="center"/>
    </xf>
    <xf numFmtId="0" fontId="9" fillId="0" borderId="79" xfId="0" applyFont="1" applyBorder="1" applyAlignment="1">
      <alignment horizontal="center" vertical="center"/>
    </xf>
    <xf numFmtId="0" fontId="9" fillId="0" borderId="46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9" fillId="0" borderId="96" xfId="0" applyFont="1" applyFill="1" applyBorder="1" applyAlignment="1">
      <alignment horizontal="center" vertical="center"/>
    </xf>
    <xf numFmtId="0" fontId="9" fillId="0" borderId="25" xfId="0" applyFont="1" applyFill="1" applyBorder="1" applyAlignment="1">
      <alignment horizontal="center" vertical="center"/>
    </xf>
    <xf numFmtId="0" fontId="9" fillId="0" borderId="26" xfId="0" applyFont="1" applyFill="1" applyBorder="1" applyAlignment="1">
      <alignment horizontal="center" vertical="center"/>
    </xf>
    <xf numFmtId="0" fontId="9" fillId="0" borderId="30" xfId="0" applyFont="1" applyFill="1" applyBorder="1" applyAlignment="1">
      <alignment horizontal="center" vertical="center"/>
    </xf>
    <xf numFmtId="0" fontId="9" fillId="7" borderId="70" xfId="0" applyFont="1" applyFill="1" applyBorder="1" applyAlignment="1">
      <alignment horizontal="center" vertical="center"/>
    </xf>
    <xf numFmtId="0" fontId="9" fillId="0" borderId="92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71" xfId="0" applyFont="1" applyFill="1" applyBorder="1" applyAlignment="1">
      <alignment horizontal="center" vertical="center" wrapText="1"/>
    </xf>
    <xf numFmtId="0" fontId="31" fillId="0" borderId="53" xfId="0" applyFont="1" applyFill="1" applyBorder="1" applyAlignment="1">
      <alignment horizontal="center" vertical="center"/>
    </xf>
    <xf numFmtId="0" fontId="0" fillId="0" borderId="53" xfId="0" applyBorder="1">
      <alignment vertical="center"/>
    </xf>
    <xf numFmtId="0" fontId="9" fillId="7" borderId="53" xfId="0" applyFont="1" applyFill="1" applyBorder="1" applyAlignment="1">
      <alignment horizontal="center" vertical="center"/>
    </xf>
    <xf numFmtId="42" fontId="9" fillId="0" borderId="87" xfId="0" applyNumberFormat="1" applyFont="1" applyFill="1" applyBorder="1" applyAlignment="1">
      <alignment horizontal="center" vertical="center"/>
    </xf>
    <xf numFmtId="0" fontId="9" fillId="3" borderId="70" xfId="0" applyFont="1" applyFill="1" applyBorder="1" applyAlignment="1">
      <alignment horizontal="center" vertical="center"/>
    </xf>
    <xf numFmtId="0" fontId="9" fillId="3" borderId="89" xfId="0" applyFont="1" applyFill="1" applyBorder="1" applyAlignment="1">
      <alignment horizontal="center" vertical="center"/>
    </xf>
    <xf numFmtId="42" fontId="9" fillId="0" borderId="87" xfId="0" applyNumberFormat="1" applyFont="1" applyFill="1" applyBorder="1" applyAlignment="1">
      <alignment horizontal="center" vertical="center" wrapText="1"/>
    </xf>
    <xf numFmtId="0" fontId="9" fillId="0" borderId="102" xfId="0" applyFont="1" applyFill="1" applyBorder="1" applyAlignment="1">
      <alignment horizontal="center" vertical="center"/>
    </xf>
    <xf numFmtId="0" fontId="9" fillId="0" borderId="98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9" fillId="3" borderId="24" xfId="0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0" fontId="9" fillId="4" borderId="96" xfId="0" applyFont="1" applyFill="1" applyBorder="1" applyAlignment="1">
      <alignment horizontal="center" vertical="center"/>
    </xf>
    <xf numFmtId="0" fontId="9" fillId="7" borderId="23" xfId="0" applyFont="1" applyFill="1" applyBorder="1" applyAlignment="1">
      <alignment horizontal="center" vertical="center"/>
    </xf>
    <xf numFmtId="0" fontId="9" fillId="7" borderId="24" xfId="0" applyFont="1" applyFill="1" applyBorder="1" applyAlignment="1">
      <alignment horizontal="center" vertical="center"/>
    </xf>
    <xf numFmtId="0" fontId="9" fillId="4" borderId="26" xfId="0" applyFont="1" applyFill="1" applyBorder="1" applyAlignment="1">
      <alignment horizontal="center" vertical="center"/>
    </xf>
    <xf numFmtId="0" fontId="9" fillId="4" borderId="30" xfId="0" applyFont="1" applyFill="1" applyBorder="1" applyAlignment="1">
      <alignment horizontal="center" vertical="center"/>
    </xf>
    <xf numFmtId="0" fontId="9" fillId="4" borderId="25" xfId="0" applyFont="1" applyFill="1" applyBorder="1" applyAlignment="1">
      <alignment horizontal="center" vertical="center"/>
    </xf>
    <xf numFmtId="0" fontId="9" fillId="7" borderId="47" xfId="0" applyFont="1" applyFill="1" applyBorder="1" applyAlignment="1">
      <alignment horizontal="center" vertical="center"/>
    </xf>
    <xf numFmtId="0" fontId="9" fillId="7" borderId="69" xfId="0" applyFont="1" applyFill="1" applyBorder="1" applyAlignment="1">
      <alignment horizontal="center" vertical="center"/>
    </xf>
    <xf numFmtId="0" fontId="9" fillId="4" borderId="28" xfId="0" applyFont="1" applyFill="1" applyBorder="1" applyAlignment="1">
      <alignment horizontal="center" vertical="center"/>
    </xf>
    <xf numFmtId="0" fontId="9" fillId="4" borderId="29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14" xfId="0" applyFont="1" applyFill="1" applyBorder="1" applyAlignment="1">
      <alignment horizontal="center" vertical="center"/>
    </xf>
    <xf numFmtId="0" fontId="9" fillId="0" borderId="115" xfId="0" applyFont="1" applyFill="1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/>
    </xf>
    <xf numFmtId="0" fontId="9" fillId="4" borderId="87" xfId="0" applyFont="1" applyFill="1" applyBorder="1" applyAlignment="1">
      <alignment horizontal="center" vertical="center"/>
    </xf>
    <xf numFmtId="0" fontId="9" fillId="4" borderId="88" xfId="0" applyFont="1" applyFill="1" applyBorder="1" applyAlignment="1">
      <alignment horizontal="center" vertical="center"/>
    </xf>
    <xf numFmtId="0" fontId="9" fillId="4" borderId="50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4" borderId="70" xfId="0" applyFont="1" applyFill="1" applyBorder="1" applyAlignment="1">
      <alignment horizontal="center" vertical="center"/>
    </xf>
    <xf numFmtId="0" fontId="9" fillId="4" borderId="101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155" xfId="0" applyFont="1" applyBorder="1" applyAlignment="1">
      <alignment horizontal="center" vertical="center"/>
    </xf>
    <xf numFmtId="0" fontId="9" fillId="0" borderId="156" xfId="0" applyFont="1" applyBorder="1" applyAlignment="1">
      <alignment horizontal="center" vertical="center"/>
    </xf>
    <xf numFmtId="0" fontId="9" fillId="0" borderId="49" xfId="0" applyFont="1" applyFill="1" applyBorder="1" applyAlignment="1">
      <alignment horizontal="center" vertical="center"/>
    </xf>
    <xf numFmtId="0" fontId="9" fillId="0" borderId="28" xfId="0" applyFont="1" applyFill="1" applyBorder="1" applyAlignment="1">
      <alignment horizontal="center" vertical="center"/>
    </xf>
    <xf numFmtId="0" fontId="9" fillId="0" borderId="29" xfId="0" applyFont="1" applyFill="1" applyBorder="1" applyAlignment="1">
      <alignment horizontal="center" vertical="center"/>
    </xf>
    <xf numFmtId="0" fontId="9" fillId="4" borderId="33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9" fillId="0" borderId="20" xfId="0" applyFont="1" applyFill="1" applyBorder="1" applyAlignment="1">
      <alignment horizontal="center" vertical="center"/>
    </xf>
    <xf numFmtId="0" fontId="9" fillId="0" borderId="23" xfId="0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center" vertical="center"/>
    </xf>
    <xf numFmtId="0" fontId="9" fillId="10" borderId="93" xfId="0" applyFont="1" applyFill="1" applyBorder="1" applyAlignment="1">
      <alignment horizontal="center" vertical="center" wrapText="1"/>
    </xf>
    <xf numFmtId="0" fontId="9" fillId="10" borderId="45" xfId="0" applyFont="1" applyFill="1" applyBorder="1" applyAlignment="1">
      <alignment horizontal="center" vertical="center" wrapText="1"/>
    </xf>
    <xf numFmtId="0" fontId="2" fillId="10" borderId="137" xfId="0" applyFont="1" applyFill="1" applyBorder="1" applyAlignment="1">
      <alignment horizontal="center" vertical="center"/>
    </xf>
    <xf numFmtId="0" fontId="2" fillId="10" borderId="138" xfId="0" applyFont="1" applyFill="1" applyBorder="1" applyAlignment="1">
      <alignment horizontal="center" vertical="center"/>
    </xf>
    <xf numFmtId="0" fontId="2" fillId="10" borderId="139" xfId="0" applyFont="1" applyFill="1" applyBorder="1" applyAlignment="1">
      <alignment horizontal="center" vertical="center"/>
    </xf>
    <xf numFmtId="0" fontId="2" fillId="10" borderId="132" xfId="0" applyFont="1" applyFill="1" applyBorder="1" applyAlignment="1">
      <alignment horizontal="center" vertical="center"/>
    </xf>
    <xf numFmtId="0" fontId="2" fillId="10" borderId="133" xfId="0" applyFont="1" applyFill="1" applyBorder="1" applyAlignment="1">
      <alignment horizontal="center" vertical="center"/>
    </xf>
    <xf numFmtId="0" fontId="2" fillId="10" borderId="134" xfId="0" applyFont="1" applyFill="1" applyBorder="1" applyAlignment="1">
      <alignment horizontal="center" vertical="center"/>
    </xf>
    <xf numFmtId="0" fontId="16" fillId="0" borderId="60" xfId="0" applyFont="1" applyBorder="1" applyAlignment="1">
      <alignment horizontal="center" vertical="center"/>
    </xf>
    <xf numFmtId="0" fontId="16" fillId="0" borderId="53" xfId="0" applyFont="1" applyBorder="1" applyAlignment="1">
      <alignment horizontal="center" vertical="center"/>
    </xf>
    <xf numFmtId="0" fontId="16" fillId="0" borderId="110" xfId="0" applyFont="1" applyBorder="1" applyAlignment="1">
      <alignment horizontal="center" vertical="center"/>
    </xf>
    <xf numFmtId="0" fontId="18" fillId="0" borderId="114" xfId="0" applyFont="1" applyBorder="1" applyAlignment="1">
      <alignment horizontal="center" vertical="center"/>
    </xf>
    <xf numFmtId="0" fontId="18" fillId="0" borderId="129" xfId="0" applyFont="1" applyBorder="1" applyAlignment="1">
      <alignment horizontal="center" vertical="center"/>
    </xf>
    <xf numFmtId="0" fontId="18" fillId="0" borderId="130" xfId="0" applyFont="1" applyBorder="1" applyAlignment="1">
      <alignment horizontal="center" vertical="center"/>
    </xf>
    <xf numFmtId="0" fontId="18" fillId="0" borderId="58" xfId="0" applyFont="1" applyBorder="1" applyAlignment="1">
      <alignment horizontal="center" vertical="center"/>
    </xf>
    <xf numFmtId="0" fontId="9" fillId="0" borderId="83" xfId="0" applyFont="1" applyBorder="1" applyAlignment="1">
      <alignment horizontal="right" vertical="center"/>
    </xf>
    <xf numFmtId="0" fontId="9" fillId="0" borderId="58" xfId="0" applyFont="1" applyBorder="1" applyAlignment="1">
      <alignment horizontal="right" vertical="center"/>
    </xf>
    <xf numFmtId="0" fontId="15" fillId="0" borderId="131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9" fillId="7" borderId="174" xfId="0" applyFont="1" applyFill="1" applyBorder="1" applyAlignment="1">
      <alignment horizontal="center" vertical="center"/>
    </xf>
    <xf numFmtId="0" fontId="9" fillId="7" borderId="175" xfId="0" applyFont="1" applyFill="1" applyBorder="1" applyAlignment="1">
      <alignment horizontal="center" vertical="center"/>
    </xf>
    <xf numFmtId="0" fontId="9" fillId="7" borderId="176" xfId="0" applyFont="1" applyFill="1" applyBorder="1" applyAlignment="1">
      <alignment horizontal="center" vertical="center"/>
    </xf>
    <xf numFmtId="0" fontId="9" fillId="4" borderId="89" xfId="0" applyFont="1" applyFill="1" applyBorder="1" applyAlignment="1">
      <alignment horizontal="center" vertical="center"/>
    </xf>
    <xf numFmtId="0" fontId="2" fillId="12" borderId="60" xfId="0" applyFont="1" applyFill="1" applyBorder="1" applyAlignment="1">
      <alignment horizontal="center" vertical="center"/>
    </xf>
    <xf numFmtId="0" fontId="2" fillId="12" borderId="53" xfId="0" applyFont="1" applyFill="1" applyBorder="1" applyAlignment="1">
      <alignment horizontal="center" vertical="center"/>
    </xf>
    <xf numFmtId="0" fontId="2" fillId="12" borderId="110" xfId="0" applyFont="1" applyFill="1" applyBorder="1" applyAlignment="1">
      <alignment horizontal="center" vertical="center"/>
    </xf>
    <xf numFmtId="0" fontId="2" fillId="4" borderId="60" xfId="0" applyFont="1" applyFill="1" applyBorder="1" applyAlignment="1">
      <alignment horizontal="center" vertical="center"/>
    </xf>
    <xf numFmtId="0" fontId="2" fillId="4" borderId="53" xfId="0" applyFont="1" applyFill="1" applyBorder="1" applyAlignment="1">
      <alignment horizontal="center" vertical="center"/>
    </xf>
    <xf numFmtId="0" fontId="2" fillId="4" borderId="110" xfId="0" applyFont="1" applyFill="1" applyBorder="1" applyAlignment="1">
      <alignment horizontal="center" vertical="center"/>
    </xf>
    <xf numFmtId="0" fontId="2" fillId="13" borderId="132" xfId="0" applyFont="1" applyFill="1" applyBorder="1" applyAlignment="1">
      <alignment horizontal="center" vertical="center"/>
    </xf>
    <xf numFmtId="0" fontId="2" fillId="13" borderId="133" xfId="0" applyFont="1" applyFill="1" applyBorder="1" applyAlignment="1">
      <alignment horizontal="center" vertical="center"/>
    </xf>
    <xf numFmtId="0" fontId="2" fillId="13" borderId="134" xfId="0" applyFont="1" applyFill="1" applyBorder="1" applyAlignment="1">
      <alignment horizontal="center" vertical="center"/>
    </xf>
    <xf numFmtId="0" fontId="2" fillId="13" borderId="135" xfId="0" applyFont="1" applyFill="1" applyBorder="1" applyAlignment="1">
      <alignment horizontal="center" vertical="center"/>
    </xf>
    <xf numFmtId="0" fontId="2" fillId="13" borderId="136" xfId="0" applyFont="1" applyFill="1" applyBorder="1" applyAlignment="1">
      <alignment horizontal="center" vertical="center"/>
    </xf>
    <xf numFmtId="0" fontId="2" fillId="13" borderId="67" xfId="0" applyFont="1" applyFill="1" applyBorder="1" applyAlignment="1">
      <alignment horizontal="center" vertical="center"/>
    </xf>
    <xf numFmtId="0" fontId="9" fillId="7" borderId="31" xfId="0" applyFont="1" applyFill="1" applyBorder="1" applyAlignment="1">
      <alignment horizontal="center" vertical="center"/>
    </xf>
    <xf numFmtId="0" fontId="9" fillId="13" borderId="60" xfId="0" applyFont="1" applyFill="1" applyBorder="1" applyAlignment="1">
      <alignment horizontal="center" vertical="center"/>
    </xf>
    <xf numFmtId="0" fontId="9" fillId="13" borderId="53" xfId="0" applyFont="1" applyFill="1" applyBorder="1" applyAlignment="1">
      <alignment horizontal="center" vertical="center"/>
    </xf>
    <xf numFmtId="0" fontId="9" fillId="13" borderId="110" xfId="0" applyFont="1" applyFill="1" applyBorder="1" applyAlignment="1">
      <alignment horizontal="center" vertical="center"/>
    </xf>
    <xf numFmtId="0" fontId="9" fillId="4" borderId="27" xfId="0" applyFont="1" applyFill="1" applyBorder="1" applyAlignment="1">
      <alignment horizontal="center" vertical="center"/>
    </xf>
    <xf numFmtId="0" fontId="9" fillId="4" borderId="71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87" xfId="0" applyFont="1" applyFill="1" applyBorder="1" applyAlignment="1">
      <alignment horizontal="center" vertical="center"/>
    </xf>
    <xf numFmtId="0" fontId="2" fillId="4" borderId="88" xfId="0" applyFont="1" applyFill="1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71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70" xfId="0" applyFont="1" applyFill="1" applyBorder="1" applyAlignment="1">
      <alignment horizontal="center" vertical="center"/>
    </xf>
    <xf numFmtId="0" fontId="2" fillId="4" borderId="89" xfId="0" applyFont="1" applyFill="1" applyBorder="1" applyAlignment="1">
      <alignment horizontal="center" vertical="center"/>
    </xf>
    <xf numFmtId="0" fontId="9" fillId="10" borderId="43" xfId="0" applyFont="1" applyFill="1" applyBorder="1" applyAlignment="1">
      <alignment horizontal="center" vertical="center" wrapText="1"/>
    </xf>
    <xf numFmtId="0" fontId="2" fillId="13" borderId="21" xfId="0" applyFont="1" applyFill="1" applyBorder="1" applyAlignment="1">
      <alignment horizontal="center" vertical="center"/>
    </xf>
    <xf numFmtId="0" fontId="2" fillId="13" borderId="87" xfId="0" applyFont="1" applyFill="1" applyBorder="1" applyAlignment="1">
      <alignment horizontal="center" vertical="center"/>
    </xf>
    <xf numFmtId="0" fontId="2" fillId="13" borderId="88" xfId="0" applyFont="1" applyFill="1" applyBorder="1" applyAlignment="1">
      <alignment horizontal="center" vertical="center"/>
    </xf>
    <xf numFmtId="0" fontId="2" fillId="13" borderId="27" xfId="0" applyFont="1" applyFill="1" applyBorder="1" applyAlignment="1">
      <alignment horizontal="center" vertical="center"/>
    </xf>
    <xf numFmtId="0" fontId="2" fillId="13" borderId="0" xfId="0" applyFont="1" applyFill="1" applyBorder="1" applyAlignment="1">
      <alignment horizontal="center" vertical="center"/>
    </xf>
    <xf numFmtId="0" fontId="2" fillId="13" borderId="71" xfId="0" applyFont="1" applyFill="1" applyBorder="1" applyAlignment="1">
      <alignment horizontal="center" vertical="center"/>
    </xf>
    <xf numFmtId="0" fontId="2" fillId="13" borderId="137" xfId="0" applyFont="1" applyFill="1" applyBorder="1" applyAlignment="1">
      <alignment horizontal="center" vertical="center"/>
    </xf>
    <xf numFmtId="0" fontId="2" fillId="13" borderId="138" xfId="0" applyFont="1" applyFill="1" applyBorder="1" applyAlignment="1">
      <alignment horizontal="center" vertical="center"/>
    </xf>
    <xf numFmtId="0" fontId="2" fillId="13" borderId="139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42" fillId="14" borderId="46" xfId="0" applyFont="1" applyFill="1" applyBorder="1" applyAlignment="1">
      <alignment horizontal="center" vertical="center"/>
    </xf>
    <xf numFmtId="0" fontId="42" fillId="14" borderId="15" xfId="0" applyFont="1" applyFill="1" applyBorder="1" applyAlignment="1">
      <alignment horizontal="center" vertical="center"/>
    </xf>
    <xf numFmtId="0" fontId="42" fillId="14" borderId="96" xfId="0" applyFont="1" applyFill="1" applyBorder="1" applyAlignment="1">
      <alignment horizontal="center" vertical="center"/>
    </xf>
    <xf numFmtId="0" fontId="42" fillId="14" borderId="25" xfId="0" applyFont="1" applyFill="1" applyBorder="1" applyAlignment="1">
      <alignment horizontal="center" vertical="center"/>
    </xf>
    <xf numFmtId="0" fontId="42" fillId="14" borderId="26" xfId="0" applyFont="1" applyFill="1" applyBorder="1" applyAlignment="1">
      <alignment horizontal="center" vertical="center"/>
    </xf>
    <xf numFmtId="0" fontId="42" fillId="14" borderId="30" xfId="0" applyFont="1" applyFill="1" applyBorder="1" applyAlignment="1">
      <alignment horizontal="center" vertical="center"/>
    </xf>
    <xf numFmtId="0" fontId="9" fillId="0" borderId="128" xfId="0" applyFont="1" applyFill="1" applyBorder="1" applyAlignment="1">
      <alignment horizontal="center" vertical="center" wrapText="1"/>
    </xf>
    <xf numFmtId="0" fontId="9" fillId="0" borderId="104" xfId="0" applyFont="1" applyFill="1" applyBorder="1" applyAlignment="1">
      <alignment horizontal="center" vertical="center"/>
    </xf>
    <xf numFmtId="0" fontId="9" fillId="0" borderId="105" xfId="0" applyFont="1" applyFill="1" applyBorder="1" applyAlignment="1">
      <alignment horizontal="center" vertical="center"/>
    </xf>
    <xf numFmtId="0" fontId="12" fillId="4" borderId="54" xfId="0" applyFont="1" applyFill="1" applyBorder="1" applyAlignment="1">
      <alignment horizontal="center" vertical="center"/>
    </xf>
    <xf numFmtId="0" fontId="12" fillId="4" borderId="55" xfId="0" applyFont="1" applyFill="1" applyBorder="1" applyAlignment="1">
      <alignment horizontal="center" vertical="center"/>
    </xf>
    <xf numFmtId="0" fontId="9" fillId="8" borderId="102" xfId="0" applyFont="1" applyFill="1" applyBorder="1" applyAlignment="1">
      <alignment horizontal="center" vertical="center"/>
    </xf>
    <xf numFmtId="0" fontId="9" fillId="8" borderId="98" xfId="0" applyFont="1" applyFill="1" applyBorder="1" applyAlignment="1">
      <alignment horizontal="center" vertical="center"/>
    </xf>
    <xf numFmtId="0" fontId="9" fillId="8" borderId="100" xfId="0" applyFont="1" applyFill="1" applyBorder="1" applyAlignment="1">
      <alignment horizontal="center" vertical="center"/>
    </xf>
    <xf numFmtId="0" fontId="9" fillId="7" borderId="89" xfId="0" applyFont="1" applyFill="1" applyBorder="1" applyAlignment="1">
      <alignment horizontal="center" vertical="center"/>
    </xf>
    <xf numFmtId="0" fontId="9" fillId="7" borderId="110" xfId="0" applyFont="1" applyFill="1" applyBorder="1" applyAlignment="1">
      <alignment horizontal="center" vertical="center"/>
    </xf>
    <xf numFmtId="0" fontId="11" fillId="7" borderId="33" xfId="0" applyFont="1" applyFill="1" applyBorder="1" applyAlignment="1">
      <alignment horizontal="center" vertical="center"/>
    </xf>
    <xf numFmtId="0" fontId="11" fillId="7" borderId="18" xfId="0" applyFont="1" applyFill="1" applyBorder="1" applyAlignment="1">
      <alignment horizontal="center" vertical="center"/>
    </xf>
    <xf numFmtId="0" fontId="11" fillId="7" borderId="19" xfId="0" applyFont="1" applyFill="1" applyBorder="1" applyAlignment="1">
      <alignment horizontal="center" vertical="center"/>
    </xf>
    <xf numFmtId="0" fontId="10" fillId="7" borderId="33" xfId="0" applyFont="1" applyFill="1" applyBorder="1" applyAlignment="1">
      <alignment horizontal="center" vertical="center"/>
    </xf>
    <xf numFmtId="0" fontId="10" fillId="7" borderId="18" xfId="0" applyFont="1" applyFill="1" applyBorder="1" applyAlignment="1">
      <alignment horizontal="center" vertical="center"/>
    </xf>
    <xf numFmtId="0" fontId="10" fillId="7" borderId="19" xfId="0" applyFont="1" applyFill="1" applyBorder="1" applyAlignment="1">
      <alignment horizontal="center" vertical="center"/>
    </xf>
    <xf numFmtId="0" fontId="12" fillId="4" borderId="32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horizontal="center" vertical="center"/>
    </xf>
    <xf numFmtId="0" fontId="12" fillId="4" borderId="100" xfId="0" applyFont="1" applyFill="1" applyBorder="1" applyAlignment="1">
      <alignment horizontal="center" vertical="center"/>
    </xf>
    <xf numFmtId="0" fontId="12" fillId="4" borderId="47" xfId="0" applyFont="1" applyFill="1" applyBorder="1" applyAlignment="1">
      <alignment horizontal="center" vertical="center"/>
    </xf>
    <xf numFmtId="0" fontId="12" fillId="4" borderId="69" xfId="0" applyFont="1" applyFill="1" applyBorder="1" applyAlignment="1">
      <alignment horizontal="center" vertical="center"/>
    </xf>
    <xf numFmtId="0" fontId="9" fillId="8" borderId="97" xfId="0" applyFont="1" applyFill="1" applyBorder="1" applyAlignment="1">
      <alignment horizontal="center" vertical="center"/>
    </xf>
    <xf numFmtId="0" fontId="9" fillId="8" borderId="99" xfId="0" applyFont="1" applyFill="1" applyBorder="1" applyAlignment="1">
      <alignment horizontal="center" vertical="center"/>
    </xf>
    <xf numFmtId="0" fontId="9" fillId="8" borderId="31" xfId="0" applyFont="1" applyFill="1" applyBorder="1" applyAlignment="1">
      <alignment horizontal="center" vertical="center"/>
    </xf>
    <xf numFmtId="0" fontId="9" fillId="8" borderId="23" xfId="0" applyFont="1" applyFill="1" applyBorder="1" applyAlignment="1">
      <alignment horizontal="center" vertical="center"/>
    </xf>
    <xf numFmtId="0" fontId="9" fillId="8" borderId="24" xfId="0" applyFont="1" applyFill="1" applyBorder="1" applyAlignment="1">
      <alignment horizontal="center" vertical="center"/>
    </xf>
    <xf numFmtId="0" fontId="12" fillId="4" borderId="20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21" fillId="10" borderId="83" xfId="0" applyFont="1" applyFill="1" applyBorder="1" applyAlignment="1">
      <alignment horizontal="center" vertical="center"/>
    </xf>
    <xf numFmtId="0" fontId="21" fillId="10" borderId="140" xfId="0" applyFont="1" applyFill="1" applyBorder="1" applyAlignment="1">
      <alignment horizontal="center" vertical="center"/>
    </xf>
    <xf numFmtId="0" fontId="21" fillId="10" borderId="58" xfId="0" applyFont="1" applyFill="1" applyBorder="1" applyAlignment="1">
      <alignment horizontal="center" vertical="center"/>
    </xf>
    <xf numFmtId="0" fontId="4" fillId="0" borderId="48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38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141" xfId="0" applyFont="1" applyFill="1" applyBorder="1" applyAlignment="1">
      <alignment horizontal="center" vertical="center"/>
    </xf>
    <xf numFmtId="0" fontId="4" fillId="0" borderId="84" xfId="0" applyFont="1" applyFill="1" applyBorder="1" applyAlignment="1">
      <alignment horizontal="center" vertical="center"/>
    </xf>
    <xf numFmtId="0" fontId="3" fillId="0" borderId="142" xfId="0" applyFont="1" applyBorder="1" applyAlignment="1">
      <alignment horizontal="center" vertical="center"/>
    </xf>
    <xf numFmtId="0" fontId="4" fillId="0" borderId="143" xfId="0" applyFont="1" applyFill="1" applyBorder="1" applyAlignment="1">
      <alignment horizontal="center" vertical="center"/>
    </xf>
    <xf numFmtId="0" fontId="4" fillId="0" borderId="131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144" xfId="0" applyFont="1" applyFill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131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142" xfId="0" applyFont="1" applyFill="1" applyBorder="1" applyAlignment="1">
      <alignment horizontal="center" vertical="center"/>
    </xf>
    <xf numFmtId="0" fontId="3" fillId="0" borderId="146" xfId="0" applyFont="1" applyFill="1" applyBorder="1" applyAlignment="1">
      <alignment horizontal="center" vertical="center"/>
    </xf>
    <xf numFmtId="0" fontId="3" fillId="0" borderId="14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9" borderId="147" xfId="0" applyFont="1" applyFill="1" applyBorder="1" applyAlignment="1">
      <alignment horizontal="center" vertical="center"/>
    </xf>
    <xf numFmtId="0" fontId="4" fillId="9" borderId="87" xfId="0" applyFont="1" applyFill="1" applyBorder="1" applyAlignment="1">
      <alignment horizontal="center" vertical="center"/>
    </xf>
    <xf numFmtId="0" fontId="4" fillId="9" borderId="88" xfId="0" applyFont="1" applyFill="1" applyBorder="1" applyAlignment="1">
      <alignment horizontal="center" vertical="center"/>
    </xf>
    <xf numFmtId="0" fontId="4" fillId="9" borderId="148" xfId="0" applyFont="1" applyFill="1" applyBorder="1" applyAlignment="1">
      <alignment horizontal="center" vertical="center"/>
    </xf>
    <xf numFmtId="0" fontId="4" fillId="9" borderId="70" xfId="0" applyFont="1" applyFill="1" applyBorder="1" applyAlignment="1">
      <alignment horizontal="center" vertical="center"/>
    </xf>
    <xf numFmtId="0" fontId="4" fillId="9" borderId="89" xfId="0" applyFont="1" applyFill="1" applyBorder="1" applyAlignment="1">
      <alignment horizontal="center" vertical="center"/>
    </xf>
    <xf numFmtId="0" fontId="5" fillId="0" borderId="13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45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0" borderId="110" xfId="0" applyFont="1" applyBorder="1" applyAlignment="1">
      <alignment horizontal="center" vertical="center"/>
    </xf>
    <xf numFmtId="0" fontId="4" fillId="9" borderId="149" xfId="0" applyFont="1" applyFill="1" applyBorder="1" applyAlignment="1">
      <alignment horizontal="center" vertical="center"/>
    </xf>
    <xf numFmtId="0" fontId="4" fillId="9" borderId="150" xfId="0" applyFont="1" applyFill="1" applyBorder="1" applyAlignment="1">
      <alignment horizontal="center" vertical="center"/>
    </xf>
    <xf numFmtId="0" fontId="4" fillId="9" borderId="151" xfId="0" applyFont="1" applyFill="1" applyBorder="1" applyAlignment="1">
      <alignment horizontal="center" vertical="center"/>
    </xf>
    <xf numFmtId="3" fontId="17" fillId="0" borderId="0" xfId="0" applyNumberFormat="1" applyFont="1" applyAlignment="1">
      <alignment horizontal="left" vertical="center"/>
    </xf>
    <xf numFmtId="0" fontId="15" fillId="0" borderId="114" xfId="0" applyFont="1" applyBorder="1" applyAlignment="1">
      <alignment horizontal="center" vertical="center"/>
    </xf>
    <xf numFmtId="0" fontId="15" fillId="0" borderId="115" xfId="0" applyFont="1" applyBorder="1" applyAlignment="1">
      <alignment horizontal="center" vertical="center"/>
    </xf>
    <xf numFmtId="0" fontId="15" fillId="0" borderId="65" xfId="0" applyFont="1" applyBorder="1" applyAlignment="1">
      <alignment horizontal="center" vertical="center"/>
    </xf>
  </cellXfs>
  <cellStyles count="5">
    <cellStyle name="표준" xfId="0" builtinId="0"/>
    <cellStyle name="표준 2" xfId="1"/>
    <cellStyle name="표준 2 2" xfId="4"/>
    <cellStyle name="표준 3" xfId="2"/>
    <cellStyle name="표준 5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P70"/>
  <sheetViews>
    <sheetView topLeftCell="A34" workbookViewId="0">
      <selection activeCell="P70" sqref="A69:P70"/>
    </sheetView>
  </sheetViews>
  <sheetFormatPr defaultRowHeight="13.5"/>
  <cols>
    <col min="1" max="1" width="11.44140625" bestFit="1" customWidth="1"/>
    <col min="3" max="3" width="24" bestFit="1" customWidth="1"/>
    <col min="4" max="4" width="4.88671875" bestFit="1" customWidth="1"/>
    <col min="5" max="5" width="8.21875" bestFit="1" customWidth="1"/>
    <col min="6" max="41" width="2.21875" customWidth="1"/>
  </cols>
  <sheetData>
    <row r="1" spans="1:42">
      <c r="A1" t="s">
        <v>1230</v>
      </c>
      <c r="B1" t="s">
        <v>1229</v>
      </c>
      <c r="C1" t="s">
        <v>1232</v>
      </c>
      <c r="D1" s="482" t="s">
        <v>1231</v>
      </c>
      <c r="E1" s="482"/>
      <c r="F1" s="482"/>
      <c r="G1" s="482"/>
      <c r="H1" s="482"/>
      <c r="I1" s="482"/>
      <c r="J1" s="482"/>
      <c r="K1" s="482"/>
      <c r="L1" s="482"/>
      <c r="M1" s="482"/>
      <c r="N1" s="482"/>
      <c r="O1" s="482"/>
      <c r="P1" s="482"/>
      <c r="Q1" s="482"/>
      <c r="R1" s="482"/>
      <c r="S1" s="482"/>
      <c r="T1" s="482"/>
      <c r="U1" s="482"/>
      <c r="V1" s="482"/>
      <c r="W1" s="482"/>
      <c r="X1" s="482"/>
      <c r="Y1" s="482"/>
      <c r="Z1" s="482"/>
      <c r="AA1" s="482"/>
      <c r="AB1" s="482"/>
      <c r="AC1" s="482"/>
      <c r="AD1" s="482"/>
      <c r="AE1" s="482"/>
      <c r="AF1" s="482"/>
      <c r="AG1" s="482"/>
      <c r="AH1" s="482"/>
      <c r="AI1" s="482"/>
      <c r="AJ1" s="482"/>
      <c r="AK1" s="482"/>
      <c r="AL1" s="482"/>
      <c r="AM1" s="482"/>
      <c r="AN1" s="482"/>
      <c r="AO1" s="482"/>
      <c r="AP1" t="s">
        <v>1242</v>
      </c>
    </row>
    <row r="2" spans="1:42">
      <c r="D2" t="s">
        <v>1235</v>
      </c>
      <c r="E2" t="s">
        <v>1236</v>
      </c>
    </row>
    <row r="3" spans="1:42">
      <c r="A3" s="223">
        <v>40364</v>
      </c>
      <c r="B3" t="s">
        <v>1227</v>
      </c>
    </row>
    <row r="4" spans="1:42">
      <c r="C4" t="s">
        <v>1233</v>
      </c>
    </row>
    <row r="5" spans="1:42">
      <c r="D5">
        <v>1</v>
      </c>
      <c r="E5" t="s">
        <v>307</v>
      </c>
      <c r="F5" s="192" t="s">
        <v>1238</v>
      </c>
      <c r="AP5" s="192" t="s">
        <v>1244</v>
      </c>
    </row>
    <row r="6" spans="1:42">
      <c r="E6" t="s">
        <v>346</v>
      </c>
      <c r="F6" t="s">
        <v>1258</v>
      </c>
    </row>
    <row r="7" spans="1:42">
      <c r="E7" t="s">
        <v>1113</v>
      </c>
      <c r="F7" t="s">
        <v>1258</v>
      </c>
    </row>
    <row r="8" spans="1:42">
      <c r="E8" t="s">
        <v>1249</v>
      </c>
      <c r="F8" t="s">
        <v>1258</v>
      </c>
    </row>
    <row r="9" spans="1:42">
      <c r="E9" t="s">
        <v>659</v>
      </c>
      <c r="F9" t="s">
        <v>1258</v>
      </c>
    </row>
    <row r="10" spans="1:42">
      <c r="E10" t="s">
        <v>669</v>
      </c>
      <c r="F10" t="s">
        <v>1258</v>
      </c>
    </row>
    <row r="11" spans="1:42">
      <c r="E11" t="s">
        <v>679</v>
      </c>
      <c r="F11" t="s">
        <v>1258</v>
      </c>
    </row>
    <row r="12" spans="1:42">
      <c r="E12" t="s">
        <v>690</v>
      </c>
      <c r="F12" t="s">
        <v>1258</v>
      </c>
    </row>
    <row r="13" spans="1:42">
      <c r="E13" t="s">
        <v>699</v>
      </c>
      <c r="F13" t="s">
        <v>1258</v>
      </c>
    </row>
    <row r="14" spans="1:42">
      <c r="E14" t="s">
        <v>1250</v>
      </c>
      <c r="F14" t="s">
        <v>1258</v>
      </c>
    </row>
    <row r="15" spans="1:42">
      <c r="E15" t="s">
        <v>719</v>
      </c>
      <c r="F15" t="s">
        <v>1258</v>
      </c>
    </row>
    <row r="17" spans="3:42">
      <c r="D17">
        <v>2</v>
      </c>
      <c r="E17" t="s">
        <v>728</v>
      </c>
      <c r="F17" s="192" t="s">
        <v>1253</v>
      </c>
      <c r="AP17" s="192" t="s">
        <v>1252</v>
      </c>
    </row>
    <row r="19" spans="3:42">
      <c r="C19" t="s">
        <v>1254</v>
      </c>
      <c r="D19" s="194">
        <v>1</v>
      </c>
      <c r="E19" t="s">
        <v>294</v>
      </c>
      <c r="F19" s="192" t="s">
        <v>1237</v>
      </c>
      <c r="AP19" s="192" t="s">
        <v>1243</v>
      </c>
    </row>
    <row r="20" spans="3:42">
      <c r="G20" t="s">
        <v>1239</v>
      </c>
    </row>
    <row r="21" spans="3:42">
      <c r="G21" t="s">
        <v>1240</v>
      </c>
    </row>
    <row r="22" spans="3:42">
      <c r="H22" s="224" t="s">
        <v>1241</v>
      </c>
    </row>
    <row r="24" spans="3:42">
      <c r="D24">
        <v>2</v>
      </c>
      <c r="E24" t="s">
        <v>297</v>
      </c>
      <c r="F24" s="192" t="s">
        <v>1245</v>
      </c>
      <c r="AP24" s="192" t="s">
        <v>1259</v>
      </c>
    </row>
    <row r="25" spans="3:42">
      <c r="G25" t="s">
        <v>1246</v>
      </c>
    </row>
    <row r="26" spans="3:42">
      <c r="G26" t="s">
        <v>1247</v>
      </c>
    </row>
    <row r="27" spans="3:42">
      <c r="G27" t="s">
        <v>1248</v>
      </c>
    </row>
    <row r="29" spans="3:42">
      <c r="D29">
        <v>3</v>
      </c>
      <c r="E29" t="s">
        <v>306</v>
      </c>
      <c r="F29" s="192" t="s">
        <v>1255</v>
      </c>
      <c r="AP29" s="192" t="s">
        <v>1260</v>
      </c>
    </row>
    <row r="30" spans="3:42">
      <c r="G30" t="s">
        <v>1256</v>
      </c>
    </row>
    <row r="31" spans="3:42">
      <c r="H31" s="224" t="s">
        <v>1257</v>
      </c>
    </row>
    <row r="33" spans="1:42">
      <c r="D33">
        <v>4</v>
      </c>
      <c r="E33" t="s">
        <v>1261</v>
      </c>
      <c r="F33" s="192" t="s">
        <v>1262</v>
      </c>
      <c r="AP33" s="192" t="s">
        <v>1263</v>
      </c>
    </row>
    <row r="35" spans="1:42">
      <c r="C35" t="s">
        <v>1264</v>
      </c>
      <c r="D35">
        <v>1</v>
      </c>
      <c r="E35" t="s">
        <v>648</v>
      </c>
      <c r="F35" s="192" t="s">
        <v>1266</v>
      </c>
      <c r="AP35" s="192" t="s">
        <v>1267</v>
      </c>
    </row>
    <row r="38" spans="1:42">
      <c r="A38" s="223">
        <v>40367</v>
      </c>
      <c r="B38" t="s">
        <v>1228</v>
      </c>
    </row>
    <row r="39" spans="1:42">
      <c r="C39" t="s">
        <v>1264</v>
      </c>
      <c r="D39">
        <v>1</v>
      </c>
      <c r="E39" t="s">
        <v>1265</v>
      </c>
      <c r="F39" s="192" t="s">
        <v>1268</v>
      </c>
      <c r="AP39" s="192" t="s">
        <v>1271</v>
      </c>
    </row>
    <row r="40" spans="1:42">
      <c r="G40" t="s">
        <v>1269</v>
      </c>
    </row>
    <row r="41" spans="1:42">
      <c r="G41" t="s">
        <v>1270</v>
      </c>
    </row>
    <row r="43" spans="1:42">
      <c r="C43" t="s">
        <v>1233</v>
      </c>
      <c r="D43">
        <v>1</v>
      </c>
      <c r="E43" t="s">
        <v>1272</v>
      </c>
      <c r="F43" s="192" t="s">
        <v>1273</v>
      </c>
    </row>
    <row r="44" spans="1:42">
      <c r="G44" t="s">
        <v>1274</v>
      </c>
      <c r="AP44" s="192" t="s">
        <v>1275</v>
      </c>
    </row>
    <row r="46" spans="1:42">
      <c r="D46">
        <v>2</v>
      </c>
      <c r="E46" t="s">
        <v>1251</v>
      </c>
      <c r="F46" s="192" t="s">
        <v>1276</v>
      </c>
      <c r="AP46" s="192" t="s">
        <v>1277</v>
      </c>
    </row>
    <row r="49" spans="1:7">
      <c r="A49" s="223">
        <v>40394</v>
      </c>
      <c r="B49" t="s">
        <v>1286</v>
      </c>
      <c r="C49" t="s">
        <v>1324</v>
      </c>
      <c r="D49">
        <v>1</v>
      </c>
      <c r="F49" s="192" t="s">
        <v>1325</v>
      </c>
    </row>
    <row r="51" spans="1:7">
      <c r="A51" s="223">
        <v>40477</v>
      </c>
      <c r="B51" t="s">
        <v>1407</v>
      </c>
      <c r="C51" t="s">
        <v>1419</v>
      </c>
      <c r="D51">
        <v>1</v>
      </c>
      <c r="E51" t="s">
        <v>1439</v>
      </c>
      <c r="F51" t="s">
        <v>1412</v>
      </c>
      <c r="G51" t="s">
        <v>1413</v>
      </c>
    </row>
    <row r="53" spans="1:7">
      <c r="C53" t="s">
        <v>1420</v>
      </c>
      <c r="D53">
        <v>2</v>
      </c>
      <c r="E53" t="s">
        <v>1440</v>
      </c>
      <c r="F53" t="s">
        <v>1412</v>
      </c>
      <c r="G53" t="s">
        <v>1413</v>
      </c>
    </row>
    <row r="55" spans="1:7">
      <c r="C55" t="s">
        <v>1411</v>
      </c>
      <c r="D55">
        <v>3</v>
      </c>
      <c r="E55" t="s">
        <v>1441</v>
      </c>
      <c r="F55" t="s">
        <v>1412</v>
      </c>
      <c r="G55" t="s">
        <v>1413</v>
      </c>
    </row>
    <row r="57" spans="1:7">
      <c r="C57" t="s">
        <v>1421</v>
      </c>
      <c r="D57">
        <v>4</v>
      </c>
      <c r="E57" t="s">
        <v>1441</v>
      </c>
      <c r="F57" t="s">
        <v>1412</v>
      </c>
      <c r="G57" t="s">
        <v>1413</v>
      </c>
    </row>
    <row r="59" spans="1:7">
      <c r="C59" t="s">
        <v>1264</v>
      </c>
      <c r="D59">
        <v>5</v>
      </c>
      <c r="E59" t="s">
        <v>1265</v>
      </c>
      <c r="F59" t="s">
        <v>1412</v>
      </c>
      <c r="G59" t="s">
        <v>1422</v>
      </c>
    </row>
    <row r="61" spans="1:7">
      <c r="C61" t="s">
        <v>1414</v>
      </c>
      <c r="D61">
        <v>6</v>
      </c>
      <c r="E61" t="s">
        <v>1442</v>
      </c>
      <c r="F61" t="s">
        <v>1412</v>
      </c>
      <c r="G61" t="s">
        <v>1413</v>
      </c>
    </row>
    <row r="63" spans="1:7">
      <c r="C63" t="s">
        <v>1429</v>
      </c>
      <c r="D63">
        <v>7</v>
      </c>
      <c r="E63" t="s">
        <v>1443</v>
      </c>
      <c r="F63" t="s">
        <v>1412</v>
      </c>
      <c r="G63" t="s">
        <v>1413</v>
      </c>
    </row>
    <row r="65" spans="1:7">
      <c r="C65" t="s">
        <v>1762</v>
      </c>
      <c r="D65">
        <v>8</v>
      </c>
      <c r="E65" t="s">
        <v>1444</v>
      </c>
      <c r="F65" s="192" t="s">
        <v>1408</v>
      </c>
      <c r="G65" t="s">
        <v>1413</v>
      </c>
    </row>
    <row r="67" spans="1:7">
      <c r="A67" s="223">
        <v>40508</v>
      </c>
      <c r="B67" t="s">
        <v>1767</v>
      </c>
      <c r="C67" t="s">
        <v>1768</v>
      </c>
      <c r="D67">
        <v>1</v>
      </c>
      <c r="E67" t="s">
        <v>191</v>
      </c>
      <c r="F67" s="192" t="s">
        <v>1769</v>
      </c>
    </row>
    <row r="69" spans="1:7">
      <c r="A69" s="223">
        <v>40510</v>
      </c>
      <c r="B69" t="s">
        <v>1770</v>
      </c>
      <c r="C69" t="s">
        <v>1768</v>
      </c>
      <c r="D69">
        <v>1</v>
      </c>
      <c r="E69" t="s">
        <v>1771</v>
      </c>
      <c r="F69" s="192" t="s">
        <v>1773</v>
      </c>
    </row>
    <row r="70" spans="1:7">
      <c r="D70">
        <v>2</v>
      </c>
      <c r="E70" t="s">
        <v>1772</v>
      </c>
      <c r="F70" s="192" t="s">
        <v>1774</v>
      </c>
    </row>
  </sheetData>
  <mergeCells count="1">
    <mergeCell ref="D1:AO1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M116"/>
  <sheetViews>
    <sheetView zoomScale="85" zoomScaleNormal="85" workbookViewId="0">
      <selection activeCell="K58" sqref="A56:K58"/>
    </sheetView>
  </sheetViews>
  <sheetFormatPr defaultRowHeight="17.25" customHeight="1"/>
  <cols>
    <col min="1" max="1" width="5.6640625" style="56" bestFit="1" customWidth="1"/>
    <col min="2" max="2" width="5.77734375" style="56" bestFit="1" customWidth="1"/>
    <col min="3" max="3" width="10.33203125" style="51" bestFit="1" customWidth="1"/>
    <col min="4" max="4" width="7.6640625" style="51" bestFit="1" customWidth="1"/>
    <col min="5" max="5" width="9.5546875" style="51" bestFit="1" customWidth="1"/>
    <col min="6" max="6" width="7.77734375" style="51" bestFit="1" customWidth="1"/>
    <col min="7" max="7" width="6.6640625" style="51" bestFit="1" customWidth="1"/>
    <col min="8" max="8" width="6.88671875" style="51" bestFit="1" customWidth="1"/>
    <col min="9" max="9" width="6.77734375" style="51" bestFit="1" customWidth="1"/>
    <col min="10" max="10" width="9" style="51" bestFit="1" customWidth="1"/>
    <col min="11" max="11" width="7.33203125" style="56" bestFit="1" customWidth="1"/>
    <col min="12" max="16384" width="8.88671875" style="51"/>
  </cols>
  <sheetData>
    <row r="1" spans="1:13" ht="17.25" customHeight="1">
      <c r="A1" s="623" t="s">
        <v>1530</v>
      </c>
      <c r="B1" s="624"/>
      <c r="C1" s="624"/>
      <c r="D1" s="624"/>
      <c r="E1" s="624"/>
      <c r="F1" s="624"/>
      <c r="G1" s="624"/>
      <c r="H1" s="624"/>
      <c r="I1" s="624"/>
      <c r="J1" s="624"/>
      <c r="K1" s="625"/>
    </row>
    <row r="2" spans="1:13" ht="17.25" customHeight="1">
      <c r="A2" s="337" t="s">
        <v>1531</v>
      </c>
      <c r="B2" s="363"/>
      <c r="C2" s="309" t="s">
        <v>1532</v>
      </c>
      <c r="D2" s="310"/>
      <c r="E2" s="311"/>
      <c r="F2" s="311"/>
      <c r="G2" s="311"/>
      <c r="H2" s="311"/>
      <c r="I2" s="311"/>
      <c r="J2" s="311" t="s">
        <v>52</v>
      </c>
      <c r="K2" s="312" t="s">
        <v>1533</v>
      </c>
    </row>
    <row r="3" spans="1:13" ht="17.25" customHeight="1">
      <c r="A3" s="337" t="s">
        <v>1534</v>
      </c>
      <c r="B3" s="363"/>
      <c r="C3" s="309" t="s">
        <v>1535</v>
      </c>
      <c r="D3" s="311"/>
      <c r="E3" s="311"/>
      <c r="F3" s="311"/>
      <c r="G3" s="311"/>
      <c r="H3" s="311"/>
      <c r="I3" s="311"/>
      <c r="J3" s="311" t="s">
        <v>1536</v>
      </c>
      <c r="K3" s="312" t="s">
        <v>1537</v>
      </c>
    </row>
    <row r="4" spans="1:13" ht="17.25" customHeight="1" thickBot="1">
      <c r="A4" s="338"/>
      <c r="B4" s="364"/>
      <c r="C4" s="313"/>
      <c r="D4" s="313"/>
      <c r="E4" s="313"/>
      <c r="F4" s="313"/>
      <c r="G4" s="313"/>
      <c r="H4" s="313"/>
      <c r="I4" s="313"/>
      <c r="J4" s="313" t="s">
        <v>1538</v>
      </c>
      <c r="K4" s="314" t="s">
        <v>1539</v>
      </c>
    </row>
    <row r="5" spans="1:13" ht="17.25" customHeight="1" thickBot="1">
      <c r="A5" s="561" t="s">
        <v>1540</v>
      </c>
      <c r="B5" s="562"/>
      <c r="C5" s="562"/>
      <c r="D5" s="562"/>
      <c r="E5" s="562"/>
      <c r="F5" s="562"/>
      <c r="G5" s="562"/>
      <c r="H5" s="562"/>
      <c r="I5" s="562"/>
      <c r="J5" s="562"/>
      <c r="K5" s="563"/>
    </row>
    <row r="6" spans="1:13" ht="17.25" customHeight="1" thickBot="1">
      <c r="A6" s="339" t="s">
        <v>1541</v>
      </c>
      <c r="B6" s="365" t="s">
        <v>1542</v>
      </c>
      <c r="C6" s="315" t="s">
        <v>1543</v>
      </c>
      <c r="D6" s="316" t="s">
        <v>1544</v>
      </c>
      <c r="E6" s="316" t="s">
        <v>1545</v>
      </c>
      <c r="F6" s="316" t="s">
        <v>1546</v>
      </c>
      <c r="G6" s="316" t="s">
        <v>1547</v>
      </c>
      <c r="H6" s="316" t="s">
        <v>1548</v>
      </c>
      <c r="I6" s="316" t="s">
        <v>1549</v>
      </c>
      <c r="J6" s="317" t="s">
        <v>1550</v>
      </c>
      <c r="K6" s="351" t="s">
        <v>1551</v>
      </c>
    </row>
    <row r="7" spans="1:13" ht="17.25" customHeight="1">
      <c r="A7" s="340">
        <v>0</v>
      </c>
      <c r="B7" s="361" t="s">
        <v>1552</v>
      </c>
      <c r="C7" s="634" t="s">
        <v>1553</v>
      </c>
      <c r="D7" s="635"/>
      <c r="E7" s="635"/>
      <c r="F7" s="635"/>
      <c r="G7" s="635"/>
      <c r="H7" s="635"/>
      <c r="I7" s="635"/>
      <c r="J7" s="636"/>
      <c r="K7" s="353">
        <v>1</v>
      </c>
    </row>
    <row r="8" spans="1:13" ht="17.25" customHeight="1">
      <c r="A8" s="341" t="s">
        <v>1554</v>
      </c>
      <c r="B8" s="366" t="s">
        <v>1555</v>
      </c>
      <c r="C8" s="630" t="s">
        <v>1556</v>
      </c>
      <c r="D8" s="637"/>
      <c r="E8" s="637"/>
      <c r="F8" s="637"/>
      <c r="G8" s="637"/>
      <c r="H8" s="637"/>
      <c r="I8" s="637"/>
      <c r="J8" s="638"/>
      <c r="K8" s="343">
        <v>2</v>
      </c>
      <c r="L8" s="51">
        <v>16</v>
      </c>
      <c r="M8" s="51">
        <v>16</v>
      </c>
    </row>
    <row r="9" spans="1:13" ht="17.25" customHeight="1">
      <c r="A9" s="341" t="s">
        <v>1557</v>
      </c>
      <c r="B9" s="366" t="s">
        <v>1558</v>
      </c>
      <c r="C9" s="639" t="s">
        <v>1559</v>
      </c>
      <c r="D9" s="576"/>
      <c r="E9" s="576"/>
      <c r="F9" s="576"/>
      <c r="G9" s="576"/>
      <c r="H9" s="576"/>
      <c r="I9" s="576"/>
      <c r="J9" s="577"/>
      <c r="K9" s="343">
        <v>2</v>
      </c>
      <c r="L9" s="51">
        <v>17</v>
      </c>
      <c r="M9" s="51">
        <v>17</v>
      </c>
    </row>
    <row r="10" spans="1:13" ht="17.25" customHeight="1">
      <c r="A10" s="341" t="s">
        <v>1560</v>
      </c>
      <c r="B10" s="366" t="s">
        <v>1561</v>
      </c>
      <c r="C10" s="630" t="s">
        <v>1562</v>
      </c>
      <c r="D10" s="578"/>
      <c r="E10" s="578"/>
      <c r="F10" s="578"/>
      <c r="G10" s="578"/>
      <c r="H10" s="578"/>
      <c r="I10" s="578"/>
      <c r="J10" s="579"/>
      <c r="K10" s="343">
        <v>2</v>
      </c>
      <c r="L10" s="51" t="s">
        <v>1750</v>
      </c>
      <c r="M10" s="51">
        <v>43</v>
      </c>
    </row>
    <row r="11" spans="1:13" ht="17.25" customHeight="1">
      <c r="A11" s="341" t="s">
        <v>1563</v>
      </c>
      <c r="B11" s="366" t="s">
        <v>1564</v>
      </c>
      <c r="C11" s="631" t="s">
        <v>1565</v>
      </c>
      <c r="D11" s="632"/>
      <c r="E11" s="632"/>
      <c r="F11" s="632"/>
      <c r="G11" s="632"/>
      <c r="H11" s="632"/>
      <c r="I11" s="632"/>
      <c r="J11" s="633"/>
      <c r="K11" s="343">
        <v>2</v>
      </c>
      <c r="L11" s="51">
        <v>10</v>
      </c>
      <c r="M11" s="51">
        <v>10</v>
      </c>
    </row>
    <row r="12" spans="1:13" ht="17.25" customHeight="1" thickBot="1">
      <c r="A12" s="342" t="s">
        <v>1566</v>
      </c>
      <c r="B12" s="362" t="s">
        <v>1567</v>
      </c>
      <c r="C12" s="640" t="s">
        <v>1568</v>
      </c>
      <c r="D12" s="584"/>
      <c r="E12" s="584"/>
      <c r="F12" s="584"/>
      <c r="G12" s="584"/>
      <c r="H12" s="584"/>
      <c r="I12" s="584"/>
      <c r="J12" s="585"/>
      <c r="K12" s="336">
        <v>2</v>
      </c>
      <c r="L12" s="51">
        <v>23</v>
      </c>
      <c r="M12" s="51">
        <v>23</v>
      </c>
    </row>
    <row r="13" spans="1:13" ht="17.25" customHeight="1">
      <c r="A13" s="496" t="s">
        <v>1569</v>
      </c>
      <c r="B13" s="496" t="s">
        <v>1570</v>
      </c>
      <c r="C13" s="318" t="s">
        <v>30</v>
      </c>
      <c r="D13" s="508" t="s">
        <v>1571</v>
      </c>
      <c r="E13" s="506"/>
      <c r="F13" s="507"/>
      <c r="G13" s="646" t="s">
        <v>30</v>
      </c>
      <c r="H13" s="508" t="s">
        <v>1572</v>
      </c>
      <c r="I13" s="506"/>
      <c r="J13" s="509"/>
      <c r="K13" s="513">
        <v>2</v>
      </c>
    </row>
    <row r="14" spans="1:13" ht="17.25" customHeight="1" thickBot="1">
      <c r="A14" s="497"/>
      <c r="B14" s="497"/>
      <c r="C14" s="319"/>
      <c r="D14" s="320" t="s">
        <v>1573</v>
      </c>
      <c r="E14" s="320" t="s">
        <v>1574</v>
      </c>
      <c r="F14" s="320" t="s">
        <v>1575</v>
      </c>
      <c r="G14" s="647"/>
      <c r="H14" s="320" t="s">
        <v>1573</v>
      </c>
      <c r="I14" s="320" t="s">
        <v>1574</v>
      </c>
      <c r="J14" s="321" t="s">
        <v>1575</v>
      </c>
      <c r="K14" s="514"/>
      <c r="L14" s="51">
        <v>4</v>
      </c>
      <c r="M14" s="51">
        <v>4</v>
      </c>
    </row>
    <row r="15" spans="1:13" ht="17.25" customHeight="1">
      <c r="A15" s="496" t="s">
        <v>1431</v>
      </c>
      <c r="B15" s="496" t="s">
        <v>1576</v>
      </c>
      <c r="C15" s="593" t="s">
        <v>1577</v>
      </c>
      <c r="D15" s="593"/>
      <c r="E15" s="593"/>
      <c r="F15" s="593"/>
      <c r="G15" s="615" t="s">
        <v>1578</v>
      </c>
      <c r="H15" s="593"/>
      <c r="I15" s="593"/>
      <c r="J15" s="593"/>
      <c r="K15" s="628">
        <v>2</v>
      </c>
    </row>
    <row r="16" spans="1:13" ht="17.25" customHeight="1" thickBot="1">
      <c r="A16" s="497"/>
      <c r="B16" s="497"/>
      <c r="C16" s="322" t="s">
        <v>1579</v>
      </c>
      <c r="D16" s="323" t="s">
        <v>1580</v>
      </c>
      <c r="E16" s="323" t="s">
        <v>1581</v>
      </c>
      <c r="F16" s="323" t="s">
        <v>1582</v>
      </c>
      <c r="G16" s="322" t="s">
        <v>1579</v>
      </c>
      <c r="H16" s="323" t="s">
        <v>1580</v>
      </c>
      <c r="I16" s="323" t="s">
        <v>1581</v>
      </c>
      <c r="J16" s="333" t="s">
        <v>1582</v>
      </c>
      <c r="K16" s="629"/>
      <c r="L16" s="51">
        <v>8</v>
      </c>
      <c r="M16" s="51">
        <v>8</v>
      </c>
    </row>
    <row r="17" spans="1:13" ht="17.25" customHeight="1">
      <c r="A17" s="496" t="s">
        <v>1409</v>
      </c>
      <c r="B17" s="496" t="s">
        <v>1583</v>
      </c>
      <c r="C17" s="506" t="s">
        <v>1584</v>
      </c>
      <c r="D17" s="506"/>
      <c r="E17" s="506"/>
      <c r="F17" s="507"/>
      <c r="G17" s="500" t="s">
        <v>1585</v>
      </c>
      <c r="H17" s="500"/>
      <c r="I17" s="500" t="s">
        <v>1586</v>
      </c>
      <c r="J17" s="501"/>
      <c r="K17" s="626">
        <v>2</v>
      </c>
    </row>
    <row r="18" spans="1:13" ht="17.25" customHeight="1" thickBot="1">
      <c r="A18" s="497"/>
      <c r="B18" s="497"/>
      <c r="C18" s="350" t="s">
        <v>1573</v>
      </c>
      <c r="D18" s="641" t="s">
        <v>30</v>
      </c>
      <c r="E18" s="642"/>
      <c r="F18" s="643"/>
      <c r="G18" s="320" t="s">
        <v>1579</v>
      </c>
      <c r="H18" s="320" t="s">
        <v>1587</v>
      </c>
      <c r="I18" s="320" t="s">
        <v>1579</v>
      </c>
      <c r="J18" s="321" t="s">
        <v>1587</v>
      </c>
      <c r="K18" s="627"/>
      <c r="L18" s="51">
        <v>4</v>
      </c>
      <c r="M18" s="51">
        <v>4</v>
      </c>
    </row>
    <row r="19" spans="1:13" ht="17.25" customHeight="1" thickBot="1">
      <c r="A19" s="343" t="s">
        <v>1063</v>
      </c>
      <c r="B19" s="368" t="s">
        <v>1588</v>
      </c>
      <c r="C19" s="324" t="s">
        <v>30</v>
      </c>
      <c r="D19" s="325" t="s">
        <v>1589</v>
      </c>
      <c r="E19" s="326" t="s">
        <v>1590</v>
      </c>
      <c r="F19" s="325" t="s">
        <v>1591</v>
      </c>
      <c r="G19" s="325" t="s">
        <v>1592</v>
      </c>
      <c r="H19" s="325" t="s">
        <v>1593</v>
      </c>
      <c r="I19" s="325" t="s">
        <v>1594</v>
      </c>
      <c r="J19" s="327" t="s">
        <v>31</v>
      </c>
      <c r="K19" s="353">
        <v>2</v>
      </c>
      <c r="L19" s="51">
        <v>45</v>
      </c>
      <c r="M19" s="51">
        <v>45</v>
      </c>
    </row>
    <row r="20" spans="1:13" ht="17.25" customHeight="1" thickBot="1">
      <c r="A20" s="339" t="s">
        <v>1064</v>
      </c>
      <c r="B20" s="365" t="s">
        <v>1595</v>
      </c>
      <c r="C20" s="374" t="s">
        <v>1596</v>
      </c>
      <c r="D20" s="328" t="s">
        <v>1597</v>
      </c>
      <c r="E20" s="328" t="s">
        <v>1598</v>
      </c>
      <c r="F20" s="373" t="s">
        <v>1599</v>
      </c>
      <c r="G20" s="616" t="s">
        <v>1600</v>
      </c>
      <c r="H20" s="617"/>
      <c r="I20" s="617"/>
      <c r="J20" s="618"/>
      <c r="K20" s="354">
        <v>2</v>
      </c>
      <c r="L20" s="51">
        <v>40</v>
      </c>
      <c r="M20" s="51">
        <v>40</v>
      </c>
    </row>
    <row r="21" spans="1:13" ht="17.25" customHeight="1">
      <c r="A21" s="334" t="s">
        <v>1065</v>
      </c>
      <c r="B21" s="496" t="s">
        <v>1601</v>
      </c>
      <c r="C21" s="606" t="s">
        <v>1602</v>
      </c>
      <c r="D21" s="559"/>
      <c r="E21" s="559"/>
      <c r="F21" s="559"/>
      <c r="G21" s="559" t="s">
        <v>1603</v>
      </c>
      <c r="H21" s="559"/>
      <c r="I21" s="559"/>
      <c r="J21" s="560"/>
      <c r="K21" s="353">
        <v>2</v>
      </c>
      <c r="L21" s="51">
        <v>0</v>
      </c>
      <c r="M21" s="51">
        <v>0</v>
      </c>
    </row>
    <row r="22" spans="1:13" ht="17.25" customHeight="1">
      <c r="A22" s="341" t="s">
        <v>1066</v>
      </c>
      <c r="B22" s="521"/>
      <c r="C22" s="619" t="s">
        <v>1604</v>
      </c>
      <c r="D22" s="604"/>
      <c r="E22" s="604"/>
      <c r="F22" s="604"/>
      <c r="G22" s="604" t="s">
        <v>1605</v>
      </c>
      <c r="H22" s="604"/>
      <c r="I22" s="604"/>
      <c r="J22" s="605"/>
      <c r="K22" s="352">
        <v>2</v>
      </c>
      <c r="L22" s="51">
        <v>98</v>
      </c>
      <c r="M22" s="51">
        <v>98</v>
      </c>
    </row>
    <row r="23" spans="1:13" ht="17.25" customHeight="1" thickBot="1">
      <c r="A23" s="342" t="s">
        <v>1067</v>
      </c>
      <c r="B23" s="497"/>
      <c r="C23" s="530" t="s">
        <v>1606</v>
      </c>
      <c r="D23" s="498"/>
      <c r="E23" s="498"/>
      <c r="F23" s="498"/>
      <c r="G23" s="498" t="s">
        <v>1607</v>
      </c>
      <c r="H23" s="498"/>
      <c r="I23" s="498"/>
      <c r="J23" s="499"/>
      <c r="K23" s="354">
        <v>2</v>
      </c>
      <c r="L23" s="51">
        <v>45</v>
      </c>
      <c r="M23" s="51">
        <v>45</v>
      </c>
    </row>
    <row r="24" spans="1:13" ht="17.25" customHeight="1">
      <c r="A24" s="340" t="s">
        <v>1068</v>
      </c>
      <c r="B24" s="496" t="s">
        <v>1608</v>
      </c>
      <c r="C24" s="522" t="s">
        <v>1609</v>
      </c>
      <c r="D24" s="500"/>
      <c r="E24" s="500"/>
      <c r="F24" s="500"/>
      <c r="G24" s="500" t="s">
        <v>1610</v>
      </c>
      <c r="H24" s="500"/>
      <c r="I24" s="500"/>
      <c r="J24" s="501"/>
      <c r="K24" s="353">
        <v>2</v>
      </c>
      <c r="L24" s="51">
        <v>0</v>
      </c>
      <c r="M24" s="51">
        <v>0</v>
      </c>
    </row>
    <row r="25" spans="1:13" ht="17.25" customHeight="1">
      <c r="A25" s="341" t="s">
        <v>1069</v>
      </c>
      <c r="B25" s="521"/>
      <c r="C25" s="594" t="s">
        <v>1611</v>
      </c>
      <c r="D25" s="595"/>
      <c r="E25" s="595"/>
      <c r="F25" s="595"/>
      <c r="G25" s="595" t="s">
        <v>1612</v>
      </c>
      <c r="H25" s="595"/>
      <c r="I25" s="595"/>
      <c r="J25" s="603"/>
      <c r="K25" s="352">
        <v>2</v>
      </c>
      <c r="L25" s="51">
        <v>0</v>
      </c>
      <c r="M25" s="51">
        <v>0</v>
      </c>
    </row>
    <row r="26" spans="1:13" ht="17.25" customHeight="1" thickBot="1">
      <c r="A26" s="344" t="s">
        <v>1070</v>
      </c>
      <c r="B26" s="497"/>
      <c r="C26" s="596" t="s">
        <v>1613</v>
      </c>
      <c r="D26" s="597"/>
      <c r="E26" s="597"/>
      <c r="F26" s="597"/>
      <c r="G26" s="597" t="s">
        <v>1614</v>
      </c>
      <c r="H26" s="597"/>
      <c r="I26" s="597"/>
      <c r="J26" s="609"/>
      <c r="K26" s="336">
        <v>2</v>
      </c>
      <c r="L26" s="51">
        <v>0</v>
      </c>
      <c r="M26" s="51">
        <v>0</v>
      </c>
    </row>
    <row r="27" spans="1:13" ht="17.25" customHeight="1">
      <c r="A27" s="496" t="s">
        <v>1071</v>
      </c>
      <c r="B27" s="496" t="s">
        <v>1615</v>
      </c>
      <c r="C27" s="620" t="s">
        <v>1616</v>
      </c>
      <c r="D27" s="621"/>
      <c r="E27" s="621"/>
      <c r="F27" s="622"/>
      <c r="G27" s="648" t="s">
        <v>1617</v>
      </c>
      <c r="H27" s="649"/>
      <c r="I27" s="649"/>
      <c r="J27" s="650"/>
      <c r="K27" s="644">
        <v>2</v>
      </c>
    </row>
    <row r="28" spans="1:13" ht="17.25" customHeight="1" thickBot="1">
      <c r="A28" s="497"/>
      <c r="B28" s="497"/>
      <c r="C28" s="370" t="s">
        <v>1618</v>
      </c>
      <c r="D28" s="359" t="s">
        <v>1619</v>
      </c>
      <c r="E28" s="359" t="s">
        <v>1620</v>
      </c>
      <c r="F28" s="359" t="s">
        <v>1621</v>
      </c>
      <c r="G28" s="358" t="s">
        <v>1622</v>
      </c>
      <c r="H28" s="359" t="s">
        <v>1623</v>
      </c>
      <c r="I28" s="359" t="s">
        <v>1624</v>
      </c>
      <c r="J28" s="360" t="s">
        <v>1625</v>
      </c>
      <c r="K28" s="645"/>
      <c r="L28" s="51">
        <v>0</v>
      </c>
      <c r="M28" s="51">
        <v>0</v>
      </c>
    </row>
    <row r="29" spans="1:13" ht="17.25" customHeight="1">
      <c r="A29" s="496" t="s">
        <v>1072</v>
      </c>
      <c r="B29" s="496" t="s">
        <v>1626</v>
      </c>
      <c r="C29" s="515" t="s">
        <v>1627</v>
      </c>
      <c r="D29" s="516"/>
      <c r="E29" s="516"/>
      <c r="F29" s="517"/>
      <c r="G29" s="518" t="s">
        <v>1628</v>
      </c>
      <c r="H29" s="516"/>
      <c r="I29" s="516"/>
      <c r="J29" s="519"/>
      <c r="K29" s="513">
        <v>2</v>
      </c>
    </row>
    <row r="30" spans="1:13" ht="17.25" customHeight="1" thickBot="1">
      <c r="A30" s="497"/>
      <c r="B30" s="497"/>
      <c r="C30" s="329" t="s">
        <v>1618</v>
      </c>
      <c r="D30" s="330" t="s">
        <v>1619</v>
      </c>
      <c r="E30" s="330" t="s">
        <v>1620</v>
      </c>
      <c r="F30" s="330" t="s">
        <v>1621</v>
      </c>
      <c r="G30" s="331" t="s">
        <v>1622</v>
      </c>
      <c r="H30" s="330" t="s">
        <v>1623</v>
      </c>
      <c r="I30" s="330" t="s">
        <v>1624</v>
      </c>
      <c r="J30" s="332" t="s">
        <v>1625</v>
      </c>
      <c r="K30" s="514"/>
      <c r="L30" s="51">
        <v>0</v>
      </c>
      <c r="M30" s="51">
        <v>0</v>
      </c>
    </row>
    <row r="31" spans="1:13" ht="17.25" customHeight="1">
      <c r="A31" s="485" t="s">
        <v>556</v>
      </c>
      <c r="B31" s="485" t="s">
        <v>1629</v>
      </c>
      <c r="C31" s="610" t="s">
        <v>1630</v>
      </c>
      <c r="D31" s="611"/>
      <c r="E31" s="611"/>
      <c r="F31" s="612"/>
      <c r="G31" s="613" t="s">
        <v>1631</v>
      </c>
      <c r="H31" s="611"/>
      <c r="I31" s="611"/>
      <c r="J31" s="614"/>
      <c r="K31" s="511">
        <v>2</v>
      </c>
    </row>
    <row r="32" spans="1:13" ht="17.25" customHeight="1" thickBot="1">
      <c r="A32" s="520"/>
      <c r="B32" s="520"/>
      <c r="C32" s="531" t="s">
        <v>1632</v>
      </c>
      <c r="D32" s="532"/>
      <c r="E32" s="532"/>
      <c r="F32" s="532"/>
      <c r="G32" s="532"/>
      <c r="H32" s="532"/>
      <c r="I32" s="532"/>
      <c r="J32" s="533"/>
      <c r="K32" s="512"/>
      <c r="L32" s="51">
        <v>0</v>
      </c>
      <c r="M32" s="51">
        <v>0</v>
      </c>
    </row>
    <row r="33" spans="1:13" ht="17.25" customHeight="1">
      <c r="A33" s="335" t="s">
        <v>1073</v>
      </c>
      <c r="B33" s="496" t="s">
        <v>1633</v>
      </c>
      <c r="C33" s="606" t="s">
        <v>1634</v>
      </c>
      <c r="D33" s="559"/>
      <c r="E33" s="559"/>
      <c r="F33" s="559"/>
      <c r="G33" s="559" t="s">
        <v>1635</v>
      </c>
      <c r="H33" s="559"/>
      <c r="I33" s="559"/>
      <c r="J33" s="560"/>
      <c r="K33" s="343">
        <v>2</v>
      </c>
      <c r="L33" s="51">
        <v>0</v>
      </c>
      <c r="M33" s="51">
        <v>0</v>
      </c>
    </row>
    <row r="34" spans="1:13" ht="17.25" customHeight="1">
      <c r="A34" s="343" t="s">
        <v>1074</v>
      </c>
      <c r="B34" s="521"/>
      <c r="C34" s="606" t="s">
        <v>1636</v>
      </c>
      <c r="D34" s="559"/>
      <c r="E34" s="559"/>
      <c r="F34" s="559"/>
      <c r="G34" s="559" t="s">
        <v>1637</v>
      </c>
      <c r="H34" s="559"/>
      <c r="I34" s="559"/>
      <c r="J34" s="560"/>
      <c r="K34" s="343">
        <v>2</v>
      </c>
      <c r="L34" s="51">
        <v>0</v>
      </c>
      <c r="M34" s="51">
        <v>0</v>
      </c>
    </row>
    <row r="35" spans="1:13" ht="17.25" customHeight="1" thickBot="1">
      <c r="A35" s="336" t="s">
        <v>1075</v>
      </c>
      <c r="B35" s="497"/>
      <c r="C35" s="530" t="s">
        <v>1638</v>
      </c>
      <c r="D35" s="498"/>
      <c r="E35" s="498"/>
      <c r="F35" s="498"/>
      <c r="G35" s="498" t="s">
        <v>1639</v>
      </c>
      <c r="H35" s="498"/>
      <c r="I35" s="498"/>
      <c r="J35" s="499"/>
      <c r="K35" s="354">
        <v>2</v>
      </c>
      <c r="L35" s="51">
        <v>0</v>
      </c>
      <c r="M35" s="51">
        <v>0</v>
      </c>
    </row>
    <row r="36" spans="1:13" ht="17.25" customHeight="1">
      <c r="A36" s="335" t="s">
        <v>1076</v>
      </c>
      <c r="B36" s="496" t="s">
        <v>1640</v>
      </c>
      <c r="C36" s="505" t="s">
        <v>30</v>
      </c>
      <c r="D36" s="506"/>
      <c r="E36" s="506"/>
      <c r="F36" s="507"/>
      <c r="G36" s="508" t="s">
        <v>1641</v>
      </c>
      <c r="H36" s="506"/>
      <c r="I36" s="506"/>
      <c r="J36" s="509"/>
      <c r="K36" s="353">
        <v>2</v>
      </c>
      <c r="L36" s="51">
        <v>7</v>
      </c>
      <c r="M36" s="51">
        <v>7</v>
      </c>
    </row>
    <row r="37" spans="1:13" ht="17.25" customHeight="1" thickBot="1">
      <c r="A37" s="336" t="s">
        <v>1077</v>
      </c>
      <c r="B37" s="497"/>
      <c r="C37" s="601" t="s">
        <v>1642</v>
      </c>
      <c r="D37" s="524"/>
      <c r="E37" s="524"/>
      <c r="F37" s="602"/>
      <c r="G37" s="523" t="s">
        <v>1643</v>
      </c>
      <c r="H37" s="524"/>
      <c r="I37" s="524"/>
      <c r="J37" s="525"/>
      <c r="K37" s="355">
        <v>2</v>
      </c>
      <c r="L37" s="51">
        <v>1</v>
      </c>
      <c r="M37" s="51">
        <v>1</v>
      </c>
    </row>
    <row r="38" spans="1:13" ht="17.25" customHeight="1">
      <c r="A38" s="496" t="s">
        <v>1078</v>
      </c>
      <c r="B38" s="496" t="s">
        <v>1644</v>
      </c>
      <c r="C38" s="599" t="s">
        <v>1645</v>
      </c>
      <c r="D38" s="502" t="s">
        <v>1646</v>
      </c>
      <c r="E38" s="503"/>
      <c r="F38" s="510"/>
      <c r="G38" s="502" t="s">
        <v>1647</v>
      </c>
      <c r="H38" s="503"/>
      <c r="I38" s="503"/>
      <c r="J38" s="504"/>
      <c r="K38" s="483">
        <v>2</v>
      </c>
    </row>
    <row r="39" spans="1:13" ht="17.25" customHeight="1" thickBot="1">
      <c r="A39" s="526"/>
      <c r="B39" s="497"/>
      <c r="C39" s="600"/>
      <c r="D39" s="371" t="s">
        <v>1648</v>
      </c>
      <c r="E39" s="330" t="s">
        <v>1649</v>
      </c>
      <c r="F39" s="372" t="s">
        <v>1650</v>
      </c>
      <c r="G39" s="371" t="s">
        <v>1648</v>
      </c>
      <c r="H39" s="330" t="s">
        <v>1649</v>
      </c>
      <c r="I39" s="330" t="s">
        <v>1651</v>
      </c>
      <c r="J39" s="332" t="s">
        <v>1652</v>
      </c>
      <c r="K39" s="484"/>
      <c r="L39" s="51" t="s">
        <v>1751</v>
      </c>
      <c r="M39" s="51" t="s">
        <v>1751</v>
      </c>
    </row>
    <row r="40" spans="1:13" ht="17.25" customHeight="1">
      <c r="A40" s="485" t="s">
        <v>1079</v>
      </c>
      <c r="B40" s="487" t="s">
        <v>1653</v>
      </c>
      <c r="C40" s="490" t="s">
        <v>1654</v>
      </c>
      <c r="D40" s="391" t="s">
        <v>1655</v>
      </c>
      <c r="E40" s="492" t="s">
        <v>1656</v>
      </c>
      <c r="F40" s="493"/>
      <c r="G40" s="493"/>
      <c r="H40" s="493"/>
      <c r="I40" s="493"/>
      <c r="J40" s="494"/>
      <c r="K40" s="485">
        <v>2</v>
      </c>
    </row>
    <row r="41" spans="1:13" ht="17.25" customHeight="1">
      <c r="A41" s="486"/>
      <c r="B41" s="488"/>
      <c r="C41" s="491"/>
      <c r="D41" s="392" t="s">
        <v>1657</v>
      </c>
      <c r="E41" s="392" t="s">
        <v>1658</v>
      </c>
      <c r="F41" s="393" t="s">
        <v>1659</v>
      </c>
      <c r="G41" s="392" t="s">
        <v>1660</v>
      </c>
      <c r="H41" s="393" t="s">
        <v>1657</v>
      </c>
      <c r="I41" s="392" t="s">
        <v>1661</v>
      </c>
      <c r="J41" s="394" t="s">
        <v>1662</v>
      </c>
      <c r="K41" s="495"/>
      <c r="L41" s="51">
        <v>0</v>
      </c>
      <c r="M41" s="51">
        <v>0</v>
      </c>
    </row>
    <row r="42" spans="1:13" ht="17.25" customHeight="1">
      <c r="A42" s="395" t="s">
        <v>1080</v>
      </c>
      <c r="B42" s="488"/>
      <c r="C42" s="398" t="s">
        <v>1663</v>
      </c>
      <c r="D42" s="399" t="s">
        <v>1664</v>
      </c>
      <c r="E42" s="393" t="s">
        <v>1665</v>
      </c>
      <c r="F42" s="393" t="s">
        <v>1666</v>
      </c>
      <c r="G42" s="393" t="s">
        <v>1667</v>
      </c>
      <c r="H42" s="393" t="s">
        <v>1668</v>
      </c>
      <c r="I42" s="393" t="s">
        <v>1669</v>
      </c>
      <c r="J42" s="394" t="s">
        <v>1670</v>
      </c>
      <c r="K42" s="397">
        <v>2</v>
      </c>
      <c r="L42" s="51">
        <v>94</v>
      </c>
      <c r="M42" s="51">
        <v>94</v>
      </c>
    </row>
    <row r="43" spans="1:13" ht="17.25" customHeight="1">
      <c r="A43" s="395" t="s">
        <v>1081</v>
      </c>
      <c r="B43" s="488"/>
      <c r="C43" s="396" t="s">
        <v>30</v>
      </c>
      <c r="D43" s="396" t="s">
        <v>30</v>
      </c>
      <c r="E43" s="393" t="s">
        <v>1671</v>
      </c>
      <c r="F43" s="393" t="s">
        <v>1672</v>
      </c>
      <c r="G43" s="393" t="s">
        <v>1673</v>
      </c>
      <c r="H43" s="393" t="s">
        <v>1674</v>
      </c>
      <c r="I43" s="399" t="s">
        <v>1362</v>
      </c>
      <c r="J43" s="399" t="s">
        <v>1363</v>
      </c>
      <c r="K43" s="397">
        <v>2</v>
      </c>
      <c r="L43" s="51">
        <v>32</v>
      </c>
      <c r="M43" s="51">
        <v>32</v>
      </c>
    </row>
    <row r="44" spans="1:13" ht="17.25" customHeight="1">
      <c r="A44" s="341" t="s">
        <v>1082</v>
      </c>
      <c r="B44" s="488"/>
      <c r="C44" s="349" t="s">
        <v>1675</v>
      </c>
      <c r="D44" s="347" t="s">
        <v>1676</v>
      </c>
      <c r="E44" s="347" t="s">
        <v>1677</v>
      </c>
      <c r="F44" s="347" t="s">
        <v>1678</v>
      </c>
      <c r="G44" s="347" t="s">
        <v>1679</v>
      </c>
      <c r="H44" s="347" t="s">
        <v>1680</v>
      </c>
      <c r="I44" s="347" t="s">
        <v>1681</v>
      </c>
      <c r="J44" s="348" t="s">
        <v>1682</v>
      </c>
      <c r="K44" s="356">
        <v>2</v>
      </c>
      <c r="L44" s="51">
        <v>38</v>
      </c>
      <c r="M44" s="51">
        <v>38</v>
      </c>
    </row>
    <row r="45" spans="1:13" ht="17.25" customHeight="1">
      <c r="A45" s="341" t="s">
        <v>1083</v>
      </c>
      <c r="B45" s="488"/>
      <c r="C45" s="349" t="s">
        <v>30</v>
      </c>
      <c r="D45" s="347" t="s">
        <v>30</v>
      </c>
      <c r="E45" s="347" t="s">
        <v>1683</v>
      </c>
      <c r="F45" s="347" t="s">
        <v>1684</v>
      </c>
      <c r="G45" s="347" t="s">
        <v>1685</v>
      </c>
      <c r="H45" s="347" t="s">
        <v>1686</v>
      </c>
      <c r="I45" s="347" t="s">
        <v>1687</v>
      </c>
      <c r="J45" s="348" t="s">
        <v>1688</v>
      </c>
      <c r="K45" s="356">
        <v>2</v>
      </c>
      <c r="L45" s="51">
        <v>0</v>
      </c>
      <c r="M45" s="51">
        <v>0</v>
      </c>
    </row>
    <row r="46" spans="1:13" ht="17.25" customHeight="1">
      <c r="A46" s="342" t="s">
        <v>1084</v>
      </c>
      <c r="B46" s="488"/>
      <c r="C46" s="376" t="s">
        <v>1384</v>
      </c>
      <c r="D46" s="308" t="s">
        <v>1383</v>
      </c>
      <c r="E46" s="308" t="s">
        <v>1382</v>
      </c>
      <c r="F46" s="308" t="s">
        <v>1381</v>
      </c>
      <c r="G46" s="308" t="s">
        <v>1380</v>
      </c>
      <c r="H46" s="308" t="s">
        <v>1379</v>
      </c>
      <c r="I46" s="308" t="s">
        <v>1378</v>
      </c>
      <c r="J46" s="375" t="s">
        <v>1689</v>
      </c>
      <c r="K46" s="352">
        <v>2</v>
      </c>
      <c r="L46" s="51" t="s">
        <v>1752</v>
      </c>
      <c r="M46" s="51" t="s">
        <v>1752</v>
      </c>
    </row>
    <row r="47" spans="1:13" ht="17.25" customHeight="1">
      <c r="A47" s="343" t="s">
        <v>1085</v>
      </c>
      <c r="B47" s="488"/>
      <c r="C47" s="349" t="s">
        <v>1690</v>
      </c>
      <c r="D47" s="347" t="s">
        <v>1691</v>
      </c>
      <c r="E47" s="347" t="s">
        <v>1692</v>
      </c>
      <c r="F47" s="347" t="s">
        <v>1693</v>
      </c>
      <c r="G47" s="347" t="s">
        <v>1694</v>
      </c>
      <c r="H47" s="347" t="s">
        <v>1695</v>
      </c>
      <c r="I47" s="347" t="s">
        <v>1696</v>
      </c>
      <c r="J47" s="348" t="s">
        <v>1697</v>
      </c>
      <c r="K47" s="352">
        <v>2</v>
      </c>
      <c r="L47" s="51" t="s">
        <v>1752</v>
      </c>
      <c r="M47" s="51" t="s">
        <v>1752</v>
      </c>
    </row>
    <row r="48" spans="1:13" ht="17.25" customHeight="1" thickBot="1">
      <c r="A48" s="344" t="s">
        <v>1086</v>
      </c>
      <c r="B48" s="489"/>
      <c r="C48" s="357" t="s">
        <v>1387</v>
      </c>
      <c r="D48" s="345" t="s">
        <v>1386</v>
      </c>
      <c r="E48" s="345" t="s">
        <v>1385</v>
      </c>
      <c r="F48" s="345" t="s">
        <v>1698</v>
      </c>
      <c r="G48" s="345" t="s">
        <v>1699</v>
      </c>
      <c r="H48" s="345" t="s">
        <v>1700</v>
      </c>
      <c r="I48" s="345" t="s">
        <v>1701</v>
      </c>
      <c r="J48" s="346" t="s">
        <v>1702</v>
      </c>
      <c r="K48" s="352">
        <v>2</v>
      </c>
      <c r="L48" s="51" t="s">
        <v>1753</v>
      </c>
      <c r="M48" s="51" t="s">
        <v>1753</v>
      </c>
    </row>
    <row r="49" spans="1:13" ht="17.25" customHeight="1" thickBot="1">
      <c r="A49" s="417" t="s">
        <v>1087</v>
      </c>
      <c r="B49" s="417" t="s">
        <v>1588</v>
      </c>
      <c r="C49" s="418"/>
      <c r="D49" s="419"/>
      <c r="E49" s="419"/>
      <c r="F49" s="420" t="s">
        <v>1703</v>
      </c>
      <c r="G49" s="420" t="s">
        <v>903</v>
      </c>
      <c r="H49" s="420" t="s">
        <v>904</v>
      </c>
      <c r="I49" s="420" t="s">
        <v>905</v>
      </c>
      <c r="J49" s="421" t="s">
        <v>906</v>
      </c>
      <c r="K49" s="422">
        <v>2</v>
      </c>
      <c r="L49" s="51">
        <v>0</v>
      </c>
      <c r="M49" s="51">
        <v>0</v>
      </c>
    </row>
    <row r="50" spans="1:13" ht="17.25" customHeight="1">
      <c r="A50" s="400" t="s">
        <v>1088</v>
      </c>
      <c r="B50" s="556" t="s">
        <v>1704</v>
      </c>
      <c r="C50" s="527" t="s">
        <v>1705</v>
      </c>
      <c r="D50" s="528"/>
      <c r="E50" s="528"/>
      <c r="F50" s="528"/>
      <c r="G50" s="528"/>
      <c r="H50" s="528"/>
      <c r="I50" s="528"/>
      <c r="J50" s="529"/>
      <c r="K50" s="397">
        <v>2</v>
      </c>
      <c r="L50" s="51">
        <v>1</v>
      </c>
      <c r="M50" s="51">
        <v>1</v>
      </c>
    </row>
    <row r="51" spans="1:13" ht="17.25" customHeight="1" thickBot="1">
      <c r="A51" s="401" t="s">
        <v>1089</v>
      </c>
      <c r="B51" s="557"/>
      <c r="C51" s="607" t="s">
        <v>1706</v>
      </c>
      <c r="D51" s="571"/>
      <c r="E51" s="571"/>
      <c r="F51" s="571"/>
      <c r="G51" s="571"/>
      <c r="H51" s="571"/>
      <c r="I51" s="571"/>
      <c r="J51" s="573"/>
      <c r="K51" s="402">
        <v>2</v>
      </c>
      <c r="L51" s="51">
        <v>2</v>
      </c>
      <c r="M51" s="51">
        <v>2</v>
      </c>
    </row>
    <row r="52" spans="1:13" ht="17.25" customHeight="1">
      <c r="A52" s="400" t="s">
        <v>1090</v>
      </c>
      <c r="B52" s="557"/>
      <c r="C52" s="527" t="s">
        <v>1707</v>
      </c>
      <c r="D52" s="528"/>
      <c r="E52" s="528"/>
      <c r="F52" s="528"/>
      <c r="G52" s="528"/>
      <c r="H52" s="528"/>
      <c r="I52" s="528"/>
      <c r="J52" s="529"/>
      <c r="K52" s="397">
        <v>2</v>
      </c>
      <c r="L52" s="51">
        <v>0</v>
      </c>
      <c r="M52" s="51">
        <v>0</v>
      </c>
    </row>
    <row r="53" spans="1:13" ht="17.25" customHeight="1" thickBot="1">
      <c r="A53" s="401" t="s">
        <v>1091</v>
      </c>
      <c r="B53" s="558"/>
      <c r="C53" s="607" t="s">
        <v>1708</v>
      </c>
      <c r="D53" s="571"/>
      <c r="E53" s="571"/>
      <c r="F53" s="571"/>
      <c r="G53" s="571"/>
      <c r="H53" s="571"/>
      <c r="I53" s="571"/>
      <c r="J53" s="573"/>
      <c r="K53" s="402">
        <v>2</v>
      </c>
      <c r="L53" s="51">
        <v>0</v>
      </c>
      <c r="M53" s="51">
        <v>0</v>
      </c>
    </row>
    <row r="54" spans="1:13" ht="17.25" customHeight="1">
      <c r="A54" s="403" t="s">
        <v>1092</v>
      </c>
      <c r="B54" s="539" t="s">
        <v>1709</v>
      </c>
      <c r="C54" s="608" t="s">
        <v>1710</v>
      </c>
      <c r="D54" s="535"/>
      <c r="E54" s="535"/>
      <c r="F54" s="590"/>
      <c r="G54" s="534" t="s">
        <v>1711</v>
      </c>
      <c r="H54" s="535"/>
      <c r="I54" s="535"/>
      <c r="J54" s="536"/>
      <c r="K54" s="404">
        <v>2</v>
      </c>
      <c r="L54" s="51">
        <v>10</v>
      </c>
      <c r="M54" s="51">
        <v>10</v>
      </c>
    </row>
    <row r="55" spans="1:13" ht="17.25" customHeight="1" thickBot="1">
      <c r="A55" s="401" t="s">
        <v>1093</v>
      </c>
      <c r="B55" s="520"/>
      <c r="C55" s="537" t="s">
        <v>1712</v>
      </c>
      <c r="D55" s="532"/>
      <c r="E55" s="532"/>
      <c r="F55" s="538"/>
      <c r="G55" s="540" t="s">
        <v>1713</v>
      </c>
      <c r="H55" s="532"/>
      <c r="I55" s="532"/>
      <c r="J55" s="533"/>
      <c r="K55" s="402">
        <v>2</v>
      </c>
      <c r="L55" s="51">
        <v>8</v>
      </c>
      <c r="M55" s="51">
        <v>8</v>
      </c>
    </row>
    <row r="56" spans="1:13" ht="17.25" customHeight="1">
      <c r="A56" s="400" t="s">
        <v>1754</v>
      </c>
      <c r="B56" s="544" t="s">
        <v>1757</v>
      </c>
      <c r="C56" s="547" t="s">
        <v>1758</v>
      </c>
      <c r="D56" s="548"/>
      <c r="E56" s="548"/>
      <c r="F56" s="548"/>
      <c r="G56" s="548"/>
      <c r="H56" s="548"/>
      <c r="I56" s="548"/>
      <c r="J56" s="549"/>
      <c r="K56" s="423">
        <v>2</v>
      </c>
    </row>
    <row r="57" spans="1:13" ht="17.25" customHeight="1">
      <c r="A57" s="400" t="s">
        <v>1755</v>
      </c>
      <c r="B57" s="545"/>
      <c r="C57" s="550" t="s">
        <v>1759</v>
      </c>
      <c r="D57" s="551"/>
      <c r="E57" s="551"/>
      <c r="F57" s="551"/>
      <c r="G57" s="551"/>
      <c r="H57" s="551"/>
      <c r="I57" s="551"/>
      <c r="J57" s="552"/>
      <c r="K57" s="424">
        <v>2</v>
      </c>
    </row>
    <row r="58" spans="1:13" ht="17.25" customHeight="1" thickBot="1">
      <c r="A58" s="400" t="s">
        <v>1756</v>
      </c>
      <c r="B58" s="546"/>
      <c r="C58" s="553" t="s">
        <v>1760</v>
      </c>
      <c r="D58" s="554"/>
      <c r="E58" s="554"/>
      <c r="F58" s="554"/>
      <c r="G58" s="554"/>
      <c r="H58" s="554"/>
      <c r="I58" s="554"/>
      <c r="J58" s="555"/>
      <c r="K58" s="425">
        <v>2</v>
      </c>
    </row>
    <row r="59" spans="1:13" ht="17.25" customHeight="1">
      <c r="A59" s="335" t="s">
        <v>1094</v>
      </c>
      <c r="B59" s="367" t="s">
        <v>1714</v>
      </c>
      <c r="C59" s="541" t="s">
        <v>1715</v>
      </c>
      <c r="D59" s="542"/>
      <c r="E59" s="542"/>
      <c r="F59" s="542"/>
      <c r="G59" s="542"/>
      <c r="H59" s="542"/>
      <c r="I59" s="542"/>
      <c r="J59" s="543"/>
      <c r="K59" s="353">
        <v>2</v>
      </c>
      <c r="L59" s="51">
        <v>7</v>
      </c>
      <c r="M59" s="51">
        <v>76</v>
      </c>
    </row>
    <row r="60" spans="1:13" ht="17.25" customHeight="1" thickBot="1">
      <c r="A60" s="344">
        <v>83</v>
      </c>
      <c r="B60" s="369" t="s">
        <v>1716</v>
      </c>
      <c r="C60" s="598" t="s">
        <v>1717</v>
      </c>
      <c r="D60" s="569"/>
      <c r="E60" s="569"/>
      <c r="F60" s="569"/>
      <c r="G60" s="569"/>
      <c r="H60" s="569"/>
      <c r="I60" s="569"/>
      <c r="J60" s="570"/>
      <c r="K60" s="354">
        <v>1</v>
      </c>
    </row>
    <row r="62" spans="1:13" ht="17.25" customHeight="1" thickBot="1">
      <c r="A62" s="307"/>
      <c r="B62" s="307"/>
      <c r="C62" s="307"/>
      <c r="D62" s="307"/>
      <c r="E62" s="307"/>
      <c r="F62" s="307"/>
      <c r="G62" s="307"/>
      <c r="H62" s="307"/>
      <c r="I62" s="307"/>
      <c r="J62" s="307"/>
      <c r="K62" s="307"/>
    </row>
    <row r="63" spans="1:13" ht="17.25" customHeight="1" thickBot="1">
      <c r="A63" s="561" t="s">
        <v>1718</v>
      </c>
      <c r="B63" s="562"/>
      <c r="C63" s="562"/>
      <c r="D63" s="562"/>
      <c r="E63" s="562"/>
      <c r="F63" s="562"/>
      <c r="G63" s="562"/>
      <c r="H63" s="562"/>
      <c r="I63" s="562"/>
      <c r="J63" s="562"/>
      <c r="K63" s="563"/>
    </row>
    <row r="64" spans="1:13" ht="17.25" customHeight="1" thickBot="1">
      <c r="A64" s="339" t="s">
        <v>1541</v>
      </c>
      <c r="B64" s="339" t="s">
        <v>1542</v>
      </c>
      <c r="C64" s="380" t="s">
        <v>1543</v>
      </c>
      <c r="D64" s="316" t="s">
        <v>1544</v>
      </c>
      <c r="E64" s="316" t="s">
        <v>1545</v>
      </c>
      <c r="F64" s="316" t="s">
        <v>1546</v>
      </c>
      <c r="G64" s="316" t="s">
        <v>1547</v>
      </c>
      <c r="H64" s="316" t="s">
        <v>1548</v>
      </c>
      <c r="I64" s="316" t="s">
        <v>1549</v>
      </c>
      <c r="J64" s="317" t="s">
        <v>1550</v>
      </c>
      <c r="K64" s="351" t="s">
        <v>1551</v>
      </c>
    </row>
    <row r="65" spans="1:11" ht="17.25" customHeight="1">
      <c r="A65" s="340">
        <v>0</v>
      </c>
      <c r="B65" s="334" t="s">
        <v>1552</v>
      </c>
      <c r="C65" s="564" t="s">
        <v>1553</v>
      </c>
      <c r="D65" s="565"/>
      <c r="E65" s="565"/>
      <c r="F65" s="565"/>
      <c r="G65" s="565"/>
      <c r="H65" s="565"/>
      <c r="I65" s="565"/>
      <c r="J65" s="566"/>
      <c r="K65" s="353">
        <v>1</v>
      </c>
    </row>
    <row r="66" spans="1:11" ht="17.25" customHeight="1">
      <c r="A66" s="341" t="s">
        <v>1554</v>
      </c>
      <c r="B66" s="341" t="s">
        <v>1555</v>
      </c>
      <c r="C66" s="575" t="s">
        <v>1556</v>
      </c>
      <c r="D66" s="576"/>
      <c r="E66" s="576"/>
      <c r="F66" s="576"/>
      <c r="G66" s="576"/>
      <c r="H66" s="576"/>
      <c r="I66" s="576"/>
      <c r="J66" s="577"/>
      <c r="K66" s="343">
        <v>2</v>
      </c>
    </row>
    <row r="67" spans="1:11" ht="17.25" customHeight="1">
      <c r="A67" s="341" t="s">
        <v>1557</v>
      </c>
      <c r="B67" s="341" t="s">
        <v>1558</v>
      </c>
      <c r="C67" s="575" t="s">
        <v>1559</v>
      </c>
      <c r="D67" s="576"/>
      <c r="E67" s="576"/>
      <c r="F67" s="576"/>
      <c r="G67" s="576"/>
      <c r="H67" s="576"/>
      <c r="I67" s="576"/>
      <c r="J67" s="577"/>
      <c r="K67" s="343">
        <v>2</v>
      </c>
    </row>
    <row r="68" spans="1:11" ht="17.25" customHeight="1">
      <c r="A68" s="341" t="s">
        <v>1560</v>
      </c>
      <c r="B68" s="341" t="s">
        <v>1561</v>
      </c>
      <c r="C68" s="578" t="s">
        <v>1562</v>
      </c>
      <c r="D68" s="578"/>
      <c r="E68" s="578"/>
      <c r="F68" s="578"/>
      <c r="G68" s="578"/>
      <c r="H68" s="578"/>
      <c r="I68" s="578"/>
      <c r="J68" s="579"/>
      <c r="K68" s="343">
        <v>2</v>
      </c>
    </row>
    <row r="69" spans="1:11" ht="17.25" customHeight="1">
      <c r="A69" s="341" t="s">
        <v>1563</v>
      </c>
      <c r="B69" s="341" t="s">
        <v>1564</v>
      </c>
      <c r="C69" s="580" t="s">
        <v>1565</v>
      </c>
      <c r="D69" s="581"/>
      <c r="E69" s="581"/>
      <c r="F69" s="581"/>
      <c r="G69" s="581"/>
      <c r="H69" s="581"/>
      <c r="I69" s="581"/>
      <c r="J69" s="582"/>
      <c r="K69" s="343">
        <v>2</v>
      </c>
    </row>
    <row r="70" spans="1:11" ht="17.25" customHeight="1" thickBot="1">
      <c r="A70" s="342" t="s">
        <v>1566</v>
      </c>
      <c r="B70" s="342" t="s">
        <v>1567</v>
      </c>
      <c r="C70" s="583" t="s">
        <v>1719</v>
      </c>
      <c r="D70" s="584"/>
      <c r="E70" s="584"/>
      <c r="F70" s="584"/>
      <c r="G70" s="584"/>
      <c r="H70" s="584"/>
      <c r="I70" s="584"/>
      <c r="J70" s="585"/>
      <c r="K70" s="343">
        <v>2</v>
      </c>
    </row>
    <row r="71" spans="1:11" ht="17.25" customHeight="1" thickBot="1">
      <c r="A71" s="339" t="s">
        <v>1569</v>
      </c>
      <c r="B71" s="339" t="s">
        <v>1588</v>
      </c>
      <c r="C71" s="388" t="s">
        <v>1720</v>
      </c>
      <c r="D71" s="389" t="s">
        <v>1721</v>
      </c>
      <c r="E71" s="389" t="s">
        <v>1722</v>
      </c>
      <c r="F71" s="389" t="s">
        <v>1591</v>
      </c>
      <c r="G71" s="389" t="s">
        <v>1592</v>
      </c>
      <c r="H71" s="389" t="s">
        <v>1593</v>
      </c>
      <c r="I71" s="389" t="s">
        <v>1594</v>
      </c>
      <c r="J71" s="390" t="s">
        <v>31</v>
      </c>
      <c r="K71" s="381">
        <v>2</v>
      </c>
    </row>
    <row r="72" spans="1:11" ht="17.25" customHeight="1" thickBot="1">
      <c r="A72" s="401" t="s">
        <v>1431</v>
      </c>
      <c r="B72" s="401" t="s">
        <v>1723</v>
      </c>
      <c r="C72" s="405" t="s">
        <v>1720</v>
      </c>
      <c r="D72" s="406"/>
      <c r="E72" s="409" t="s">
        <v>1720</v>
      </c>
      <c r="F72" s="407"/>
      <c r="G72" s="663" t="s">
        <v>1600</v>
      </c>
      <c r="H72" s="663"/>
      <c r="I72" s="663"/>
      <c r="J72" s="664"/>
      <c r="K72" s="408">
        <v>2</v>
      </c>
    </row>
    <row r="73" spans="1:11" ht="17.25" customHeight="1">
      <c r="A73" s="334" t="s">
        <v>1409</v>
      </c>
      <c r="B73" s="521" t="s">
        <v>1601</v>
      </c>
      <c r="C73" s="589" t="s">
        <v>1602</v>
      </c>
      <c r="D73" s="559"/>
      <c r="E73" s="559"/>
      <c r="F73" s="559"/>
      <c r="G73" s="559" t="s">
        <v>1603</v>
      </c>
      <c r="H73" s="559"/>
      <c r="I73" s="559"/>
      <c r="J73" s="560"/>
      <c r="K73" s="352">
        <v>2</v>
      </c>
    </row>
    <row r="74" spans="1:11" ht="17.25" customHeight="1">
      <c r="A74" s="341" t="s">
        <v>1063</v>
      </c>
      <c r="B74" s="521"/>
      <c r="C74" s="660" t="s">
        <v>1604</v>
      </c>
      <c r="D74" s="604"/>
      <c r="E74" s="604"/>
      <c r="F74" s="604"/>
      <c r="G74" s="604" t="s">
        <v>1605</v>
      </c>
      <c r="H74" s="604"/>
      <c r="I74" s="604"/>
      <c r="J74" s="605"/>
      <c r="K74" s="352">
        <v>2</v>
      </c>
    </row>
    <row r="75" spans="1:11" ht="17.25" customHeight="1" thickBot="1">
      <c r="A75" s="342" t="s">
        <v>1064</v>
      </c>
      <c r="B75" s="497"/>
      <c r="C75" s="676" t="s">
        <v>1606</v>
      </c>
      <c r="D75" s="498"/>
      <c r="E75" s="498"/>
      <c r="F75" s="498"/>
      <c r="G75" s="498" t="s">
        <v>1607</v>
      </c>
      <c r="H75" s="498"/>
      <c r="I75" s="498"/>
      <c r="J75" s="499"/>
      <c r="K75" s="379">
        <v>2</v>
      </c>
    </row>
    <row r="76" spans="1:11" ht="17.25" customHeight="1">
      <c r="A76" s="340" t="s">
        <v>1065</v>
      </c>
      <c r="B76" s="496" t="s">
        <v>1608</v>
      </c>
      <c r="C76" s="507" t="s">
        <v>1609</v>
      </c>
      <c r="D76" s="500"/>
      <c r="E76" s="500"/>
      <c r="F76" s="500"/>
      <c r="G76" s="500" t="s">
        <v>1610</v>
      </c>
      <c r="H76" s="500"/>
      <c r="I76" s="500"/>
      <c r="J76" s="501"/>
      <c r="K76" s="378">
        <v>2</v>
      </c>
    </row>
    <row r="77" spans="1:11" ht="17.25" customHeight="1">
      <c r="A77" s="341" t="s">
        <v>1066</v>
      </c>
      <c r="B77" s="521"/>
      <c r="C77" s="678" t="s">
        <v>1611</v>
      </c>
      <c r="D77" s="595"/>
      <c r="E77" s="595"/>
      <c r="F77" s="595"/>
      <c r="G77" s="595" t="s">
        <v>1612</v>
      </c>
      <c r="H77" s="595"/>
      <c r="I77" s="595"/>
      <c r="J77" s="603"/>
      <c r="K77" s="352">
        <v>2</v>
      </c>
    </row>
    <row r="78" spans="1:11" ht="17.25" customHeight="1" thickBot="1">
      <c r="A78" s="344" t="s">
        <v>1067</v>
      </c>
      <c r="B78" s="497"/>
      <c r="C78" s="602" t="s">
        <v>1613</v>
      </c>
      <c r="D78" s="597"/>
      <c r="E78" s="597"/>
      <c r="F78" s="597"/>
      <c r="G78" s="597" t="s">
        <v>1614</v>
      </c>
      <c r="H78" s="597"/>
      <c r="I78" s="597"/>
      <c r="J78" s="609"/>
      <c r="K78" s="354">
        <v>2</v>
      </c>
    </row>
    <row r="79" spans="1:11" ht="17.25" customHeight="1">
      <c r="A79" s="496" t="s">
        <v>1068</v>
      </c>
      <c r="B79" s="496" t="s">
        <v>1626</v>
      </c>
      <c r="C79" s="515" t="s">
        <v>1627</v>
      </c>
      <c r="D79" s="516"/>
      <c r="E79" s="516"/>
      <c r="F79" s="517"/>
      <c r="G79" s="518" t="s">
        <v>1628</v>
      </c>
      <c r="H79" s="516"/>
      <c r="I79" s="516"/>
      <c r="J79" s="519"/>
      <c r="K79" s="513">
        <v>2</v>
      </c>
    </row>
    <row r="80" spans="1:11" ht="17.25" customHeight="1" thickBot="1">
      <c r="A80" s="497"/>
      <c r="B80" s="497"/>
      <c r="C80" s="329" t="s">
        <v>1618</v>
      </c>
      <c r="D80" s="330" t="s">
        <v>1619</v>
      </c>
      <c r="E80" s="330" t="s">
        <v>1620</v>
      </c>
      <c r="F80" s="330" t="s">
        <v>1621</v>
      </c>
      <c r="G80" s="331" t="s">
        <v>1622</v>
      </c>
      <c r="H80" s="330" t="s">
        <v>1623</v>
      </c>
      <c r="I80" s="330" t="s">
        <v>1624</v>
      </c>
      <c r="J80" s="332" t="s">
        <v>1625</v>
      </c>
      <c r="K80" s="514"/>
    </row>
    <row r="81" spans="1:11" ht="17.25" customHeight="1">
      <c r="A81" s="496" t="s">
        <v>1069</v>
      </c>
      <c r="B81" s="496" t="s">
        <v>1629</v>
      </c>
      <c r="C81" s="681" t="s">
        <v>1630</v>
      </c>
      <c r="D81" s="672"/>
      <c r="E81" s="672"/>
      <c r="F81" s="682"/>
      <c r="G81" s="671" t="s">
        <v>1631</v>
      </c>
      <c r="H81" s="672"/>
      <c r="I81" s="672"/>
      <c r="J81" s="673"/>
      <c r="K81" s="513">
        <v>2</v>
      </c>
    </row>
    <row r="82" spans="1:11" ht="17.25" customHeight="1" thickBot="1">
      <c r="A82" s="497"/>
      <c r="B82" s="497"/>
      <c r="C82" s="377" t="s">
        <v>1618</v>
      </c>
      <c r="D82" s="320" t="s">
        <v>1619</v>
      </c>
      <c r="E82" s="320" t="s">
        <v>1620</v>
      </c>
      <c r="F82" s="320" t="s">
        <v>1621</v>
      </c>
      <c r="G82" s="350" t="s">
        <v>1622</v>
      </c>
      <c r="H82" s="320" t="s">
        <v>1623</v>
      </c>
      <c r="I82" s="320" t="s">
        <v>1624</v>
      </c>
      <c r="J82" s="321" t="s">
        <v>1625</v>
      </c>
      <c r="K82" s="514"/>
    </row>
    <row r="83" spans="1:11" ht="17.25" customHeight="1">
      <c r="A83" s="335" t="s">
        <v>1070</v>
      </c>
      <c r="B83" s="496" t="s">
        <v>1633</v>
      </c>
      <c r="C83" s="683" t="s">
        <v>1634</v>
      </c>
      <c r="D83" s="674"/>
      <c r="E83" s="674"/>
      <c r="F83" s="674"/>
      <c r="G83" s="674" t="s">
        <v>1724</v>
      </c>
      <c r="H83" s="674"/>
      <c r="I83" s="674"/>
      <c r="J83" s="675"/>
      <c r="K83" s="385">
        <v>2</v>
      </c>
    </row>
    <row r="84" spans="1:11" ht="17.25" customHeight="1">
      <c r="A84" s="343" t="s">
        <v>1071</v>
      </c>
      <c r="B84" s="521"/>
      <c r="C84" s="619" t="s">
        <v>1636</v>
      </c>
      <c r="D84" s="604"/>
      <c r="E84" s="604"/>
      <c r="F84" s="604"/>
      <c r="G84" s="604" t="s">
        <v>1637</v>
      </c>
      <c r="H84" s="604"/>
      <c r="I84" s="604"/>
      <c r="J84" s="605"/>
      <c r="K84" s="386">
        <v>2</v>
      </c>
    </row>
    <row r="85" spans="1:11" ht="17.25" customHeight="1" thickBot="1">
      <c r="A85" s="336" t="s">
        <v>1072</v>
      </c>
      <c r="B85" s="497"/>
      <c r="C85" s="658" t="s">
        <v>1638</v>
      </c>
      <c r="D85" s="659"/>
      <c r="E85" s="659"/>
      <c r="F85" s="659"/>
      <c r="G85" s="659" t="s">
        <v>1639</v>
      </c>
      <c r="H85" s="659"/>
      <c r="I85" s="659"/>
      <c r="J85" s="667"/>
      <c r="K85" s="387"/>
    </row>
    <row r="86" spans="1:11" ht="17.25" customHeight="1">
      <c r="A86" s="335" t="s">
        <v>556</v>
      </c>
      <c r="B86" s="521" t="s">
        <v>1640</v>
      </c>
      <c r="C86" s="656" t="s">
        <v>30</v>
      </c>
      <c r="D86" s="656"/>
      <c r="E86" s="656"/>
      <c r="F86" s="656"/>
      <c r="G86" s="655" t="s">
        <v>1641</v>
      </c>
      <c r="H86" s="656"/>
      <c r="I86" s="656"/>
      <c r="J86" s="657"/>
      <c r="K86" s="352">
        <v>2</v>
      </c>
    </row>
    <row r="87" spans="1:11" ht="17.25" customHeight="1" thickBot="1">
      <c r="A87" s="336" t="s">
        <v>1073</v>
      </c>
      <c r="B87" s="497"/>
      <c r="C87" s="668" t="s">
        <v>1642</v>
      </c>
      <c r="D87" s="668"/>
      <c r="E87" s="668"/>
      <c r="F87" s="668"/>
      <c r="G87" s="669" t="s">
        <v>1643</v>
      </c>
      <c r="H87" s="668"/>
      <c r="I87" s="668"/>
      <c r="J87" s="670"/>
      <c r="K87" s="336">
        <v>2</v>
      </c>
    </row>
    <row r="88" spans="1:11" ht="17.25" customHeight="1" thickBot="1">
      <c r="A88" s="410" t="s">
        <v>1078</v>
      </c>
      <c r="B88" s="410"/>
      <c r="C88" s="411" t="s">
        <v>1725</v>
      </c>
      <c r="D88" s="411" t="s">
        <v>1726</v>
      </c>
      <c r="E88" s="411" t="s">
        <v>30</v>
      </c>
      <c r="F88" s="411" t="s">
        <v>1727</v>
      </c>
      <c r="G88" s="411" t="s">
        <v>1728</v>
      </c>
      <c r="H88" s="411" t="s">
        <v>1729</v>
      </c>
      <c r="I88" s="411" t="s">
        <v>1730</v>
      </c>
      <c r="J88" s="412" t="s">
        <v>1731</v>
      </c>
      <c r="K88" s="397">
        <v>2</v>
      </c>
    </row>
    <row r="89" spans="1:11" ht="17.25" customHeight="1" thickBot="1">
      <c r="A89" s="336" t="s">
        <v>1075</v>
      </c>
      <c r="B89" s="343" t="s">
        <v>1732</v>
      </c>
      <c r="C89" s="574" t="s">
        <v>1733</v>
      </c>
      <c r="D89" s="574"/>
      <c r="E89" s="574"/>
      <c r="F89" s="574"/>
      <c r="G89" s="661" t="s">
        <v>1734</v>
      </c>
      <c r="H89" s="661"/>
      <c r="I89" s="661"/>
      <c r="J89" s="662"/>
      <c r="K89" s="339">
        <v>2</v>
      </c>
    </row>
    <row r="90" spans="1:11" ht="17.25" customHeight="1">
      <c r="A90" s="485" t="s">
        <v>1076</v>
      </c>
      <c r="B90" s="485" t="s">
        <v>1644</v>
      </c>
      <c r="C90" s="679" t="s">
        <v>1645</v>
      </c>
      <c r="D90" s="492" t="s">
        <v>1646</v>
      </c>
      <c r="E90" s="493"/>
      <c r="F90" s="666"/>
      <c r="G90" s="492" t="s">
        <v>1647</v>
      </c>
      <c r="H90" s="493"/>
      <c r="I90" s="493"/>
      <c r="J90" s="494"/>
      <c r="K90" s="539">
        <v>2</v>
      </c>
    </row>
    <row r="91" spans="1:11" ht="17.25" customHeight="1" thickBot="1">
      <c r="A91" s="486"/>
      <c r="B91" s="520"/>
      <c r="C91" s="680"/>
      <c r="D91" s="413" t="s">
        <v>1648</v>
      </c>
      <c r="E91" s="414" t="s">
        <v>1649</v>
      </c>
      <c r="F91" s="415" t="s">
        <v>1650</v>
      </c>
      <c r="G91" s="413" t="s">
        <v>1648</v>
      </c>
      <c r="H91" s="414" t="s">
        <v>1649</v>
      </c>
      <c r="I91" s="414" t="s">
        <v>1651</v>
      </c>
      <c r="J91" s="416" t="s">
        <v>1652</v>
      </c>
      <c r="K91" s="665"/>
    </row>
    <row r="92" spans="1:11" ht="17.25" customHeight="1">
      <c r="A92" s="485" t="s">
        <v>1077</v>
      </c>
      <c r="B92" s="487" t="s">
        <v>1653</v>
      </c>
      <c r="C92" s="490" t="s">
        <v>1654</v>
      </c>
      <c r="D92" s="391" t="s">
        <v>1655</v>
      </c>
      <c r="E92" s="684" t="s">
        <v>1656</v>
      </c>
      <c r="F92" s="684"/>
      <c r="G92" s="684"/>
      <c r="H92" s="684"/>
      <c r="I92" s="684"/>
      <c r="J92" s="685"/>
      <c r="K92" s="485">
        <v>2</v>
      </c>
    </row>
    <row r="93" spans="1:11" ht="17.25" customHeight="1">
      <c r="A93" s="486"/>
      <c r="B93" s="521"/>
      <c r="C93" s="491"/>
      <c r="D93" s="392" t="s">
        <v>1657</v>
      </c>
      <c r="E93" s="392" t="s">
        <v>1658</v>
      </c>
      <c r="F93" s="393" t="s">
        <v>1659</v>
      </c>
      <c r="G93" s="392" t="s">
        <v>1660</v>
      </c>
      <c r="H93" s="393" t="s">
        <v>1657</v>
      </c>
      <c r="I93" s="392" t="s">
        <v>1661</v>
      </c>
      <c r="J93" s="394" t="s">
        <v>1662</v>
      </c>
      <c r="K93" s="495"/>
    </row>
    <row r="94" spans="1:11" ht="17.25" customHeight="1">
      <c r="A94" s="395" t="s">
        <v>1078</v>
      </c>
      <c r="B94" s="521"/>
      <c r="C94" s="398" t="s">
        <v>1663</v>
      </c>
      <c r="D94" s="399" t="s">
        <v>1664</v>
      </c>
      <c r="E94" s="393" t="s">
        <v>1665</v>
      </c>
      <c r="F94" s="393" t="s">
        <v>1666</v>
      </c>
      <c r="G94" s="393" t="s">
        <v>1667</v>
      </c>
      <c r="H94" s="393" t="s">
        <v>1668</v>
      </c>
      <c r="I94" s="393" t="s">
        <v>1669</v>
      </c>
      <c r="J94" s="394" t="s">
        <v>1670</v>
      </c>
      <c r="K94" s="397">
        <v>2</v>
      </c>
    </row>
    <row r="95" spans="1:11" ht="17.25" customHeight="1">
      <c r="A95" s="395" t="s">
        <v>1079</v>
      </c>
      <c r="B95" s="521"/>
      <c r="C95" s="396" t="s">
        <v>30</v>
      </c>
      <c r="D95" s="396" t="s">
        <v>30</v>
      </c>
      <c r="E95" s="393" t="s">
        <v>1671</v>
      </c>
      <c r="F95" s="393" t="s">
        <v>1672</v>
      </c>
      <c r="G95" s="393" t="s">
        <v>1673</v>
      </c>
      <c r="H95" s="393" t="s">
        <v>1674</v>
      </c>
      <c r="I95" s="399" t="s">
        <v>1362</v>
      </c>
      <c r="J95" s="399" t="s">
        <v>1363</v>
      </c>
      <c r="K95" s="397">
        <v>2</v>
      </c>
    </row>
    <row r="96" spans="1:11" ht="17.25" customHeight="1">
      <c r="A96" s="341" t="s">
        <v>1082</v>
      </c>
      <c r="B96" s="521"/>
      <c r="C96" s="349" t="s">
        <v>1675</v>
      </c>
      <c r="D96" s="347" t="s">
        <v>1676</v>
      </c>
      <c r="E96" s="347" t="s">
        <v>1677</v>
      </c>
      <c r="F96" s="347" t="s">
        <v>1678</v>
      </c>
      <c r="G96" s="347" t="s">
        <v>1679</v>
      </c>
      <c r="H96" s="347" t="s">
        <v>1680</v>
      </c>
      <c r="I96" s="347" t="s">
        <v>1681</v>
      </c>
      <c r="J96" s="348" t="s">
        <v>1682</v>
      </c>
      <c r="K96" s="356">
        <v>2</v>
      </c>
    </row>
    <row r="97" spans="1:11" ht="17.25" customHeight="1">
      <c r="A97" s="341" t="s">
        <v>1083</v>
      </c>
      <c r="B97" s="521"/>
      <c r="C97" s="349" t="s">
        <v>30</v>
      </c>
      <c r="D97" s="347" t="s">
        <v>30</v>
      </c>
      <c r="E97" s="347" t="s">
        <v>1683</v>
      </c>
      <c r="F97" s="347" t="s">
        <v>1684</v>
      </c>
      <c r="G97" s="347" t="s">
        <v>1685</v>
      </c>
      <c r="H97" s="347" t="s">
        <v>1686</v>
      </c>
      <c r="I97" s="347" t="s">
        <v>1687</v>
      </c>
      <c r="J97" s="348" t="s">
        <v>1688</v>
      </c>
      <c r="K97" s="356">
        <v>2</v>
      </c>
    </row>
    <row r="98" spans="1:11" ht="17.25" customHeight="1">
      <c r="A98" s="342" t="s">
        <v>1082</v>
      </c>
      <c r="B98" s="521"/>
      <c r="C98" s="376" t="s">
        <v>1384</v>
      </c>
      <c r="D98" s="308" t="s">
        <v>1383</v>
      </c>
      <c r="E98" s="308" t="s">
        <v>1382</v>
      </c>
      <c r="F98" s="308" t="s">
        <v>1381</v>
      </c>
      <c r="G98" s="308" t="s">
        <v>1380</v>
      </c>
      <c r="H98" s="308" t="s">
        <v>1379</v>
      </c>
      <c r="I98" s="308" t="s">
        <v>1378</v>
      </c>
      <c r="J98" s="375" t="s">
        <v>1689</v>
      </c>
      <c r="K98" s="352">
        <v>2</v>
      </c>
    </row>
    <row r="99" spans="1:11" ht="17.25" customHeight="1">
      <c r="A99" s="343" t="s">
        <v>1083</v>
      </c>
      <c r="B99" s="521"/>
      <c r="C99" s="349" t="s">
        <v>1690</v>
      </c>
      <c r="D99" s="347" t="s">
        <v>1691</v>
      </c>
      <c r="E99" s="347" t="s">
        <v>1692</v>
      </c>
      <c r="F99" s="347" t="s">
        <v>1693</v>
      </c>
      <c r="G99" s="347" t="s">
        <v>1694</v>
      </c>
      <c r="H99" s="347" t="s">
        <v>1695</v>
      </c>
      <c r="I99" s="347" t="s">
        <v>1696</v>
      </c>
      <c r="J99" s="348" t="s">
        <v>1697</v>
      </c>
      <c r="K99" s="352">
        <v>2</v>
      </c>
    </row>
    <row r="100" spans="1:11" ht="17.25" customHeight="1" thickBot="1">
      <c r="A100" s="343" t="s">
        <v>1084</v>
      </c>
      <c r="B100" s="521"/>
      <c r="C100" s="357" t="s">
        <v>1387</v>
      </c>
      <c r="D100" s="345" t="s">
        <v>1386</v>
      </c>
      <c r="E100" s="345" t="s">
        <v>1385</v>
      </c>
      <c r="F100" s="345" t="s">
        <v>1698</v>
      </c>
      <c r="G100" s="345" t="s">
        <v>1699</v>
      </c>
      <c r="H100" s="345" t="s">
        <v>1700</v>
      </c>
      <c r="I100" s="345" t="s">
        <v>1701</v>
      </c>
      <c r="J100" s="346" t="s">
        <v>1702</v>
      </c>
      <c r="K100" s="352">
        <v>2</v>
      </c>
    </row>
    <row r="101" spans="1:11" ht="17.25" customHeight="1" thickBot="1">
      <c r="A101" s="410" t="s">
        <v>1085</v>
      </c>
      <c r="B101" s="410" t="s">
        <v>1588</v>
      </c>
      <c r="C101" s="405"/>
      <c r="D101" s="406"/>
      <c r="E101" s="406"/>
      <c r="F101" s="411" t="s">
        <v>1703</v>
      </c>
      <c r="G101" s="411" t="s">
        <v>903</v>
      </c>
      <c r="H101" s="411" t="s">
        <v>904</v>
      </c>
      <c r="I101" s="411" t="s">
        <v>905</v>
      </c>
      <c r="J101" s="412" t="s">
        <v>906</v>
      </c>
      <c r="K101" s="408">
        <v>2</v>
      </c>
    </row>
    <row r="102" spans="1:11" ht="17.25" customHeight="1">
      <c r="A102" s="343" t="s">
        <v>1086</v>
      </c>
      <c r="B102" s="526" t="s">
        <v>1735</v>
      </c>
      <c r="C102" s="593" t="s">
        <v>1736</v>
      </c>
      <c r="D102" s="593"/>
      <c r="E102" s="593"/>
      <c r="F102" s="593"/>
      <c r="G102" s="593"/>
      <c r="H102" s="593"/>
      <c r="I102" s="593"/>
      <c r="J102" s="677"/>
      <c r="K102" s="382">
        <v>2</v>
      </c>
    </row>
    <row r="103" spans="1:11" ht="17.25" customHeight="1">
      <c r="A103" s="343" t="s">
        <v>1087</v>
      </c>
      <c r="B103" s="651"/>
      <c r="C103" s="586" t="s">
        <v>1737</v>
      </c>
      <c r="D103" s="586"/>
      <c r="E103" s="586"/>
      <c r="F103" s="586"/>
      <c r="G103" s="586"/>
      <c r="H103" s="586"/>
      <c r="I103" s="586"/>
      <c r="J103" s="587"/>
      <c r="K103" s="384">
        <v>2</v>
      </c>
    </row>
    <row r="104" spans="1:11" ht="17.25" customHeight="1">
      <c r="A104" s="343" t="s">
        <v>1088</v>
      </c>
      <c r="B104" s="651" t="s">
        <v>1738</v>
      </c>
      <c r="C104" s="586" t="s">
        <v>1739</v>
      </c>
      <c r="D104" s="586"/>
      <c r="E104" s="586"/>
      <c r="F104" s="586"/>
      <c r="G104" s="586"/>
      <c r="H104" s="586"/>
      <c r="I104" s="586"/>
      <c r="J104" s="587"/>
      <c r="K104" s="384">
        <v>2</v>
      </c>
    </row>
    <row r="105" spans="1:11" ht="17.25" customHeight="1">
      <c r="A105" s="343" t="s">
        <v>1089</v>
      </c>
      <c r="B105" s="651"/>
      <c r="C105" s="586" t="s">
        <v>1740</v>
      </c>
      <c r="D105" s="586"/>
      <c r="E105" s="586"/>
      <c r="F105" s="586"/>
      <c r="G105" s="586"/>
      <c r="H105" s="586"/>
      <c r="I105" s="586"/>
      <c r="J105" s="587"/>
      <c r="K105" s="384">
        <v>2</v>
      </c>
    </row>
    <row r="106" spans="1:11" ht="17.25" customHeight="1">
      <c r="A106" s="343" t="s">
        <v>1090</v>
      </c>
      <c r="B106" s="651" t="s">
        <v>1741</v>
      </c>
      <c r="C106" s="586" t="s">
        <v>1742</v>
      </c>
      <c r="D106" s="586"/>
      <c r="E106" s="586"/>
      <c r="F106" s="586"/>
      <c r="G106" s="586"/>
      <c r="H106" s="586"/>
      <c r="I106" s="586"/>
      <c r="J106" s="587"/>
      <c r="K106" s="384">
        <v>2</v>
      </c>
    </row>
    <row r="107" spans="1:11" ht="17.25" customHeight="1">
      <c r="A107" s="343" t="s">
        <v>1091</v>
      </c>
      <c r="B107" s="651"/>
      <c r="C107" s="586" t="s">
        <v>1743</v>
      </c>
      <c r="D107" s="586"/>
      <c r="E107" s="586"/>
      <c r="F107" s="586"/>
      <c r="G107" s="586"/>
      <c r="H107" s="586"/>
      <c r="I107" s="586"/>
      <c r="J107" s="587"/>
      <c r="K107" s="384">
        <v>2</v>
      </c>
    </row>
    <row r="108" spans="1:11" ht="17.25" customHeight="1">
      <c r="A108" s="343" t="s">
        <v>1092</v>
      </c>
      <c r="B108" s="651" t="s">
        <v>1744</v>
      </c>
      <c r="C108" s="586" t="s">
        <v>1745</v>
      </c>
      <c r="D108" s="586"/>
      <c r="E108" s="586"/>
      <c r="F108" s="586"/>
      <c r="G108" s="586"/>
      <c r="H108" s="586"/>
      <c r="I108" s="586"/>
      <c r="J108" s="587"/>
      <c r="K108" s="384">
        <v>2</v>
      </c>
    </row>
    <row r="109" spans="1:11" ht="17.25" customHeight="1" thickBot="1">
      <c r="A109" s="343" t="s">
        <v>1093</v>
      </c>
      <c r="B109" s="654"/>
      <c r="C109" s="567" t="s">
        <v>1746</v>
      </c>
      <c r="D109" s="567"/>
      <c r="E109" s="567"/>
      <c r="F109" s="567"/>
      <c r="G109" s="567"/>
      <c r="H109" s="567"/>
      <c r="I109" s="567"/>
      <c r="J109" s="568"/>
      <c r="K109" s="383">
        <v>2</v>
      </c>
    </row>
    <row r="110" spans="1:11" ht="17.25" customHeight="1" thickBot="1">
      <c r="A110" s="400" t="s">
        <v>1094</v>
      </c>
      <c r="B110" s="400" t="s">
        <v>1747</v>
      </c>
      <c r="C110" s="652" t="s">
        <v>1705</v>
      </c>
      <c r="D110" s="652"/>
      <c r="E110" s="652"/>
      <c r="F110" s="652"/>
      <c r="G110" s="652"/>
      <c r="H110" s="652"/>
      <c r="I110" s="652"/>
      <c r="J110" s="653"/>
      <c r="K110" s="408">
        <v>2</v>
      </c>
    </row>
    <row r="111" spans="1:11" ht="17.25" customHeight="1" thickBot="1">
      <c r="A111" s="403" t="s">
        <v>1095</v>
      </c>
      <c r="B111" s="485" t="s">
        <v>1704</v>
      </c>
      <c r="C111" s="590" t="s">
        <v>1748</v>
      </c>
      <c r="D111" s="591"/>
      <c r="E111" s="591"/>
      <c r="F111" s="591"/>
      <c r="G111" s="591"/>
      <c r="H111" s="591"/>
      <c r="I111" s="591"/>
      <c r="J111" s="592"/>
      <c r="K111" s="404">
        <v>2</v>
      </c>
    </row>
    <row r="112" spans="1:11" ht="17.25" customHeight="1">
      <c r="A112" s="403" t="s">
        <v>1096</v>
      </c>
      <c r="B112" s="495"/>
      <c r="C112" s="528" t="s">
        <v>30</v>
      </c>
      <c r="D112" s="528"/>
      <c r="E112" s="528"/>
      <c r="F112" s="528"/>
      <c r="G112" s="588" t="s">
        <v>1641</v>
      </c>
      <c r="H112" s="528"/>
      <c r="I112" s="528"/>
      <c r="J112" s="529"/>
      <c r="K112" s="397">
        <v>2</v>
      </c>
    </row>
    <row r="113" spans="1:11" ht="17.25" customHeight="1" thickBot="1">
      <c r="A113" s="401" t="s">
        <v>1097</v>
      </c>
      <c r="B113" s="495"/>
      <c r="C113" s="571" t="s">
        <v>1642</v>
      </c>
      <c r="D113" s="571"/>
      <c r="E113" s="571"/>
      <c r="F113" s="571"/>
      <c r="G113" s="572" t="s">
        <v>1643</v>
      </c>
      <c r="H113" s="571"/>
      <c r="I113" s="571"/>
      <c r="J113" s="573"/>
      <c r="K113" s="401">
        <v>2</v>
      </c>
    </row>
    <row r="114" spans="1:11" ht="17.25" customHeight="1" thickBot="1">
      <c r="A114" s="401" t="s">
        <v>1098</v>
      </c>
      <c r="B114" s="495"/>
      <c r="C114" s="537" t="s">
        <v>1749</v>
      </c>
      <c r="D114" s="532"/>
      <c r="E114" s="532"/>
      <c r="F114" s="532"/>
      <c r="G114" s="532"/>
      <c r="H114" s="532"/>
      <c r="I114" s="532"/>
      <c r="J114" s="533"/>
      <c r="K114" s="402">
        <v>2</v>
      </c>
    </row>
    <row r="115" spans="1:11" ht="17.25" customHeight="1">
      <c r="A115" s="334" t="s">
        <v>1099</v>
      </c>
      <c r="B115" s="335" t="s">
        <v>1714</v>
      </c>
      <c r="C115" s="541" t="s">
        <v>1715</v>
      </c>
      <c r="D115" s="542"/>
      <c r="E115" s="542"/>
      <c r="F115" s="542"/>
      <c r="G115" s="542"/>
      <c r="H115" s="542"/>
      <c r="I115" s="542"/>
      <c r="J115" s="543"/>
      <c r="K115" s="353">
        <v>2</v>
      </c>
    </row>
    <row r="116" spans="1:11" ht="17.25" customHeight="1" thickBot="1">
      <c r="A116" s="344">
        <v>93</v>
      </c>
      <c r="B116" s="344" t="s">
        <v>1716</v>
      </c>
      <c r="C116" s="569" t="s">
        <v>1717</v>
      </c>
      <c r="D116" s="569"/>
      <c r="E116" s="569"/>
      <c r="F116" s="569"/>
      <c r="G116" s="569"/>
      <c r="H116" s="569"/>
      <c r="I116" s="569"/>
      <c r="J116" s="570"/>
      <c r="K116" s="354">
        <v>1</v>
      </c>
    </row>
  </sheetData>
  <mergeCells count="175">
    <mergeCell ref="K92:K93"/>
    <mergeCell ref="G78:J78"/>
    <mergeCell ref="C77:F77"/>
    <mergeCell ref="C90:C91"/>
    <mergeCell ref="C78:F78"/>
    <mergeCell ref="C79:F79"/>
    <mergeCell ref="C81:F81"/>
    <mergeCell ref="C83:F83"/>
    <mergeCell ref="C84:F84"/>
    <mergeCell ref="K81:K82"/>
    <mergeCell ref="G90:J90"/>
    <mergeCell ref="E92:J92"/>
    <mergeCell ref="C92:C93"/>
    <mergeCell ref="B102:B103"/>
    <mergeCell ref="G89:J89"/>
    <mergeCell ref="B73:B75"/>
    <mergeCell ref="B76:B78"/>
    <mergeCell ref="B79:B80"/>
    <mergeCell ref="G72:J72"/>
    <mergeCell ref="K90:K91"/>
    <mergeCell ref="D90:F90"/>
    <mergeCell ref="G85:J85"/>
    <mergeCell ref="C87:F87"/>
    <mergeCell ref="G87:J87"/>
    <mergeCell ref="C86:F86"/>
    <mergeCell ref="G79:J79"/>
    <mergeCell ref="K79:K80"/>
    <mergeCell ref="G81:J81"/>
    <mergeCell ref="G76:J76"/>
    <mergeCell ref="G77:J77"/>
    <mergeCell ref="G84:J84"/>
    <mergeCell ref="C76:F76"/>
    <mergeCell ref="G74:J74"/>
    <mergeCell ref="G83:J83"/>
    <mergeCell ref="C75:F75"/>
    <mergeCell ref="G75:J75"/>
    <mergeCell ref="C102:J102"/>
    <mergeCell ref="K27:K28"/>
    <mergeCell ref="K13:K14"/>
    <mergeCell ref="G13:G14"/>
    <mergeCell ref="G17:H17"/>
    <mergeCell ref="I17:J17"/>
    <mergeCell ref="G27:J27"/>
    <mergeCell ref="B111:B114"/>
    <mergeCell ref="B104:B105"/>
    <mergeCell ref="C104:J104"/>
    <mergeCell ref="C105:J105"/>
    <mergeCell ref="C110:J110"/>
    <mergeCell ref="B106:B107"/>
    <mergeCell ref="C106:J106"/>
    <mergeCell ref="C107:J107"/>
    <mergeCell ref="B108:B109"/>
    <mergeCell ref="C108:J108"/>
    <mergeCell ref="B81:B82"/>
    <mergeCell ref="B86:B87"/>
    <mergeCell ref="B92:B100"/>
    <mergeCell ref="B90:B91"/>
    <mergeCell ref="B83:B85"/>
    <mergeCell ref="G86:J86"/>
    <mergeCell ref="C85:F85"/>
    <mergeCell ref="C74:F74"/>
    <mergeCell ref="C22:F22"/>
    <mergeCell ref="C34:F34"/>
    <mergeCell ref="C51:J51"/>
    <mergeCell ref="C27:F27"/>
    <mergeCell ref="A5:K5"/>
    <mergeCell ref="A1:K1"/>
    <mergeCell ref="K17:K18"/>
    <mergeCell ref="K15:K16"/>
    <mergeCell ref="D13:F13"/>
    <mergeCell ref="C17:F17"/>
    <mergeCell ref="C10:J10"/>
    <mergeCell ref="C11:J11"/>
    <mergeCell ref="C7:J7"/>
    <mergeCell ref="C8:J8"/>
    <mergeCell ref="B13:B14"/>
    <mergeCell ref="A13:A14"/>
    <mergeCell ref="B15:B16"/>
    <mergeCell ref="B17:B18"/>
    <mergeCell ref="A15:A16"/>
    <mergeCell ref="A17:A18"/>
    <mergeCell ref="C9:J9"/>
    <mergeCell ref="C12:J12"/>
    <mergeCell ref="H13:J13"/>
    <mergeCell ref="D18:F18"/>
    <mergeCell ref="A27:A28"/>
    <mergeCell ref="C15:F15"/>
    <mergeCell ref="C25:F25"/>
    <mergeCell ref="C26:F26"/>
    <mergeCell ref="B21:B23"/>
    <mergeCell ref="B24:B26"/>
    <mergeCell ref="C23:F23"/>
    <mergeCell ref="C60:J60"/>
    <mergeCell ref="C38:C39"/>
    <mergeCell ref="C37:F37"/>
    <mergeCell ref="G25:J25"/>
    <mergeCell ref="G22:J22"/>
    <mergeCell ref="C21:F21"/>
    <mergeCell ref="G21:J21"/>
    <mergeCell ref="C52:J52"/>
    <mergeCell ref="C53:J53"/>
    <mergeCell ref="C54:F54"/>
    <mergeCell ref="G33:J33"/>
    <mergeCell ref="G26:J26"/>
    <mergeCell ref="C31:F31"/>
    <mergeCell ref="G31:J31"/>
    <mergeCell ref="G15:J15"/>
    <mergeCell ref="G20:J20"/>
    <mergeCell ref="C33:F33"/>
    <mergeCell ref="C109:J109"/>
    <mergeCell ref="C116:J116"/>
    <mergeCell ref="C115:J115"/>
    <mergeCell ref="C114:J114"/>
    <mergeCell ref="C113:F113"/>
    <mergeCell ref="G113:J113"/>
    <mergeCell ref="C89:F89"/>
    <mergeCell ref="C67:J67"/>
    <mergeCell ref="C66:J66"/>
    <mergeCell ref="C68:J68"/>
    <mergeCell ref="C69:J69"/>
    <mergeCell ref="C70:J70"/>
    <mergeCell ref="C103:J103"/>
    <mergeCell ref="C112:F112"/>
    <mergeCell ref="G112:J112"/>
    <mergeCell ref="C73:F73"/>
    <mergeCell ref="G73:J73"/>
    <mergeCell ref="C111:J111"/>
    <mergeCell ref="A81:A82"/>
    <mergeCell ref="A79:A80"/>
    <mergeCell ref="A92:A93"/>
    <mergeCell ref="A90:A91"/>
    <mergeCell ref="A31:A32"/>
    <mergeCell ref="A38:A39"/>
    <mergeCell ref="B38:B39"/>
    <mergeCell ref="C50:J50"/>
    <mergeCell ref="C35:F35"/>
    <mergeCell ref="C32:J32"/>
    <mergeCell ref="G54:J54"/>
    <mergeCell ref="C55:F55"/>
    <mergeCell ref="B54:B55"/>
    <mergeCell ref="G55:J55"/>
    <mergeCell ref="C59:J59"/>
    <mergeCell ref="B56:B58"/>
    <mergeCell ref="C56:J56"/>
    <mergeCell ref="C57:J57"/>
    <mergeCell ref="C58:J58"/>
    <mergeCell ref="B50:B53"/>
    <mergeCell ref="G35:J35"/>
    <mergeCell ref="G34:J34"/>
    <mergeCell ref="A63:K63"/>
    <mergeCell ref="C65:J65"/>
    <mergeCell ref="K38:K39"/>
    <mergeCell ref="A40:A41"/>
    <mergeCell ref="B40:B48"/>
    <mergeCell ref="C40:C41"/>
    <mergeCell ref="E40:J40"/>
    <mergeCell ref="K40:K41"/>
    <mergeCell ref="B36:B37"/>
    <mergeCell ref="G23:J23"/>
    <mergeCell ref="G24:J24"/>
    <mergeCell ref="G38:J38"/>
    <mergeCell ref="C36:F36"/>
    <mergeCell ref="G36:J36"/>
    <mergeCell ref="D38:F38"/>
    <mergeCell ref="K31:K32"/>
    <mergeCell ref="K29:K30"/>
    <mergeCell ref="B29:B30"/>
    <mergeCell ref="C29:F29"/>
    <mergeCell ref="G29:J29"/>
    <mergeCell ref="B31:B32"/>
    <mergeCell ref="B33:B35"/>
    <mergeCell ref="C24:F24"/>
    <mergeCell ref="G37:J37"/>
    <mergeCell ref="A29:A30"/>
    <mergeCell ref="B27:B28"/>
  </mergeCells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Q322"/>
  <sheetViews>
    <sheetView topLeftCell="A25" zoomScaleNormal="100" workbookViewId="0">
      <selection activeCell="O42" sqref="O42"/>
    </sheetView>
  </sheetViews>
  <sheetFormatPr defaultRowHeight="15" customHeight="1"/>
  <cols>
    <col min="1" max="2" width="5.6640625" style="61" customWidth="1"/>
    <col min="3" max="11" width="6.77734375" style="61" customWidth="1"/>
    <col min="12" max="14" width="8.77734375" style="61" hidden="1" customWidth="1"/>
    <col min="15" max="16384" width="8.88671875" style="61"/>
  </cols>
  <sheetData>
    <row r="1" spans="1:15" ht="15" customHeight="1">
      <c r="A1" s="739" t="s">
        <v>311</v>
      </c>
      <c r="B1" s="740"/>
      <c r="C1" s="740"/>
      <c r="D1" s="740"/>
      <c r="E1" s="740"/>
      <c r="F1" s="740"/>
      <c r="G1" s="740"/>
      <c r="H1" s="740"/>
      <c r="I1" s="740"/>
      <c r="J1" s="740"/>
      <c r="K1" s="741"/>
    </row>
    <row r="2" spans="1:15" ht="15" customHeight="1">
      <c r="A2" s="85" t="s">
        <v>312</v>
      </c>
      <c r="B2" s="131"/>
      <c r="C2" s="26" t="s">
        <v>313</v>
      </c>
      <c r="D2" s="27"/>
      <c r="E2" s="28"/>
      <c r="F2" s="28"/>
      <c r="G2" s="28"/>
      <c r="H2" s="28"/>
      <c r="I2" s="27"/>
      <c r="J2" s="28" t="s">
        <v>52</v>
      </c>
      <c r="K2" s="29" t="s">
        <v>314</v>
      </c>
    </row>
    <row r="3" spans="1:15" ht="15" customHeight="1">
      <c r="A3" s="85" t="s">
        <v>315</v>
      </c>
      <c r="B3" s="131"/>
      <c r="C3" s="26"/>
      <c r="D3" s="28"/>
      <c r="E3" s="28"/>
      <c r="F3" s="28"/>
      <c r="G3" s="28"/>
      <c r="H3" s="28"/>
      <c r="I3" s="27"/>
      <c r="J3" s="28" t="s">
        <v>47</v>
      </c>
      <c r="K3" s="29" t="s">
        <v>937</v>
      </c>
    </row>
    <row r="4" spans="1:15" ht="15" customHeight="1" thickBot="1">
      <c r="A4" s="86"/>
      <c r="B4" s="132"/>
      <c r="C4" s="87"/>
      <c r="D4" s="87"/>
      <c r="E4" s="87"/>
      <c r="F4" s="87"/>
      <c r="G4" s="87"/>
      <c r="H4" s="87"/>
      <c r="I4" s="88"/>
      <c r="J4" s="30" t="s">
        <v>49</v>
      </c>
      <c r="K4" s="31" t="s">
        <v>939</v>
      </c>
    </row>
    <row r="5" spans="1:15" ht="15" customHeight="1" thickBot="1">
      <c r="A5" s="736" t="s">
        <v>614</v>
      </c>
      <c r="B5" s="737"/>
      <c r="C5" s="737"/>
      <c r="D5" s="737"/>
      <c r="E5" s="737"/>
      <c r="F5" s="737"/>
      <c r="G5" s="737"/>
      <c r="H5" s="737"/>
      <c r="I5" s="737"/>
      <c r="J5" s="737"/>
      <c r="K5" s="738"/>
    </row>
    <row r="6" spans="1:15" ht="15" customHeight="1" thickBot="1">
      <c r="A6" s="58" t="s">
        <v>316</v>
      </c>
      <c r="B6" s="58" t="s">
        <v>448</v>
      </c>
      <c r="C6" s="52" t="s">
        <v>208</v>
      </c>
      <c r="D6" s="32" t="s">
        <v>209</v>
      </c>
      <c r="E6" s="32" t="s">
        <v>210</v>
      </c>
      <c r="F6" s="32" t="s">
        <v>211</v>
      </c>
      <c r="G6" s="32" t="s">
        <v>212</v>
      </c>
      <c r="H6" s="32" t="s">
        <v>213</v>
      </c>
      <c r="I6" s="32" t="s">
        <v>214</v>
      </c>
      <c r="J6" s="33" t="s">
        <v>215</v>
      </c>
      <c r="K6" s="75" t="s">
        <v>317</v>
      </c>
      <c r="L6" s="89"/>
    </row>
    <row r="7" spans="1:15" ht="15" customHeight="1">
      <c r="A7" s="59">
        <v>0</v>
      </c>
      <c r="B7" s="59" t="s">
        <v>431</v>
      </c>
      <c r="C7" s="783" t="s">
        <v>216</v>
      </c>
      <c r="D7" s="784"/>
      <c r="E7" s="784"/>
      <c r="F7" s="784"/>
      <c r="G7" s="784"/>
      <c r="H7" s="784"/>
      <c r="I7" s="784"/>
      <c r="J7" s="785"/>
      <c r="K7" s="82">
        <v>1</v>
      </c>
      <c r="L7" s="51"/>
    </row>
    <row r="8" spans="1:15" ht="15" customHeight="1">
      <c r="A8" s="60" t="s">
        <v>318</v>
      </c>
      <c r="B8" s="60" t="s">
        <v>432</v>
      </c>
      <c r="C8" s="723" t="s">
        <v>217</v>
      </c>
      <c r="D8" s="786"/>
      <c r="E8" s="786"/>
      <c r="F8" s="786"/>
      <c r="G8" s="786"/>
      <c r="H8" s="786"/>
      <c r="I8" s="786"/>
      <c r="J8" s="787"/>
      <c r="K8" s="63">
        <v>2</v>
      </c>
      <c r="L8" s="225">
        <v>16</v>
      </c>
      <c r="M8" s="61">
        <v>16</v>
      </c>
      <c r="N8" s="61">
        <v>16</v>
      </c>
      <c r="O8" s="61">
        <v>16</v>
      </c>
    </row>
    <row r="9" spans="1:15" ht="15" customHeight="1">
      <c r="A9" s="60" t="s">
        <v>319</v>
      </c>
      <c r="B9" s="60" t="s">
        <v>433</v>
      </c>
      <c r="C9" s="723" t="s">
        <v>420</v>
      </c>
      <c r="D9" s="786"/>
      <c r="E9" s="786"/>
      <c r="F9" s="786"/>
      <c r="G9" s="786"/>
      <c r="H9" s="786"/>
      <c r="I9" s="786"/>
      <c r="J9" s="787"/>
      <c r="K9" s="63">
        <v>2</v>
      </c>
      <c r="L9" s="226">
        <v>31</v>
      </c>
      <c r="M9" s="61">
        <v>32</v>
      </c>
      <c r="N9" s="61">
        <v>31</v>
      </c>
      <c r="O9" s="61">
        <v>31</v>
      </c>
    </row>
    <row r="10" spans="1:15" s="51" customFormat="1" ht="11.25">
      <c r="A10" s="60" t="s">
        <v>320</v>
      </c>
      <c r="B10" s="60" t="s">
        <v>434</v>
      </c>
      <c r="C10" s="722" t="s">
        <v>218</v>
      </c>
      <c r="D10" s="722"/>
      <c r="E10" s="722"/>
      <c r="F10" s="722"/>
      <c r="G10" s="722"/>
      <c r="H10" s="722"/>
      <c r="I10" s="722"/>
      <c r="J10" s="725"/>
      <c r="K10" s="63">
        <v>2</v>
      </c>
      <c r="L10" s="226" t="s">
        <v>1278</v>
      </c>
      <c r="M10" s="51" t="s">
        <v>1336</v>
      </c>
      <c r="N10" s="51" t="s">
        <v>1329</v>
      </c>
      <c r="O10" s="51">
        <v>53</v>
      </c>
    </row>
    <row r="11" spans="1:15" ht="15" customHeight="1">
      <c r="A11" s="60" t="s">
        <v>178</v>
      </c>
      <c r="B11" s="60" t="s">
        <v>435</v>
      </c>
      <c r="C11" s="790" t="s">
        <v>179</v>
      </c>
      <c r="D11" s="791"/>
      <c r="E11" s="791"/>
      <c r="F11" s="791"/>
      <c r="G11" s="791"/>
      <c r="H11" s="791"/>
      <c r="I11" s="791"/>
      <c r="J11" s="792"/>
      <c r="K11" s="63">
        <v>2</v>
      </c>
      <c r="L11" s="226">
        <v>10</v>
      </c>
      <c r="M11" s="61">
        <v>10</v>
      </c>
      <c r="N11" s="61">
        <v>10</v>
      </c>
      <c r="O11" s="61">
        <v>10</v>
      </c>
    </row>
    <row r="12" spans="1:15" ht="15" customHeight="1" thickBot="1">
      <c r="A12" s="62" t="s">
        <v>180</v>
      </c>
      <c r="B12" s="64" t="s">
        <v>436</v>
      </c>
      <c r="C12" s="768" t="s">
        <v>219</v>
      </c>
      <c r="D12" s="769"/>
      <c r="E12" s="769"/>
      <c r="F12" s="769"/>
      <c r="G12" s="769"/>
      <c r="H12" s="769"/>
      <c r="I12" s="769"/>
      <c r="J12" s="770"/>
      <c r="K12" s="55">
        <v>2</v>
      </c>
      <c r="L12" s="226">
        <v>23</v>
      </c>
      <c r="M12" s="61" t="s">
        <v>1337</v>
      </c>
      <c r="N12" s="61">
        <v>23</v>
      </c>
      <c r="O12" s="61" t="s">
        <v>1845</v>
      </c>
    </row>
    <row r="13" spans="1:15" ht="15" customHeight="1">
      <c r="A13" s="54">
        <v>11</v>
      </c>
      <c r="B13" s="704" t="s">
        <v>437</v>
      </c>
      <c r="C13" s="719" t="s">
        <v>150</v>
      </c>
      <c r="D13" s="718"/>
      <c r="E13" s="718" t="s">
        <v>182</v>
      </c>
      <c r="F13" s="718"/>
      <c r="G13" s="718"/>
      <c r="H13" s="718" t="s">
        <v>183</v>
      </c>
      <c r="I13" s="718"/>
      <c r="J13" s="774"/>
      <c r="K13" s="742">
        <v>2</v>
      </c>
      <c r="L13" s="226"/>
    </row>
    <row r="14" spans="1:15" ht="15" customHeight="1" thickBot="1">
      <c r="A14" s="55">
        <v>12</v>
      </c>
      <c r="B14" s="716"/>
      <c r="C14" s="720"/>
      <c r="D14" s="712"/>
      <c r="E14" s="35" t="s">
        <v>144</v>
      </c>
      <c r="F14" s="35" t="s">
        <v>145</v>
      </c>
      <c r="G14" s="35" t="s">
        <v>147</v>
      </c>
      <c r="H14" s="35" t="s">
        <v>144</v>
      </c>
      <c r="I14" s="35" t="s">
        <v>145</v>
      </c>
      <c r="J14" s="36" t="s">
        <v>147</v>
      </c>
      <c r="K14" s="743"/>
      <c r="L14" s="226">
        <v>4</v>
      </c>
      <c r="M14" s="61">
        <v>4</v>
      </c>
      <c r="N14" s="61">
        <v>4</v>
      </c>
      <c r="O14" s="61">
        <v>4</v>
      </c>
    </row>
    <row r="15" spans="1:15" ht="15" customHeight="1">
      <c r="A15" s="53">
        <v>13</v>
      </c>
      <c r="B15" s="704" t="s">
        <v>440</v>
      </c>
      <c r="C15" s="775" t="s">
        <v>184</v>
      </c>
      <c r="D15" s="733"/>
      <c r="E15" s="733"/>
      <c r="F15" s="733"/>
      <c r="G15" s="733" t="s">
        <v>185</v>
      </c>
      <c r="H15" s="733"/>
      <c r="I15" s="733"/>
      <c r="J15" s="734"/>
      <c r="K15" s="744">
        <v>2</v>
      </c>
      <c r="L15" s="226"/>
    </row>
    <row r="16" spans="1:15" ht="15" customHeight="1" thickBot="1">
      <c r="A16" s="62">
        <v>14</v>
      </c>
      <c r="B16" s="716"/>
      <c r="C16" s="37" t="s">
        <v>148</v>
      </c>
      <c r="D16" s="38" t="s">
        <v>186</v>
      </c>
      <c r="E16" s="38" t="s">
        <v>187</v>
      </c>
      <c r="F16" s="38" t="s">
        <v>140</v>
      </c>
      <c r="G16" s="38" t="s">
        <v>148</v>
      </c>
      <c r="H16" s="38" t="s">
        <v>186</v>
      </c>
      <c r="I16" s="38" t="s">
        <v>187</v>
      </c>
      <c r="J16" s="44" t="s">
        <v>140</v>
      </c>
      <c r="K16" s="745"/>
      <c r="L16" s="226">
        <v>8</v>
      </c>
      <c r="M16" s="61">
        <v>8</v>
      </c>
      <c r="N16" s="61">
        <v>8</v>
      </c>
      <c r="O16" s="61">
        <v>8</v>
      </c>
    </row>
    <row r="17" spans="1:17" ht="15" customHeight="1">
      <c r="A17" s="54">
        <v>15</v>
      </c>
      <c r="B17" s="704" t="s">
        <v>441</v>
      </c>
      <c r="C17" s="719" t="s">
        <v>141</v>
      </c>
      <c r="D17" s="718"/>
      <c r="E17" s="718"/>
      <c r="F17" s="718"/>
      <c r="G17" s="718" t="s">
        <v>142</v>
      </c>
      <c r="H17" s="718"/>
      <c r="I17" s="718" t="s">
        <v>143</v>
      </c>
      <c r="J17" s="774"/>
      <c r="K17" s="742">
        <v>2</v>
      </c>
      <c r="L17" s="226"/>
    </row>
    <row r="18" spans="1:17" ht="15" customHeight="1" thickBot="1">
      <c r="A18" s="55">
        <v>16</v>
      </c>
      <c r="B18" s="716"/>
      <c r="C18" s="71" t="s">
        <v>144</v>
      </c>
      <c r="D18" s="39" t="s">
        <v>145</v>
      </c>
      <c r="E18" s="39" t="s">
        <v>146</v>
      </c>
      <c r="F18" s="39" t="s">
        <v>147</v>
      </c>
      <c r="G18" s="35" t="s">
        <v>148</v>
      </c>
      <c r="H18" s="35" t="s">
        <v>149</v>
      </c>
      <c r="I18" s="35" t="s">
        <v>148</v>
      </c>
      <c r="J18" s="36" t="s">
        <v>149</v>
      </c>
      <c r="K18" s="743"/>
      <c r="L18" s="197">
        <v>1</v>
      </c>
      <c r="M18" s="61">
        <v>4</v>
      </c>
      <c r="N18" s="61">
        <v>1</v>
      </c>
      <c r="O18" s="61">
        <v>0</v>
      </c>
    </row>
    <row r="19" spans="1:17" ht="15" customHeight="1" thickBot="1">
      <c r="A19" s="58" t="s">
        <v>188</v>
      </c>
      <c r="B19" s="58" t="s">
        <v>457</v>
      </c>
      <c r="C19" s="90" t="s">
        <v>150</v>
      </c>
      <c r="D19" s="41" t="s">
        <v>151</v>
      </c>
      <c r="E19" s="40" t="s">
        <v>152</v>
      </c>
      <c r="F19" s="40" t="s">
        <v>153</v>
      </c>
      <c r="G19" s="40" t="s">
        <v>154</v>
      </c>
      <c r="H19" s="40" t="s">
        <v>155</v>
      </c>
      <c r="I19" s="40" t="s">
        <v>156</v>
      </c>
      <c r="J19" s="42" t="s">
        <v>31</v>
      </c>
      <c r="K19" s="63">
        <v>2</v>
      </c>
      <c r="L19" s="197">
        <v>20</v>
      </c>
      <c r="M19" s="61">
        <v>46</v>
      </c>
      <c r="N19" s="61">
        <v>24</v>
      </c>
      <c r="O19" s="61">
        <v>24</v>
      </c>
    </row>
    <row r="20" spans="1:17" ht="15" customHeight="1" thickBot="1">
      <c r="A20" s="79" t="s">
        <v>189</v>
      </c>
      <c r="B20" s="55" t="s">
        <v>442</v>
      </c>
      <c r="C20" s="91" t="s">
        <v>150</v>
      </c>
      <c r="D20" s="43" t="s">
        <v>157</v>
      </c>
      <c r="E20" s="43" t="s">
        <v>158</v>
      </c>
      <c r="F20" s="43" t="s">
        <v>150</v>
      </c>
      <c r="G20" s="793" t="s">
        <v>428</v>
      </c>
      <c r="H20" s="793"/>
      <c r="I20" s="793"/>
      <c r="J20" s="794"/>
      <c r="K20" s="58">
        <v>2</v>
      </c>
      <c r="L20" s="197">
        <v>20</v>
      </c>
      <c r="M20" s="61">
        <v>40</v>
      </c>
      <c r="N20" s="61">
        <v>20</v>
      </c>
      <c r="O20" s="61" t="s">
        <v>1752</v>
      </c>
    </row>
    <row r="21" spans="1:17" ht="15" customHeight="1">
      <c r="A21" s="59" t="s">
        <v>190</v>
      </c>
      <c r="B21" s="704" t="s">
        <v>453</v>
      </c>
      <c r="C21" s="775" t="s">
        <v>159</v>
      </c>
      <c r="D21" s="733"/>
      <c r="E21" s="733"/>
      <c r="F21" s="733"/>
      <c r="G21" s="733" t="s">
        <v>578</v>
      </c>
      <c r="H21" s="733"/>
      <c r="I21" s="733"/>
      <c r="J21" s="734"/>
      <c r="K21" s="54">
        <v>2</v>
      </c>
      <c r="L21" s="197">
        <v>0</v>
      </c>
      <c r="M21" s="61">
        <v>0</v>
      </c>
      <c r="N21" s="61">
        <v>0</v>
      </c>
      <c r="O21" s="61">
        <v>0</v>
      </c>
    </row>
    <row r="22" spans="1:17" ht="15" customHeight="1">
      <c r="A22" s="60" t="s">
        <v>191</v>
      </c>
      <c r="B22" s="717"/>
      <c r="C22" s="782" t="s">
        <v>161</v>
      </c>
      <c r="D22" s="779"/>
      <c r="E22" s="779"/>
      <c r="F22" s="779"/>
      <c r="G22" s="779" t="s">
        <v>162</v>
      </c>
      <c r="H22" s="779"/>
      <c r="I22" s="779"/>
      <c r="J22" s="780"/>
      <c r="K22" s="63">
        <v>2</v>
      </c>
      <c r="L22" s="197">
        <v>0</v>
      </c>
      <c r="M22" s="61">
        <v>0</v>
      </c>
      <c r="N22" s="61">
        <v>0</v>
      </c>
      <c r="O22" s="61">
        <v>57</v>
      </c>
    </row>
    <row r="23" spans="1:17" ht="15" customHeight="1" thickBot="1">
      <c r="A23" s="64" t="s">
        <v>321</v>
      </c>
      <c r="B23" s="716"/>
      <c r="C23" s="788" t="s">
        <v>192</v>
      </c>
      <c r="D23" s="772"/>
      <c r="E23" s="772"/>
      <c r="F23" s="772"/>
      <c r="G23" s="772" t="s">
        <v>193</v>
      </c>
      <c r="H23" s="772"/>
      <c r="I23" s="772"/>
      <c r="J23" s="773"/>
      <c r="K23" s="55">
        <v>2</v>
      </c>
      <c r="L23" s="226">
        <v>0</v>
      </c>
      <c r="M23" s="61">
        <v>0</v>
      </c>
      <c r="N23" s="61">
        <v>0</v>
      </c>
      <c r="O23" s="61">
        <v>12</v>
      </c>
    </row>
    <row r="24" spans="1:17" ht="15" customHeight="1">
      <c r="A24" s="59" t="s">
        <v>322</v>
      </c>
      <c r="B24" s="704" t="s">
        <v>450</v>
      </c>
      <c r="C24" s="719" t="s">
        <v>194</v>
      </c>
      <c r="D24" s="718"/>
      <c r="E24" s="718"/>
      <c r="F24" s="718"/>
      <c r="G24" s="718" t="s">
        <v>577</v>
      </c>
      <c r="H24" s="718"/>
      <c r="I24" s="718"/>
      <c r="J24" s="774"/>
      <c r="K24" s="54">
        <v>2</v>
      </c>
      <c r="L24" s="226">
        <v>0</v>
      </c>
      <c r="M24" s="61">
        <v>0</v>
      </c>
      <c r="N24" s="61">
        <v>0</v>
      </c>
      <c r="O24" s="61">
        <v>0</v>
      </c>
    </row>
    <row r="25" spans="1:17" ht="15" customHeight="1">
      <c r="A25" s="60" t="s">
        <v>323</v>
      </c>
      <c r="B25" s="717"/>
      <c r="C25" s="771" t="s">
        <v>196</v>
      </c>
      <c r="D25" s="707"/>
      <c r="E25" s="707"/>
      <c r="F25" s="707"/>
      <c r="G25" s="707" t="s">
        <v>197</v>
      </c>
      <c r="H25" s="707"/>
      <c r="I25" s="707"/>
      <c r="J25" s="732"/>
      <c r="K25" s="63">
        <v>2</v>
      </c>
      <c r="L25" s="197">
        <v>0</v>
      </c>
      <c r="M25" s="61">
        <v>0</v>
      </c>
      <c r="N25" s="61">
        <v>0</v>
      </c>
      <c r="O25" s="61">
        <v>0</v>
      </c>
    </row>
    <row r="26" spans="1:17" ht="15" customHeight="1" thickBot="1">
      <c r="A26" s="64" t="s">
        <v>324</v>
      </c>
      <c r="B26" s="716"/>
      <c r="C26" s="720" t="s">
        <v>198</v>
      </c>
      <c r="D26" s="712"/>
      <c r="E26" s="712"/>
      <c r="F26" s="712"/>
      <c r="G26" s="712" t="s">
        <v>199</v>
      </c>
      <c r="H26" s="712"/>
      <c r="I26" s="712"/>
      <c r="J26" s="735"/>
      <c r="K26" s="55">
        <v>2</v>
      </c>
      <c r="L26" s="197">
        <v>0</v>
      </c>
      <c r="M26" s="61">
        <v>0</v>
      </c>
      <c r="N26" s="61">
        <v>0</v>
      </c>
      <c r="O26" s="61">
        <v>0</v>
      </c>
    </row>
    <row r="27" spans="1:17" ht="15" customHeight="1">
      <c r="A27" s="704" t="s">
        <v>558</v>
      </c>
      <c r="B27" s="704" t="s">
        <v>559</v>
      </c>
      <c r="C27" s="801" t="s">
        <v>581</v>
      </c>
      <c r="D27" s="802"/>
      <c r="E27" s="802"/>
      <c r="F27" s="803"/>
      <c r="G27" s="795" t="s">
        <v>582</v>
      </c>
      <c r="H27" s="796"/>
      <c r="I27" s="796"/>
      <c r="J27" s="797"/>
      <c r="K27" s="742">
        <v>2</v>
      </c>
      <c r="L27" s="197"/>
      <c r="M27" s="61">
        <v>0</v>
      </c>
      <c r="P27" s="51"/>
      <c r="Q27" s="51"/>
    </row>
    <row r="28" spans="1:17" ht="15" customHeight="1" thickBot="1">
      <c r="A28" s="716"/>
      <c r="B28" s="716"/>
      <c r="C28" s="139" t="s">
        <v>545</v>
      </c>
      <c r="D28" s="121" t="s">
        <v>546</v>
      </c>
      <c r="E28" s="121" t="s">
        <v>547</v>
      </c>
      <c r="F28" s="121" t="s">
        <v>548</v>
      </c>
      <c r="G28" s="120" t="s">
        <v>549</v>
      </c>
      <c r="H28" s="121" t="s">
        <v>550</v>
      </c>
      <c r="I28" s="121" t="s">
        <v>551</v>
      </c>
      <c r="J28" s="122" t="s">
        <v>552</v>
      </c>
      <c r="K28" s="743"/>
      <c r="L28" s="197">
        <v>0</v>
      </c>
      <c r="M28" s="61">
        <v>0</v>
      </c>
      <c r="N28" s="61">
        <v>0</v>
      </c>
      <c r="O28" s="61">
        <v>0</v>
      </c>
    </row>
    <row r="29" spans="1:17" ht="15" customHeight="1">
      <c r="A29" s="704" t="s">
        <v>541</v>
      </c>
      <c r="B29" s="704" t="s">
        <v>542</v>
      </c>
      <c r="C29" s="729" t="s">
        <v>543</v>
      </c>
      <c r="D29" s="730"/>
      <c r="E29" s="730"/>
      <c r="F29" s="731"/>
      <c r="G29" s="804" t="s">
        <v>544</v>
      </c>
      <c r="H29" s="730"/>
      <c r="I29" s="730"/>
      <c r="J29" s="805"/>
      <c r="K29" s="746">
        <v>2</v>
      </c>
      <c r="L29" s="197"/>
      <c r="M29" s="61">
        <v>12</v>
      </c>
    </row>
    <row r="30" spans="1:17" ht="15" customHeight="1" thickBot="1">
      <c r="A30" s="716"/>
      <c r="B30" s="716"/>
      <c r="C30" s="127" t="s">
        <v>545</v>
      </c>
      <c r="D30" s="35" t="s">
        <v>546</v>
      </c>
      <c r="E30" s="35" t="s">
        <v>547</v>
      </c>
      <c r="F30" s="35" t="s">
        <v>548</v>
      </c>
      <c r="G30" s="71" t="s">
        <v>549</v>
      </c>
      <c r="H30" s="35" t="s">
        <v>550</v>
      </c>
      <c r="I30" s="35" t="s">
        <v>551</v>
      </c>
      <c r="J30" s="36" t="s">
        <v>552</v>
      </c>
      <c r="K30" s="747"/>
      <c r="L30" s="197">
        <v>0</v>
      </c>
      <c r="M30" s="51"/>
      <c r="N30" s="61">
        <v>0</v>
      </c>
      <c r="O30" s="61">
        <v>0</v>
      </c>
      <c r="P30" s="51"/>
      <c r="Q30" s="51"/>
    </row>
    <row r="31" spans="1:17" s="51" customFormat="1" ht="11.25">
      <c r="A31" s="704" t="s">
        <v>556</v>
      </c>
      <c r="B31" s="704" t="s">
        <v>553</v>
      </c>
      <c r="C31" s="761" t="s">
        <v>554</v>
      </c>
      <c r="D31" s="762"/>
      <c r="E31" s="762"/>
      <c r="F31" s="763"/>
      <c r="G31" s="764" t="s">
        <v>555</v>
      </c>
      <c r="H31" s="762"/>
      <c r="I31" s="762"/>
      <c r="J31" s="765"/>
      <c r="K31" s="746">
        <v>2</v>
      </c>
      <c r="L31" s="197"/>
      <c r="M31" s="61"/>
      <c r="N31" s="61"/>
      <c r="O31" s="61"/>
      <c r="P31" s="61"/>
      <c r="Q31" s="61"/>
    </row>
    <row r="32" spans="1:17" ht="15" customHeight="1" thickBot="1">
      <c r="A32" s="716"/>
      <c r="B32" s="716"/>
      <c r="C32" s="45" t="s">
        <v>545</v>
      </c>
      <c r="D32" s="46" t="s">
        <v>546</v>
      </c>
      <c r="E32" s="46" t="s">
        <v>547</v>
      </c>
      <c r="F32" s="46" t="s">
        <v>548</v>
      </c>
      <c r="G32" s="47" t="s">
        <v>549</v>
      </c>
      <c r="H32" s="46" t="s">
        <v>550</v>
      </c>
      <c r="I32" s="46" t="s">
        <v>551</v>
      </c>
      <c r="J32" s="48" t="s">
        <v>552</v>
      </c>
      <c r="K32" s="747"/>
      <c r="L32" s="197">
        <v>0</v>
      </c>
      <c r="N32" s="61" t="s">
        <v>1330</v>
      </c>
      <c r="O32" s="61" t="s">
        <v>1330</v>
      </c>
      <c r="P32" s="51"/>
      <c r="Q32" s="51"/>
    </row>
    <row r="33" spans="1:17" ht="11.25">
      <c r="A33" s="54" t="s">
        <v>292</v>
      </c>
      <c r="B33" s="704" t="s">
        <v>454</v>
      </c>
      <c r="C33" s="798" t="s">
        <v>576</v>
      </c>
      <c r="D33" s="776"/>
      <c r="E33" s="776"/>
      <c r="F33" s="799"/>
      <c r="G33" s="800" t="s">
        <v>580</v>
      </c>
      <c r="H33" s="776"/>
      <c r="I33" s="776"/>
      <c r="J33" s="777"/>
      <c r="K33" s="63">
        <v>2</v>
      </c>
      <c r="L33" s="226">
        <v>0</v>
      </c>
      <c r="M33" s="51"/>
      <c r="N33" s="61">
        <v>0</v>
      </c>
      <c r="O33" s="61">
        <v>0</v>
      </c>
      <c r="P33" s="51"/>
      <c r="Q33" s="51"/>
    </row>
    <row r="34" spans="1:17" ht="13.5" customHeight="1">
      <c r="A34" s="63" t="s">
        <v>293</v>
      </c>
      <c r="B34" s="717"/>
      <c r="C34" s="721" t="s">
        <v>575</v>
      </c>
      <c r="D34" s="722"/>
      <c r="E34" s="722"/>
      <c r="F34" s="723"/>
      <c r="G34" s="724" t="s">
        <v>574</v>
      </c>
      <c r="H34" s="722"/>
      <c r="I34" s="722"/>
      <c r="J34" s="725"/>
      <c r="K34" s="63">
        <v>2</v>
      </c>
      <c r="L34" s="197">
        <v>0</v>
      </c>
      <c r="M34" s="140"/>
      <c r="N34" s="61">
        <v>0</v>
      </c>
      <c r="O34" s="61">
        <v>0</v>
      </c>
      <c r="P34" s="51"/>
      <c r="Q34" s="51"/>
    </row>
    <row r="35" spans="1:17" s="51" customFormat="1" ht="14.25" customHeight="1" thickBot="1">
      <c r="A35" s="55" t="s">
        <v>294</v>
      </c>
      <c r="B35" s="716"/>
      <c r="C35" s="726" t="s">
        <v>200</v>
      </c>
      <c r="D35" s="727"/>
      <c r="E35" s="727"/>
      <c r="F35" s="728"/>
      <c r="G35" s="781" t="s">
        <v>201</v>
      </c>
      <c r="H35" s="727"/>
      <c r="I35" s="727"/>
      <c r="J35" s="778"/>
      <c r="K35" s="83">
        <v>2</v>
      </c>
      <c r="L35" s="197">
        <v>0</v>
      </c>
      <c r="N35" s="61">
        <v>0</v>
      </c>
      <c r="O35" s="61">
        <v>0</v>
      </c>
      <c r="P35" s="65"/>
      <c r="Q35" s="65"/>
    </row>
    <row r="36" spans="1:17" s="51" customFormat="1" ht="11.25">
      <c r="A36" s="54" t="s">
        <v>329</v>
      </c>
      <c r="B36" s="704" t="s">
        <v>451</v>
      </c>
      <c r="C36" s="702" t="s">
        <v>150</v>
      </c>
      <c r="D36" s="702"/>
      <c r="E36" s="702"/>
      <c r="F36" s="702"/>
      <c r="G36" s="701" t="s">
        <v>202</v>
      </c>
      <c r="H36" s="702"/>
      <c r="I36" s="702"/>
      <c r="J36" s="703"/>
      <c r="K36" s="54">
        <v>2</v>
      </c>
      <c r="L36" s="226">
        <v>7</v>
      </c>
      <c r="N36" s="61">
        <v>7</v>
      </c>
      <c r="O36" s="61">
        <v>7</v>
      </c>
    </row>
    <row r="37" spans="1:17" s="51" customFormat="1" ht="14.25" customHeight="1" thickBot="1">
      <c r="A37" s="55" t="s">
        <v>330</v>
      </c>
      <c r="B37" s="716"/>
      <c r="C37" s="687" t="s">
        <v>203</v>
      </c>
      <c r="D37" s="687"/>
      <c r="E37" s="687"/>
      <c r="F37" s="687"/>
      <c r="G37" s="688" t="s">
        <v>204</v>
      </c>
      <c r="H37" s="687"/>
      <c r="I37" s="687"/>
      <c r="J37" s="689"/>
      <c r="K37" s="55">
        <v>2</v>
      </c>
      <c r="L37" s="197">
        <v>1</v>
      </c>
      <c r="N37" s="61">
        <v>1</v>
      </c>
      <c r="O37" s="61">
        <v>1</v>
      </c>
    </row>
    <row r="38" spans="1:17" ht="15" customHeight="1" thickBot="1">
      <c r="A38" s="58" t="s">
        <v>297</v>
      </c>
      <c r="B38" s="63" t="s">
        <v>443</v>
      </c>
      <c r="C38" s="766" t="s">
        <v>150</v>
      </c>
      <c r="D38" s="766"/>
      <c r="E38" s="766"/>
      <c r="F38" s="767"/>
      <c r="G38" s="93" t="s">
        <v>220</v>
      </c>
      <c r="H38" s="93" t="s">
        <v>221</v>
      </c>
      <c r="I38" s="93" t="s">
        <v>222</v>
      </c>
      <c r="J38" s="94" t="s">
        <v>223</v>
      </c>
      <c r="K38" s="63">
        <v>2</v>
      </c>
      <c r="L38" s="226">
        <v>8</v>
      </c>
      <c r="M38" s="65"/>
      <c r="N38" s="61">
        <v>1</v>
      </c>
      <c r="O38" s="61">
        <v>94</v>
      </c>
    </row>
    <row r="39" spans="1:17" ht="15" customHeight="1" thickBot="1">
      <c r="A39" s="58" t="s">
        <v>557</v>
      </c>
      <c r="B39" s="58" t="s">
        <v>456</v>
      </c>
      <c r="C39" s="789" t="s">
        <v>224</v>
      </c>
      <c r="D39" s="789"/>
      <c r="E39" s="789"/>
      <c r="F39" s="789"/>
      <c r="G39" s="754" t="s">
        <v>225</v>
      </c>
      <c r="H39" s="754"/>
      <c r="I39" s="754"/>
      <c r="J39" s="755"/>
      <c r="K39" s="58">
        <v>2</v>
      </c>
      <c r="L39" s="226">
        <v>0</v>
      </c>
      <c r="M39" s="51"/>
      <c r="N39" s="51">
        <v>0</v>
      </c>
      <c r="O39" s="61">
        <v>0</v>
      </c>
    </row>
    <row r="40" spans="1:17" ht="15" customHeight="1">
      <c r="A40" s="704" t="s">
        <v>304</v>
      </c>
      <c r="B40" s="704" t="s">
        <v>455</v>
      </c>
      <c r="C40" s="767" t="s">
        <v>150</v>
      </c>
      <c r="D40" s="756" t="s">
        <v>226</v>
      </c>
      <c r="E40" s="757"/>
      <c r="F40" s="95"/>
      <c r="G40" s="756" t="s">
        <v>227</v>
      </c>
      <c r="H40" s="757"/>
      <c r="I40" s="757"/>
      <c r="J40" s="758"/>
      <c r="K40" s="744">
        <v>2</v>
      </c>
      <c r="L40" s="226"/>
      <c r="M40" s="51"/>
      <c r="N40" s="51"/>
    </row>
    <row r="41" spans="1:17" ht="15" customHeight="1" thickBot="1">
      <c r="A41" s="717"/>
      <c r="B41" s="716"/>
      <c r="C41" s="767"/>
      <c r="D41" s="96" t="s">
        <v>228</v>
      </c>
      <c r="E41" s="66" t="s">
        <v>229</v>
      </c>
      <c r="F41" s="97" t="s">
        <v>230</v>
      </c>
      <c r="G41" s="96" t="s">
        <v>228</v>
      </c>
      <c r="H41" s="66" t="s">
        <v>229</v>
      </c>
      <c r="I41" s="66" t="s">
        <v>231</v>
      </c>
      <c r="J41" s="67" t="s">
        <v>232</v>
      </c>
      <c r="K41" s="745"/>
      <c r="L41" s="226">
        <v>24</v>
      </c>
      <c r="N41" s="74" t="s">
        <v>1331</v>
      </c>
      <c r="O41" s="61" t="s">
        <v>1331</v>
      </c>
    </row>
    <row r="42" spans="1:17" ht="15" customHeight="1" thickBot="1">
      <c r="A42" s="58" t="s">
        <v>305</v>
      </c>
      <c r="B42" s="58" t="s">
        <v>458</v>
      </c>
      <c r="C42" s="753" t="s">
        <v>1844</v>
      </c>
      <c r="D42" s="754"/>
      <c r="E42" s="754"/>
      <c r="F42" s="754"/>
      <c r="G42" s="754"/>
      <c r="H42" s="754"/>
      <c r="I42" s="754"/>
      <c r="J42" s="755"/>
      <c r="K42" s="58">
        <v>2</v>
      </c>
      <c r="L42" s="227">
        <v>20</v>
      </c>
      <c r="N42" s="51">
        <v>20</v>
      </c>
      <c r="O42" s="61">
        <v>2</v>
      </c>
    </row>
    <row r="43" spans="1:17" ht="15" customHeight="1">
      <c r="A43" s="704" t="s">
        <v>583</v>
      </c>
      <c r="B43" s="708" t="s">
        <v>459</v>
      </c>
      <c r="C43" s="699" t="s">
        <v>1327</v>
      </c>
      <c r="D43" s="24" t="s">
        <v>332</v>
      </c>
      <c r="E43" s="756" t="s">
        <v>461</v>
      </c>
      <c r="F43" s="757"/>
      <c r="G43" s="757"/>
      <c r="H43" s="757"/>
      <c r="I43" s="757"/>
      <c r="J43" s="758"/>
      <c r="K43" s="704">
        <v>2</v>
      </c>
      <c r="L43" s="226">
        <v>8</v>
      </c>
      <c r="N43" s="61" t="s">
        <v>1332</v>
      </c>
      <c r="O43" s="51">
        <v>80</v>
      </c>
    </row>
    <row r="44" spans="1:17" ht="15" customHeight="1">
      <c r="A44" s="705"/>
      <c r="B44" s="709"/>
      <c r="C44" s="700"/>
      <c r="D44" s="68" t="s">
        <v>104</v>
      </c>
      <c r="E44" s="68" t="s">
        <v>234</v>
      </c>
      <c r="F44" s="68" t="s">
        <v>333</v>
      </c>
      <c r="G44" s="68" t="s">
        <v>235</v>
      </c>
      <c r="H44" s="68" t="s">
        <v>103</v>
      </c>
      <c r="I44" s="68" t="s">
        <v>141</v>
      </c>
      <c r="J44" s="69" t="s">
        <v>236</v>
      </c>
      <c r="K44" s="717"/>
      <c r="L44" s="226">
        <v>60</v>
      </c>
      <c r="N44" s="51">
        <v>64</v>
      </c>
      <c r="O44" s="61">
        <v>73</v>
      </c>
    </row>
    <row r="45" spans="1:17" ht="22.5">
      <c r="A45" s="60" t="s">
        <v>336</v>
      </c>
      <c r="B45" s="709"/>
      <c r="C45" s="201" t="s">
        <v>1123</v>
      </c>
      <c r="D45" s="200" t="s">
        <v>1124</v>
      </c>
      <c r="E45" s="68" t="s">
        <v>237</v>
      </c>
      <c r="F45" s="68" t="s">
        <v>238</v>
      </c>
      <c r="G45" s="68" t="s">
        <v>239</v>
      </c>
      <c r="H45" s="68" t="s">
        <v>240</v>
      </c>
      <c r="I45" s="68" t="s">
        <v>241</v>
      </c>
      <c r="J45" s="69" t="s">
        <v>242</v>
      </c>
      <c r="K45" s="63">
        <v>2</v>
      </c>
      <c r="L45" s="197">
        <v>0</v>
      </c>
      <c r="N45" s="51">
        <v>0</v>
      </c>
      <c r="O45" s="61" t="s">
        <v>1846</v>
      </c>
    </row>
    <row r="46" spans="1:17" ht="15" customHeight="1">
      <c r="A46" s="60" t="s">
        <v>337</v>
      </c>
      <c r="B46" s="709"/>
      <c r="C46" s="70" t="s">
        <v>150</v>
      </c>
      <c r="D46" s="68" t="s">
        <v>150</v>
      </c>
      <c r="E46" s="68" t="s">
        <v>243</v>
      </c>
      <c r="F46" s="68" t="s">
        <v>244</v>
      </c>
      <c r="G46" s="68" t="s">
        <v>245</v>
      </c>
      <c r="H46" s="68" t="s">
        <v>246</v>
      </c>
      <c r="I46" s="247" t="s">
        <v>1362</v>
      </c>
      <c r="J46" s="248" t="s">
        <v>1363</v>
      </c>
      <c r="K46" s="63">
        <v>2</v>
      </c>
      <c r="L46" s="197">
        <v>0</v>
      </c>
      <c r="N46" s="51">
        <v>0</v>
      </c>
      <c r="O46" s="51">
        <v>7</v>
      </c>
    </row>
    <row r="47" spans="1:17" ht="15" customHeight="1">
      <c r="A47" s="60" t="s">
        <v>338</v>
      </c>
      <c r="B47" s="709"/>
      <c r="C47" s="70" t="s">
        <v>247</v>
      </c>
      <c r="D47" s="68" t="s">
        <v>248</v>
      </c>
      <c r="E47" s="68" t="s">
        <v>249</v>
      </c>
      <c r="F47" s="68" t="s">
        <v>250</v>
      </c>
      <c r="G47" s="68" t="s">
        <v>251</v>
      </c>
      <c r="H47" s="68" t="s">
        <v>252</v>
      </c>
      <c r="I47" s="68" t="s">
        <v>253</v>
      </c>
      <c r="J47" s="69" t="s">
        <v>254</v>
      </c>
      <c r="K47" s="63">
        <v>2</v>
      </c>
      <c r="L47" s="197">
        <v>0</v>
      </c>
      <c r="N47" s="65">
        <v>0</v>
      </c>
      <c r="O47" s="61">
        <v>0</v>
      </c>
    </row>
    <row r="48" spans="1:17" ht="15" customHeight="1">
      <c r="A48" s="60" t="s">
        <v>339</v>
      </c>
      <c r="B48" s="709"/>
      <c r="C48" s="70" t="s">
        <v>150</v>
      </c>
      <c r="D48" s="68" t="s">
        <v>150</v>
      </c>
      <c r="E48" s="68" t="s">
        <v>255</v>
      </c>
      <c r="F48" s="68" t="s">
        <v>573</v>
      </c>
      <c r="G48" s="68" t="s">
        <v>257</v>
      </c>
      <c r="H48" s="68" t="s">
        <v>258</v>
      </c>
      <c r="I48" s="68" t="s">
        <v>259</v>
      </c>
      <c r="J48" s="69" t="s">
        <v>260</v>
      </c>
      <c r="K48" s="63">
        <v>2</v>
      </c>
      <c r="L48" s="197">
        <v>0</v>
      </c>
      <c r="M48" s="74" t="s">
        <v>1234</v>
      </c>
      <c r="N48" s="51">
        <v>0</v>
      </c>
      <c r="O48" s="51">
        <v>0</v>
      </c>
    </row>
    <row r="49" spans="1:17" ht="15" customHeight="1">
      <c r="A49" s="62" t="s">
        <v>340</v>
      </c>
      <c r="B49" s="709"/>
      <c r="C49" s="70" t="s">
        <v>261</v>
      </c>
      <c r="D49" s="68" t="s">
        <v>262</v>
      </c>
      <c r="E49" s="68" t="s">
        <v>263</v>
      </c>
      <c r="F49" s="68" t="s">
        <v>264</v>
      </c>
      <c r="G49" s="68" t="s">
        <v>265</v>
      </c>
      <c r="H49" s="68" t="s">
        <v>266</v>
      </c>
      <c r="I49" s="68" t="s">
        <v>267</v>
      </c>
      <c r="J49" s="69" t="s">
        <v>268</v>
      </c>
      <c r="K49" s="63">
        <v>2</v>
      </c>
      <c r="L49" s="197">
        <v>0</v>
      </c>
      <c r="N49" s="51">
        <v>0</v>
      </c>
      <c r="O49" s="51">
        <v>0</v>
      </c>
    </row>
    <row r="50" spans="1:17" ht="15" customHeight="1">
      <c r="A50" s="62" t="s">
        <v>571</v>
      </c>
      <c r="B50" s="709"/>
      <c r="C50" s="70" t="s">
        <v>269</v>
      </c>
      <c r="D50" s="68" t="s">
        <v>270</v>
      </c>
      <c r="E50" s="68" t="s">
        <v>271</v>
      </c>
      <c r="F50" s="68" t="s">
        <v>272</v>
      </c>
      <c r="G50" s="68" t="s">
        <v>273</v>
      </c>
      <c r="H50" s="68" t="s">
        <v>274</v>
      </c>
      <c r="I50" s="68" t="s">
        <v>275</v>
      </c>
      <c r="J50" s="69" t="s">
        <v>276</v>
      </c>
      <c r="K50" s="63">
        <v>2</v>
      </c>
      <c r="L50" s="197">
        <v>0</v>
      </c>
      <c r="N50" s="61">
        <v>0</v>
      </c>
      <c r="O50" s="51">
        <v>0</v>
      </c>
    </row>
    <row r="51" spans="1:17" ht="15" customHeight="1">
      <c r="A51" s="62" t="s">
        <v>572</v>
      </c>
      <c r="B51" s="709"/>
      <c r="C51" s="92" t="s">
        <v>277</v>
      </c>
      <c r="D51" s="66" t="s">
        <v>278</v>
      </c>
      <c r="E51" s="66" t="s">
        <v>279</v>
      </c>
      <c r="F51" s="66" t="s">
        <v>280</v>
      </c>
      <c r="G51" s="66" t="s">
        <v>281</v>
      </c>
      <c r="H51" s="66" t="s">
        <v>282</v>
      </c>
      <c r="I51" s="66" t="s">
        <v>283</v>
      </c>
      <c r="J51" s="67" t="s">
        <v>284</v>
      </c>
      <c r="K51" s="63">
        <v>2</v>
      </c>
      <c r="L51" s="197">
        <v>7</v>
      </c>
      <c r="N51" s="61">
        <v>7</v>
      </c>
      <c r="O51" s="51">
        <v>7</v>
      </c>
    </row>
    <row r="52" spans="1:17" s="51" customFormat="1" ht="13.5" customHeight="1">
      <c r="A52" s="62" t="s">
        <v>616</v>
      </c>
      <c r="B52" s="709"/>
      <c r="C52" s="706" t="s">
        <v>150</v>
      </c>
      <c r="D52" s="707"/>
      <c r="E52" s="707"/>
      <c r="F52" s="707"/>
      <c r="G52" s="707" t="s">
        <v>202</v>
      </c>
      <c r="H52" s="707"/>
      <c r="I52" s="707"/>
      <c r="J52" s="732"/>
      <c r="K52" s="142">
        <v>2</v>
      </c>
      <c r="L52" s="197">
        <v>1</v>
      </c>
      <c r="M52" s="61"/>
      <c r="N52" s="61">
        <v>1</v>
      </c>
      <c r="O52" s="65">
        <v>1</v>
      </c>
    </row>
    <row r="53" spans="1:17" ht="14.25" customHeight="1" thickBot="1">
      <c r="A53" s="62" t="s">
        <v>617</v>
      </c>
      <c r="B53" s="710"/>
      <c r="C53" s="711" t="s">
        <v>203</v>
      </c>
      <c r="D53" s="712"/>
      <c r="E53" s="712"/>
      <c r="F53" s="712"/>
      <c r="G53" s="712" t="s">
        <v>204</v>
      </c>
      <c r="H53" s="712"/>
      <c r="I53" s="712"/>
      <c r="J53" s="735"/>
      <c r="K53" s="141">
        <v>2</v>
      </c>
      <c r="L53" s="197">
        <v>0</v>
      </c>
      <c r="N53" s="61">
        <v>41</v>
      </c>
      <c r="O53" s="65">
        <v>40</v>
      </c>
      <c r="P53" s="51"/>
      <c r="Q53" s="51"/>
    </row>
    <row r="54" spans="1:17" ht="15" customHeight="1">
      <c r="A54" s="704" t="s">
        <v>621</v>
      </c>
      <c r="B54" s="708" t="s">
        <v>462</v>
      </c>
      <c r="C54" s="748" t="s">
        <v>1339</v>
      </c>
      <c r="D54" s="98" t="s">
        <v>341</v>
      </c>
      <c r="E54" s="701" t="s">
        <v>460</v>
      </c>
      <c r="F54" s="702"/>
      <c r="G54" s="702"/>
      <c r="H54" s="702"/>
      <c r="I54" s="702"/>
      <c r="J54" s="703"/>
      <c r="K54" s="704">
        <v>2</v>
      </c>
      <c r="L54" s="197">
        <v>0</v>
      </c>
      <c r="N54" s="61">
        <v>1</v>
      </c>
      <c r="O54" s="51">
        <v>33</v>
      </c>
    </row>
    <row r="55" spans="1:17" ht="15" customHeight="1">
      <c r="A55" s="705"/>
      <c r="B55" s="709"/>
      <c r="C55" s="749"/>
      <c r="D55" s="25" t="s">
        <v>233</v>
      </c>
      <c r="E55" s="239" t="s">
        <v>1338</v>
      </c>
      <c r="F55" s="25" t="s">
        <v>333</v>
      </c>
      <c r="G55" s="25" t="s">
        <v>235</v>
      </c>
      <c r="H55" s="239" t="s">
        <v>1340</v>
      </c>
      <c r="I55" s="239" t="s">
        <v>1341</v>
      </c>
      <c r="J55" s="240" t="s">
        <v>1342</v>
      </c>
      <c r="K55" s="717"/>
      <c r="L55" s="197" t="s">
        <v>1279</v>
      </c>
      <c r="M55" s="51"/>
      <c r="N55" s="61" t="s">
        <v>1333</v>
      </c>
      <c r="O55" s="51" t="s">
        <v>1847</v>
      </c>
    </row>
    <row r="56" spans="1:17" ht="22.5">
      <c r="A56" s="60" t="s">
        <v>622</v>
      </c>
      <c r="B56" s="709"/>
      <c r="C56" s="241" t="s">
        <v>1348</v>
      </c>
      <c r="D56" s="200" t="s">
        <v>1124</v>
      </c>
      <c r="E56" s="239" t="s">
        <v>1347</v>
      </c>
      <c r="F56" s="239" t="s">
        <v>1346</v>
      </c>
      <c r="G56" s="239" t="s">
        <v>1343</v>
      </c>
      <c r="H56" s="25" t="s">
        <v>8</v>
      </c>
      <c r="I56" s="239" t="s">
        <v>1344</v>
      </c>
      <c r="J56" s="239" t="s">
        <v>1345</v>
      </c>
      <c r="K56" s="63">
        <v>2</v>
      </c>
      <c r="M56" s="51"/>
      <c r="N56" s="61">
        <v>7</v>
      </c>
      <c r="O56" s="61" t="s">
        <v>1783</v>
      </c>
    </row>
    <row r="57" spans="1:17" ht="15" customHeight="1">
      <c r="A57" s="60" t="s">
        <v>623</v>
      </c>
      <c r="B57" s="709"/>
      <c r="C57" s="49" t="s">
        <v>150</v>
      </c>
      <c r="D57" s="25" t="s">
        <v>150</v>
      </c>
      <c r="E57" s="172" t="s">
        <v>243</v>
      </c>
      <c r="F57" s="172" t="s">
        <v>244</v>
      </c>
      <c r="G57" s="239" t="s">
        <v>1349</v>
      </c>
      <c r="H57" s="239" t="s">
        <v>1350</v>
      </c>
      <c r="I57" s="249" t="s">
        <v>1362</v>
      </c>
      <c r="J57" s="250" t="s">
        <v>1363</v>
      </c>
      <c r="K57" s="63">
        <v>2</v>
      </c>
      <c r="N57" s="61">
        <v>1</v>
      </c>
      <c r="O57" s="61">
        <v>0</v>
      </c>
    </row>
    <row r="58" spans="1:17" ht="15" customHeight="1">
      <c r="A58" s="60" t="s">
        <v>624</v>
      </c>
      <c r="B58" s="709"/>
      <c r="C58" s="49" t="s">
        <v>247</v>
      </c>
      <c r="D58" s="25" t="s">
        <v>248</v>
      </c>
      <c r="E58" s="172" t="s">
        <v>249</v>
      </c>
      <c r="F58" s="172" t="s">
        <v>250</v>
      </c>
      <c r="G58" s="172" t="s">
        <v>251</v>
      </c>
      <c r="H58" s="239" t="s">
        <v>1351</v>
      </c>
      <c r="I58" s="239" t="s">
        <v>1352</v>
      </c>
      <c r="J58" s="240" t="s">
        <v>1353</v>
      </c>
      <c r="K58" s="63">
        <v>2</v>
      </c>
      <c r="N58" s="61">
        <v>41</v>
      </c>
      <c r="O58" s="61">
        <v>0</v>
      </c>
    </row>
    <row r="59" spans="1:17" ht="15" customHeight="1">
      <c r="A59" s="60" t="s">
        <v>625</v>
      </c>
      <c r="B59" s="709"/>
      <c r="C59" s="49" t="s">
        <v>150</v>
      </c>
      <c r="D59" s="25" t="s">
        <v>150</v>
      </c>
      <c r="E59" s="172" t="s">
        <v>255</v>
      </c>
      <c r="F59" s="172" t="s">
        <v>256</v>
      </c>
      <c r="G59" s="172" t="s">
        <v>257</v>
      </c>
      <c r="H59" s="25" t="s">
        <v>258</v>
      </c>
      <c r="I59" s="25" t="s">
        <v>259</v>
      </c>
      <c r="J59" s="23" t="s">
        <v>260</v>
      </c>
      <c r="K59" s="63">
        <v>2</v>
      </c>
      <c r="L59" s="51"/>
      <c r="N59" s="61">
        <v>1</v>
      </c>
      <c r="O59" s="61">
        <v>0</v>
      </c>
    </row>
    <row r="60" spans="1:17" ht="15" customHeight="1">
      <c r="A60" s="62" t="s">
        <v>626</v>
      </c>
      <c r="B60" s="709"/>
      <c r="C60" s="243" t="s">
        <v>1357</v>
      </c>
      <c r="D60" s="242" t="s">
        <v>1356</v>
      </c>
      <c r="E60" s="172" t="s">
        <v>263</v>
      </c>
      <c r="F60" s="172" t="s">
        <v>264</v>
      </c>
      <c r="G60" s="239" t="s">
        <v>1354</v>
      </c>
      <c r="H60" s="239" t="s">
        <v>1355</v>
      </c>
      <c r="I60" s="25" t="s">
        <v>267</v>
      </c>
      <c r="J60" s="23" t="s">
        <v>268</v>
      </c>
      <c r="K60" s="63">
        <v>2</v>
      </c>
      <c r="L60" s="51"/>
      <c r="N60" s="61" t="s">
        <v>1333</v>
      </c>
      <c r="O60" s="61">
        <v>0</v>
      </c>
    </row>
    <row r="61" spans="1:17" ht="15" customHeight="1">
      <c r="A61" s="63" t="s">
        <v>627</v>
      </c>
      <c r="B61" s="709"/>
      <c r="C61" s="171" t="s">
        <v>269</v>
      </c>
      <c r="D61" s="172" t="s">
        <v>270</v>
      </c>
      <c r="E61" s="172" t="s">
        <v>271</v>
      </c>
      <c r="F61" s="172" t="s">
        <v>272</v>
      </c>
      <c r="G61" s="25" t="s">
        <v>273</v>
      </c>
      <c r="H61" s="25" t="s">
        <v>274</v>
      </c>
      <c r="I61" s="25" t="s">
        <v>275</v>
      </c>
      <c r="J61" s="23" t="s">
        <v>276</v>
      </c>
      <c r="K61" s="63">
        <v>2</v>
      </c>
      <c r="O61" s="61">
        <v>8</v>
      </c>
    </row>
    <row r="62" spans="1:17" ht="15" customHeight="1">
      <c r="A62" s="53" t="s">
        <v>628</v>
      </c>
      <c r="B62" s="709"/>
      <c r="C62" s="246" t="s">
        <v>1361</v>
      </c>
      <c r="D62" s="170" t="s">
        <v>278</v>
      </c>
      <c r="E62" s="38" t="s">
        <v>279</v>
      </c>
      <c r="F62" s="245" t="s">
        <v>1360</v>
      </c>
      <c r="G62" s="170" t="s">
        <v>281</v>
      </c>
      <c r="H62" s="244" t="s">
        <v>1358</v>
      </c>
      <c r="I62" s="245" t="s">
        <v>1359</v>
      </c>
      <c r="J62" s="44" t="s">
        <v>284</v>
      </c>
      <c r="K62" s="63">
        <v>2</v>
      </c>
      <c r="O62" s="61">
        <v>4</v>
      </c>
    </row>
    <row r="63" spans="1:17" s="51" customFormat="1" ht="13.5" customHeight="1">
      <c r="A63" s="62" t="s">
        <v>618</v>
      </c>
      <c r="B63" s="709"/>
      <c r="C63" s="713" t="s">
        <v>731</v>
      </c>
      <c r="D63" s="696"/>
      <c r="E63" s="696"/>
      <c r="F63" s="696"/>
      <c r="G63" s="697" t="s">
        <v>202</v>
      </c>
      <c r="H63" s="696"/>
      <c r="I63" s="696"/>
      <c r="J63" s="698"/>
      <c r="K63" s="138">
        <v>2</v>
      </c>
      <c r="L63" s="61"/>
      <c r="M63" s="61"/>
      <c r="N63" s="61"/>
      <c r="O63" s="61">
        <v>40</v>
      </c>
    </row>
    <row r="64" spans="1:17" ht="14.25" customHeight="1" thickBot="1">
      <c r="A64" s="55" t="s">
        <v>619</v>
      </c>
      <c r="B64" s="710"/>
      <c r="C64" s="714" t="s">
        <v>203</v>
      </c>
      <c r="D64" s="687"/>
      <c r="E64" s="687"/>
      <c r="F64" s="687"/>
      <c r="G64" s="688" t="s">
        <v>204</v>
      </c>
      <c r="H64" s="687"/>
      <c r="I64" s="687"/>
      <c r="J64" s="689"/>
      <c r="K64" s="64">
        <v>2</v>
      </c>
      <c r="N64" s="51"/>
      <c r="O64" s="61">
        <v>1</v>
      </c>
      <c r="P64" s="51"/>
      <c r="Q64" s="51"/>
    </row>
    <row r="65" spans="1:17" ht="15" customHeight="1">
      <c r="A65" s="704" t="s">
        <v>620</v>
      </c>
      <c r="B65" s="708" t="s">
        <v>463</v>
      </c>
      <c r="C65" s="699" t="s">
        <v>1327</v>
      </c>
      <c r="D65" s="24" t="s">
        <v>349</v>
      </c>
      <c r="E65" s="756" t="s">
        <v>350</v>
      </c>
      <c r="F65" s="757"/>
      <c r="G65" s="757"/>
      <c r="H65" s="757"/>
      <c r="I65" s="757"/>
      <c r="J65" s="758"/>
      <c r="K65" s="704">
        <v>2</v>
      </c>
      <c r="N65" s="51"/>
      <c r="O65" s="61">
        <v>73</v>
      </c>
    </row>
    <row r="66" spans="1:17" ht="15" customHeight="1">
      <c r="A66" s="705"/>
      <c r="B66" s="709"/>
      <c r="C66" s="700"/>
      <c r="D66" s="68" t="s">
        <v>233</v>
      </c>
      <c r="E66" s="68" t="s">
        <v>234</v>
      </c>
      <c r="F66" s="68" t="s">
        <v>333</v>
      </c>
      <c r="G66" s="68" t="s">
        <v>235</v>
      </c>
      <c r="H66" s="68" t="s">
        <v>233</v>
      </c>
      <c r="I66" s="68" t="s">
        <v>141</v>
      </c>
      <c r="J66" s="69" t="s">
        <v>236</v>
      </c>
      <c r="K66" s="717"/>
      <c r="M66" s="51"/>
    </row>
    <row r="67" spans="1:17" ht="22.5">
      <c r="A67" s="60" t="s">
        <v>634</v>
      </c>
      <c r="B67" s="709"/>
      <c r="C67" s="201" t="s">
        <v>1123</v>
      </c>
      <c r="D67" s="200" t="s">
        <v>1124</v>
      </c>
      <c r="E67" s="68" t="s">
        <v>237</v>
      </c>
      <c r="F67" s="68" t="s">
        <v>238</v>
      </c>
      <c r="G67" s="68" t="s">
        <v>239</v>
      </c>
      <c r="H67" s="68" t="s">
        <v>240</v>
      </c>
      <c r="I67" s="68" t="s">
        <v>241</v>
      </c>
      <c r="J67" s="69" t="s">
        <v>242</v>
      </c>
      <c r="K67" s="63">
        <v>2</v>
      </c>
      <c r="M67" s="51"/>
    </row>
    <row r="68" spans="1:17" ht="15" customHeight="1">
      <c r="A68" s="60" t="s">
        <v>629</v>
      </c>
      <c r="B68" s="709"/>
      <c r="C68" s="70" t="s">
        <v>150</v>
      </c>
      <c r="D68" s="68" t="s">
        <v>150</v>
      </c>
      <c r="E68" s="68" t="s">
        <v>243</v>
      </c>
      <c r="F68" s="68" t="s">
        <v>244</v>
      </c>
      <c r="G68" s="68" t="s">
        <v>245</v>
      </c>
      <c r="H68" s="68" t="s">
        <v>246</v>
      </c>
      <c r="I68" s="251" t="s">
        <v>1362</v>
      </c>
      <c r="J68" s="252" t="s">
        <v>1363</v>
      </c>
      <c r="K68" s="63">
        <v>2</v>
      </c>
    </row>
    <row r="69" spans="1:17" s="99" customFormat="1" ht="15" customHeight="1">
      <c r="A69" s="60" t="s">
        <v>630</v>
      </c>
      <c r="B69" s="709"/>
      <c r="C69" s="70" t="s">
        <v>247</v>
      </c>
      <c r="D69" s="68" t="s">
        <v>248</v>
      </c>
      <c r="E69" s="68" t="s">
        <v>249</v>
      </c>
      <c r="F69" s="68" t="s">
        <v>250</v>
      </c>
      <c r="G69" s="68" t="s">
        <v>251</v>
      </c>
      <c r="H69" s="68" t="s">
        <v>252</v>
      </c>
      <c r="I69" s="68" t="s">
        <v>253</v>
      </c>
      <c r="J69" s="69" t="s">
        <v>254</v>
      </c>
      <c r="K69" s="63">
        <v>2</v>
      </c>
      <c r="L69" s="61"/>
      <c r="M69" s="61"/>
      <c r="N69" s="61"/>
      <c r="O69" s="61"/>
    </row>
    <row r="70" spans="1:17" ht="15" customHeight="1">
      <c r="A70" s="60" t="s">
        <v>631</v>
      </c>
      <c r="B70" s="709"/>
      <c r="C70" s="70" t="s">
        <v>150</v>
      </c>
      <c r="D70" s="68" t="s">
        <v>150</v>
      </c>
      <c r="E70" s="68" t="s">
        <v>255</v>
      </c>
      <c r="F70" s="68" t="s">
        <v>256</v>
      </c>
      <c r="G70" s="68" t="s">
        <v>257</v>
      </c>
      <c r="H70" s="68" t="s">
        <v>258</v>
      </c>
      <c r="I70" s="68" t="s">
        <v>259</v>
      </c>
      <c r="J70" s="69" t="s">
        <v>260</v>
      </c>
      <c r="K70" s="63">
        <v>2</v>
      </c>
      <c r="L70" s="51"/>
    </row>
    <row r="71" spans="1:17" ht="15" customHeight="1">
      <c r="A71" s="60" t="s">
        <v>632</v>
      </c>
      <c r="B71" s="709"/>
      <c r="C71" s="70" t="s">
        <v>261</v>
      </c>
      <c r="D71" s="68" t="s">
        <v>262</v>
      </c>
      <c r="E71" s="68" t="s">
        <v>263</v>
      </c>
      <c r="F71" s="68" t="s">
        <v>264</v>
      </c>
      <c r="G71" s="68" t="s">
        <v>265</v>
      </c>
      <c r="H71" s="68" t="s">
        <v>266</v>
      </c>
      <c r="I71" s="68" t="s">
        <v>267</v>
      </c>
      <c r="J71" s="69" t="s">
        <v>268</v>
      </c>
      <c r="K71" s="63">
        <v>2</v>
      </c>
      <c r="L71" s="51"/>
      <c r="O71" s="51"/>
    </row>
    <row r="72" spans="1:17" ht="15" customHeight="1">
      <c r="A72" s="60" t="s">
        <v>633</v>
      </c>
      <c r="B72" s="709"/>
      <c r="C72" s="70" t="s">
        <v>269</v>
      </c>
      <c r="D72" s="68" t="s">
        <v>270</v>
      </c>
      <c r="E72" s="68" t="s">
        <v>271</v>
      </c>
      <c r="F72" s="68" t="s">
        <v>272</v>
      </c>
      <c r="G72" s="68" t="s">
        <v>273</v>
      </c>
      <c r="H72" s="68" t="s">
        <v>274</v>
      </c>
      <c r="I72" s="68" t="s">
        <v>275</v>
      </c>
      <c r="J72" s="69" t="s">
        <v>276</v>
      </c>
      <c r="K72" s="63">
        <v>2</v>
      </c>
      <c r="M72" s="99"/>
      <c r="O72" s="51"/>
    </row>
    <row r="73" spans="1:17" ht="15" customHeight="1">
      <c r="A73" s="60" t="s">
        <v>635</v>
      </c>
      <c r="B73" s="709"/>
      <c r="C73" s="92" t="s">
        <v>277</v>
      </c>
      <c r="D73" s="66" t="s">
        <v>278</v>
      </c>
      <c r="E73" s="66" t="s">
        <v>279</v>
      </c>
      <c r="F73" s="66" t="s">
        <v>280</v>
      </c>
      <c r="G73" s="66" t="s">
        <v>281</v>
      </c>
      <c r="H73" s="66" t="s">
        <v>282</v>
      </c>
      <c r="I73" s="66" t="s">
        <v>283</v>
      </c>
      <c r="J73" s="67" t="s">
        <v>284</v>
      </c>
      <c r="K73" s="63">
        <v>2</v>
      </c>
    </row>
    <row r="74" spans="1:17" s="51" customFormat="1" ht="13.5" customHeight="1">
      <c r="A74" s="60" t="s">
        <v>636</v>
      </c>
      <c r="B74" s="709"/>
      <c r="C74" s="690" t="s">
        <v>150</v>
      </c>
      <c r="D74" s="690"/>
      <c r="E74" s="690"/>
      <c r="F74" s="690"/>
      <c r="G74" s="691" t="s">
        <v>202</v>
      </c>
      <c r="H74" s="690"/>
      <c r="I74" s="690"/>
      <c r="J74" s="692"/>
      <c r="K74" s="138">
        <v>2</v>
      </c>
      <c r="L74" s="61"/>
      <c r="M74" s="61"/>
      <c r="N74" s="61"/>
      <c r="O74" s="61"/>
    </row>
    <row r="75" spans="1:17" ht="14.25" customHeight="1" thickBot="1">
      <c r="A75" s="64" t="s">
        <v>637</v>
      </c>
      <c r="B75" s="710"/>
      <c r="C75" s="715" t="s">
        <v>203</v>
      </c>
      <c r="D75" s="715"/>
      <c r="E75" s="715"/>
      <c r="F75" s="715"/>
      <c r="G75" s="759" t="s">
        <v>204</v>
      </c>
      <c r="H75" s="715"/>
      <c r="I75" s="715"/>
      <c r="J75" s="760"/>
      <c r="K75" s="64">
        <v>2</v>
      </c>
      <c r="N75" s="51"/>
      <c r="P75" s="51"/>
      <c r="Q75" s="51"/>
    </row>
    <row r="76" spans="1:17" ht="15" customHeight="1">
      <c r="A76" s="704" t="s">
        <v>638</v>
      </c>
      <c r="B76" s="708" t="s">
        <v>464</v>
      </c>
      <c r="C76" s="699" t="s">
        <v>1327</v>
      </c>
      <c r="D76" s="98" t="s">
        <v>352</v>
      </c>
      <c r="E76" s="701" t="s">
        <v>353</v>
      </c>
      <c r="F76" s="702"/>
      <c r="G76" s="702"/>
      <c r="H76" s="702"/>
      <c r="I76" s="702"/>
      <c r="J76" s="703"/>
      <c r="K76" s="704">
        <v>2</v>
      </c>
      <c r="L76" s="99"/>
      <c r="N76" s="51"/>
    </row>
    <row r="77" spans="1:17" ht="15" customHeight="1">
      <c r="A77" s="705"/>
      <c r="B77" s="709"/>
      <c r="C77" s="700"/>
      <c r="D77" s="25" t="s">
        <v>233</v>
      </c>
      <c r="E77" s="25" t="s">
        <v>234</v>
      </c>
      <c r="F77" s="25" t="s">
        <v>333</v>
      </c>
      <c r="G77" s="25" t="s">
        <v>235</v>
      </c>
      <c r="H77" s="25" t="s">
        <v>233</v>
      </c>
      <c r="I77" s="25" t="s">
        <v>141</v>
      </c>
      <c r="J77" s="23" t="s">
        <v>236</v>
      </c>
      <c r="K77" s="717"/>
      <c r="M77" s="51"/>
    </row>
    <row r="78" spans="1:17" ht="22.5">
      <c r="A78" s="60" t="s">
        <v>639</v>
      </c>
      <c r="B78" s="709"/>
      <c r="C78" s="201" t="s">
        <v>1123</v>
      </c>
      <c r="D78" s="200" t="s">
        <v>1124</v>
      </c>
      <c r="E78" s="25" t="s">
        <v>237</v>
      </c>
      <c r="F78" s="25" t="s">
        <v>238</v>
      </c>
      <c r="G78" s="25" t="s">
        <v>239</v>
      </c>
      <c r="H78" s="25" t="s">
        <v>240</v>
      </c>
      <c r="I78" s="25" t="s">
        <v>241</v>
      </c>
      <c r="J78" s="23" t="s">
        <v>242</v>
      </c>
      <c r="K78" s="63">
        <v>2</v>
      </c>
      <c r="M78" s="51"/>
    </row>
    <row r="79" spans="1:17" ht="15" customHeight="1">
      <c r="A79" s="60" t="s">
        <v>640</v>
      </c>
      <c r="B79" s="709"/>
      <c r="C79" s="49" t="s">
        <v>150</v>
      </c>
      <c r="D79" s="25" t="s">
        <v>150</v>
      </c>
      <c r="E79" s="25" t="s">
        <v>243</v>
      </c>
      <c r="F79" s="25" t="s">
        <v>244</v>
      </c>
      <c r="G79" s="25" t="s">
        <v>245</v>
      </c>
      <c r="H79" s="25" t="s">
        <v>246</v>
      </c>
      <c r="I79" s="253" t="s">
        <v>1362</v>
      </c>
      <c r="J79" s="254" t="s">
        <v>1363</v>
      </c>
      <c r="K79" s="63">
        <v>2</v>
      </c>
    </row>
    <row r="80" spans="1:17" ht="15" customHeight="1">
      <c r="A80" s="60" t="s">
        <v>641</v>
      </c>
      <c r="B80" s="709"/>
      <c r="C80" s="49" t="s">
        <v>247</v>
      </c>
      <c r="D80" s="25" t="s">
        <v>248</v>
      </c>
      <c r="E80" s="25" t="s">
        <v>249</v>
      </c>
      <c r="F80" s="25" t="s">
        <v>250</v>
      </c>
      <c r="G80" s="25" t="s">
        <v>251</v>
      </c>
      <c r="H80" s="25" t="s">
        <v>252</v>
      </c>
      <c r="I80" s="25" t="s">
        <v>253</v>
      </c>
      <c r="J80" s="23" t="s">
        <v>254</v>
      </c>
      <c r="K80" s="63">
        <v>2</v>
      </c>
    </row>
    <row r="81" spans="1:17" ht="15" customHeight="1">
      <c r="A81" s="60" t="s">
        <v>642</v>
      </c>
      <c r="B81" s="709"/>
      <c r="C81" s="49" t="s">
        <v>150</v>
      </c>
      <c r="D81" s="25" t="s">
        <v>150</v>
      </c>
      <c r="E81" s="25" t="s">
        <v>255</v>
      </c>
      <c r="F81" s="25" t="s">
        <v>256</v>
      </c>
      <c r="G81" s="25" t="s">
        <v>257</v>
      </c>
      <c r="H81" s="25" t="s">
        <v>258</v>
      </c>
      <c r="I81" s="25" t="s">
        <v>259</v>
      </c>
      <c r="J81" s="23" t="s">
        <v>260</v>
      </c>
      <c r="K81" s="63">
        <v>2</v>
      </c>
      <c r="L81" s="51"/>
      <c r="N81" s="99"/>
    </row>
    <row r="82" spans="1:17" ht="15" customHeight="1">
      <c r="A82" s="62" t="s">
        <v>643</v>
      </c>
      <c r="B82" s="709"/>
      <c r="C82" s="49" t="s">
        <v>261</v>
      </c>
      <c r="D82" s="25" t="s">
        <v>262</v>
      </c>
      <c r="E82" s="25" t="s">
        <v>263</v>
      </c>
      <c r="F82" s="25" t="s">
        <v>264</v>
      </c>
      <c r="G82" s="25" t="s">
        <v>265</v>
      </c>
      <c r="H82" s="25" t="s">
        <v>266</v>
      </c>
      <c r="I82" s="25" t="s">
        <v>267</v>
      </c>
      <c r="J82" s="23" t="s">
        <v>268</v>
      </c>
      <c r="K82" s="63">
        <v>2</v>
      </c>
      <c r="L82" s="51"/>
      <c r="O82" s="51"/>
    </row>
    <row r="83" spans="1:17" ht="15" customHeight="1">
      <c r="A83" s="63" t="s">
        <v>644</v>
      </c>
      <c r="B83" s="709"/>
      <c r="C83" s="49" t="s">
        <v>269</v>
      </c>
      <c r="D83" s="25" t="s">
        <v>270</v>
      </c>
      <c r="E83" s="25" t="s">
        <v>271</v>
      </c>
      <c r="F83" s="25" t="s">
        <v>272</v>
      </c>
      <c r="G83" s="25" t="s">
        <v>273</v>
      </c>
      <c r="H83" s="25" t="s">
        <v>274</v>
      </c>
      <c r="I83" s="25" t="s">
        <v>275</v>
      </c>
      <c r="J83" s="23" t="s">
        <v>276</v>
      </c>
      <c r="K83" s="63">
        <v>2</v>
      </c>
      <c r="O83" s="51"/>
    </row>
    <row r="84" spans="1:17" ht="15" customHeight="1">
      <c r="A84" s="63" t="s">
        <v>645</v>
      </c>
      <c r="B84" s="709"/>
      <c r="C84" s="37" t="s">
        <v>277</v>
      </c>
      <c r="D84" s="38" t="s">
        <v>278</v>
      </c>
      <c r="E84" s="38" t="s">
        <v>279</v>
      </c>
      <c r="F84" s="38" t="s">
        <v>280</v>
      </c>
      <c r="G84" s="38" t="s">
        <v>281</v>
      </c>
      <c r="H84" s="38" t="s">
        <v>282</v>
      </c>
      <c r="I84" s="38" t="s">
        <v>283</v>
      </c>
      <c r="J84" s="44" t="s">
        <v>284</v>
      </c>
      <c r="K84" s="63">
        <v>2</v>
      </c>
    </row>
    <row r="85" spans="1:17" s="51" customFormat="1" ht="13.5" customHeight="1">
      <c r="A85" s="63" t="s">
        <v>646</v>
      </c>
      <c r="B85" s="709"/>
      <c r="C85" s="696" t="s">
        <v>150</v>
      </c>
      <c r="D85" s="696"/>
      <c r="E85" s="696"/>
      <c r="F85" s="696"/>
      <c r="G85" s="697" t="s">
        <v>202</v>
      </c>
      <c r="H85" s="696"/>
      <c r="I85" s="696"/>
      <c r="J85" s="698"/>
      <c r="K85" s="138">
        <v>2</v>
      </c>
      <c r="L85" s="61"/>
      <c r="M85" s="61"/>
      <c r="N85" s="61"/>
      <c r="O85" s="61"/>
    </row>
    <row r="86" spans="1:17" ht="14.25" customHeight="1" thickBot="1">
      <c r="A86" s="64" t="s">
        <v>647</v>
      </c>
      <c r="B86" s="710"/>
      <c r="C86" s="687" t="s">
        <v>203</v>
      </c>
      <c r="D86" s="687"/>
      <c r="E86" s="687"/>
      <c r="F86" s="687"/>
      <c r="G86" s="688" t="s">
        <v>204</v>
      </c>
      <c r="H86" s="687"/>
      <c r="I86" s="687"/>
      <c r="J86" s="689"/>
      <c r="K86" s="64">
        <v>2</v>
      </c>
      <c r="N86" s="51"/>
      <c r="P86" s="51"/>
      <c r="Q86" s="51"/>
    </row>
    <row r="87" spans="1:17" ht="15" customHeight="1">
      <c r="A87" s="717" t="s">
        <v>648</v>
      </c>
      <c r="B87" s="708" t="s">
        <v>465</v>
      </c>
      <c r="C87" s="699" t="s">
        <v>1327</v>
      </c>
      <c r="D87" s="24" t="s">
        <v>354</v>
      </c>
      <c r="E87" s="756" t="s">
        <v>355</v>
      </c>
      <c r="F87" s="757"/>
      <c r="G87" s="757"/>
      <c r="H87" s="757"/>
      <c r="I87" s="757"/>
      <c r="J87" s="758"/>
      <c r="K87" s="717">
        <v>2</v>
      </c>
      <c r="N87" s="51"/>
    </row>
    <row r="88" spans="1:17" ht="15" customHeight="1">
      <c r="A88" s="705"/>
      <c r="B88" s="709"/>
      <c r="C88" s="700"/>
      <c r="D88" s="68" t="s">
        <v>233</v>
      </c>
      <c r="E88" s="68" t="s">
        <v>234</v>
      </c>
      <c r="F88" s="68" t="s">
        <v>333</v>
      </c>
      <c r="G88" s="68" t="s">
        <v>235</v>
      </c>
      <c r="H88" s="68" t="s">
        <v>233</v>
      </c>
      <c r="I88" s="68" t="s">
        <v>141</v>
      </c>
      <c r="J88" s="69" t="s">
        <v>236</v>
      </c>
      <c r="K88" s="717"/>
      <c r="M88" s="51"/>
      <c r="O88" s="99"/>
    </row>
    <row r="89" spans="1:17" ht="22.5">
      <c r="A89" s="60" t="s">
        <v>649</v>
      </c>
      <c r="B89" s="709"/>
      <c r="C89" s="201" t="s">
        <v>1123</v>
      </c>
      <c r="D89" s="200" t="s">
        <v>1124</v>
      </c>
      <c r="E89" s="68" t="s">
        <v>237</v>
      </c>
      <c r="F89" s="68" t="s">
        <v>238</v>
      </c>
      <c r="G89" s="68" t="s">
        <v>239</v>
      </c>
      <c r="H89" s="68" t="s">
        <v>240</v>
      </c>
      <c r="I89" s="68" t="s">
        <v>241</v>
      </c>
      <c r="J89" s="69" t="s">
        <v>242</v>
      </c>
      <c r="K89" s="63">
        <v>2</v>
      </c>
      <c r="M89" s="51"/>
    </row>
    <row r="90" spans="1:17" ht="15" customHeight="1">
      <c r="A90" s="60" t="s">
        <v>650</v>
      </c>
      <c r="B90" s="709"/>
      <c r="C90" s="70" t="s">
        <v>150</v>
      </c>
      <c r="D90" s="68" t="s">
        <v>150</v>
      </c>
      <c r="E90" s="68" t="s">
        <v>243</v>
      </c>
      <c r="F90" s="68" t="s">
        <v>244</v>
      </c>
      <c r="G90" s="68" t="s">
        <v>245</v>
      </c>
      <c r="H90" s="68" t="s">
        <v>246</v>
      </c>
      <c r="I90" s="255" t="s">
        <v>1362</v>
      </c>
      <c r="J90" s="256" t="s">
        <v>1363</v>
      </c>
      <c r="K90" s="63">
        <v>2</v>
      </c>
    </row>
    <row r="91" spans="1:17" ht="15" customHeight="1">
      <c r="A91" s="60" t="s">
        <v>651</v>
      </c>
      <c r="B91" s="709"/>
      <c r="C91" s="70" t="s">
        <v>247</v>
      </c>
      <c r="D91" s="68" t="s">
        <v>248</v>
      </c>
      <c r="E91" s="68" t="s">
        <v>249</v>
      </c>
      <c r="F91" s="68" t="s">
        <v>250</v>
      </c>
      <c r="G91" s="68" t="s">
        <v>251</v>
      </c>
      <c r="H91" s="68" t="s">
        <v>252</v>
      </c>
      <c r="I91" s="68" t="s">
        <v>253</v>
      </c>
      <c r="J91" s="69" t="s">
        <v>254</v>
      </c>
      <c r="K91" s="63">
        <v>2</v>
      </c>
    </row>
    <row r="92" spans="1:17" ht="15" customHeight="1">
      <c r="A92" s="60" t="s">
        <v>652</v>
      </c>
      <c r="B92" s="709"/>
      <c r="C92" s="70" t="s">
        <v>150</v>
      </c>
      <c r="D92" s="68" t="s">
        <v>150</v>
      </c>
      <c r="E92" s="68" t="s">
        <v>255</v>
      </c>
      <c r="F92" s="68" t="s">
        <v>256</v>
      </c>
      <c r="G92" s="68" t="s">
        <v>257</v>
      </c>
      <c r="H92" s="68" t="s">
        <v>258</v>
      </c>
      <c r="I92" s="68" t="s">
        <v>259</v>
      </c>
      <c r="J92" s="69" t="s">
        <v>260</v>
      </c>
      <c r="K92" s="63">
        <v>2</v>
      </c>
      <c r="L92" s="51"/>
    </row>
    <row r="93" spans="1:17" ht="15" customHeight="1">
      <c r="A93" s="60" t="s">
        <v>653</v>
      </c>
      <c r="B93" s="709"/>
      <c r="C93" s="70" t="s">
        <v>261</v>
      </c>
      <c r="D93" s="68" t="s">
        <v>262</v>
      </c>
      <c r="E93" s="68" t="s">
        <v>263</v>
      </c>
      <c r="F93" s="68" t="s">
        <v>264</v>
      </c>
      <c r="G93" s="68" t="s">
        <v>265</v>
      </c>
      <c r="H93" s="68" t="s">
        <v>266</v>
      </c>
      <c r="I93" s="68" t="s">
        <v>267</v>
      </c>
      <c r="J93" s="69" t="s">
        <v>268</v>
      </c>
      <c r="K93" s="63">
        <v>2</v>
      </c>
      <c r="L93" s="51"/>
      <c r="O93" s="51"/>
    </row>
    <row r="94" spans="1:17" ht="15" customHeight="1">
      <c r="A94" s="60" t="s">
        <v>654</v>
      </c>
      <c r="B94" s="709"/>
      <c r="C94" s="70" t="s">
        <v>269</v>
      </c>
      <c r="D94" s="68" t="s">
        <v>270</v>
      </c>
      <c r="E94" s="68" t="s">
        <v>271</v>
      </c>
      <c r="F94" s="68" t="s">
        <v>272</v>
      </c>
      <c r="G94" s="68" t="s">
        <v>273</v>
      </c>
      <c r="H94" s="68" t="s">
        <v>274</v>
      </c>
      <c r="I94" s="68" t="s">
        <v>275</v>
      </c>
      <c r="J94" s="69" t="s">
        <v>276</v>
      </c>
      <c r="K94" s="63">
        <v>2</v>
      </c>
      <c r="O94" s="51"/>
    </row>
    <row r="95" spans="1:17" ht="15" customHeight="1">
      <c r="A95" s="60" t="s">
        <v>655</v>
      </c>
      <c r="B95" s="709"/>
      <c r="C95" s="92" t="s">
        <v>277</v>
      </c>
      <c r="D95" s="66" t="s">
        <v>278</v>
      </c>
      <c r="E95" s="66" t="s">
        <v>279</v>
      </c>
      <c r="F95" s="66" t="s">
        <v>280</v>
      </c>
      <c r="G95" s="66" t="s">
        <v>281</v>
      </c>
      <c r="H95" s="66" t="s">
        <v>282</v>
      </c>
      <c r="I95" s="66" t="s">
        <v>283</v>
      </c>
      <c r="J95" s="67" t="s">
        <v>284</v>
      </c>
      <c r="K95" s="63">
        <v>2</v>
      </c>
    </row>
    <row r="96" spans="1:17" s="51" customFormat="1" ht="13.5" customHeight="1">
      <c r="A96" s="60" t="s">
        <v>658</v>
      </c>
      <c r="B96" s="709"/>
      <c r="C96" s="690" t="s">
        <v>150</v>
      </c>
      <c r="D96" s="690"/>
      <c r="E96" s="690"/>
      <c r="F96" s="690"/>
      <c r="G96" s="691" t="s">
        <v>202</v>
      </c>
      <c r="H96" s="690"/>
      <c r="I96" s="690"/>
      <c r="J96" s="692"/>
      <c r="K96" s="138">
        <v>2</v>
      </c>
      <c r="L96" s="61"/>
      <c r="M96" s="61"/>
      <c r="N96" s="61"/>
      <c r="O96" s="61"/>
    </row>
    <row r="97" spans="1:17" ht="14.25" customHeight="1" thickBot="1">
      <c r="A97" s="64" t="s">
        <v>656</v>
      </c>
      <c r="B97" s="710"/>
      <c r="C97" s="693" t="s">
        <v>203</v>
      </c>
      <c r="D97" s="693"/>
      <c r="E97" s="693"/>
      <c r="F97" s="693"/>
      <c r="G97" s="694" t="s">
        <v>204</v>
      </c>
      <c r="H97" s="693"/>
      <c r="I97" s="693"/>
      <c r="J97" s="695"/>
      <c r="K97" s="64">
        <v>2</v>
      </c>
      <c r="N97" s="51"/>
      <c r="P97" s="51"/>
      <c r="Q97" s="51"/>
    </row>
    <row r="98" spans="1:17" ht="15" customHeight="1">
      <c r="A98" s="704" t="s">
        <v>657</v>
      </c>
      <c r="B98" s="708" t="s">
        <v>466</v>
      </c>
      <c r="C98" s="699" t="s">
        <v>1327</v>
      </c>
      <c r="D98" s="98" t="s">
        <v>356</v>
      </c>
      <c r="E98" s="701" t="s">
        <v>357</v>
      </c>
      <c r="F98" s="702"/>
      <c r="G98" s="702"/>
      <c r="H98" s="702"/>
      <c r="I98" s="702"/>
      <c r="J98" s="703"/>
      <c r="K98" s="704">
        <v>2</v>
      </c>
      <c r="N98" s="51"/>
    </row>
    <row r="99" spans="1:17" ht="15" customHeight="1">
      <c r="A99" s="705"/>
      <c r="B99" s="709"/>
      <c r="C99" s="700"/>
      <c r="D99" s="25" t="s">
        <v>233</v>
      </c>
      <c r="E99" s="25" t="s">
        <v>234</v>
      </c>
      <c r="F99" s="25" t="s">
        <v>333</v>
      </c>
      <c r="G99" s="25" t="s">
        <v>235</v>
      </c>
      <c r="H99" s="25" t="s">
        <v>233</v>
      </c>
      <c r="I99" s="25" t="s">
        <v>141</v>
      </c>
      <c r="J99" s="23" t="s">
        <v>236</v>
      </c>
      <c r="K99" s="717"/>
      <c r="M99" s="51"/>
    </row>
    <row r="100" spans="1:17" ht="15" customHeight="1">
      <c r="A100" s="60" t="s">
        <v>659</v>
      </c>
      <c r="B100" s="709"/>
      <c r="C100" s="201" t="s">
        <v>1123</v>
      </c>
      <c r="D100" s="200" t="s">
        <v>1124</v>
      </c>
      <c r="E100" s="25" t="s">
        <v>237</v>
      </c>
      <c r="F100" s="25" t="s">
        <v>238</v>
      </c>
      <c r="G100" s="25" t="s">
        <v>239</v>
      </c>
      <c r="H100" s="25" t="s">
        <v>240</v>
      </c>
      <c r="I100" s="25" t="s">
        <v>241</v>
      </c>
      <c r="J100" s="23" t="s">
        <v>242</v>
      </c>
      <c r="K100" s="63">
        <v>2</v>
      </c>
      <c r="M100" s="51"/>
    </row>
    <row r="101" spans="1:17" ht="15" customHeight="1">
      <c r="A101" s="60" t="s">
        <v>660</v>
      </c>
      <c r="B101" s="709"/>
      <c r="C101" s="49" t="s">
        <v>150</v>
      </c>
      <c r="D101" s="25" t="s">
        <v>150</v>
      </c>
      <c r="E101" s="25" t="s">
        <v>243</v>
      </c>
      <c r="F101" s="25" t="s">
        <v>244</v>
      </c>
      <c r="G101" s="25" t="s">
        <v>245</v>
      </c>
      <c r="H101" s="25" t="s">
        <v>246</v>
      </c>
      <c r="I101" s="257" t="s">
        <v>1362</v>
      </c>
      <c r="J101" s="258" t="s">
        <v>1363</v>
      </c>
      <c r="K101" s="63">
        <v>2</v>
      </c>
    </row>
    <row r="102" spans="1:17" ht="15" customHeight="1">
      <c r="A102" s="60" t="s">
        <v>661</v>
      </c>
      <c r="B102" s="709"/>
      <c r="C102" s="49" t="s">
        <v>247</v>
      </c>
      <c r="D102" s="25" t="s">
        <v>248</v>
      </c>
      <c r="E102" s="25" t="s">
        <v>249</v>
      </c>
      <c r="F102" s="25" t="s">
        <v>250</v>
      </c>
      <c r="G102" s="25" t="s">
        <v>251</v>
      </c>
      <c r="H102" s="25" t="s">
        <v>252</v>
      </c>
      <c r="I102" s="25" t="s">
        <v>253</v>
      </c>
      <c r="J102" s="23" t="s">
        <v>254</v>
      </c>
      <c r="K102" s="63">
        <v>2</v>
      </c>
    </row>
    <row r="103" spans="1:17" ht="15" customHeight="1">
      <c r="A103" s="60" t="s">
        <v>662</v>
      </c>
      <c r="B103" s="709"/>
      <c r="C103" s="49" t="s">
        <v>150</v>
      </c>
      <c r="D103" s="25" t="s">
        <v>150</v>
      </c>
      <c r="E103" s="25" t="s">
        <v>255</v>
      </c>
      <c r="F103" s="25" t="s">
        <v>256</v>
      </c>
      <c r="G103" s="25" t="s">
        <v>257</v>
      </c>
      <c r="H103" s="25" t="s">
        <v>258</v>
      </c>
      <c r="I103" s="25" t="s">
        <v>259</v>
      </c>
      <c r="J103" s="23" t="s">
        <v>260</v>
      </c>
      <c r="K103" s="63">
        <v>2</v>
      </c>
      <c r="L103" s="51"/>
    </row>
    <row r="104" spans="1:17" ht="15" customHeight="1">
      <c r="A104" s="60" t="s">
        <v>663</v>
      </c>
      <c r="B104" s="709"/>
      <c r="C104" s="49" t="s">
        <v>261</v>
      </c>
      <c r="D104" s="25" t="s">
        <v>262</v>
      </c>
      <c r="E104" s="25" t="s">
        <v>263</v>
      </c>
      <c r="F104" s="25" t="s">
        <v>264</v>
      </c>
      <c r="G104" s="25" t="s">
        <v>265</v>
      </c>
      <c r="H104" s="25" t="s">
        <v>266</v>
      </c>
      <c r="I104" s="25" t="s">
        <v>267</v>
      </c>
      <c r="J104" s="23" t="s">
        <v>268</v>
      </c>
      <c r="K104" s="63">
        <v>2</v>
      </c>
      <c r="L104" s="51"/>
      <c r="O104" s="51"/>
    </row>
    <row r="105" spans="1:17" ht="15" customHeight="1">
      <c r="A105" s="60" t="s">
        <v>664</v>
      </c>
      <c r="B105" s="709"/>
      <c r="C105" s="49" t="s">
        <v>269</v>
      </c>
      <c r="D105" s="25" t="s">
        <v>270</v>
      </c>
      <c r="E105" s="25" t="s">
        <v>271</v>
      </c>
      <c r="F105" s="25" t="s">
        <v>272</v>
      </c>
      <c r="G105" s="25" t="s">
        <v>273</v>
      </c>
      <c r="H105" s="25" t="s">
        <v>274</v>
      </c>
      <c r="I105" s="25" t="s">
        <v>275</v>
      </c>
      <c r="J105" s="23" t="s">
        <v>276</v>
      </c>
      <c r="K105" s="63">
        <v>2</v>
      </c>
      <c r="O105" s="51"/>
    </row>
    <row r="106" spans="1:17" ht="15" customHeight="1">
      <c r="A106" s="60" t="s">
        <v>665</v>
      </c>
      <c r="B106" s="709"/>
      <c r="C106" s="37" t="s">
        <v>277</v>
      </c>
      <c r="D106" s="38" t="s">
        <v>278</v>
      </c>
      <c r="E106" s="38" t="s">
        <v>279</v>
      </c>
      <c r="F106" s="38" t="s">
        <v>280</v>
      </c>
      <c r="G106" s="38" t="s">
        <v>281</v>
      </c>
      <c r="H106" s="38" t="s">
        <v>282</v>
      </c>
      <c r="I106" s="38" t="s">
        <v>283</v>
      </c>
      <c r="J106" s="44" t="s">
        <v>284</v>
      </c>
      <c r="K106" s="63">
        <v>2</v>
      </c>
    </row>
    <row r="107" spans="1:17" s="51" customFormat="1" ht="13.5" customHeight="1">
      <c r="A107" s="60" t="s">
        <v>666</v>
      </c>
      <c r="B107" s="709"/>
      <c r="C107" s="696" t="s">
        <v>150</v>
      </c>
      <c r="D107" s="696"/>
      <c r="E107" s="696"/>
      <c r="F107" s="696"/>
      <c r="G107" s="697" t="s">
        <v>202</v>
      </c>
      <c r="H107" s="696"/>
      <c r="I107" s="696"/>
      <c r="J107" s="698"/>
      <c r="K107" s="138">
        <v>2</v>
      </c>
      <c r="L107" s="61"/>
      <c r="M107" s="61"/>
      <c r="N107" s="61"/>
      <c r="O107" s="61"/>
    </row>
    <row r="108" spans="1:17" ht="14.25" customHeight="1" thickBot="1">
      <c r="A108" s="64" t="s">
        <v>667</v>
      </c>
      <c r="B108" s="710"/>
      <c r="C108" s="687" t="s">
        <v>203</v>
      </c>
      <c r="D108" s="687"/>
      <c r="E108" s="687"/>
      <c r="F108" s="687"/>
      <c r="G108" s="688" t="s">
        <v>204</v>
      </c>
      <c r="H108" s="687"/>
      <c r="I108" s="687"/>
      <c r="J108" s="689"/>
      <c r="K108" s="64">
        <v>2</v>
      </c>
      <c r="N108" s="51"/>
      <c r="P108" s="51"/>
      <c r="Q108" s="51"/>
    </row>
    <row r="109" spans="1:17" ht="15" customHeight="1">
      <c r="A109" s="717" t="s">
        <v>668</v>
      </c>
      <c r="B109" s="708" t="s">
        <v>467</v>
      </c>
      <c r="C109" s="699" t="s">
        <v>1327</v>
      </c>
      <c r="D109" s="24" t="s">
        <v>358</v>
      </c>
      <c r="E109" s="756" t="s">
        <v>359</v>
      </c>
      <c r="F109" s="757"/>
      <c r="G109" s="757"/>
      <c r="H109" s="757"/>
      <c r="I109" s="757"/>
      <c r="J109" s="758"/>
      <c r="K109" s="717">
        <v>2</v>
      </c>
      <c r="N109" s="51"/>
    </row>
    <row r="110" spans="1:17" ht="15" customHeight="1">
      <c r="A110" s="705"/>
      <c r="B110" s="709"/>
      <c r="C110" s="700"/>
      <c r="D110" s="68" t="s">
        <v>233</v>
      </c>
      <c r="E110" s="68" t="s">
        <v>234</v>
      </c>
      <c r="F110" s="68" t="s">
        <v>333</v>
      </c>
      <c r="G110" s="68" t="s">
        <v>235</v>
      </c>
      <c r="H110" s="68" t="s">
        <v>233</v>
      </c>
      <c r="I110" s="68" t="s">
        <v>141</v>
      </c>
      <c r="J110" s="69" t="s">
        <v>236</v>
      </c>
      <c r="K110" s="717"/>
      <c r="M110" s="51"/>
    </row>
    <row r="111" spans="1:17" ht="15" customHeight="1">
      <c r="A111" s="60" t="s">
        <v>669</v>
      </c>
      <c r="B111" s="709"/>
      <c r="C111" s="201" t="s">
        <v>1123</v>
      </c>
      <c r="D111" s="200" t="s">
        <v>1124</v>
      </c>
      <c r="E111" s="68" t="s">
        <v>237</v>
      </c>
      <c r="F111" s="68" t="s">
        <v>238</v>
      </c>
      <c r="G111" s="68" t="s">
        <v>239</v>
      </c>
      <c r="H111" s="68" t="s">
        <v>240</v>
      </c>
      <c r="I111" s="68" t="s">
        <v>241</v>
      </c>
      <c r="J111" s="69" t="s">
        <v>242</v>
      </c>
      <c r="K111" s="63">
        <v>2</v>
      </c>
      <c r="M111" s="51"/>
    </row>
    <row r="112" spans="1:17" ht="15" customHeight="1">
      <c r="A112" s="60" t="s">
        <v>670</v>
      </c>
      <c r="B112" s="709"/>
      <c r="C112" s="70" t="s">
        <v>150</v>
      </c>
      <c r="D112" s="68" t="s">
        <v>150</v>
      </c>
      <c r="E112" s="68" t="s">
        <v>243</v>
      </c>
      <c r="F112" s="68" t="s">
        <v>244</v>
      </c>
      <c r="G112" s="68" t="s">
        <v>245</v>
      </c>
      <c r="H112" s="68" t="s">
        <v>246</v>
      </c>
      <c r="I112" s="259" t="s">
        <v>1362</v>
      </c>
      <c r="J112" s="260" t="s">
        <v>1363</v>
      </c>
      <c r="K112" s="63">
        <v>2</v>
      </c>
    </row>
    <row r="113" spans="1:17" ht="15" customHeight="1">
      <c r="A113" s="60" t="s">
        <v>671</v>
      </c>
      <c r="B113" s="709"/>
      <c r="C113" s="70" t="s">
        <v>247</v>
      </c>
      <c r="D113" s="68" t="s">
        <v>248</v>
      </c>
      <c r="E113" s="68" t="s">
        <v>249</v>
      </c>
      <c r="F113" s="68" t="s">
        <v>250</v>
      </c>
      <c r="G113" s="68" t="s">
        <v>251</v>
      </c>
      <c r="H113" s="68" t="s">
        <v>252</v>
      </c>
      <c r="I113" s="68" t="s">
        <v>253</v>
      </c>
      <c r="J113" s="69" t="s">
        <v>254</v>
      </c>
      <c r="K113" s="63">
        <v>2</v>
      </c>
    </row>
    <row r="114" spans="1:17" ht="15" customHeight="1">
      <c r="A114" s="60" t="s">
        <v>672</v>
      </c>
      <c r="B114" s="709"/>
      <c r="C114" s="70" t="s">
        <v>150</v>
      </c>
      <c r="D114" s="68" t="s">
        <v>150</v>
      </c>
      <c r="E114" s="68" t="s">
        <v>255</v>
      </c>
      <c r="F114" s="68" t="s">
        <v>256</v>
      </c>
      <c r="G114" s="68" t="s">
        <v>257</v>
      </c>
      <c r="H114" s="68" t="s">
        <v>258</v>
      </c>
      <c r="I114" s="68" t="s">
        <v>259</v>
      </c>
      <c r="J114" s="69" t="s">
        <v>260</v>
      </c>
      <c r="K114" s="63">
        <v>2</v>
      </c>
      <c r="L114" s="51"/>
    </row>
    <row r="115" spans="1:17" ht="15" customHeight="1">
      <c r="A115" s="62" t="s">
        <v>673</v>
      </c>
      <c r="B115" s="709"/>
      <c r="C115" s="70" t="s">
        <v>261</v>
      </c>
      <c r="D115" s="68" t="s">
        <v>262</v>
      </c>
      <c r="E115" s="68" t="s">
        <v>263</v>
      </c>
      <c r="F115" s="68" t="s">
        <v>264</v>
      </c>
      <c r="G115" s="68" t="s">
        <v>265</v>
      </c>
      <c r="H115" s="68" t="s">
        <v>266</v>
      </c>
      <c r="I115" s="68" t="s">
        <v>267</v>
      </c>
      <c r="J115" s="69" t="s">
        <v>268</v>
      </c>
      <c r="K115" s="63">
        <v>2</v>
      </c>
      <c r="L115" s="51"/>
      <c r="O115" s="51"/>
    </row>
    <row r="116" spans="1:17" ht="15" customHeight="1">
      <c r="A116" s="62" t="s">
        <v>674</v>
      </c>
      <c r="B116" s="709"/>
      <c r="C116" s="70" t="s">
        <v>269</v>
      </c>
      <c r="D116" s="68" t="s">
        <v>270</v>
      </c>
      <c r="E116" s="68" t="s">
        <v>271</v>
      </c>
      <c r="F116" s="68" t="s">
        <v>272</v>
      </c>
      <c r="G116" s="68" t="s">
        <v>273</v>
      </c>
      <c r="H116" s="68" t="s">
        <v>274</v>
      </c>
      <c r="I116" s="68" t="s">
        <v>275</v>
      </c>
      <c r="J116" s="69" t="s">
        <v>276</v>
      </c>
      <c r="K116" s="63">
        <v>2</v>
      </c>
      <c r="O116" s="51"/>
    </row>
    <row r="117" spans="1:17" ht="15" customHeight="1">
      <c r="A117" s="62" t="s">
        <v>675</v>
      </c>
      <c r="B117" s="709"/>
      <c r="C117" s="92" t="s">
        <v>277</v>
      </c>
      <c r="D117" s="66" t="s">
        <v>278</v>
      </c>
      <c r="E117" s="66" t="s">
        <v>279</v>
      </c>
      <c r="F117" s="66" t="s">
        <v>280</v>
      </c>
      <c r="G117" s="66" t="s">
        <v>281</v>
      </c>
      <c r="H117" s="66" t="s">
        <v>282</v>
      </c>
      <c r="I117" s="66" t="s">
        <v>283</v>
      </c>
      <c r="J117" s="67" t="s">
        <v>284</v>
      </c>
      <c r="K117" s="63">
        <v>2</v>
      </c>
    </row>
    <row r="118" spans="1:17" s="51" customFormat="1" ht="13.5" customHeight="1">
      <c r="A118" s="60" t="s">
        <v>676</v>
      </c>
      <c r="B118" s="709"/>
      <c r="C118" s="690" t="s">
        <v>150</v>
      </c>
      <c r="D118" s="690"/>
      <c r="E118" s="690"/>
      <c r="F118" s="690"/>
      <c r="G118" s="691" t="s">
        <v>202</v>
      </c>
      <c r="H118" s="690"/>
      <c r="I118" s="690"/>
      <c r="J118" s="692"/>
      <c r="K118" s="138">
        <v>2</v>
      </c>
      <c r="L118" s="61"/>
      <c r="M118" s="61"/>
      <c r="N118" s="61"/>
      <c r="O118" s="61"/>
    </row>
    <row r="119" spans="1:17" ht="14.25" customHeight="1" thickBot="1">
      <c r="A119" s="64" t="s">
        <v>677</v>
      </c>
      <c r="B119" s="710"/>
      <c r="C119" s="693" t="s">
        <v>203</v>
      </c>
      <c r="D119" s="693"/>
      <c r="E119" s="693"/>
      <c r="F119" s="693"/>
      <c r="G119" s="694" t="s">
        <v>204</v>
      </c>
      <c r="H119" s="693"/>
      <c r="I119" s="693"/>
      <c r="J119" s="695"/>
      <c r="K119" s="64">
        <v>2</v>
      </c>
      <c r="N119" s="51"/>
      <c r="P119" s="51"/>
      <c r="Q119" s="51"/>
    </row>
    <row r="120" spans="1:17" ht="15" customHeight="1">
      <c r="A120" s="704" t="s">
        <v>678</v>
      </c>
      <c r="B120" s="708" t="s">
        <v>468</v>
      </c>
      <c r="C120" s="699" t="s">
        <v>1327</v>
      </c>
      <c r="D120" s="98" t="s">
        <v>360</v>
      </c>
      <c r="E120" s="701" t="s">
        <v>361</v>
      </c>
      <c r="F120" s="702"/>
      <c r="G120" s="702"/>
      <c r="H120" s="702"/>
      <c r="I120" s="702"/>
      <c r="J120" s="703"/>
      <c r="K120" s="704">
        <v>2</v>
      </c>
      <c r="N120" s="51"/>
    </row>
    <row r="121" spans="1:17" ht="15" customHeight="1">
      <c r="A121" s="705"/>
      <c r="B121" s="709"/>
      <c r="C121" s="700"/>
      <c r="D121" s="25" t="s">
        <v>233</v>
      </c>
      <c r="E121" s="25" t="s">
        <v>234</v>
      </c>
      <c r="F121" s="25" t="s">
        <v>333</v>
      </c>
      <c r="G121" s="25" t="s">
        <v>235</v>
      </c>
      <c r="H121" s="25" t="s">
        <v>233</v>
      </c>
      <c r="I121" s="25" t="s">
        <v>141</v>
      </c>
      <c r="J121" s="23" t="s">
        <v>236</v>
      </c>
      <c r="K121" s="717"/>
      <c r="M121" s="51"/>
    </row>
    <row r="122" spans="1:17" ht="22.5">
      <c r="A122" s="60" t="s">
        <v>679</v>
      </c>
      <c r="B122" s="709"/>
      <c r="C122" s="201" t="s">
        <v>1123</v>
      </c>
      <c r="D122" s="200" t="s">
        <v>1124</v>
      </c>
      <c r="E122" s="25" t="s">
        <v>237</v>
      </c>
      <c r="F122" s="25" t="s">
        <v>238</v>
      </c>
      <c r="G122" s="25" t="s">
        <v>239</v>
      </c>
      <c r="H122" s="25" t="s">
        <v>240</v>
      </c>
      <c r="I122" s="25" t="s">
        <v>241</v>
      </c>
      <c r="J122" s="23" t="s">
        <v>242</v>
      </c>
      <c r="K122" s="63">
        <v>2</v>
      </c>
      <c r="M122" s="51"/>
    </row>
    <row r="123" spans="1:17" ht="15" customHeight="1">
      <c r="A123" s="60" t="s">
        <v>688</v>
      </c>
      <c r="B123" s="709"/>
      <c r="C123" s="49" t="s">
        <v>150</v>
      </c>
      <c r="D123" s="25" t="s">
        <v>150</v>
      </c>
      <c r="E123" s="25" t="s">
        <v>243</v>
      </c>
      <c r="F123" s="25" t="s">
        <v>244</v>
      </c>
      <c r="G123" s="25" t="s">
        <v>245</v>
      </c>
      <c r="H123" s="25" t="s">
        <v>246</v>
      </c>
      <c r="I123" s="261" t="s">
        <v>1362</v>
      </c>
      <c r="J123" s="262" t="s">
        <v>1363</v>
      </c>
      <c r="K123" s="63">
        <v>2</v>
      </c>
    </row>
    <row r="124" spans="1:17" ht="15" customHeight="1">
      <c r="A124" s="60" t="s">
        <v>680</v>
      </c>
      <c r="B124" s="709"/>
      <c r="C124" s="49" t="s">
        <v>247</v>
      </c>
      <c r="D124" s="25" t="s">
        <v>248</v>
      </c>
      <c r="E124" s="25" t="s">
        <v>249</v>
      </c>
      <c r="F124" s="25" t="s">
        <v>250</v>
      </c>
      <c r="G124" s="25" t="s">
        <v>251</v>
      </c>
      <c r="H124" s="25" t="s">
        <v>252</v>
      </c>
      <c r="I124" s="25" t="s">
        <v>253</v>
      </c>
      <c r="J124" s="23" t="s">
        <v>254</v>
      </c>
      <c r="K124" s="63">
        <v>2</v>
      </c>
    </row>
    <row r="125" spans="1:17" ht="15" customHeight="1">
      <c r="A125" s="60" t="s">
        <v>682</v>
      </c>
      <c r="B125" s="709"/>
      <c r="C125" s="49" t="s">
        <v>150</v>
      </c>
      <c r="D125" s="25" t="s">
        <v>150</v>
      </c>
      <c r="E125" s="25" t="s">
        <v>255</v>
      </c>
      <c r="F125" s="25" t="s">
        <v>256</v>
      </c>
      <c r="G125" s="25" t="s">
        <v>257</v>
      </c>
      <c r="H125" s="25" t="s">
        <v>258</v>
      </c>
      <c r="I125" s="25" t="s">
        <v>259</v>
      </c>
      <c r="J125" s="23" t="s">
        <v>260</v>
      </c>
      <c r="K125" s="63">
        <v>2</v>
      </c>
      <c r="L125" s="51"/>
    </row>
    <row r="126" spans="1:17" ht="15" customHeight="1">
      <c r="A126" s="62" t="s">
        <v>683</v>
      </c>
      <c r="B126" s="709"/>
      <c r="C126" s="49" t="s">
        <v>261</v>
      </c>
      <c r="D126" s="25" t="s">
        <v>262</v>
      </c>
      <c r="E126" s="25" t="s">
        <v>263</v>
      </c>
      <c r="F126" s="25" t="s">
        <v>264</v>
      </c>
      <c r="G126" s="25" t="s">
        <v>265</v>
      </c>
      <c r="H126" s="25" t="s">
        <v>266</v>
      </c>
      <c r="I126" s="25" t="s">
        <v>267</v>
      </c>
      <c r="J126" s="23" t="s">
        <v>268</v>
      </c>
      <c r="K126" s="63">
        <v>2</v>
      </c>
      <c r="L126" s="51"/>
      <c r="O126" s="51"/>
    </row>
    <row r="127" spans="1:17" ht="15" customHeight="1">
      <c r="A127" s="63" t="s">
        <v>684</v>
      </c>
      <c r="B127" s="709"/>
      <c r="C127" s="49" t="s">
        <v>269</v>
      </c>
      <c r="D127" s="25" t="s">
        <v>270</v>
      </c>
      <c r="E127" s="25" t="s">
        <v>271</v>
      </c>
      <c r="F127" s="25" t="s">
        <v>272</v>
      </c>
      <c r="G127" s="25" t="s">
        <v>273</v>
      </c>
      <c r="H127" s="25" t="s">
        <v>274</v>
      </c>
      <c r="I127" s="25" t="s">
        <v>275</v>
      </c>
      <c r="J127" s="23" t="s">
        <v>276</v>
      </c>
      <c r="K127" s="63">
        <v>2</v>
      </c>
      <c r="O127" s="51"/>
    </row>
    <row r="128" spans="1:17" ht="15" customHeight="1">
      <c r="A128" s="63" t="s">
        <v>681</v>
      </c>
      <c r="B128" s="709"/>
      <c r="C128" s="37" t="s">
        <v>277</v>
      </c>
      <c r="D128" s="38" t="s">
        <v>278</v>
      </c>
      <c r="E128" s="38" t="s">
        <v>279</v>
      </c>
      <c r="F128" s="38" t="s">
        <v>280</v>
      </c>
      <c r="G128" s="38" t="s">
        <v>281</v>
      </c>
      <c r="H128" s="38" t="s">
        <v>282</v>
      </c>
      <c r="I128" s="38" t="s">
        <v>283</v>
      </c>
      <c r="J128" s="44" t="s">
        <v>284</v>
      </c>
      <c r="K128" s="63">
        <v>2</v>
      </c>
    </row>
    <row r="129" spans="1:17" s="51" customFormat="1" ht="13.5" customHeight="1">
      <c r="A129" s="60" t="s">
        <v>685</v>
      </c>
      <c r="B129" s="709"/>
      <c r="C129" s="696" t="s">
        <v>150</v>
      </c>
      <c r="D129" s="696"/>
      <c r="E129" s="696"/>
      <c r="F129" s="696"/>
      <c r="G129" s="697" t="s">
        <v>202</v>
      </c>
      <c r="H129" s="696"/>
      <c r="I129" s="696"/>
      <c r="J129" s="698"/>
      <c r="K129" s="138">
        <v>2</v>
      </c>
      <c r="L129" s="61"/>
      <c r="M129" s="61"/>
      <c r="N129" s="61"/>
      <c r="O129" s="61"/>
    </row>
    <row r="130" spans="1:17" ht="14.25" customHeight="1" thickBot="1">
      <c r="A130" s="64" t="s">
        <v>686</v>
      </c>
      <c r="B130" s="710"/>
      <c r="C130" s="687" t="s">
        <v>203</v>
      </c>
      <c r="D130" s="687"/>
      <c r="E130" s="687"/>
      <c r="F130" s="687"/>
      <c r="G130" s="688" t="s">
        <v>204</v>
      </c>
      <c r="H130" s="687"/>
      <c r="I130" s="687"/>
      <c r="J130" s="689"/>
      <c r="K130" s="64">
        <v>2</v>
      </c>
      <c r="N130" s="51"/>
      <c r="P130" s="51"/>
      <c r="Q130" s="51"/>
    </row>
    <row r="131" spans="1:17" ht="15" customHeight="1">
      <c r="A131" s="717" t="s">
        <v>689</v>
      </c>
      <c r="B131" s="708" t="s">
        <v>469</v>
      </c>
      <c r="C131" s="699" t="s">
        <v>1327</v>
      </c>
      <c r="D131" s="24" t="s">
        <v>362</v>
      </c>
      <c r="E131" s="756" t="s">
        <v>363</v>
      </c>
      <c r="F131" s="757"/>
      <c r="G131" s="757"/>
      <c r="H131" s="757"/>
      <c r="I131" s="757"/>
      <c r="J131" s="758"/>
      <c r="K131" s="717">
        <v>2</v>
      </c>
      <c r="N131" s="51"/>
    </row>
    <row r="132" spans="1:17" s="99" customFormat="1" ht="15" customHeight="1">
      <c r="A132" s="705"/>
      <c r="B132" s="709"/>
      <c r="C132" s="700"/>
      <c r="D132" s="68" t="s">
        <v>233</v>
      </c>
      <c r="E132" s="68" t="s">
        <v>234</v>
      </c>
      <c r="F132" s="68" t="s">
        <v>333</v>
      </c>
      <c r="G132" s="68" t="s">
        <v>235</v>
      </c>
      <c r="H132" s="68" t="s">
        <v>233</v>
      </c>
      <c r="I132" s="68" t="s">
        <v>141</v>
      </c>
      <c r="J132" s="69" t="s">
        <v>236</v>
      </c>
      <c r="K132" s="717"/>
      <c r="L132" s="61"/>
      <c r="M132" s="51"/>
      <c r="N132" s="61"/>
      <c r="O132" s="61"/>
    </row>
    <row r="133" spans="1:17" ht="15" customHeight="1">
      <c r="A133" s="60" t="s">
        <v>690</v>
      </c>
      <c r="B133" s="709"/>
      <c r="C133" s="201" t="s">
        <v>1123</v>
      </c>
      <c r="D133" s="200" t="s">
        <v>1124</v>
      </c>
      <c r="E133" s="68" t="s">
        <v>237</v>
      </c>
      <c r="F133" s="68" t="s">
        <v>238</v>
      </c>
      <c r="G133" s="68" t="s">
        <v>239</v>
      </c>
      <c r="H133" s="68" t="s">
        <v>240</v>
      </c>
      <c r="I133" s="68" t="s">
        <v>241</v>
      </c>
      <c r="J133" s="69" t="s">
        <v>242</v>
      </c>
      <c r="K133" s="63">
        <v>2</v>
      </c>
      <c r="M133" s="51"/>
    </row>
    <row r="134" spans="1:17" ht="15" customHeight="1">
      <c r="A134" s="60" t="s">
        <v>687</v>
      </c>
      <c r="B134" s="709"/>
      <c r="C134" s="70" t="s">
        <v>150</v>
      </c>
      <c r="D134" s="68" t="s">
        <v>150</v>
      </c>
      <c r="E134" s="68" t="s">
        <v>243</v>
      </c>
      <c r="F134" s="68" t="s">
        <v>244</v>
      </c>
      <c r="G134" s="68" t="s">
        <v>245</v>
      </c>
      <c r="H134" s="68" t="s">
        <v>246</v>
      </c>
      <c r="I134" s="263" t="s">
        <v>1362</v>
      </c>
      <c r="J134" s="264" t="s">
        <v>1363</v>
      </c>
      <c r="K134" s="63">
        <v>2</v>
      </c>
    </row>
    <row r="135" spans="1:17" ht="15" customHeight="1">
      <c r="A135" s="60" t="s">
        <v>691</v>
      </c>
      <c r="B135" s="709"/>
      <c r="C135" s="70" t="s">
        <v>247</v>
      </c>
      <c r="D135" s="68" t="s">
        <v>248</v>
      </c>
      <c r="E135" s="68" t="s">
        <v>249</v>
      </c>
      <c r="F135" s="68" t="s">
        <v>250</v>
      </c>
      <c r="G135" s="68" t="s">
        <v>251</v>
      </c>
      <c r="H135" s="68" t="s">
        <v>252</v>
      </c>
      <c r="I135" s="68" t="s">
        <v>253</v>
      </c>
      <c r="J135" s="69" t="s">
        <v>254</v>
      </c>
      <c r="K135" s="63">
        <v>2</v>
      </c>
      <c r="M135" s="99"/>
    </row>
    <row r="136" spans="1:17" ht="15" customHeight="1">
      <c r="A136" s="60" t="s">
        <v>692</v>
      </c>
      <c r="B136" s="709"/>
      <c r="C136" s="70" t="s">
        <v>150</v>
      </c>
      <c r="D136" s="68" t="s">
        <v>150</v>
      </c>
      <c r="E136" s="68" t="s">
        <v>255</v>
      </c>
      <c r="F136" s="68" t="s">
        <v>256</v>
      </c>
      <c r="G136" s="68" t="s">
        <v>257</v>
      </c>
      <c r="H136" s="68" t="s">
        <v>258</v>
      </c>
      <c r="I136" s="68" t="s">
        <v>259</v>
      </c>
      <c r="J136" s="69" t="s">
        <v>260</v>
      </c>
      <c r="K136" s="63">
        <v>2</v>
      </c>
      <c r="L136" s="51"/>
    </row>
    <row r="137" spans="1:17" ht="15" customHeight="1">
      <c r="A137" s="60" t="s">
        <v>693</v>
      </c>
      <c r="B137" s="709"/>
      <c r="C137" s="70" t="s">
        <v>261</v>
      </c>
      <c r="D137" s="68" t="s">
        <v>262</v>
      </c>
      <c r="E137" s="68" t="s">
        <v>263</v>
      </c>
      <c r="F137" s="68" t="s">
        <v>264</v>
      </c>
      <c r="G137" s="68" t="s">
        <v>265</v>
      </c>
      <c r="H137" s="68" t="s">
        <v>266</v>
      </c>
      <c r="I137" s="68" t="s">
        <v>267</v>
      </c>
      <c r="J137" s="69" t="s">
        <v>268</v>
      </c>
      <c r="K137" s="63">
        <v>2</v>
      </c>
      <c r="L137" s="51"/>
      <c r="O137" s="51"/>
    </row>
    <row r="138" spans="1:17" ht="15" customHeight="1">
      <c r="A138" s="60" t="s">
        <v>694</v>
      </c>
      <c r="B138" s="709"/>
      <c r="C138" s="70" t="s">
        <v>269</v>
      </c>
      <c r="D138" s="68" t="s">
        <v>270</v>
      </c>
      <c r="E138" s="68" t="s">
        <v>271</v>
      </c>
      <c r="F138" s="68" t="s">
        <v>272</v>
      </c>
      <c r="G138" s="68" t="s">
        <v>273</v>
      </c>
      <c r="H138" s="68" t="s">
        <v>274</v>
      </c>
      <c r="I138" s="68" t="s">
        <v>275</v>
      </c>
      <c r="J138" s="69" t="s">
        <v>276</v>
      </c>
      <c r="K138" s="63">
        <v>2</v>
      </c>
      <c r="O138" s="51"/>
    </row>
    <row r="139" spans="1:17" ht="15" customHeight="1">
      <c r="A139" s="60" t="s">
        <v>695</v>
      </c>
      <c r="B139" s="709"/>
      <c r="C139" s="92" t="s">
        <v>277</v>
      </c>
      <c r="D139" s="66" t="s">
        <v>278</v>
      </c>
      <c r="E139" s="66" t="s">
        <v>279</v>
      </c>
      <c r="F139" s="66" t="s">
        <v>280</v>
      </c>
      <c r="G139" s="66" t="s">
        <v>281</v>
      </c>
      <c r="H139" s="66" t="s">
        <v>282</v>
      </c>
      <c r="I139" s="66" t="s">
        <v>283</v>
      </c>
      <c r="J139" s="67" t="s">
        <v>284</v>
      </c>
      <c r="K139" s="63">
        <v>2</v>
      </c>
      <c r="L139" s="99"/>
    </row>
    <row r="140" spans="1:17" s="51" customFormat="1" ht="13.5" customHeight="1">
      <c r="A140" s="60" t="s">
        <v>696</v>
      </c>
      <c r="B140" s="709"/>
      <c r="C140" s="690" t="s">
        <v>150</v>
      </c>
      <c r="D140" s="690"/>
      <c r="E140" s="690"/>
      <c r="F140" s="690"/>
      <c r="G140" s="691" t="s">
        <v>202</v>
      </c>
      <c r="H140" s="690"/>
      <c r="I140" s="690"/>
      <c r="J140" s="692"/>
      <c r="K140" s="138">
        <v>2</v>
      </c>
      <c r="L140" s="61"/>
      <c r="M140" s="61"/>
      <c r="N140" s="61"/>
      <c r="O140" s="61"/>
    </row>
    <row r="141" spans="1:17" ht="14.25" customHeight="1" thickBot="1">
      <c r="A141" s="60" t="s">
        <v>697</v>
      </c>
      <c r="B141" s="710"/>
      <c r="C141" s="693" t="s">
        <v>203</v>
      </c>
      <c r="D141" s="693"/>
      <c r="E141" s="693"/>
      <c r="F141" s="693"/>
      <c r="G141" s="694" t="s">
        <v>204</v>
      </c>
      <c r="H141" s="693"/>
      <c r="I141" s="693"/>
      <c r="J141" s="695"/>
      <c r="K141" s="64">
        <v>2</v>
      </c>
      <c r="N141" s="51"/>
      <c r="P141" s="51"/>
      <c r="Q141" s="51"/>
    </row>
    <row r="142" spans="1:17" ht="15" customHeight="1">
      <c r="A142" s="704" t="s">
        <v>698</v>
      </c>
      <c r="B142" s="708" t="s">
        <v>470</v>
      </c>
      <c r="C142" s="699" t="s">
        <v>1327</v>
      </c>
      <c r="D142" s="98" t="s">
        <v>364</v>
      </c>
      <c r="E142" s="701" t="s">
        <v>365</v>
      </c>
      <c r="F142" s="702"/>
      <c r="G142" s="702"/>
      <c r="H142" s="702"/>
      <c r="I142" s="702"/>
      <c r="J142" s="703"/>
      <c r="K142" s="704">
        <v>2</v>
      </c>
      <c r="N142" s="51"/>
    </row>
    <row r="143" spans="1:17" ht="15" customHeight="1">
      <c r="A143" s="705"/>
      <c r="B143" s="709"/>
      <c r="C143" s="700"/>
      <c r="D143" s="25" t="s">
        <v>233</v>
      </c>
      <c r="E143" s="25" t="s">
        <v>234</v>
      </c>
      <c r="F143" s="25" t="s">
        <v>333</v>
      </c>
      <c r="G143" s="25" t="s">
        <v>235</v>
      </c>
      <c r="H143" s="25" t="s">
        <v>233</v>
      </c>
      <c r="I143" s="25" t="s">
        <v>141</v>
      </c>
      <c r="J143" s="23" t="s">
        <v>236</v>
      </c>
      <c r="K143" s="717"/>
      <c r="M143" s="51"/>
    </row>
    <row r="144" spans="1:17" ht="22.5">
      <c r="A144" s="53" t="s">
        <v>699</v>
      </c>
      <c r="B144" s="709"/>
      <c r="C144" s="201" t="s">
        <v>1123</v>
      </c>
      <c r="D144" s="200" t="s">
        <v>1124</v>
      </c>
      <c r="E144" s="25" t="s">
        <v>237</v>
      </c>
      <c r="F144" s="25" t="s">
        <v>238</v>
      </c>
      <c r="G144" s="25" t="s">
        <v>239</v>
      </c>
      <c r="H144" s="25" t="s">
        <v>240</v>
      </c>
      <c r="I144" s="25" t="s">
        <v>241</v>
      </c>
      <c r="J144" s="23" t="s">
        <v>242</v>
      </c>
      <c r="K144" s="63">
        <v>2</v>
      </c>
      <c r="M144" s="51"/>
      <c r="N144" s="99"/>
    </row>
    <row r="145" spans="1:17" ht="15" customHeight="1">
      <c r="A145" s="53" t="s">
        <v>700</v>
      </c>
      <c r="B145" s="709"/>
      <c r="C145" s="49" t="s">
        <v>150</v>
      </c>
      <c r="D145" s="25" t="s">
        <v>150</v>
      </c>
      <c r="E145" s="25" t="s">
        <v>243</v>
      </c>
      <c r="F145" s="25" t="s">
        <v>244</v>
      </c>
      <c r="G145" s="25" t="s">
        <v>245</v>
      </c>
      <c r="H145" s="25" t="s">
        <v>246</v>
      </c>
      <c r="I145" s="265" t="s">
        <v>1362</v>
      </c>
      <c r="J145" s="266" t="s">
        <v>1363</v>
      </c>
      <c r="K145" s="63">
        <v>2</v>
      </c>
    </row>
    <row r="146" spans="1:17" ht="15" customHeight="1">
      <c r="A146" s="53" t="s">
        <v>701</v>
      </c>
      <c r="B146" s="709"/>
      <c r="C146" s="49" t="s">
        <v>247</v>
      </c>
      <c r="D146" s="25" t="s">
        <v>248</v>
      </c>
      <c r="E146" s="25" t="s">
        <v>249</v>
      </c>
      <c r="F146" s="25" t="s">
        <v>250</v>
      </c>
      <c r="G146" s="25" t="s">
        <v>251</v>
      </c>
      <c r="H146" s="25" t="s">
        <v>252</v>
      </c>
      <c r="I146" s="25" t="s">
        <v>253</v>
      </c>
      <c r="J146" s="23" t="s">
        <v>254</v>
      </c>
      <c r="K146" s="63">
        <v>2</v>
      </c>
    </row>
    <row r="147" spans="1:17" ht="15" customHeight="1">
      <c r="A147" s="53" t="s">
        <v>702</v>
      </c>
      <c r="B147" s="709"/>
      <c r="C147" s="49" t="s">
        <v>150</v>
      </c>
      <c r="D147" s="25" t="s">
        <v>150</v>
      </c>
      <c r="E147" s="25" t="s">
        <v>255</v>
      </c>
      <c r="F147" s="25" t="s">
        <v>256</v>
      </c>
      <c r="G147" s="25" t="s">
        <v>257</v>
      </c>
      <c r="H147" s="25" t="s">
        <v>258</v>
      </c>
      <c r="I147" s="25" t="s">
        <v>259</v>
      </c>
      <c r="J147" s="23" t="s">
        <v>260</v>
      </c>
      <c r="K147" s="63">
        <v>2</v>
      </c>
      <c r="L147" s="51"/>
    </row>
    <row r="148" spans="1:17" ht="15" customHeight="1">
      <c r="A148" s="53" t="s">
        <v>703</v>
      </c>
      <c r="B148" s="709"/>
      <c r="C148" s="49" t="s">
        <v>261</v>
      </c>
      <c r="D148" s="25" t="s">
        <v>262</v>
      </c>
      <c r="E148" s="25" t="s">
        <v>263</v>
      </c>
      <c r="F148" s="25" t="s">
        <v>264</v>
      </c>
      <c r="G148" s="25" t="s">
        <v>265</v>
      </c>
      <c r="H148" s="25" t="s">
        <v>266</v>
      </c>
      <c r="I148" s="25" t="s">
        <v>267</v>
      </c>
      <c r="J148" s="23" t="s">
        <v>268</v>
      </c>
      <c r="K148" s="63">
        <v>2</v>
      </c>
      <c r="L148" s="51"/>
      <c r="O148" s="51"/>
    </row>
    <row r="149" spans="1:17" ht="15" customHeight="1">
      <c r="A149" s="53" t="s">
        <v>704</v>
      </c>
      <c r="B149" s="709"/>
      <c r="C149" s="49" t="s">
        <v>269</v>
      </c>
      <c r="D149" s="25" t="s">
        <v>270</v>
      </c>
      <c r="E149" s="25" t="s">
        <v>271</v>
      </c>
      <c r="F149" s="25" t="s">
        <v>272</v>
      </c>
      <c r="G149" s="25" t="s">
        <v>273</v>
      </c>
      <c r="H149" s="25" t="s">
        <v>274</v>
      </c>
      <c r="I149" s="25" t="s">
        <v>275</v>
      </c>
      <c r="J149" s="23" t="s">
        <v>276</v>
      </c>
      <c r="K149" s="63">
        <v>2</v>
      </c>
      <c r="O149" s="51"/>
    </row>
    <row r="150" spans="1:17" ht="15" customHeight="1">
      <c r="A150" s="53" t="s">
        <v>705</v>
      </c>
      <c r="B150" s="709"/>
      <c r="C150" s="37" t="s">
        <v>277</v>
      </c>
      <c r="D150" s="38" t="s">
        <v>278</v>
      </c>
      <c r="E150" s="38" t="s">
        <v>279</v>
      </c>
      <c r="F150" s="38" t="s">
        <v>280</v>
      </c>
      <c r="G150" s="38" t="s">
        <v>281</v>
      </c>
      <c r="H150" s="38" t="s">
        <v>282</v>
      </c>
      <c r="I150" s="38" t="s">
        <v>283</v>
      </c>
      <c r="J150" s="44" t="s">
        <v>284</v>
      </c>
      <c r="K150" s="63">
        <v>2</v>
      </c>
    </row>
    <row r="151" spans="1:17" s="51" customFormat="1" ht="13.5" customHeight="1">
      <c r="A151" s="53" t="s">
        <v>706</v>
      </c>
      <c r="B151" s="709"/>
      <c r="C151" s="696" t="s">
        <v>150</v>
      </c>
      <c r="D151" s="696"/>
      <c r="E151" s="696"/>
      <c r="F151" s="696"/>
      <c r="G151" s="697" t="s">
        <v>202</v>
      </c>
      <c r="H151" s="696"/>
      <c r="I151" s="696"/>
      <c r="J151" s="698"/>
      <c r="K151" s="138">
        <v>2</v>
      </c>
      <c r="L151" s="61"/>
      <c r="M151" s="61"/>
      <c r="N151" s="61"/>
      <c r="O151" s="99"/>
    </row>
    <row r="152" spans="1:17" ht="14.25" customHeight="1" thickBot="1">
      <c r="A152" s="53" t="s">
        <v>707</v>
      </c>
      <c r="B152" s="710"/>
      <c r="C152" s="687" t="s">
        <v>203</v>
      </c>
      <c r="D152" s="687"/>
      <c r="E152" s="687"/>
      <c r="F152" s="687"/>
      <c r="G152" s="688" t="s">
        <v>204</v>
      </c>
      <c r="H152" s="687"/>
      <c r="I152" s="687"/>
      <c r="J152" s="689"/>
      <c r="K152" s="64">
        <v>2</v>
      </c>
      <c r="N152" s="51"/>
      <c r="P152" s="51"/>
      <c r="Q152" s="51"/>
    </row>
    <row r="153" spans="1:17" ht="15" customHeight="1">
      <c r="A153" s="704" t="s">
        <v>708</v>
      </c>
      <c r="B153" s="708" t="s">
        <v>471</v>
      </c>
      <c r="C153" s="699" t="s">
        <v>1327</v>
      </c>
      <c r="D153" s="24" t="s">
        <v>366</v>
      </c>
      <c r="E153" s="756" t="s">
        <v>367</v>
      </c>
      <c r="F153" s="757"/>
      <c r="G153" s="757"/>
      <c r="H153" s="757"/>
      <c r="I153" s="757"/>
      <c r="J153" s="758"/>
      <c r="K153" s="704">
        <v>2</v>
      </c>
      <c r="N153" s="51"/>
    </row>
    <row r="154" spans="1:17" ht="15" customHeight="1">
      <c r="A154" s="705"/>
      <c r="B154" s="709"/>
      <c r="C154" s="700"/>
      <c r="D154" s="68" t="s">
        <v>233</v>
      </c>
      <c r="E154" s="68" t="s">
        <v>234</v>
      </c>
      <c r="F154" s="68" t="s">
        <v>333</v>
      </c>
      <c r="G154" s="68" t="s">
        <v>235</v>
      </c>
      <c r="H154" s="68" t="s">
        <v>233</v>
      </c>
      <c r="I154" s="68" t="s">
        <v>141</v>
      </c>
      <c r="J154" s="69" t="s">
        <v>236</v>
      </c>
      <c r="K154" s="717"/>
      <c r="M154" s="51"/>
    </row>
    <row r="155" spans="1:17" ht="22.5">
      <c r="A155" s="60" t="s">
        <v>709</v>
      </c>
      <c r="B155" s="709"/>
      <c r="C155" s="201" t="s">
        <v>1123</v>
      </c>
      <c r="D155" s="200" t="s">
        <v>1124</v>
      </c>
      <c r="E155" s="68" t="s">
        <v>237</v>
      </c>
      <c r="F155" s="68" t="s">
        <v>238</v>
      </c>
      <c r="G155" s="68" t="s">
        <v>239</v>
      </c>
      <c r="H155" s="68" t="s">
        <v>240</v>
      </c>
      <c r="I155" s="68" t="s">
        <v>241</v>
      </c>
      <c r="J155" s="69" t="s">
        <v>242</v>
      </c>
      <c r="K155" s="63">
        <v>2</v>
      </c>
      <c r="M155" s="51"/>
    </row>
    <row r="156" spans="1:17" ht="15" customHeight="1">
      <c r="A156" s="60" t="s">
        <v>710</v>
      </c>
      <c r="B156" s="709"/>
      <c r="C156" s="70" t="s">
        <v>150</v>
      </c>
      <c r="D156" s="68" t="s">
        <v>150</v>
      </c>
      <c r="E156" s="68" t="s">
        <v>243</v>
      </c>
      <c r="F156" s="68" t="s">
        <v>244</v>
      </c>
      <c r="G156" s="68" t="s">
        <v>245</v>
      </c>
      <c r="H156" s="68" t="s">
        <v>246</v>
      </c>
      <c r="I156" s="267" t="s">
        <v>1362</v>
      </c>
      <c r="J156" s="268" t="s">
        <v>1363</v>
      </c>
      <c r="K156" s="63">
        <v>2</v>
      </c>
    </row>
    <row r="157" spans="1:17" ht="15" customHeight="1">
      <c r="A157" s="60" t="s">
        <v>711</v>
      </c>
      <c r="B157" s="709"/>
      <c r="C157" s="70" t="s">
        <v>247</v>
      </c>
      <c r="D157" s="68" t="s">
        <v>248</v>
      </c>
      <c r="E157" s="68" t="s">
        <v>249</v>
      </c>
      <c r="F157" s="68" t="s">
        <v>250</v>
      </c>
      <c r="G157" s="68" t="s">
        <v>251</v>
      </c>
      <c r="H157" s="68" t="s">
        <v>252</v>
      </c>
      <c r="I157" s="68" t="s">
        <v>253</v>
      </c>
      <c r="J157" s="69" t="s">
        <v>254</v>
      </c>
      <c r="K157" s="63">
        <v>2</v>
      </c>
    </row>
    <row r="158" spans="1:17" ht="15" customHeight="1">
      <c r="A158" s="60" t="s">
        <v>712</v>
      </c>
      <c r="B158" s="709"/>
      <c r="C158" s="70" t="s">
        <v>150</v>
      </c>
      <c r="D158" s="68" t="s">
        <v>150</v>
      </c>
      <c r="E158" s="68" t="s">
        <v>255</v>
      </c>
      <c r="F158" s="68" t="s">
        <v>256</v>
      </c>
      <c r="G158" s="68" t="s">
        <v>257</v>
      </c>
      <c r="H158" s="68" t="s">
        <v>258</v>
      </c>
      <c r="I158" s="68" t="s">
        <v>259</v>
      </c>
      <c r="J158" s="69" t="s">
        <v>260</v>
      </c>
      <c r="K158" s="63">
        <v>2</v>
      </c>
      <c r="L158" s="51"/>
    </row>
    <row r="159" spans="1:17" ht="15" customHeight="1">
      <c r="A159" s="62" t="s">
        <v>713</v>
      </c>
      <c r="B159" s="709"/>
      <c r="C159" s="70" t="s">
        <v>261</v>
      </c>
      <c r="D159" s="68" t="s">
        <v>262</v>
      </c>
      <c r="E159" s="68" t="s">
        <v>263</v>
      </c>
      <c r="F159" s="68" t="s">
        <v>264</v>
      </c>
      <c r="G159" s="68" t="s">
        <v>265</v>
      </c>
      <c r="H159" s="68" t="s">
        <v>266</v>
      </c>
      <c r="I159" s="68" t="s">
        <v>267</v>
      </c>
      <c r="J159" s="69" t="s">
        <v>268</v>
      </c>
      <c r="K159" s="63">
        <v>2</v>
      </c>
      <c r="L159" s="51"/>
      <c r="O159" s="51"/>
    </row>
    <row r="160" spans="1:17" ht="15" customHeight="1">
      <c r="A160" s="62" t="s">
        <v>714</v>
      </c>
      <c r="B160" s="709"/>
      <c r="C160" s="70" t="s">
        <v>269</v>
      </c>
      <c r="D160" s="68" t="s">
        <v>270</v>
      </c>
      <c r="E160" s="68" t="s">
        <v>271</v>
      </c>
      <c r="F160" s="68" t="s">
        <v>272</v>
      </c>
      <c r="G160" s="68" t="s">
        <v>273</v>
      </c>
      <c r="H160" s="68" t="s">
        <v>274</v>
      </c>
      <c r="I160" s="68" t="s">
        <v>275</v>
      </c>
      <c r="J160" s="69" t="s">
        <v>276</v>
      </c>
      <c r="K160" s="63">
        <v>2</v>
      </c>
      <c r="O160" s="51"/>
    </row>
    <row r="161" spans="1:17" ht="15" customHeight="1">
      <c r="A161" s="62" t="s">
        <v>715</v>
      </c>
      <c r="B161" s="709"/>
      <c r="C161" s="92" t="s">
        <v>277</v>
      </c>
      <c r="D161" s="66" t="s">
        <v>278</v>
      </c>
      <c r="E161" s="66" t="s">
        <v>279</v>
      </c>
      <c r="F161" s="66" t="s">
        <v>280</v>
      </c>
      <c r="G161" s="66" t="s">
        <v>281</v>
      </c>
      <c r="H161" s="66" t="s">
        <v>282</v>
      </c>
      <c r="I161" s="66" t="s">
        <v>283</v>
      </c>
      <c r="J161" s="67" t="s">
        <v>284</v>
      </c>
      <c r="K161" s="63">
        <v>2</v>
      </c>
    </row>
    <row r="162" spans="1:17" s="51" customFormat="1" ht="13.5" customHeight="1">
      <c r="A162" s="62" t="s">
        <v>716</v>
      </c>
      <c r="B162" s="709"/>
      <c r="C162" s="690" t="s">
        <v>150</v>
      </c>
      <c r="D162" s="690"/>
      <c r="E162" s="690"/>
      <c r="F162" s="690"/>
      <c r="G162" s="691" t="s">
        <v>202</v>
      </c>
      <c r="H162" s="690"/>
      <c r="I162" s="690"/>
      <c r="J162" s="692"/>
      <c r="K162" s="138">
        <v>2</v>
      </c>
      <c r="L162" s="61"/>
      <c r="M162" s="61"/>
      <c r="N162" s="61"/>
      <c r="O162" s="61"/>
    </row>
    <row r="163" spans="1:17" ht="14.25" customHeight="1" thickBot="1">
      <c r="A163" s="62" t="s">
        <v>717</v>
      </c>
      <c r="B163" s="710"/>
      <c r="C163" s="693" t="s">
        <v>203</v>
      </c>
      <c r="D163" s="693"/>
      <c r="E163" s="693"/>
      <c r="F163" s="693"/>
      <c r="G163" s="694" t="s">
        <v>204</v>
      </c>
      <c r="H163" s="693"/>
      <c r="I163" s="693"/>
      <c r="J163" s="695"/>
      <c r="K163" s="64">
        <v>2</v>
      </c>
      <c r="N163" s="51"/>
      <c r="P163" s="51"/>
      <c r="Q163" s="51"/>
    </row>
    <row r="164" spans="1:17" ht="15" customHeight="1">
      <c r="A164" s="704" t="s">
        <v>718</v>
      </c>
      <c r="B164" s="708" t="s">
        <v>472</v>
      </c>
      <c r="C164" s="699" t="s">
        <v>1327</v>
      </c>
      <c r="D164" s="98" t="s">
        <v>368</v>
      </c>
      <c r="E164" s="701" t="s">
        <v>369</v>
      </c>
      <c r="F164" s="702"/>
      <c r="G164" s="702"/>
      <c r="H164" s="702"/>
      <c r="I164" s="702"/>
      <c r="J164" s="703"/>
      <c r="K164" s="704">
        <v>2</v>
      </c>
      <c r="N164" s="51"/>
    </row>
    <row r="165" spans="1:17" ht="15" customHeight="1">
      <c r="A165" s="705"/>
      <c r="B165" s="709"/>
      <c r="C165" s="700"/>
      <c r="D165" s="25" t="s">
        <v>233</v>
      </c>
      <c r="E165" s="25" t="s">
        <v>234</v>
      </c>
      <c r="F165" s="25" t="s">
        <v>333</v>
      </c>
      <c r="G165" s="25" t="s">
        <v>235</v>
      </c>
      <c r="H165" s="25" t="s">
        <v>233</v>
      </c>
      <c r="I165" s="25" t="s">
        <v>141</v>
      </c>
      <c r="J165" s="23" t="s">
        <v>236</v>
      </c>
      <c r="K165" s="717"/>
      <c r="M165" s="51"/>
    </row>
    <row r="166" spans="1:17" ht="22.5">
      <c r="A166" s="60" t="s">
        <v>719</v>
      </c>
      <c r="B166" s="709"/>
      <c r="C166" s="201" t="s">
        <v>1123</v>
      </c>
      <c r="D166" s="200" t="s">
        <v>1124</v>
      </c>
      <c r="E166" s="25" t="s">
        <v>237</v>
      </c>
      <c r="F166" s="25" t="s">
        <v>238</v>
      </c>
      <c r="G166" s="25" t="s">
        <v>239</v>
      </c>
      <c r="H166" s="25" t="s">
        <v>240</v>
      </c>
      <c r="I166" s="25" t="s">
        <v>241</v>
      </c>
      <c r="J166" s="23" t="s">
        <v>242</v>
      </c>
      <c r="K166" s="63">
        <v>2</v>
      </c>
      <c r="M166" s="51"/>
    </row>
    <row r="167" spans="1:17" ht="15" customHeight="1">
      <c r="A167" s="60" t="s">
        <v>720</v>
      </c>
      <c r="B167" s="709"/>
      <c r="C167" s="49" t="s">
        <v>150</v>
      </c>
      <c r="D167" s="25" t="s">
        <v>150</v>
      </c>
      <c r="E167" s="25" t="s">
        <v>243</v>
      </c>
      <c r="F167" s="25" t="s">
        <v>244</v>
      </c>
      <c r="G167" s="25" t="s">
        <v>245</v>
      </c>
      <c r="H167" s="25" t="s">
        <v>246</v>
      </c>
      <c r="I167" s="269" t="s">
        <v>1362</v>
      </c>
      <c r="J167" s="270" t="s">
        <v>1363</v>
      </c>
      <c r="K167" s="63">
        <v>2</v>
      </c>
    </row>
    <row r="168" spans="1:17" ht="15" customHeight="1">
      <c r="A168" s="60" t="s">
        <v>721</v>
      </c>
      <c r="B168" s="709"/>
      <c r="C168" s="49" t="s">
        <v>247</v>
      </c>
      <c r="D168" s="25" t="s">
        <v>248</v>
      </c>
      <c r="E168" s="25" t="s">
        <v>249</v>
      </c>
      <c r="F168" s="25" t="s">
        <v>250</v>
      </c>
      <c r="G168" s="25" t="s">
        <v>251</v>
      </c>
      <c r="H168" s="25" t="s">
        <v>252</v>
      </c>
      <c r="I168" s="25" t="s">
        <v>253</v>
      </c>
      <c r="J168" s="23" t="s">
        <v>254</v>
      </c>
      <c r="K168" s="63">
        <v>2</v>
      </c>
    </row>
    <row r="169" spans="1:17" ht="15" customHeight="1">
      <c r="A169" s="60" t="s">
        <v>722</v>
      </c>
      <c r="B169" s="709"/>
      <c r="C169" s="49" t="s">
        <v>150</v>
      </c>
      <c r="D169" s="25" t="s">
        <v>150</v>
      </c>
      <c r="E169" s="25" t="s">
        <v>255</v>
      </c>
      <c r="F169" s="25" t="s">
        <v>256</v>
      </c>
      <c r="G169" s="25" t="s">
        <v>257</v>
      </c>
      <c r="H169" s="25" t="s">
        <v>258</v>
      </c>
      <c r="I169" s="25" t="s">
        <v>259</v>
      </c>
      <c r="J169" s="23" t="s">
        <v>260</v>
      </c>
      <c r="K169" s="63">
        <v>2</v>
      </c>
      <c r="L169" s="51"/>
    </row>
    <row r="170" spans="1:17" ht="15" customHeight="1">
      <c r="A170" s="62" t="s">
        <v>723</v>
      </c>
      <c r="B170" s="709"/>
      <c r="C170" s="49" t="s">
        <v>261</v>
      </c>
      <c r="D170" s="25" t="s">
        <v>262</v>
      </c>
      <c r="E170" s="25" t="s">
        <v>263</v>
      </c>
      <c r="F170" s="25" t="s">
        <v>264</v>
      </c>
      <c r="G170" s="25" t="s">
        <v>265</v>
      </c>
      <c r="H170" s="25" t="s">
        <v>266</v>
      </c>
      <c r="I170" s="25" t="s">
        <v>267</v>
      </c>
      <c r="J170" s="23" t="s">
        <v>268</v>
      </c>
      <c r="K170" s="63">
        <v>2</v>
      </c>
      <c r="L170" s="51"/>
      <c r="O170" s="51"/>
    </row>
    <row r="171" spans="1:17" ht="15" customHeight="1">
      <c r="A171" s="63" t="s">
        <v>724</v>
      </c>
      <c r="B171" s="709"/>
      <c r="C171" s="49" t="s">
        <v>269</v>
      </c>
      <c r="D171" s="25" t="s">
        <v>270</v>
      </c>
      <c r="E171" s="25" t="s">
        <v>271</v>
      </c>
      <c r="F171" s="25" t="s">
        <v>272</v>
      </c>
      <c r="G171" s="25" t="s">
        <v>273</v>
      </c>
      <c r="H171" s="25" t="s">
        <v>274</v>
      </c>
      <c r="I171" s="25" t="s">
        <v>275</v>
      </c>
      <c r="J171" s="23" t="s">
        <v>276</v>
      </c>
      <c r="K171" s="63">
        <v>2</v>
      </c>
      <c r="O171" s="51"/>
    </row>
    <row r="172" spans="1:17" ht="15" customHeight="1">
      <c r="A172" s="63" t="s">
        <v>725</v>
      </c>
      <c r="B172" s="709"/>
      <c r="C172" s="37" t="s">
        <v>277</v>
      </c>
      <c r="D172" s="38" t="s">
        <v>278</v>
      </c>
      <c r="E172" s="38" t="s">
        <v>279</v>
      </c>
      <c r="F172" s="38" t="s">
        <v>280</v>
      </c>
      <c r="G172" s="38" t="s">
        <v>281</v>
      </c>
      <c r="H172" s="38" t="s">
        <v>282</v>
      </c>
      <c r="I172" s="38" t="s">
        <v>283</v>
      </c>
      <c r="J172" s="44" t="s">
        <v>284</v>
      </c>
      <c r="K172" s="63">
        <v>2</v>
      </c>
    </row>
    <row r="173" spans="1:17" s="51" customFormat="1" ht="13.5" customHeight="1">
      <c r="A173" s="63" t="s">
        <v>726</v>
      </c>
      <c r="B173" s="709"/>
      <c r="C173" s="696" t="s">
        <v>150</v>
      </c>
      <c r="D173" s="696"/>
      <c r="E173" s="696"/>
      <c r="F173" s="696"/>
      <c r="G173" s="697" t="s">
        <v>202</v>
      </c>
      <c r="H173" s="696"/>
      <c r="I173" s="696"/>
      <c r="J173" s="698"/>
      <c r="K173" s="138">
        <v>2</v>
      </c>
      <c r="L173" s="61"/>
      <c r="M173" s="61"/>
      <c r="N173" s="61"/>
      <c r="O173" s="61"/>
    </row>
    <row r="174" spans="1:17" ht="14.25" customHeight="1" thickBot="1">
      <c r="A174" s="63" t="s">
        <v>727</v>
      </c>
      <c r="B174" s="710"/>
      <c r="C174" s="687" t="s">
        <v>203</v>
      </c>
      <c r="D174" s="687"/>
      <c r="E174" s="687"/>
      <c r="F174" s="687"/>
      <c r="G174" s="688" t="s">
        <v>204</v>
      </c>
      <c r="H174" s="687"/>
      <c r="I174" s="687"/>
      <c r="J174" s="689"/>
      <c r="K174" s="64">
        <v>2</v>
      </c>
      <c r="N174" s="51"/>
      <c r="P174" s="51"/>
      <c r="Q174" s="51"/>
    </row>
    <row r="175" spans="1:17" ht="15" customHeight="1">
      <c r="A175" s="63" t="s">
        <v>728</v>
      </c>
      <c r="B175" s="717" t="s">
        <v>452</v>
      </c>
      <c r="C175" s="221" t="s">
        <v>1224</v>
      </c>
      <c r="D175" s="222" t="s">
        <v>1225</v>
      </c>
      <c r="E175" s="686" t="s">
        <v>150</v>
      </c>
      <c r="F175" s="686"/>
      <c r="G175" s="686"/>
      <c r="H175" s="686"/>
      <c r="I175" s="686"/>
      <c r="J175" s="220" t="s">
        <v>732</v>
      </c>
      <c r="K175" s="63">
        <v>2</v>
      </c>
      <c r="N175" s="51"/>
    </row>
    <row r="176" spans="1:17" ht="15" customHeight="1" thickBot="1">
      <c r="A176" s="55" t="s">
        <v>729</v>
      </c>
      <c r="B176" s="716"/>
      <c r="C176" s="750" t="s">
        <v>1138</v>
      </c>
      <c r="D176" s="751"/>
      <c r="E176" s="751"/>
      <c r="F176" s="751"/>
      <c r="G176" s="751"/>
      <c r="H176" s="751"/>
      <c r="I176" s="751"/>
      <c r="J176" s="752"/>
      <c r="K176" s="55">
        <v>2</v>
      </c>
      <c r="M176" s="51"/>
    </row>
    <row r="177" spans="1:15" ht="15" customHeight="1">
      <c r="A177" s="59" t="s">
        <v>730</v>
      </c>
      <c r="B177" s="59" t="s">
        <v>446</v>
      </c>
      <c r="C177" s="776" t="s">
        <v>206</v>
      </c>
      <c r="D177" s="776"/>
      <c r="E177" s="776"/>
      <c r="F177" s="776"/>
      <c r="G177" s="776"/>
      <c r="H177" s="776"/>
      <c r="I177" s="776"/>
      <c r="J177" s="777"/>
      <c r="K177" s="54">
        <v>2</v>
      </c>
      <c r="M177" s="51"/>
    </row>
    <row r="178" spans="1:15" ht="15" customHeight="1" thickBot="1">
      <c r="A178" s="64">
        <v>303</v>
      </c>
      <c r="B178" s="64" t="s">
        <v>447</v>
      </c>
      <c r="C178" s="727" t="s">
        <v>207</v>
      </c>
      <c r="D178" s="727"/>
      <c r="E178" s="727"/>
      <c r="F178" s="727"/>
      <c r="G178" s="727"/>
      <c r="H178" s="727"/>
      <c r="I178" s="727"/>
      <c r="J178" s="778"/>
      <c r="K178" s="55">
        <v>1</v>
      </c>
    </row>
    <row r="180" spans="1:15" ht="15" customHeight="1">
      <c r="L180" s="51"/>
    </row>
    <row r="181" spans="1:15" ht="15" customHeight="1">
      <c r="L181" s="51"/>
      <c r="O181" s="51"/>
    </row>
    <row r="182" spans="1:15" ht="15" customHeight="1">
      <c r="A182" s="100"/>
      <c r="B182" s="77"/>
      <c r="O182" s="51"/>
    </row>
    <row r="185" spans="1:15" ht="15" customHeight="1">
      <c r="N185" s="51"/>
    </row>
    <row r="186" spans="1:15" ht="15" customHeight="1">
      <c r="N186" s="51"/>
    </row>
    <row r="192" spans="1:15" ht="15" customHeight="1">
      <c r="O192" s="51"/>
    </row>
    <row r="193" spans="1:15" ht="15" customHeight="1">
      <c r="O193" s="51"/>
    </row>
    <row r="199" spans="1:15" ht="15" customHeight="1">
      <c r="C199" s="50"/>
      <c r="D199" s="50"/>
      <c r="E199" s="50"/>
      <c r="F199" s="50"/>
      <c r="G199" s="50"/>
      <c r="H199" s="50"/>
      <c r="I199" s="50"/>
      <c r="J199" s="50"/>
    </row>
    <row r="200" spans="1:15" ht="15" customHeight="1">
      <c r="C200" s="50"/>
      <c r="D200" s="50"/>
      <c r="E200" s="50"/>
      <c r="F200" s="50"/>
      <c r="G200" s="50"/>
      <c r="H200" s="50"/>
      <c r="I200" s="50"/>
      <c r="J200" s="50"/>
    </row>
    <row r="207" spans="1:15" ht="15" customHeight="1">
      <c r="A207" s="100"/>
      <c r="B207" s="77"/>
    </row>
    <row r="208" spans="1:15" ht="15" customHeight="1">
      <c r="A208" s="100"/>
      <c r="B208" s="77"/>
    </row>
    <row r="223" spans="3:15" s="99" customFormat="1" ht="15" customHeight="1">
      <c r="C223" s="61"/>
      <c r="D223" s="61"/>
      <c r="E223" s="61"/>
      <c r="F223" s="61"/>
      <c r="G223" s="61"/>
      <c r="H223" s="61"/>
      <c r="I223" s="61"/>
      <c r="J223" s="61"/>
      <c r="L223" s="61"/>
      <c r="M223" s="61"/>
      <c r="N223" s="61"/>
      <c r="O223" s="61"/>
    </row>
    <row r="224" spans="3:15" ht="15" customHeight="1">
      <c r="C224" s="50"/>
      <c r="D224" s="50"/>
      <c r="E224" s="50"/>
      <c r="F224" s="50"/>
      <c r="G224" s="50"/>
      <c r="H224" s="50"/>
      <c r="I224" s="50"/>
      <c r="J224" s="50"/>
    </row>
    <row r="226" spans="12:14" ht="15" customHeight="1">
      <c r="M226" s="99"/>
    </row>
    <row r="230" spans="12:14" ht="15" customHeight="1">
      <c r="L230" s="99"/>
    </row>
    <row r="235" spans="12:14" ht="15" customHeight="1">
      <c r="N235" s="99"/>
    </row>
    <row r="242" spans="15:15" ht="15" customHeight="1">
      <c r="O242" s="99"/>
    </row>
    <row r="322" spans="3:10" ht="15" customHeight="1">
      <c r="C322" s="99"/>
      <c r="D322" s="99"/>
      <c r="E322" s="99"/>
      <c r="F322" s="99"/>
      <c r="G322" s="99"/>
      <c r="H322" s="99"/>
      <c r="I322" s="99"/>
      <c r="J322" s="99"/>
    </row>
  </sheetData>
  <mergeCells count="187">
    <mergeCell ref="C7:J7"/>
    <mergeCell ref="C8:J8"/>
    <mergeCell ref="C23:F23"/>
    <mergeCell ref="C9:J9"/>
    <mergeCell ref="C21:F21"/>
    <mergeCell ref="G40:J40"/>
    <mergeCell ref="C40:C41"/>
    <mergeCell ref="D40:E40"/>
    <mergeCell ref="G39:J39"/>
    <mergeCell ref="C39:F39"/>
    <mergeCell ref="C10:J10"/>
    <mergeCell ref="G17:H17"/>
    <mergeCell ref="G36:J36"/>
    <mergeCell ref="C36:F36"/>
    <mergeCell ref="C11:J11"/>
    <mergeCell ref="I17:J17"/>
    <mergeCell ref="C17:F17"/>
    <mergeCell ref="G20:J20"/>
    <mergeCell ref="G27:J27"/>
    <mergeCell ref="C33:F33"/>
    <mergeCell ref="G33:J33"/>
    <mergeCell ref="C27:F27"/>
    <mergeCell ref="G29:J29"/>
    <mergeCell ref="G21:J21"/>
    <mergeCell ref="C177:J177"/>
    <mergeCell ref="C178:J178"/>
    <mergeCell ref="G22:J22"/>
    <mergeCell ref="G37:J37"/>
    <mergeCell ref="C37:F37"/>
    <mergeCell ref="C76:C77"/>
    <mergeCell ref="C87:C88"/>
    <mergeCell ref="E109:J109"/>
    <mergeCell ref="G35:J35"/>
    <mergeCell ref="C131:C132"/>
    <mergeCell ref="E43:J43"/>
    <mergeCell ref="E164:J164"/>
    <mergeCell ref="C164:C165"/>
    <mergeCell ref="E54:J54"/>
    <mergeCell ref="C22:F22"/>
    <mergeCell ref="E65:J65"/>
    <mergeCell ref="E76:J76"/>
    <mergeCell ref="C120:C121"/>
    <mergeCell ref="C109:C110"/>
    <mergeCell ref="C96:F96"/>
    <mergeCell ref="C85:F85"/>
    <mergeCell ref="C97:F97"/>
    <mergeCell ref="C86:F86"/>
    <mergeCell ref="G86:J86"/>
    <mergeCell ref="C12:J12"/>
    <mergeCell ref="G26:J26"/>
    <mergeCell ref="C25:F25"/>
    <mergeCell ref="C26:F26"/>
    <mergeCell ref="C24:F24"/>
    <mergeCell ref="G25:J25"/>
    <mergeCell ref="G23:J23"/>
    <mergeCell ref="G24:J24"/>
    <mergeCell ref="H13:J13"/>
    <mergeCell ref="C15:F15"/>
    <mergeCell ref="K29:K30"/>
    <mergeCell ref="C54:C55"/>
    <mergeCell ref="C176:J176"/>
    <mergeCell ref="C65:C66"/>
    <mergeCell ref="C42:J42"/>
    <mergeCell ref="C153:C154"/>
    <mergeCell ref="C43:C44"/>
    <mergeCell ref="E153:J153"/>
    <mergeCell ref="E87:J87"/>
    <mergeCell ref="G75:J75"/>
    <mergeCell ref="G85:J85"/>
    <mergeCell ref="G96:J96"/>
    <mergeCell ref="K31:K32"/>
    <mergeCell ref="C31:F31"/>
    <mergeCell ref="G31:J31"/>
    <mergeCell ref="C38:F38"/>
    <mergeCell ref="G64:J64"/>
    <mergeCell ref="G74:J74"/>
    <mergeCell ref="K65:K66"/>
    <mergeCell ref="E131:J131"/>
    <mergeCell ref="C108:F108"/>
    <mergeCell ref="G108:J108"/>
    <mergeCell ref="E98:J98"/>
    <mergeCell ref="C98:C99"/>
    <mergeCell ref="B13:B14"/>
    <mergeCell ref="B15:B16"/>
    <mergeCell ref="B17:B18"/>
    <mergeCell ref="B27:B28"/>
    <mergeCell ref="B21:B23"/>
    <mergeCell ref="B24:B26"/>
    <mergeCell ref="K164:K165"/>
    <mergeCell ref="A5:K5"/>
    <mergeCell ref="A1:K1"/>
    <mergeCell ref="K120:K121"/>
    <mergeCell ref="K131:K132"/>
    <mergeCell ref="K142:K143"/>
    <mergeCell ref="K153:K154"/>
    <mergeCell ref="K76:K77"/>
    <mergeCell ref="K87:K88"/>
    <mergeCell ref="K98:K99"/>
    <mergeCell ref="K13:K14"/>
    <mergeCell ref="K15:K16"/>
    <mergeCell ref="K17:K18"/>
    <mergeCell ref="K27:K28"/>
    <mergeCell ref="K109:K110"/>
    <mergeCell ref="K40:K41"/>
    <mergeCell ref="K43:K44"/>
    <mergeCell ref="K54:K55"/>
    <mergeCell ref="B175:B176"/>
    <mergeCell ref="A29:A30"/>
    <mergeCell ref="B29:B30"/>
    <mergeCell ref="A54:A55"/>
    <mergeCell ref="A65:A66"/>
    <mergeCell ref="A76:A77"/>
    <mergeCell ref="E13:G13"/>
    <mergeCell ref="C13:D14"/>
    <mergeCell ref="C34:F34"/>
    <mergeCell ref="G34:J34"/>
    <mergeCell ref="C35:F35"/>
    <mergeCell ref="B109:B119"/>
    <mergeCell ref="B98:B108"/>
    <mergeCell ref="B87:B97"/>
    <mergeCell ref="C29:F29"/>
    <mergeCell ref="G52:J52"/>
    <mergeCell ref="G15:J15"/>
    <mergeCell ref="B40:B41"/>
    <mergeCell ref="B43:B53"/>
    <mergeCell ref="B54:B64"/>
    <mergeCell ref="B76:B86"/>
    <mergeCell ref="B65:B75"/>
    <mergeCell ref="G53:J53"/>
    <mergeCell ref="G63:J63"/>
    <mergeCell ref="A164:A165"/>
    <mergeCell ref="A27:A28"/>
    <mergeCell ref="A40:A41"/>
    <mergeCell ref="A43:A44"/>
    <mergeCell ref="A109:A110"/>
    <mergeCell ref="A153:A154"/>
    <mergeCell ref="A142:A143"/>
    <mergeCell ref="A131:A132"/>
    <mergeCell ref="B164:B174"/>
    <mergeCell ref="B153:B163"/>
    <mergeCell ref="B142:B152"/>
    <mergeCell ref="B131:B141"/>
    <mergeCell ref="A31:A32"/>
    <mergeCell ref="B31:B32"/>
    <mergeCell ref="B36:B37"/>
    <mergeCell ref="B33:B35"/>
    <mergeCell ref="A87:A88"/>
    <mergeCell ref="G130:J130"/>
    <mergeCell ref="C118:F118"/>
    <mergeCell ref="A120:A121"/>
    <mergeCell ref="C52:F52"/>
    <mergeCell ref="C74:F74"/>
    <mergeCell ref="C130:F130"/>
    <mergeCell ref="B120:B130"/>
    <mergeCell ref="C53:F53"/>
    <mergeCell ref="C63:F63"/>
    <mergeCell ref="C64:F64"/>
    <mergeCell ref="C75:F75"/>
    <mergeCell ref="A98:A99"/>
    <mergeCell ref="G118:J118"/>
    <mergeCell ref="C119:F119"/>
    <mergeCell ref="G119:J119"/>
    <mergeCell ref="C129:F129"/>
    <mergeCell ref="G129:J129"/>
    <mergeCell ref="E120:J120"/>
    <mergeCell ref="G97:J97"/>
    <mergeCell ref="C107:F107"/>
    <mergeCell ref="G107:J107"/>
    <mergeCell ref="G152:J152"/>
    <mergeCell ref="C142:C143"/>
    <mergeCell ref="C140:F140"/>
    <mergeCell ref="C141:F141"/>
    <mergeCell ref="G141:J141"/>
    <mergeCell ref="C151:F151"/>
    <mergeCell ref="G151:J151"/>
    <mergeCell ref="E142:J142"/>
    <mergeCell ref="G140:J140"/>
    <mergeCell ref="C152:F152"/>
    <mergeCell ref="E175:I175"/>
    <mergeCell ref="C174:F174"/>
    <mergeCell ref="G174:J174"/>
    <mergeCell ref="C162:F162"/>
    <mergeCell ref="G162:J162"/>
    <mergeCell ref="C163:F163"/>
    <mergeCell ref="G163:J163"/>
    <mergeCell ref="C173:F173"/>
    <mergeCell ref="G173:J173"/>
  </mergeCells>
  <phoneticPr fontId="2" type="noConversion"/>
  <pageMargins left="0.74803149606299213" right="0.35433070866141736" top="0.59055118110236227" bottom="0.59055118110236227" header="0.51181102362204722" footer="0.51181102362204722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>
    <pageSetUpPr fitToPage="1"/>
  </sheetPr>
  <dimension ref="A1:K78"/>
  <sheetViews>
    <sheetView workbookViewId="0">
      <selection activeCell="N72" sqref="N72"/>
    </sheetView>
  </sheetViews>
  <sheetFormatPr defaultRowHeight="10.5"/>
  <cols>
    <col min="1" max="2" width="5.6640625" style="51" customWidth="1"/>
    <col min="3" max="11" width="6.77734375" style="51" customWidth="1"/>
    <col min="12" max="16384" width="8.88671875" style="51"/>
  </cols>
  <sheetData>
    <row r="1" spans="1:11" s="61" customFormat="1" ht="15" customHeight="1" thickBot="1">
      <c r="A1" s="814" t="s">
        <v>311</v>
      </c>
      <c r="B1" s="815"/>
      <c r="C1" s="815"/>
      <c r="D1" s="815"/>
      <c r="E1" s="815"/>
      <c r="F1" s="815"/>
      <c r="G1" s="815"/>
      <c r="H1" s="815"/>
      <c r="I1" s="815"/>
      <c r="J1" s="815"/>
      <c r="K1" s="816"/>
    </row>
    <row r="2" spans="1:11" s="61" customFormat="1" ht="15" customHeight="1">
      <c r="A2" s="101" t="s">
        <v>312</v>
      </c>
      <c r="B2" s="133"/>
      <c r="C2" s="102" t="s">
        <v>313</v>
      </c>
      <c r="D2" s="103"/>
      <c r="E2" s="104"/>
      <c r="F2" s="104"/>
      <c r="G2" s="104"/>
      <c r="H2" s="104"/>
      <c r="I2" s="105"/>
      <c r="J2" s="104" t="s">
        <v>52</v>
      </c>
      <c r="K2" s="106" t="s">
        <v>314</v>
      </c>
    </row>
    <row r="3" spans="1:11" s="61" customFormat="1" ht="15" customHeight="1">
      <c r="A3" s="85" t="s">
        <v>315</v>
      </c>
      <c r="B3" s="131"/>
      <c r="C3" s="26"/>
      <c r="D3" s="28"/>
      <c r="E3" s="28"/>
      <c r="F3" s="28"/>
      <c r="G3" s="28"/>
      <c r="H3" s="28"/>
      <c r="I3" s="27"/>
      <c r="J3" s="28" t="s">
        <v>47</v>
      </c>
      <c r="K3" s="29" t="s">
        <v>937</v>
      </c>
    </row>
    <row r="4" spans="1:11" s="61" customFormat="1" ht="15" customHeight="1" thickBot="1">
      <c r="A4" s="86"/>
      <c r="B4" s="132"/>
      <c r="C4" s="87"/>
      <c r="D4" s="87"/>
      <c r="E4" s="87"/>
      <c r="F4" s="87"/>
      <c r="G4" s="87"/>
      <c r="H4" s="87"/>
      <c r="I4" s="126"/>
      <c r="J4" s="30" t="s">
        <v>49</v>
      </c>
      <c r="K4" s="31" t="s">
        <v>939</v>
      </c>
    </row>
    <row r="5" spans="1:11" ht="14.25" customHeight="1" thickBot="1">
      <c r="A5" s="736" t="s">
        <v>374</v>
      </c>
      <c r="B5" s="737"/>
      <c r="C5" s="737"/>
      <c r="D5" s="737"/>
      <c r="E5" s="737"/>
      <c r="F5" s="737"/>
      <c r="G5" s="737"/>
      <c r="H5" s="737"/>
      <c r="I5" s="737"/>
      <c r="J5" s="737"/>
      <c r="K5" s="738"/>
    </row>
    <row r="6" spans="1:11" ht="12" thickBot="1">
      <c r="A6" s="58" t="s">
        <v>316</v>
      </c>
      <c r="B6" s="58" t="s">
        <v>448</v>
      </c>
      <c r="C6" s="52" t="s">
        <v>208</v>
      </c>
      <c r="D6" s="32" t="s">
        <v>209</v>
      </c>
      <c r="E6" s="32" t="s">
        <v>210</v>
      </c>
      <c r="F6" s="32" t="s">
        <v>211</v>
      </c>
      <c r="G6" s="32" t="s">
        <v>212</v>
      </c>
      <c r="H6" s="32" t="s">
        <v>213</v>
      </c>
      <c r="I6" s="32" t="s">
        <v>214</v>
      </c>
      <c r="J6" s="33" t="s">
        <v>215</v>
      </c>
      <c r="K6" s="75" t="s">
        <v>317</v>
      </c>
    </row>
    <row r="7" spans="1:11" ht="11.25">
      <c r="A7" s="54">
        <v>0</v>
      </c>
      <c r="B7" s="59" t="s">
        <v>431</v>
      </c>
      <c r="C7" s="776" t="s">
        <v>375</v>
      </c>
      <c r="D7" s="776"/>
      <c r="E7" s="776"/>
      <c r="F7" s="776"/>
      <c r="G7" s="776"/>
      <c r="H7" s="776"/>
      <c r="I7" s="776"/>
      <c r="J7" s="777"/>
      <c r="K7" s="82">
        <v>1</v>
      </c>
    </row>
    <row r="8" spans="1:11" ht="11.25">
      <c r="A8" s="63" t="s">
        <v>318</v>
      </c>
      <c r="B8" s="60" t="s">
        <v>432</v>
      </c>
      <c r="C8" s="722" t="s">
        <v>217</v>
      </c>
      <c r="D8" s="722"/>
      <c r="E8" s="722"/>
      <c r="F8" s="722"/>
      <c r="G8" s="722"/>
      <c r="H8" s="722"/>
      <c r="I8" s="722"/>
      <c r="J8" s="725"/>
      <c r="K8" s="80">
        <v>2</v>
      </c>
    </row>
    <row r="9" spans="1:11" ht="11.25">
      <c r="A9" s="63" t="s">
        <v>319</v>
      </c>
      <c r="B9" s="60" t="s">
        <v>433</v>
      </c>
      <c r="C9" s="722" t="s">
        <v>420</v>
      </c>
      <c r="D9" s="722"/>
      <c r="E9" s="722"/>
      <c r="F9" s="722"/>
      <c r="G9" s="722"/>
      <c r="H9" s="722"/>
      <c r="I9" s="722"/>
      <c r="J9" s="725"/>
      <c r="K9" s="80">
        <v>2</v>
      </c>
    </row>
    <row r="10" spans="1:11" ht="11.25">
      <c r="A10" s="63" t="s">
        <v>320</v>
      </c>
      <c r="B10" s="60" t="s">
        <v>434</v>
      </c>
      <c r="C10" s="722" t="s">
        <v>218</v>
      </c>
      <c r="D10" s="722"/>
      <c r="E10" s="722"/>
      <c r="F10" s="722"/>
      <c r="G10" s="722"/>
      <c r="H10" s="722"/>
      <c r="I10" s="722"/>
      <c r="J10" s="725"/>
      <c r="K10" s="80">
        <v>2</v>
      </c>
    </row>
    <row r="11" spans="1:11" ht="11.25">
      <c r="A11" s="63" t="s">
        <v>178</v>
      </c>
      <c r="B11" s="60" t="s">
        <v>435</v>
      </c>
      <c r="C11" s="830" t="s">
        <v>179</v>
      </c>
      <c r="D11" s="830"/>
      <c r="E11" s="830"/>
      <c r="F11" s="830"/>
      <c r="G11" s="830"/>
      <c r="H11" s="830"/>
      <c r="I11" s="830"/>
      <c r="J11" s="831"/>
      <c r="K11" s="80">
        <v>2</v>
      </c>
    </row>
    <row r="12" spans="1:11" ht="12" thickBot="1">
      <c r="A12" s="63" t="s">
        <v>180</v>
      </c>
      <c r="B12" s="64" t="s">
        <v>436</v>
      </c>
      <c r="C12" s="819" t="s">
        <v>181</v>
      </c>
      <c r="D12" s="819"/>
      <c r="E12" s="819"/>
      <c r="F12" s="819"/>
      <c r="G12" s="819"/>
      <c r="H12" s="819"/>
      <c r="I12" s="819"/>
      <c r="J12" s="820"/>
      <c r="K12" s="83">
        <v>2</v>
      </c>
    </row>
    <row r="13" spans="1:11" ht="13.5" customHeight="1">
      <c r="A13" s="54">
        <v>11</v>
      </c>
      <c r="B13" s="704" t="s">
        <v>437</v>
      </c>
      <c r="C13" s="719" t="s">
        <v>150</v>
      </c>
      <c r="D13" s="718"/>
      <c r="E13" s="718" t="s">
        <v>182</v>
      </c>
      <c r="F13" s="718"/>
      <c r="G13" s="718"/>
      <c r="H13" s="718" t="s">
        <v>183</v>
      </c>
      <c r="I13" s="718"/>
      <c r="J13" s="774"/>
      <c r="K13" s="817">
        <v>2</v>
      </c>
    </row>
    <row r="14" spans="1:11" ht="12" thickBot="1">
      <c r="A14" s="55">
        <v>12</v>
      </c>
      <c r="B14" s="716"/>
      <c r="C14" s="720"/>
      <c r="D14" s="712"/>
      <c r="E14" s="35" t="s">
        <v>144</v>
      </c>
      <c r="F14" s="35" t="s">
        <v>145</v>
      </c>
      <c r="G14" s="35" t="s">
        <v>147</v>
      </c>
      <c r="H14" s="35" t="s">
        <v>144</v>
      </c>
      <c r="I14" s="35" t="s">
        <v>145</v>
      </c>
      <c r="J14" s="36" t="s">
        <v>147</v>
      </c>
      <c r="K14" s="818"/>
    </row>
    <row r="15" spans="1:11" s="61" customFormat="1" ht="15" customHeight="1">
      <c r="A15" s="54">
        <v>13</v>
      </c>
      <c r="B15" s="704" t="s">
        <v>440</v>
      </c>
      <c r="C15" s="775" t="s">
        <v>184</v>
      </c>
      <c r="D15" s="733"/>
      <c r="E15" s="733"/>
      <c r="F15" s="733"/>
      <c r="G15" s="733" t="s">
        <v>185</v>
      </c>
      <c r="H15" s="733"/>
      <c r="I15" s="733"/>
      <c r="J15" s="734"/>
      <c r="K15" s="717">
        <v>2</v>
      </c>
    </row>
    <row r="16" spans="1:11" s="61" customFormat="1" ht="15" customHeight="1" thickBot="1">
      <c r="A16" s="55">
        <v>14</v>
      </c>
      <c r="B16" s="716"/>
      <c r="C16" s="37" t="s">
        <v>148</v>
      </c>
      <c r="D16" s="38" t="s">
        <v>186</v>
      </c>
      <c r="E16" s="38" t="s">
        <v>187</v>
      </c>
      <c r="F16" s="38" t="s">
        <v>140</v>
      </c>
      <c r="G16" s="38" t="s">
        <v>148</v>
      </c>
      <c r="H16" s="38" t="s">
        <v>186</v>
      </c>
      <c r="I16" s="38" t="s">
        <v>187</v>
      </c>
      <c r="J16" s="44" t="s">
        <v>140</v>
      </c>
      <c r="K16" s="716"/>
    </row>
    <row r="17" spans="1:11" s="61" customFormat="1" ht="15" customHeight="1">
      <c r="A17" s="54">
        <v>15</v>
      </c>
      <c r="B17" s="704" t="s">
        <v>441</v>
      </c>
      <c r="C17" s="719" t="s">
        <v>141</v>
      </c>
      <c r="D17" s="718"/>
      <c r="E17" s="718"/>
      <c r="F17" s="718"/>
      <c r="G17" s="718" t="s">
        <v>142</v>
      </c>
      <c r="H17" s="718"/>
      <c r="I17" s="718" t="s">
        <v>143</v>
      </c>
      <c r="J17" s="774"/>
      <c r="K17" s="717">
        <v>2</v>
      </c>
    </row>
    <row r="18" spans="1:11" s="61" customFormat="1" ht="15" customHeight="1" thickBot="1">
      <c r="A18" s="55">
        <v>16</v>
      </c>
      <c r="B18" s="716"/>
      <c r="C18" s="71" t="s">
        <v>144</v>
      </c>
      <c r="D18" s="39" t="s">
        <v>145</v>
      </c>
      <c r="E18" s="39" t="s">
        <v>146</v>
      </c>
      <c r="F18" s="39" t="s">
        <v>147</v>
      </c>
      <c r="G18" s="35" t="s">
        <v>148</v>
      </c>
      <c r="H18" s="35" t="s">
        <v>149</v>
      </c>
      <c r="I18" s="35" t="s">
        <v>148</v>
      </c>
      <c r="J18" s="36" t="s">
        <v>149</v>
      </c>
      <c r="K18" s="716"/>
    </row>
    <row r="19" spans="1:11" ht="12" thickBot="1">
      <c r="A19" s="55" t="s">
        <v>188</v>
      </c>
      <c r="B19" s="54" t="s">
        <v>457</v>
      </c>
      <c r="C19" s="90" t="s">
        <v>150</v>
      </c>
      <c r="D19" s="41" t="s">
        <v>151</v>
      </c>
      <c r="E19" s="40" t="s">
        <v>152</v>
      </c>
      <c r="F19" s="40" t="s">
        <v>153</v>
      </c>
      <c r="G19" s="40" t="s">
        <v>154</v>
      </c>
      <c r="H19" s="40" t="s">
        <v>155</v>
      </c>
      <c r="I19" s="40" t="s">
        <v>156</v>
      </c>
      <c r="J19" s="42" t="s">
        <v>31</v>
      </c>
      <c r="K19" s="83">
        <v>2</v>
      </c>
    </row>
    <row r="20" spans="1:11" ht="12" thickBot="1">
      <c r="A20" s="55" t="s">
        <v>189</v>
      </c>
      <c r="B20" s="58" t="s">
        <v>442</v>
      </c>
      <c r="C20" s="91" t="s">
        <v>150</v>
      </c>
      <c r="D20" s="43" t="s">
        <v>157</v>
      </c>
      <c r="E20" s="43" t="s">
        <v>158</v>
      </c>
      <c r="F20" s="43" t="s">
        <v>150</v>
      </c>
      <c r="G20" s="793" t="s">
        <v>428</v>
      </c>
      <c r="H20" s="793"/>
      <c r="I20" s="793"/>
      <c r="J20" s="794"/>
      <c r="K20" s="83">
        <v>2</v>
      </c>
    </row>
    <row r="21" spans="1:11" ht="11.25">
      <c r="A21" s="63" t="s">
        <v>190</v>
      </c>
      <c r="B21" s="704" t="s">
        <v>453</v>
      </c>
      <c r="C21" s="775" t="s">
        <v>159</v>
      </c>
      <c r="D21" s="733"/>
      <c r="E21" s="733"/>
      <c r="F21" s="733"/>
      <c r="G21" s="733" t="s">
        <v>578</v>
      </c>
      <c r="H21" s="733"/>
      <c r="I21" s="733"/>
      <c r="J21" s="734"/>
      <c r="K21" s="80">
        <v>2</v>
      </c>
    </row>
    <row r="22" spans="1:11" ht="11.25">
      <c r="A22" s="63" t="s">
        <v>191</v>
      </c>
      <c r="B22" s="717"/>
      <c r="C22" s="782" t="s">
        <v>161</v>
      </c>
      <c r="D22" s="779"/>
      <c r="E22" s="779"/>
      <c r="F22" s="779"/>
      <c r="G22" s="779" t="s">
        <v>162</v>
      </c>
      <c r="H22" s="779"/>
      <c r="I22" s="779"/>
      <c r="J22" s="780"/>
      <c r="K22" s="80">
        <v>2</v>
      </c>
    </row>
    <row r="23" spans="1:11" ht="12" thickBot="1">
      <c r="A23" s="55" t="s">
        <v>321</v>
      </c>
      <c r="B23" s="716"/>
      <c r="C23" s="788" t="s">
        <v>192</v>
      </c>
      <c r="D23" s="772"/>
      <c r="E23" s="772"/>
      <c r="F23" s="772"/>
      <c r="G23" s="772" t="s">
        <v>193</v>
      </c>
      <c r="H23" s="772"/>
      <c r="I23" s="772"/>
      <c r="J23" s="773"/>
      <c r="K23" s="83">
        <v>2</v>
      </c>
    </row>
    <row r="24" spans="1:11" ht="11.25">
      <c r="A24" s="63" t="s">
        <v>322</v>
      </c>
      <c r="B24" s="704" t="s">
        <v>450</v>
      </c>
      <c r="C24" s="719" t="s">
        <v>194</v>
      </c>
      <c r="D24" s="718"/>
      <c r="E24" s="718"/>
      <c r="F24" s="718"/>
      <c r="G24" s="718" t="s">
        <v>577</v>
      </c>
      <c r="H24" s="718"/>
      <c r="I24" s="718"/>
      <c r="J24" s="774"/>
      <c r="K24" s="80">
        <v>2</v>
      </c>
    </row>
    <row r="25" spans="1:11" ht="11.25">
      <c r="A25" s="63" t="s">
        <v>323</v>
      </c>
      <c r="B25" s="717"/>
      <c r="C25" s="771" t="s">
        <v>196</v>
      </c>
      <c r="D25" s="707"/>
      <c r="E25" s="707"/>
      <c r="F25" s="707"/>
      <c r="G25" s="707" t="s">
        <v>197</v>
      </c>
      <c r="H25" s="707"/>
      <c r="I25" s="707"/>
      <c r="J25" s="732"/>
      <c r="K25" s="80">
        <v>2</v>
      </c>
    </row>
    <row r="26" spans="1:11" ht="12" thickBot="1">
      <c r="A26" s="63" t="s">
        <v>324</v>
      </c>
      <c r="B26" s="716"/>
      <c r="C26" s="720" t="s">
        <v>198</v>
      </c>
      <c r="D26" s="712"/>
      <c r="E26" s="712"/>
      <c r="F26" s="712"/>
      <c r="G26" s="712" t="s">
        <v>199</v>
      </c>
      <c r="H26" s="712"/>
      <c r="I26" s="712"/>
      <c r="J26" s="735"/>
      <c r="K26" s="83">
        <v>2</v>
      </c>
    </row>
    <row r="27" spans="1:11" s="61" customFormat="1" ht="15" customHeight="1">
      <c r="A27" s="704" t="s">
        <v>289</v>
      </c>
      <c r="B27" s="704" t="s">
        <v>532</v>
      </c>
      <c r="C27" s="801" t="s">
        <v>581</v>
      </c>
      <c r="D27" s="802"/>
      <c r="E27" s="802"/>
      <c r="F27" s="803"/>
      <c r="G27" s="795" t="s">
        <v>582</v>
      </c>
      <c r="H27" s="796"/>
      <c r="I27" s="796"/>
      <c r="J27" s="797"/>
      <c r="K27" s="742">
        <v>2</v>
      </c>
    </row>
    <row r="28" spans="1:11" s="61" customFormat="1" ht="15" customHeight="1" thickBot="1">
      <c r="A28" s="716"/>
      <c r="B28" s="716"/>
      <c r="C28" s="139" t="s">
        <v>535</v>
      </c>
      <c r="D28" s="121" t="s">
        <v>536</v>
      </c>
      <c r="E28" s="121" t="s">
        <v>524</v>
      </c>
      <c r="F28" s="121" t="s">
        <v>537</v>
      </c>
      <c r="G28" s="120" t="s">
        <v>538</v>
      </c>
      <c r="H28" s="121" t="s">
        <v>539</v>
      </c>
      <c r="I28" s="121" t="s">
        <v>540</v>
      </c>
      <c r="J28" s="122" t="s">
        <v>3</v>
      </c>
      <c r="K28" s="743"/>
    </row>
    <row r="29" spans="1:11" s="61" customFormat="1" ht="15" customHeight="1">
      <c r="A29" s="704" t="s">
        <v>290</v>
      </c>
      <c r="B29" s="704" t="s">
        <v>533</v>
      </c>
      <c r="C29" s="729" t="s">
        <v>528</v>
      </c>
      <c r="D29" s="730"/>
      <c r="E29" s="730"/>
      <c r="F29" s="731"/>
      <c r="G29" s="804" t="s">
        <v>529</v>
      </c>
      <c r="H29" s="730"/>
      <c r="I29" s="730"/>
      <c r="J29" s="805"/>
      <c r="K29" s="746">
        <v>2</v>
      </c>
    </row>
    <row r="30" spans="1:11" s="61" customFormat="1" ht="15" customHeight="1" thickBot="1">
      <c r="A30" s="716"/>
      <c r="B30" s="716"/>
      <c r="C30" s="127" t="s">
        <v>535</v>
      </c>
      <c r="D30" s="35" t="s">
        <v>536</v>
      </c>
      <c r="E30" s="35" t="s">
        <v>524</v>
      </c>
      <c r="F30" s="35" t="s">
        <v>537</v>
      </c>
      <c r="G30" s="71" t="s">
        <v>538</v>
      </c>
      <c r="H30" s="35" t="s">
        <v>539</v>
      </c>
      <c r="I30" s="35" t="s">
        <v>540</v>
      </c>
      <c r="J30" s="36" t="s">
        <v>3</v>
      </c>
      <c r="K30" s="747"/>
    </row>
    <row r="31" spans="1:11" ht="11.25">
      <c r="A31" s="704" t="s">
        <v>291</v>
      </c>
      <c r="B31" s="704" t="s">
        <v>534</v>
      </c>
      <c r="C31" s="761" t="s">
        <v>526</v>
      </c>
      <c r="D31" s="762"/>
      <c r="E31" s="762"/>
      <c r="F31" s="763"/>
      <c r="G31" s="764" t="s">
        <v>527</v>
      </c>
      <c r="H31" s="762"/>
      <c r="I31" s="762"/>
      <c r="J31" s="765"/>
      <c r="K31" s="746">
        <v>2</v>
      </c>
    </row>
    <row r="32" spans="1:11" ht="14.25" customHeight="1" thickBot="1">
      <c r="A32" s="716"/>
      <c r="B32" s="716"/>
      <c r="C32" s="45" t="s">
        <v>535</v>
      </c>
      <c r="D32" s="46" t="s">
        <v>536</v>
      </c>
      <c r="E32" s="46" t="s">
        <v>524</v>
      </c>
      <c r="F32" s="46" t="s">
        <v>537</v>
      </c>
      <c r="G32" s="47" t="s">
        <v>538</v>
      </c>
      <c r="H32" s="46" t="s">
        <v>539</v>
      </c>
      <c r="I32" s="46" t="s">
        <v>540</v>
      </c>
      <c r="J32" s="48" t="s">
        <v>3</v>
      </c>
      <c r="K32" s="747"/>
    </row>
    <row r="33" spans="1:11" s="61" customFormat="1" ht="11.25">
      <c r="A33" s="54" t="s">
        <v>292</v>
      </c>
      <c r="B33" s="704" t="s">
        <v>454</v>
      </c>
      <c r="C33" s="798" t="s">
        <v>576</v>
      </c>
      <c r="D33" s="776"/>
      <c r="E33" s="776"/>
      <c r="F33" s="799"/>
      <c r="G33" s="800" t="s">
        <v>580</v>
      </c>
      <c r="H33" s="776"/>
      <c r="I33" s="776"/>
      <c r="J33" s="777"/>
      <c r="K33" s="63">
        <v>2</v>
      </c>
    </row>
    <row r="34" spans="1:11" s="61" customFormat="1" ht="13.5" customHeight="1">
      <c r="A34" s="63" t="s">
        <v>293</v>
      </c>
      <c r="B34" s="717"/>
      <c r="C34" s="721" t="s">
        <v>575</v>
      </c>
      <c r="D34" s="722"/>
      <c r="E34" s="722"/>
      <c r="F34" s="723"/>
      <c r="G34" s="724" t="s">
        <v>574</v>
      </c>
      <c r="H34" s="722"/>
      <c r="I34" s="722"/>
      <c r="J34" s="725"/>
      <c r="K34" s="63">
        <v>2</v>
      </c>
    </row>
    <row r="35" spans="1:11" ht="14.25" customHeight="1" thickBot="1">
      <c r="A35" s="55" t="s">
        <v>294</v>
      </c>
      <c r="B35" s="716"/>
      <c r="C35" s="832" t="s">
        <v>1125</v>
      </c>
      <c r="D35" s="833"/>
      <c r="E35" s="833"/>
      <c r="F35" s="834"/>
      <c r="G35" s="835" t="s">
        <v>1126</v>
      </c>
      <c r="H35" s="833"/>
      <c r="I35" s="833"/>
      <c r="J35" s="836"/>
      <c r="K35" s="83">
        <v>2</v>
      </c>
    </row>
    <row r="36" spans="1:11" ht="11.25">
      <c r="A36" s="54" t="s">
        <v>329</v>
      </c>
      <c r="B36" s="704" t="s">
        <v>451</v>
      </c>
      <c r="C36" s="702" t="s">
        <v>150</v>
      </c>
      <c r="D36" s="702"/>
      <c r="E36" s="702"/>
      <c r="F36" s="702"/>
      <c r="G36" s="701" t="s">
        <v>202</v>
      </c>
      <c r="H36" s="702"/>
      <c r="I36" s="702"/>
      <c r="J36" s="703"/>
      <c r="K36" s="80">
        <v>2</v>
      </c>
    </row>
    <row r="37" spans="1:11" ht="14.25" customHeight="1" thickBot="1">
      <c r="A37" s="55" t="s">
        <v>330</v>
      </c>
      <c r="B37" s="716"/>
      <c r="C37" s="687" t="s">
        <v>203</v>
      </c>
      <c r="D37" s="687"/>
      <c r="E37" s="687"/>
      <c r="F37" s="687"/>
      <c r="G37" s="688" t="s">
        <v>204</v>
      </c>
      <c r="H37" s="687"/>
      <c r="I37" s="687"/>
      <c r="J37" s="689"/>
      <c r="K37" s="83">
        <v>2</v>
      </c>
    </row>
    <row r="38" spans="1:11" ht="14.25" customHeight="1" thickBot="1">
      <c r="A38" s="63"/>
      <c r="B38" s="63"/>
      <c r="C38" s="837" t="s">
        <v>1128</v>
      </c>
      <c r="D38" s="838"/>
      <c r="E38" s="838" t="s">
        <v>1127</v>
      </c>
      <c r="F38" s="838"/>
      <c r="G38" s="838"/>
      <c r="H38" s="838"/>
      <c r="I38" s="838"/>
      <c r="J38" s="839"/>
      <c r="K38" s="80"/>
    </row>
    <row r="39" spans="1:11" ht="34.5" thickBot="1">
      <c r="A39" s="54" t="s">
        <v>378</v>
      </c>
      <c r="B39" s="63" t="s">
        <v>443</v>
      </c>
      <c r="C39" s="202" t="s">
        <v>1129</v>
      </c>
      <c r="D39" s="202" t="s">
        <v>1130</v>
      </c>
      <c r="E39" s="238" t="s">
        <v>1328</v>
      </c>
      <c r="F39" s="206" t="s">
        <v>1137</v>
      </c>
      <c r="G39" s="202" t="s">
        <v>1134</v>
      </c>
      <c r="H39" s="202" t="s">
        <v>1131</v>
      </c>
      <c r="I39" s="202" t="s">
        <v>1132</v>
      </c>
      <c r="J39" s="203" t="s">
        <v>1133</v>
      </c>
      <c r="K39" s="80">
        <v>2</v>
      </c>
    </row>
    <row r="40" spans="1:11" ht="11.25">
      <c r="A40" s="54" t="s">
        <v>331</v>
      </c>
      <c r="B40" s="812" t="s">
        <v>444</v>
      </c>
      <c r="C40" s="719" t="s">
        <v>376</v>
      </c>
      <c r="D40" s="718"/>
      <c r="E40" s="718"/>
      <c r="F40" s="718"/>
      <c r="G40" s="718" t="s">
        <v>377</v>
      </c>
      <c r="H40" s="718"/>
      <c r="I40" s="718"/>
      <c r="J40" s="774"/>
      <c r="K40" s="136">
        <v>2</v>
      </c>
    </row>
    <row r="41" spans="1:11" ht="14.25" customHeight="1" thickBot="1">
      <c r="A41" s="55" t="s">
        <v>304</v>
      </c>
      <c r="B41" s="829"/>
      <c r="C41" s="720" t="s">
        <v>379</v>
      </c>
      <c r="D41" s="712"/>
      <c r="E41" s="712"/>
      <c r="F41" s="712"/>
      <c r="G41" s="712" t="s">
        <v>380</v>
      </c>
      <c r="H41" s="712"/>
      <c r="I41" s="712"/>
      <c r="J41" s="735"/>
      <c r="K41" s="137">
        <v>2</v>
      </c>
    </row>
    <row r="42" spans="1:11" ht="12" thickBot="1">
      <c r="A42" s="55" t="s">
        <v>305</v>
      </c>
      <c r="B42" s="55" t="s">
        <v>456</v>
      </c>
      <c r="C42" s="789" t="s">
        <v>224</v>
      </c>
      <c r="D42" s="789"/>
      <c r="E42" s="789"/>
      <c r="F42" s="789"/>
      <c r="G42" s="754" t="s">
        <v>225</v>
      </c>
      <c r="H42" s="754"/>
      <c r="I42" s="754"/>
      <c r="J42" s="755"/>
      <c r="K42" s="83">
        <v>2</v>
      </c>
    </row>
    <row r="43" spans="1:11" ht="11.25">
      <c r="A43" s="704" t="s">
        <v>583</v>
      </c>
      <c r="B43" s="704" t="s">
        <v>455</v>
      </c>
      <c r="C43" s="767" t="s">
        <v>150</v>
      </c>
      <c r="D43" s="756" t="s">
        <v>226</v>
      </c>
      <c r="E43" s="757"/>
      <c r="F43" s="823"/>
      <c r="G43" s="756" t="s">
        <v>227</v>
      </c>
      <c r="H43" s="757"/>
      <c r="I43" s="757"/>
      <c r="J43" s="758"/>
      <c r="K43" s="817">
        <v>2</v>
      </c>
    </row>
    <row r="44" spans="1:11" ht="14.25" customHeight="1" thickBot="1">
      <c r="A44" s="716"/>
      <c r="B44" s="716"/>
      <c r="C44" s="767"/>
      <c r="D44" s="97" t="s">
        <v>228</v>
      </c>
      <c r="E44" s="66" t="s">
        <v>229</v>
      </c>
      <c r="F44" s="97" t="s">
        <v>230</v>
      </c>
      <c r="G44" s="97" t="s">
        <v>228</v>
      </c>
      <c r="H44" s="66" t="s">
        <v>229</v>
      </c>
      <c r="I44" s="204" t="s">
        <v>1135</v>
      </c>
      <c r="J44" s="205" t="s">
        <v>1136</v>
      </c>
      <c r="K44" s="818"/>
    </row>
    <row r="45" spans="1:11" ht="11.25">
      <c r="A45" s="63" t="s">
        <v>336</v>
      </c>
      <c r="B45" s="812" t="s">
        <v>481</v>
      </c>
      <c r="C45" s="702" t="s">
        <v>473</v>
      </c>
      <c r="D45" s="702"/>
      <c r="E45" s="702"/>
      <c r="F45" s="702"/>
      <c r="G45" s="702"/>
      <c r="H45" s="702"/>
      <c r="I45" s="702"/>
      <c r="J45" s="703"/>
      <c r="K45" s="136">
        <v>2</v>
      </c>
    </row>
    <row r="46" spans="1:11" ht="13.5" customHeight="1">
      <c r="A46" s="63" t="s">
        <v>337</v>
      </c>
      <c r="B46" s="813"/>
      <c r="C46" s="696" t="s">
        <v>474</v>
      </c>
      <c r="D46" s="696"/>
      <c r="E46" s="696"/>
      <c r="F46" s="696"/>
      <c r="G46" s="696"/>
      <c r="H46" s="696"/>
      <c r="I46" s="696"/>
      <c r="J46" s="698"/>
      <c r="K46" s="138">
        <v>2</v>
      </c>
    </row>
    <row r="47" spans="1:11" ht="13.5" customHeight="1">
      <c r="A47" s="63" t="s">
        <v>338</v>
      </c>
      <c r="B47" s="813" t="s">
        <v>482</v>
      </c>
      <c r="C47" s="696" t="s">
        <v>475</v>
      </c>
      <c r="D47" s="696"/>
      <c r="E47" s="696"/>
      <c r="F47" s="696"/>
      <c r="G47" s="696"/>
      <c r="H47" s="696"/>
      <c r="I47" s="696"/>
      <c r="J47" s="698"/>
      <c r="K47" s="138">
        <v>2</v>
      </c>
    </row>
    <row r="48" spans="1:11" ht="13.5" customHeight="1">
      <c r="A48" s="63" t="s">
        <v>339</v>
      </c>
      <c r="B48" s="813"/>
      <c r="C48" s="696" t="s">
        <v>478</v>
      </c>
      <c r="D48" s="696"/>
      <c r="E48" s="696"/>
      <c r="F48" s="696"/>
      <c r="G48" s="696"/>
      <c r="H48" s="696"/>
      <c r="I48" s="696"/>
      <c r="J48" s="698"/>
      <c r="K48" s="138">
        <v>2</v>
      </c>
    </row>
    <row r="49" spans="1:11" ht="13.5" customHeight="1">
      <c r="A49" s="63" t="s">
        <v>340</v>
      </c>
      <c r="B49" s="813" t="s">
        <v>483</v>
      </c>
      <c r="C49" s="696" t="s">
        <v>476</v>
      </c>
      <c r="D49" s="696"/>
      <c r="E49" s="696"/>
      <c r="F49" s="696"/>
      <c r="G49" s="696"/>
      <c r="H49" s="696"/>
      <c r="I49" s="696"/>
      <c r="J49" s="698"/>
      <c r="K49" s="138">
        <v>2</v>
      </c>
    </row>
    <row r="50" spans="1:11" ht="13.5" customHeight="1">
      <c r="A50" s="63" t="s">
        <v>381</v>
      </c>
      <c r="B50" s="813"/>
      <c r="C50" s="696" t="s">
        <v>479</v>
      </c>
      <c r="D50" s="696"/>
      <c r="E50" s="696"/>
      <c r="F50" s="696"/>
      <c r="G50" s="696"/>
      <c r="H50" s="696"/>
      <c r="I50" s="696"/>
      <c r="J50" s="698"/>
      <c r="K50" s="138">
        <v>2</v>
      </c>
    </row>
    <row r="51" spans="1:11" ht="13.5" customHeight="1">
      <c r="A51" s="63" t="s">
        <v>342</v>
      </c>
      <c r="B51" s="813" t="s">
        <v>484</v>
      </c>
      <c r="C51" s="696" t="s">
        <v>477</v>
      </c>
      <c r="D51" s="696"/>
      <c r="E51" s="696"/>
      <c r="F51" s="696"/>
      <c r="G51" s="696"/>
      <c r="H51" s="696"/>
      <c r="I51" s="696"/>
      <c r="J51" s="698"/>
      <c r="K51" s="138">
        <v>2</v>
      </c>
    </row>
    <row r="52" spans="1:11" ht="14.25" customHeight="1" thickBot="1">
      <c r="A52" s="63" t="s">
        <v>343</v>
      </c>
      <c r="B52" s="829"/>
      <c r="C52" s="687" t="s">
        <v>480</v>
      </c>
      <c r="D52" s="687"/>
      <c r="E52" s="687"/>
      <c r="F52" s="687"/>
      <c r="G52" s="687"/>
      <c r="H52" s="687"/>
      <c r="I52" s="687"/>
      <c r="J52" s="689"/>
      <c r="K52" s="137">
        <v>2</v>
      </c>
    </row>
    <row r="53" spans="1:11" ht="12" thickBot="1">
      <c r="A53" s="58" t="s">
        <v>344</v>
      </c>
      <c r="B53" s="54" t="s">
        <v>445</v>
      </c>
      <c r="C53" s="766" t="s">
        <v>382</v>
      </c>
      <c r="D53" s="827"/>
      <c r="E53" s="827"/>
      <c r="F53" s="827"/>
      <c r="G53" s="828"/>
      <c r="H53" s="119" t="s">
        <v>383</v>
      </c>
      <c r="I53" s="93" t="s">
        <v>384</v>
      </c>
      <c r="J53" s="94" t="s">
        <v>385</v>
      </c>
      <c r="K53" s="80">
        <v>2</v>
      </c>
    </row>
    <row r="54" spans="1:11" ht="11.25">
      <c r="A54" s="63" t="s">
        <v>345</v>
      </c>
      <c r="B54" s="704" t="s">
        <v>485</v>
      </c>
      <c r="C54" s="824" t="s">
        <v>605</v>
      </c>
      <c r="D54" s="825"/>
      <c r="E54" s="825"/>
      <c r="F54" s="825"/>
      <c r="G54" s="825"/>
      <c r="H54" s="825"/>
      <c r="I54" s="825"/>
      <c r="J54" s="826"/>
      <c r="K54" s="82">
        <v>2</v>
      </c>
    </row>
    <row r="55" spans="1:11" ht="13.5" customHeight="1">
      <c r="A55" s="63" t="s">
        <v>346</v>
      </c>
      <c r="B55" s="717"/>
      <c r="C55" s="782" t="s">
        <v>386</v>
      </c>
      <c r="D55" s="779"/>
      <c r="E55" s="779"/>
      <c r="F55" s="779"/>
      <c r="G55" s="779"/>
      <c r="H55" s="779"/>
      <c r="I55" s="779"/>
      <c r="J55" s="780"/>
      <c r="K55" s="80">
        <v>2</v>
      </c>
    </row>
    <row r="56" spans="1:11" ht="13.5" customHeight="1">
      <c r="A56" s="63" t="s">
        <v>347</v>
      </c>
      <c r="B56" s="717"/>
      <c r="C56" s="782" t="s">
        <v>387</v>
      </c>
      <c r="D56" s="779"/>
      <c r="E56" s="779"/>
      <c r="F56" s="779"/>
      <c r="G56" s="779"/>
      <c r="H56" s="779"/>
      <c r="I56" s="779"/>
      <c r="J56" s="780"/>
      <c r="K56" s="80">
        <v>2</v>
      </c>
    </row>
    <row r="57" spans="1:11" ht="13.5" customHeight="1">
      <c r="A57" s="63" t="s">
        <v>348</v>
      </c>
      <c r="B57" s="717"/>
      <c r="C57" s="782" t="s">
        <v>388</v>
      </c>
      <c r="D57" s="779"/>
      <c r="E57" s="779"/>
      <c r="F57" s="779"/>
      <c r="G57" s="779"/>
      <c r="H57" s="779"/>
      <c r="I57" s="779"/>
      <c r="J57" s="780"/>
      <c r="K57" s="80">
        <v>2</v>
      </c>
    </row>
    <row r="58" spans="1:11" ht="13.5" customHeight="1">
      <c r="A58" s="63" t="s">
        <v>391</v>
      </c>
      <c r="B58" s="717"/>
      <c r="C58" s="782" t="s">
        <v>389</v>
      </c>
      <c r="D58" s="779"/>
      <c r="E58" s="779"/>
      <c r="F58" s="779"/>
      <c r="G58" s="779"/>
      <c r="H58" s="779"/>
      <c r="I58" s="779"/>
      <c r="J58" s="780"/>
      <c r="K58" s="80">
        <v>2</v>
      </c>
    </row>
    <row r="59" spans="1:11" ht="12" thickBot="1">
      <c r="A59" s="63" t="s">
        <v>351</v>
      </c>
      <c r="B59" s="717"/>
      <c r="C59" s="788" t="s">
        <v>390</v>
      </c>
      <c r="D59" s="772"/>
      <c r="E59" s="772"/>
      <c r="F59" s="772"/>
      <c r="G59" s="772"/>
      <c r="H59" s="772"/>
      <c r="I59" s="772"/>
      <c r="J59" s="773"/>
      <c r="K59" s="80">
        <v>2</v>
      </c>
    </row>
    <row r="60" spans="1:11" ht="13.5" customHeight="1">
      <c r="A60" s="54" t="s">
        <v>1098</v>
      </c>
      <c r="B60" s="708" t="s">
        <v>1219</v>
      </c>
      <c r="C60" s="207" t="s">
        <v>1146</v>
      </c>
      <c r="D60" s="208" t="s">
        <v>1140</v>
      </c>
      <c r="E60" s="208" t="s">
        <v>1141</v>
      </c>
      <c r="F60" s="208" t="s">
        <v>1142</v>
      </c>
      <c r="G60" s="208" t="s">
        <v>1143</v>
      </c>
      <c r="H60" s="208" t="s">
        <v>1144</v>
      </c>
      <c r="I60" s="208" t="s">
        <v>1139</v>
      </c>
      <c r="J60" s="209" t="s">
        <v>1145</v>
      </c>
      <c r="K60" s="82"/>
    </row>
    <row r="61" spans="1:11" ht="11.25">
      <c r="A61" s="63" t="s">
        <v>1099</v>
      </c>
      <c r="B61" s="717"/>
      <c r="C61" s="210" t="s">
        <v>1148</v>
      </c>
      <c r="D61" s="211" t="s">
        <v>1147</v>
      </c>
      <c r="E61" s="211" t="s">
        <v>1149</v>
      </c>
      <c r="F61" s="211" t="s">
        <v>1150</v>
      </c>
      <c r="G61" s="211" t="s">
        <v>1151</v>
      </c>
      <c r="H61" s="211" t="s">
        <v>1152</v>
      </c>
      <c r="I61" s="211" t="s">
        <v>1153</v>
      </c>
      <c r="J61" s="212" t="s">
        <v>1154</v>
      </c>
      <c r="K61" s="80"/>
    </row>
    <row r="62" spans="1:11" ht="11.25">
      <c r="A62" s="63" t="s">
        <v>1100</v>
      </c>
      <c r="B62" s="717"/>
      <c r="C62" s="213" t="s">
        <v>1155</v>
      </c>
      <c r="D62" s="211" t="s">
        <v>1156</v>
      </c>
      <c r="E62" s="211" t="s">
        <v>1157</v>
      </c>
      <c r="F62" s="211" t="s">
        <v>1158</v>
      </c>
      <c r="G62" s="211" t="s">
        <v>1159</v>
      </c>
      <c r="H62" s="211" t="s">
        <v>1160</v>
      </c>
      <c r="I62" s="211" t="s">
        <v>1161</v>
      </c>
      <c r="J62" s="212" t="s">
        <v>1162</v>
      </c>
      <c r="K62" s="80"/>
    </row>
    <row r="63" spans="1:11" ht="11.25">
      <c r="A63" s="63" t="s">
        <v>1101</v>
      </c>
      <c r="B63" s="717"/>
      <c r="C63" s="210" t="s">
        <v>1163</v>
      </c>
      <c r="D63" s="211" t="s">
        <v>1164</v>
      </c>
      <c r="E63" s="211" t="s">
        <v>1165</v>
      </c>
      <c r="F63" s="211" t="s">
        <v>1166</v>
      </c>
      <c r="G63" s="211" t="s">
        <v>1167</v>
      </c>
      <c r="H63" s="211" t="s">
        <v>1168</v>
      </c>
      <c r="I63" s="211" t="s">
        <v>1169</v>
      </c>
      <c r="J63" s="212" t="s">
        <v>1170</v>
      </c>
      <c r="K63" s="80"/>
    </row>
    <row r="64" spans="1:11" ht="11.25">
      <c r="A64" s="63" t="s">
        <v>1102</v>
      </c>
      <c r="B64" s="717"/>
      <c r="C64" s="213" t="s">
        <v>1171</v>
      </c>
      <c r="D64" s="211" t="s">
        <v>1172</v>
      </c>
      <c r="E64" s="211" t="s">
        <v>1173</v>
      </c>
      <c r="F64" s="211" t="s">
        <v>1174</v>
      </c>
      <c r="G64" s="211" t="s">
        <v>1175</v>
      </c>
      <c r="H64" s="211" t="s">
        <v>1176</v>
      </c>
      <c r="I64" s="211" t="s">
        <v>1177</v>
      </c>
      <c r="J64" s="212" t="s">
        <v>1178</v>
      </c>
      <c r="K64" s="80"/>
    </row>
    <row r="65" spans="1:11" ht="11.25">
      <c r="A65" s="63" t="s">
        <v>1103</v>
      </c>
      <c r="B65" s="717"/>
      <c r="C65" s="210" t="s">
        <v>1179</v>
      </c>
      <c r="D65" s="211" t="s">
        <v>1180</v>
      </c>
      <c r="E65" s="211" t="s">
        <v>1181</v>
      </c>
      <c r="F65" s="211" t="s">
        <v>1182</v>
      </c>
      <c r="G65" s="211" t="s">
        <v>1183</v>
      </c>
      <c r="H65" s="211" t="s">
        <v>1184</v>
      </c>
      <c r="I65" s="211" t="s">
        <v>1185</v>
      </c>
      <c r="J65" s="212" t="s">
        <v>1186</v>
      </c>
      <c r="K65" s="80"/>
    </row>
    <row r="66" spans="1:11" ht="11.25">
      <c r="A66" s="63" t="s">
        <v>1104</v>
      </c>
      <c r="B66" s="717"/>
      <c r="C66" s="213" t="s">
        <v>1187</v>
      </c>
      <c r="D66" s="211" t="s">
        <v>1188</v>
      </c>
      <c r="E66" s="211" t="s">
        <v>1189</v>
      </c>
      <c r="F66" s="211" t="s">
        <v>1190</v>
      </c>
      <c r="G66" s="211" t="s">
        <v>1191</v>
      </c>
      <c r="H66" s="211" t="s">
        <v>1192</v>
      </c>
      <c r="I66" s="211" t="s">
        <v>1193</v>
      </c>
      <c r="J66" s="212" t="s">
        <v>1194</v>
      </c>
      <c r="K66" s="80"/>
    </row>
    <row r="67" spans="1:11" ht="11.25">
      <c r="A67" s="63" t="s">
        <v>1105</v>
      </c>
      <c r="B67" s="717"/>
      <c r="C67" s="210" t="s">
        <v>1195</v>
      </c>
      <c r="D67" s="211" t="s">
        <v>1196</v>
      </c>
      <c r="E67" s="211" t="s">
        <v>1197</v>
      </c>
      <c r="F67" s="211" t="s">
        <v>1198</v>
      </c>
      <c r="G67" s="211" t="s">
        <v>1199</v>
      </c>
      <c r="H67" s="211" t="s">
        <v>1200</v>
      </c>
      <c r="I67" s="211" t="s">
        <v>1201</v>
      </c>
      <c r="J67" s="212" t="s">
        <v>1202</v>
      </c>
      <c r="K67" s="80"/>
    </row>
    <row r="68" spans="1:11" ht="11.25">
      <c r="A68" s="63" t="s">
        <v>1106</v>
      </c>
      <c r="B68" s="717"/>
      <c r="C68" s="213" t="s">
        <v>1203</v>
      </c>
      <c r="D68" s="211" t="s">
        <v>1204</v>
      </c>
      <c r="E68" s="211" t="s">
        <v>1205</v>
      </c>
      <c r="F68" s="211" t="s">
        <v>1206</v>
      </c>
      <c r="G68" s="211" t="s">
        <v>1207</v>
      </c>
      <c r="H68" s="211" t="s">
        <v>1208</v>
      </c>
      <c r="I68" s="211" t="s">
        <v>1209</v>
      </c>
      <c r="J68" s="212" t="s">
        <v>1210</v>
      </c>
      <c r="K68" s="80"/>
    </row>
    <row r="69" spans="1:11" ht="12" thickBot="1">
      <c r="A69" s="55" t="s">
        <v>1107</v>
      </c>
      <c r="B69" s="716"/>
      <c r="C69" s="214" t="s">
        <v>1211</v>
      </c>
      <c r="D69" s="215" t="s">
        <v>1212</v>
      </c>
      <c r="E69" s="215" t="s">
        <v>1213</v>
      </c>
      <c r="F69" s="215" t="s">
        <v>1214</v>
      </c>
      <c r="G69" s="215" t="s">
        <v>1215</v>
      </c>
      <c r="H69" s="215" t="s">
        <v>1216</v>
      </c>
      <c r="I69" s="215" t="s">
        <v>1217</v>
      </c>
      <c r="J69" s="216" t="s">
        <v>1218</v>
      </c>
      <c r="K69" s="83"/>
    </row>
    <row r="70" spans="1:11" ht="11.25">
      <c r="A70" s="63" t="s">
        <v>1108</v>
      </c>
      <c r="B70" s="704" t="s">
        <v>1031</v>
      </c>
      <c r="C70" s="806" t="s">
        <v>1410</v>
      </c>
      <c r="D70" s="807"/>
      <c r="E70" s="807"/>
      <c r="F70" s="807"/>
      <c r="G70" s="807"/>
      <c r="H70" s="807"/>
      <c r="I70" s="807"/>
      <c r="J70" s="808"/>
      <c r="K70" s="82">
        <v>2</v>
      </c>
    </row>
    <row r="71" spans="1:11" ht="14.25" customHeight="1" thickBot="1">
      <c r="A71" s="55" t="s">
        <v>1109</v>
      </c>
      <c r="B71" s="716"/>
      <c r="C71" s="809"/>
      <c r="D71" s="810"/>
      <c r="E71" s="810"/>
      <c r="F71" s="810"/>
      <c r="G71" s="810"/>
      <c r="H71" s="810"/>
      <c r="I71" s="810"/>
      <c r="J71" s="811"/>
      <c r="K71" s="83">
        <v>2</v>
      </c>
    </row>
    <row r="72" spans="1:11" ht="14.25" customHeight="1">
      <c r="A72" s="63" t="s">
        <v>1110</v>
      </c>
      <c r="B72" s="544" t="s">
        <v>1757</v>
      </c>
      <c r="C72" s="547" t="s">
        <v>1758</v>
      </c>
      <c r="D72" s="548"/>
      <c r="E72" s="548"/>
      <c r="F72" s="548"/>
      <c r="G72" s="548"/>
      <c r="H72" s="548"/>
      <c r="I72" s="548"/>
      <c r="J72" s="549"/>
      <c r="K72" s="426">
        <v>2</v>
      </c>
    </row>
    <row r="73" spans="1:11" ht="14.25" customHeight="1">
      <c r="A73" s="63" t="s">
        <v>1111</v>
      </c>
      <c r="B73" s="545"/>
      <c r="C73" s="550" t="s">
        <v>1759</v>
      </c>
      <c r="D73" s="551"/>
      <c r="E73" s="551"/>
      <c r="F73" s="551"/>
      <c r="G73" s="551"/>
      <c r="H73" s="551"/>
      <c r="I73" s="551"/>
      <c r="J73" s="552"/>
      <c r="K73" s="427">
        <v>2</v>
      </c>
    </row>
    <row r="74" spans="1:11" ht="14.25" customHeight="1" thickBot="1">
      <c r="A74" s="63" t="s">
        <v>1112</v>
      </c>
      <c r="B74" s="546"/>
      <c r="C74" s="553" t="s">
        <v>1760</v>
      </c>
      <c r="D74" s="554"/>
      <c r="E74" s="554"/>
      <c r="F74" s="554"/>
      <c r="G74" s="554"/>
      <c r="H74" s="554"/>
      <c r="I74" s="554"/>
      <c r="J74" s="555"/>
      <c r="K74" s="428">
        <v>2</v>
      </c>
    </row>
    <row r="75" spans="1:11" ht="11.25">
      <c r="A75" s="54" t="s">
        <v>1113</v>
      </c>
      <c r="B75" s="63" t="s">
        <v>446</v>
      </c>
      <c r="C75" s="821" t="s">
        <v>206</v>
      </c>
      <c r="D75" s="821"/>
      <c r="E75" s="821"/>
      <c r="F75" s="821"/>
      <c r="G75" s="821"/>
      <c r="H75" s="821"/>
      <c r="I75" s="821"/>
      <c r="J75" s="822"/>
      <c r="K75" s="80">
        <v>2</v>
      </c>
    </row>
    <row r="76" spans="1:11" ht="12" thickBot="1">
      <c r="A76" s="55">
        <v>121</v>
      </c>
      <c r="B76" s="55" t="s">
        <v>447</v>
      </c>
      <c r="C76" s="727" t="s">
        <v>207</v>
      </c>
      <c r="D76" s="727"/>
      <c r="E76" s="727"/>
      <c r="F76" s="727"/>
      <c r="G76" s="727"/>
      <c r="H76" s="727"/>
      <c r="I76" s="727"/>
      <c r="J76" s="778"/>
      <c r="K76" s="83">
        <v>1</v>
      </c>
    </row>
    <row r="78" spans="1:11" ht="11.25" customHeight="1"/>
  </sheetData>
  <mergeCells count="108">
    <mergeCell ref="B27:B28"/>
    <mergeCell ref="B21:B23"/>
    <mergeCell ref="B24:B26"/>
    <mergeCell ref="K29:K30"/>
    <mergeCell ref="C41:F41"/>
    <mergeCell ref="G41:J41"/>
    <mergeCell ref="C38:D38"/>
    <mergeCell ref="E38:J38"/>
    <mergeCell ref="C42:F42"/>
    <mergeCell ref="G42:J42"/>
    <mergeCell ref="C25:F25"/>
    <mergeCell ref="G25:J25"/>
    <mergeCell ref="B51:B52"/>
    <mergeCell ref="B31:B32"/>
    <mergeCell ref="B36:B37"/>
    <mergeCell ref="B40:B41"/>
    <mergeCell ref="B33:B35"/>
    <mergeCell ref="B43:B44"/>
    <mergeCell ref="C10:J10"/>
    <mergeCell ref="G17:H17"/>
    <mergeCell ref="I17:J17"/>
    <mergeCell ref="C11:J11"/>
    <mergeCell ref="C17:F17"/>
    <mergeCell ref="C15:F15"/>
    <mergeCell ref="G15:J15"/>
    <mergeCell ref="G22:J22"/>
    <mergeCell ref="C23:F23"/>
    <mergeCell ref="C24:F24"/>
    <mergeCell ref="G23:J23"/>
    <mergeCell ref="C22:F22"/>
    <mergeCell ref="C35:F35"/>
    <mergeCell ref="G35:J35"/>
    <mergeCell ref="C26:F26"/>
    <mergeCell ref="G26:J26"/>
    <mergeCell ref="C34:F34"/>
    <mergeCell ref="B17:B18"/>
    <mergeCell ref="C76:J76"/>
    <mergeCell ref="C75:J75"/>
    <mergeCell ref="C58:J58"/>
    <mergeCell ref="H13:J13"/>
    <mergeCell ref="G20:J20"/>
    <mergeCell ref="C43:C44"/>
    <mergeCell ref="G36:J36"/>
    <mergeCell ref="D43:F43"/>
    <mergeCell ref="C59:J59"/>
    <mergeCell ref="C49:J49"/>
    <mergeCell ref="C54:J54"/>
    <mergeCell ref="C55:J55"/>
    <mergeCell ref="C56:J56"/>
    <mergeCell ref="C52:J52"/>
    <mergeCell ref="C50:J50"/>
    <mergeCell ref="C51:J51"/>
    <mergeCell ref="C53:G53"/>
    <mergeCell ref="C57:J57"/>
    <mergeCell ref="C48:J48"/>
    <mergeCell ref="C45:J45"/>
    <mergeCell ref="C37:F37"/>
    <mergeCell ref="C21:F21"/>
    <mergeCell ref="G21:J21"/>
    <mergeCell ref="C27:F27"/>
    <mergeCell ref="A1:K1"/>
    <mergeCell ref="A5:K5"/>
    <mergeCell ref="K31:K32"/>
    <mergeCell ref="K43:K44"/>
    <mergeCell ref="K13:K14"/>
    <mergeCell ref="K15:K16"/>
    <mergeCell ref="K17:K18"/>
    <mergeCell ref="K27:K28"/>
    <mergeCell ref="B13:B14"/>
    <mergeCell ref="B15:B16"/>
    <mergeCell ref="C7:J7"/>
    <mergeCell ref="C8:J8"/>
    <mergeCell ref="C9:J9"/>
    <mergeCell ref="G27:J27"/>
    <mergeCell ref="C12:J12"/>
    <mergeCell ref="G24:J24"/>
    <mergeCell ref="C13:D14"/>
    <mergeCell ref="E13:G13"/>
    <mergeCell ref="G34:J34"/>
    <mergeCell ref="G37:J37"/>
    <mergeCell ref="G43:J43"/>
    <mergeCell ref="G29:J29"/>
    <mergeCell ref="G31:J31"/>
    <mergeCell ref="C33:F33"/>
    <mergeCell ref="A27:A28"/>
    <mergeCell ref="C31:F31"/>
    <mergeCell ref="C40:F40"/>
    <mergeCell ref="G40:J40"/>
    <mergeCell ref="C36:F36"/>
    <mergeCell ref="G33:J33"/>
    <mergeCell ref="B72:B74"/>
    <mergeCell ref="C72:J72"/>
    <mergeCell ref="C73:J73"/>
    <mergeCell ref="C74:J74"/>
    <mergeCell ref="C70:J71"/>
    <mergeCell ref="B70:B71"/>
    <mergeCell ref="A29:A30"/>
    <mergeCell ref="B29:B30"/>
    <mergeCell ref="C29:F29"/>
    <mergeCell ref="A31:A32"/>
    <mergeCell ref="A43:A44"/>
    <mergeCell ref="B54:B59"/>
    <mergeCell ref="B45:B46"/>
    <mergeCell ref="B47:B48"/>
    <mergeCell ref="B49:B50"/>
    <mergeCell ref="C46:J46"/>
    <mergeCell ref="C47:J47"/>
    <mergeCell ref="B60:B69"/>
  </mergeCells>
  <phoneticPr fontId="2" type="noConversion"/>
  <printOptions horizontalCentered="1" verticalCentered="1"/>
  <pageMargins left="0.74803149606299213" right="0.74803149606299213" top="0.52" bottom="0.51" header="0.51181102362204722" footer="0.51181102362204722"/>
  <pageSetup paperSize="9" scale="95" orientation="portrait" verticalDpi="200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>
    <tabColor rgb="FFFF0000"/>
    <pageSetUpPr fitToPage="1"/>
  </sheetPr>
  <dimension ref="A1:Q63"/>
  <sheetViews>
    <sheetView zoomScale="115" zoomScaleNormal="115" workbookViewId="0">
      <selection sqref="A1:K34"/>
    </sheetView>
  </sheetViews>
  <sheetFormatPr defaultRowHeight="10.5"/>
  <cols>
    <col min="1" max="2" width="5.6640625" style="51" customWidth="1"/>
    <col min="3" max="11" width="6.77734375" style="51" customWidth="1"/>
    <col min="12" max="16384" width="8.88671875" style="51"/>
  </cols>
  <sheetData>
    <row r="1" spans="1:12" s="61" customFormat="1" ht="15" customHeight="1" thickBot="1">
      <c r="A1" s="814" t="s">
        <v>311</v>
      </c>
      <c r="B1" s="815"/>
      <c r="C1" s="815"/>
      <c r="D1" s="815"/>
      <c r="E1" s="815"/>
      <c r="F1" s="815"/>
      <c r="G1" s="815"/>
      <c r="H1" s="815"/>
      <c r="I1" s="815"/>
      <c r="J1" s="815"/>
      <c r="K1" s="816"/>
    </row>
    <row r="2" spans="1:12" s="61" customFormat="1" ht="15" customHeight="1">
      <c r="A2" s="101" t="s">
        <v>312</v>
      </c>
      <c r="B2" s="133"/>
      <c r="C2" s="102" t="s">
        <v>313</v>
      </c>
      <c r="D2" s="103"/>
      <c r="E2" s="104"/>
      <c r="F2" s="104"/>
      <c r="G2" s="104"/>
      <c r="H2" s="104"/>
      <c r="I2" s="105"/>
      <c r="J2" s="104" t="s">
        <v>52</v>
      </c>
      <c r="K2" s="106" t="s">
        <v>314</v>
      </c>
    </row>
    <row r="3" spans="1:12" s="61" customFormat="1" ht="15" customHeight="1">
      <c r="A3" s="85" t="s">
        <v>315</v>
      </c>
      <c r="B3" s="131"/>
      <c r="C3" s="26"/>
      <c r="D3" s="28"/>
      <c r="E3" s="28"/>
      <c r="F3" s="28"/>
      <c r="G3" s="28"/>
      <c r="H3" s="28"/>
      <c r="I3" s="27"/>
      <c r="J3" s="28" t="s">
        <v>47</v>
      </c>
      <c r="K3" s="29" t="s">
        <v>937</v>
      </c>
    </row>
    <row r="4" spans="1:12" s="61" customFormat="1" ht="15" customHeight="1" thickBot="1">
      <c r="A4" s="86"/>
      <c r="B4" s="132"/>
      <c r="C4" s="87"/>
      <c r="D4" s="87"/>
      <c r="E4" s="87"/>
      <c r="F4" s="87"/>
      <c r="G4" s="87"/>
      <c r="H4" s="87"/>
      <c r="I4" s="88"/>
      <c r="J4" s="30" t="s">
        <v>49</v>
      </c>
      <c r="K4" s="31" t="s">
        <v>939</v>
      </c>
    </row>
    <row r="5" spans="1:12" s="61" customFormat="1" ht="15" customHeight="1" thickBot="1">
      <c r="A5" s="736" t="s">
        <v>584</v>
      </c>
      <c r="B5" s="737"/>
      <c r="C5" s="737"/>
      <c r="D5" s="737"/>
      <c r="E5" s="737"/>
      <c r="F5" s="737"/>
      <c r="G5" s="737"/>
      <c r="H5" s="737"/>
      <c r="I5" s="737"/>
      <c r="J5" s="737"/>
      <c r="K5" s="738"/>
    </row>
    <row r="6" spans="1:12" s="61" customFormat="1" ht="15" customHeight="1" thickBot="1">
      <c r="A6" s="58" t="s">
        <v>316</v>
      </c>
      <c r="B6" s="58" t="s">
        <v>448</v>
      </c>
      <c r="C6" s="52" t="s">
        <v>208</v>
      </c>
      <c r="D6" s="32" t="s">
        <v>209</v>
      </c>
      <c r="E6" s="32" t="s">
        <v>210</v>
      </c>
      <c r="F6" s="32" t="s">
        <v>211</v>
      </c>
      <c r="G6" s="32" t="s">
        <v>212</v>
      </c>
      <c r="H6" s="32" t="s">
        <v>213</v>
      </c>
      <c r="I6" s="32" t="s">
        <v>214</v>
      </c>
      <c r="J6" s="33" t="s">
        <v>215</v>
      </c>
      <c r="K6" s="75" t="s">
        <v>317</v>
      </c>
    </row>
    <row r="7" spans="1:12" s="61" customFormat="1" ht="15" customHeight="1">
      <c r="A7" s="54">
        <v>0</v>
      </c>
      <c r="B7" s="59" t="s">
        <v>431</v>
      </c>
      <c r="C7" s="783" t="s">
        <v>216</v>
      </c>
      <c r="D7" s="784"/>
      <c r="E7" s="784"/>
      <c r="F7" s="784"/>
      <c r="G7" s="784"/>
      <c r="H7" s="784"/>
      <c r="I7" s="784"/>
      <c r="J7" s="785"/>
      <c r="K7" s="54">
        <v>1</v>
      </c>
    </row>
    <row r="8" spans="1:12" s="61" customFormat="1" ht="15" customHeight="1">
      <c r="A8" s="63" t="s">
        <v>318</v>
      </c>
      <c r="B8" s="60" t="s">
        <v>432</v>
      </c>
      <c r="C8" s="723" t="s">
        <v>392</v>
      </c>
      <c r="D8" s="786"/>
      <c r="E8" s="786"/>
      <c r="F8" s="786"/>
      <c r="G8" s="786"/>
      <c r="H8" s="786"/>
      <c r="I8" s="786"/>
      <c r="J8" s="787"/>
      <c r="K8" s="63">
        <v>2</v>
      </c>
    </row>
    <row r="9" spans="1:12" s="61" customFormat="1" ht="15" customHeight="1">
      <c r="A9" s="63" t="s">
        <v>319</v>
      </c>
      <c r="B9" s="60" t="s">
        <v>433</v>
      </c>
      <c r="C9" s="723" t="s">
        <v>420</v>
      </c>
      <c r="D9" s="786"/>
      <c r="E9" s="786"/>
      <c r="F9" s="786"/>
      <c r="G9" s="786"/>
      <c r="H9" s="786"/>
      <c r="I9" s="786"/>
      <c r="J9" s="787"/>
      <c r="K9" s="63">
        <v>2</v>
      </c>
    </row>
    <row r="10" spans="1:12" ht="11.25">
      <c r="A10" s="63" t="s">
        <v>320</v>
      </c>
      <c r="B10" s="60" t="s">
        <v>434</v>
      </c>
      <c r="C10" s="722" t="s">
        <v>218</v>
      </c>
      <c r="D10" s="722"/>
      <c r="E10" s="722"/>
      <c r="F10" s="722"/>
      <c r="G10" s="722"/>
      <c r="H10" s="722"/>
      <c r="I10" s="722"/>
      <c r="J10" s="725"/>
      <c r="K10" s="84">
        <v>2</v>
      </c>
    </row>
    <row r="11" spans="1:12" s="61" customFormat="1" ht="15" customHeight="1">
      <c r="A11" s="63" t="s">
        <v>178</v>
      </c>
      <c r="B11" s="60" t="s">
        <v>435</v>
      </c>
      <c r="C11" s="858" t="s">
        <v>179</v>
      </c>
      <c r="D11" s="859"/>
      <c r="E11" s="859"/>
      <c r="F11" s="859"/>
      <c r="G11" s="859"/>
      <c r="H11" s="859"/>
      <c r="I11" s="859"/>
      <c r="J11" s="860"/>
      <c r="K11" s="63">
        <v>2</v>
      </c>
    </row>
    <row r="12" spans="1:12" s="61" customFormat="1" ht="15" customHeight="1" thickBot="1">
      <c r="A12" s="55" t="s">
        <v>180</v>
      </c>
      <c r="B12" s="64" t="s">
        <v>436</v>
      </c>
      <c r="C12" s="768" t="s">
        <v>219</v>
      </c>
      <c r="D12" s="769"/>
      <c r="E12" s="769"/>
      <c r="F12" s="769"/>
      <c r="G12" s="769"/>
      <c r="H12" s="769"/>
      <c r="I12" s="769"/>
      <c r="J12" s="770"/>
      <c r="K12" s="63">
        <v>2</v>
      </c>
      <c r="L12" s="107"/>
    </row>
    <row r="13" spans="1:12" s="61" customFormat="1" ht="15" customHeight="1">
      <c r="A13" s="54">
        <v>11</v>
      </c>
      <c r="B13" s="704" t="s">
        <v>437</v>
      </c>
      <c r="C13" s="719" t="s">
        <v>150</v>
      </c>
      <c r="D13" s="718"/>
      <c r="E13" s="718" t="s">
        <v>182</v>
      </c>
      <c r="F13" s="718"/>
      <c r="G13" s="718"/>
      <c r="H13" s="718" t="s">
        <v>183</v>
      </c>
      <c r="I13" s="718"/>
      <c r="J13" s="774"/>
      <c r="K13" s="704">
        <v>2</v>
      </c>
      <c r="L13" s="50"/>
    </row>
    <row r="14" spans="1:12" s="61" customFormat="1" ht="15" customHeight="1" thickBot="1">
      <c r="A14" s="55">
        <v>12</v>
      </c>
      <c r="B14" s="716"/>
      <c r="C14" s="720"/>
      <c r="D14" s="712"/>
      <c r="E14" s="35" t="s">
        <v>144</v>
      </c>
      <c r="F14" s="35" t="s">
        <v>145</v>
      </c>
      <c r="G14" s="35" t="s">
        <v>147</v>
      </c>
      <c r="H14" s="35" t="s">
        <v>144</v>
      </c>
      <c r="I14" s="35" t="s">
        <v>145</v>
      </c>
      <c r="J14" s="36" t="s">
        <v>147</v>
      </c>
      <c r="K14" s="716"/>
      <c r="L14" s="50"/>
    </row>
    <row r="15" spans="1:12" s="61" customFormat="1" ht="15" customHeight="1">
      <c r="A15" s="54">
        <v>13</v>
      </c>
      <c r="B15" s="704" t="s">
        <v>440</v>
      </c>
      <c r="C15" s="775" t="s">
        <v>184</v>
      </c>
      <c r="D15" s="733"/>
      <c r="E15" s="733"/>
      <c r="F15" s="733"/>
      <c r="G15" s="733" t="s">
        <v>185</v>
      </c>
      <c r="H15" s="733"/>
      <c r="I15" s="733"/>
      <c r="J15" s="734"/>
      <c r="K15" s="717">
        <v>2</v>
      </c>
    </row>
    <row r="16" spans="1:12" s="61" customFormat="1" ht="15" customHeight="1" thickBot="1">
      <c r="A16" s="55">
        <v>14</v>
      </c>
      <c r="B16" s="716"/>
      <c r="C16" s="37" t="s">
        <v>148</v>
      </c>
      <c r="D16" s="38" t="s">
        <v>186</v>
      </c>
      <c r="E16" s="38" t="s">
        <v>187</v>
      </c>
      <c r="F16" s="38" t="s">
        <v>140</v>
      </c>
      <c r="G16" s="38" t="s">
        <v>148</v>
      </c>
      <c r="H16" s="38" t="s">
        <v>186</v>
      </c>
      <c r="I16" s="38" t="s">
        <v>187</v>
      </c>
      <c r="J16" s="44" t="s">
        <v>140</v>
      </c>
      <c r="K16" s="717"/>
    </row>
    <row r="17" spans="1:17" s="61" customFormat="1" ht="15" customHeight="1">
      <c r="A17" s="54">
        <v>15</v>
      </c>
      <c r="B17" s="704" t="s">
        <v>441</v>
      </c>
      <c r="C17" s="719" t="s">
        <v>141</v>
      </c>
      <c r="D17" s="718"/>
      <c r="E17" s="718"/>
      <c r="F17" s="718"/>
      <c r="G17" s="718" t="s">
        <v>142</v>
      </c>
      <c r="H17" s="718"/>
      <c r="I17" s="718" t="s">
        <v>143</v>
      </c>
      <c r="J17" s="774"/>
      <c r="K17" s="704">
        <v>2</v>
      </c>
    </row>
    <row r="18" spans="1:17" s="61" customFormat="1" ht="15" customHeight="1" thickBot="1">
      <c r="A18" s="55">
        <v>16</v>
      </c>
      <c r="B18" s="716"/>
      <c r="C18" s="71" t="s">
        <v>144</v>
      </c>
      <c r="D18" s="39" t="s">
        <v>145</v>
      </c>
      <c r="E18" s="39" t="s">
        <v>146</v>
      </c>
      <c r="F18" s="39" t="s">
        <v>147</v>
      </c>
      <c r="G18" s="35" t="s">
        <v>148</v>
      </c>
      <c r="H18" s="35" t="s">
        <v>149</v>
      </c>
      <c r="I18" s="35" t="s">
        <v>148</v>
      </c>
      <c r="J18" s="36" t="s">
        <v>149</v>
      </c>
      <c r="K18" s="716"/>
    </row>
    <row r="19" spans="1:17" ht="12" thickBot="1">
      <c r="A19" s="54" t="s">
        <v>188</v>
      </c>
      <c r="B19" s="54" t="s">
        <v>457</v>
      </c>
      <c r="C19" s="90" t="s">
        <v>150</v>
      </c>
      <c r="D19" s="41" t="s">
        <v>151</v>
      </c>
      <c r="E19" s="40" t="s">
        <v>152</v>
      </c>
      <c r="F19" s="40" t="s">
        <v>153</v>
      </c>
      <c r="G19" s="40" t="s">
        <v>154</v>
      </c>
      <c r="H19" s="40" t="s">
        <v>155</v>
      </c>
      <c r="I19" s="40" t="s">
        <v>156</v>
      </c>
      <c r="J19" s="42" t="s">
        <v>31</v>
      </c>
      <c r="K19" s="63">
        <v>2</v>
      </c>
    </row>
    <row r="20" spans="1:17" s="61" customFormat="1" ht="15" customHeight="1" thickBot="1">
      <c r="A20" s="58" t="s">
        <v>189</v>
      </c>
      <c r="B20" s="58" t="s">
        <v>442</v>
      </c>
      <c r="C20" s="91" t="s">
        <v>150</v>
      </c>
      <c r="D20" s="43" t="s">
        <v>157</v>
      </c>
      <c r="E20" s="43" t="s">
        <v>158</v>
      </c>
      <c r="F20" s="43" t="s">
        <v>150</v>
      </c>
      <c r="G20" s="793" t="s">
        <v>428</v>
      </c>
      <c r="H20" s="793"/>
      <c r="I20" s="793"/>
      <c r="J20" s="794"/>
      <c r="K20" s="58">
        <v>2</v>
      </c>
      <c r="L20" s="51"/>
    </row>
    <row r="21" spans="1:17" s="61" customFormat="1" ht="15" customHeight="1">
      <c r="A21" s="63" t="s">
        <v>190</v>
      </c>
      <c r="B21" s="704" t="s">
        <v>453</v>
      </c>
      <c r="C21" s="855" t="s">
        <v>159</v>
      </c>
      <c r="D21" s="855"/>
      <c r="E21" s="855"/>
      <c r="F21" s="775"/>
      <c r="G21" s="856" t="s">
        <v>578</v>
      </c>
      <c r="H21" s="855"/>
      <c r="I21" s="855"/>
      <c r="J21" s="857"/>
      <c r="K21" s="63">
        <v>2</v>
      </c>
      <c r="L21" s="51"/>
    </row>
    <row r="22" spans="1:17" s="61" customFormat="1" ht="15" customHeight="1">
      <c r="A22" s="63" t="s">
        <v>191</v>
      </c>
      <c r="B22" s="717"/>
      <c r="C22" s="696" t="s">
        <v>161</v>
      </c>
      <c r="D22" s="696"/>
      <c r="E22" s="696"/>
      <c r="F22" s="782"/>
      <c r="G22" s="697" t="s">
        <v>162</v>
      </c>
      <c r="H22" s="696"/>
      <c r="I22" s="696"/>
      <c r="J22" s="698"/>
      <c r="K22" s="63">
        <v>2</v>
      </c>
      <c r="L22" s="51"/>
    </row>
    <row r="23" spans="1:17" s="61" customFormat="1" ht="15" customHeight="1" thickBot="1">
      <c r="A23" s="55" t="s">
        <v>321</v>
      </c>
      <c r="B23" s="716"/>
      <c r="C23" s="853" t="s">
        <v>192</v>
      </c>
      <c r="D23" s="853"/>
      <c r="E23" s="853"/>
      <c r="F23" s="788"/>
      <c r="G23" s="861" t="s">
        <v>193</v>
      </c>
      <c r="H23" s="853"/>
      <c r="I23" s="853"/>
      <c r="J23" s="862"/>
      <c r="K23" s="63">
        <v>2</v>
      </c>
      <c r="L23" s="51"/>
    </row>
    <row r="24" spans="1:17" ht="11.25">
      <c r="A24" s="63" t="s">
        <v>322</v>
      </c>
      <c r="B24" s="704" t="s">
        <v>450</v>
      </c>
      <c r="C24" s="852" t="s">
        <v>194</v>
      </c>
      <c r="D24" s="852"/>
      <c r="E24" s="852"/>
      <c r="F24" s="719"/>
      <c r="G24" s="863" t="s">
        <v>195</v>
      </c>
      <c r="H24" s="852"/>
      <c r="I24" s="852"/>
      <c r="J24" s="864"/>
      <c r="K24" s="54">
        <v>2</v>
      </c>
    </row>
    <row r="25" spans="1:17" ht="11.25">
      <c r="A25" s="63" t="s">
        <v>323</v>
      </c>
      <c r="B25" s="717"/>
      <c r="C25" s="771" t="s">
        <v>196</v>
      </c>
      <c r="D25" s="707"/>
      <c r="E25" s="707"/>
      <c r="F25" s="707"/>
      <c r="G25" s="707" t="s">
        <v>197</v>
      </c>
      <c r="H25" s="707"/>
      <c r="I25" s="707"/>
      <c r="J25" s="732"/>
      <c r="K25" s="63">
        <v>2</v>
      </c>
    </row>
    <row r="26" spans="1:17" ht="12" thickBot="1">
      <c r="A26" s="63" t="s">
        <v>324</v>
      </c>
      <c r="B26" s="716"/>
      <c r="C26" s="720" t="s">
        <v>198</v>
      </c>
      <c r="D26" s="712"/>
      <c r="E26" s="712"/>
      <c r="F26" s="712"/>
      <c r="G26" s="712" t="s">
        <v>199</v>
      </c>
      <c r="H26" s="712"/>
      <c r="I26" s="712"/>
      <c r="J26" s="735"/>
      <c r="K26" s="55">
        <v>2</v>
      </c>
    </row>
    <row r="27" spans="1:17" s="61" customFormat="1" ht="15" customHeight="1">
      <c r="A27" s="704" t="s">
        <v>289</v>
      </c>
      <c r="B27" s="704" t="s">
        <v>532</v>
      </c>
      <c r="C27" s="801" t="s">
        <v>581</v>
      </c>
      <c r="D27" s="802"/>
      <c r="E27" s="802"/>
      <c r="F27" s="803"/>
      <c r="G27" s="795" t="s">
        <v>582</v>
      </c>
      <c r="H27" s="796"/>
      <c r="I27" s="796"/>
      <c r="J27" s="797"/>
      <c r="K27" s="742">
        <v>2</v>
      </c>
      <c r="L27" s="51"/>
      <c r="M27" s="51"/>
      <c r="N27" s="51"/>
      <c r="O27" s="51"/>
      <c r="P27" s="51"/>
      <c r="Q27" s="51"/>
    </row>
    <row r="28" spans="1:17" s="61" customFormat="1" ht="15" customHeight="1" thickBot="1">
      <c r="A28" s="716"/>
      <c r="B28" s="716"/>
      <c r="C28" s="139" t="s">
        <v>535</v>
      </c>
      <c r="D28" s="121" t="s">
        <v>536</v>
      </c>
      <c r="E28" s="121" t="s">
        <v>524</v>
      </c>
      <c r="F28" s="121" t="s">
        <v>537</v>
      </c>
      <c r="G28" s="120" t="s">
        <v>538</v>
      </c>
      <c r="H28" s="121" t="s">
        <v>539</v>
      </c>
      <c r="I28" s="121" t="s">
        <v>540</v>
      </c>
      <c r="J28" s="122" t="s">
        <v>3</v>
      </c>
      <c r="K28" s="743"/>
      <c r="N28" s="74"/>
    </row>
    <row r="29" spans="1:17" ht="11.25">
      <c r="A29" s="63" t="s">
        <v>370</v>
      </c>
      <c r="B29" s="704" t="s">
        <v>451</v>
      </c>
      <c r="C29" s="702" t="s">
        <v>150</v>
      </c>
      <c r="D29" s="702"/>
      <c r="E29" s="702"/>
      <c r="F29" s="702"/>
      <c r="G29" s="701" t="s">
        <v>202</v>
      </c>
      <c r="H29" s="702"/>
      <c r="I29" s="702"/>
      <c r="J29" s="703"/>
      <c r="K29" s="54">
        <v>2</v>
      </c>
    </row>
    <row r="30" spans="1:17" ht="12" thickBot="1">
      <c r="A30" s="63" t="s">
        <v>325</v>
      </c>
      <c r="B30" s="716"/>
      <c r="C30" s="687" t="s">
        <v>203</v>
      </c>
      <c r="D30" s="687"/>
      <c r="E30" s="687"/>
      <c r="F30" s="687"/>
      <c r="G30" s="688" t="s">
        <v>204</v>
      </c>
      <c r="H30" s="687"/>
      <c r="I30" s="687"/>
      <c r="J30" s="689"/>
      <c r="K30" s="55">
        <v>2</v>
      </c>
    </row>
    <row r="31" spans="1:17" ht="11.25">
      <c r="A31" s="54" t="s">
        <v>326</v>
      </c>
      <c r="B31" s="704" t="s">
        <v>452</v>
      </c>
      <c r="C31" s="865" t="s">
        <v>205</v>
      </c>
      <c r="D31" s="866"/>
      <c r="E31" s="866"/>
      <c r="F31" s="866"/>
      <c r="G31" s="866"/>
      <c r="H31" s="866"/>
      <c r="I31" s="866"/>
      <c r="J31" s="867"/>
      <c r="K31" s="63">
        <v>2</v>
      </c>
    </row>
    <row r="32" spans="1:17" s="61" customFormat="1" ht="15" customHeight="1" thickBot="1">
      <c r="A32" s="55" t="s">
        <v>327</v>
      </c>
      <c r="B32" s="716"/>
      <c r="C32" s="868" t="s">
        <v>205</v>
      </c>
      <c r="D32" s="869"/>
      <c r="E32" s="869"/>
      <c r="F32" s="869"/>
      <c r="G32" s="869"/>
      <c r="H32" s="869"/>
      <c r="I32" s="869"/>
      <c r="J32" s="870"/>
      <c r="K32" s="63">
        <v>2</v>
      </c>
      <c r="L32" s="51"/>
    </row>
    <row r="33" spans="1:12" s="61" customFormat="1" ht="15" customHeight="1">
      <c r="A33" s="63" t="s">
        <v>328</v>
      </c>
      <c r="B33" s="63" t="s">
        <v>446</v>
      </c>
      <c r="C33" s="776" t="s">
        <v>206</v>
      </c>
      <c r="D33" s="776"/>
      <c r="E33" s="776"/>
      <c r="F33" s="776"/>
      <c r="G33" s="776"/>
      <c r="H33" s="776"/>
      <c r="I33" s="776"/>
      <c r="J33" s="777"/>
      <c r="K33" s="54">
        <v>2</v>
      </c>
      <c r="L33" s="51"/>
    </row>
    <row r="34" spans="1:12" s="99" customFormat="1" ht="15" customHeight="1" thickBot="1">
      <c r="A34" s="64">
        <v>45</v>
      </c>
      <c r="B34" s="64" t="s">
        <v>447</v>
      </c>
      <c r="C34" s="727" t="s">
        <v>207</v>
      </c>
      <c r="D34" s="727"/>
      <c r="E34" s="727"/>
      <c r="F34" s="727"/>
      <c r="G34" s="727"/>
      <c r="H34" s="727"/>
      <c r="I34" s="727"/>
      <c r="J34" s="778"/>
      <c r="K34" s="73">
        <v>1</v>
      </c>
      <c r="L34" s="51"/>
    </row>
    <row r="35" spans="1:12" ht="12" thickBot="1">
      <c r="C35" s="50"/>
      <c r="D35" s="50"/>
      <c r="E35" s="50"/>
      <c r="F35" s="50"/>
      <c r="G35" s="50"/>
      <c r="H35" s="50"/>
      <c r="I35" s="50"/>
      <c r="J35" s="50"/>
    </row>
    <row r="36" spans="1:12" ht="12" thickBot="1">
      <c r="A36" s="736" t="s">
        <v>586</v>
      </c>
      <c r="B36" s="737"/>
      <c r="C36" s="737"/>
      <c r="D36" s="737"/>
      <c r="E36" s="737"/>
      <c r="F36" s="737"/>
      <c r="G36" s="737"/>
      <c r="H36" s="737"/>
      <c r="I36" s="737"/>
      <c r="J36" s="737"/>
      <c r="K36" s="738"/>
    </row>
    <row r="37" spans="1:12" ht="12" thickBot="1">
      <c r="A37" s="58" t="s">
        <v>316</v>
      </c>
      <c r="B37" s="58" t="s">
        <v>449</v>
      </c>
      <c r="C37" s="52" t="s">
        <v>208</v>
      </c>
      <c r="D37" s="32" t="s">
        <v>209</v>
      </c>
      <c r="E37" s="32" t="s">
        <v>210</v>
      </c>
      <c r="F37" s="32" t="s">
        <v>211</v>
      </c>
      <c r="G37" s="32" t="s">
        <v>212</v>
      </c>
      <c r="H37" s="32" t="s">
        <v>213</v>
      </c>
      <c r="I37" s="32" t="s">
        <v>214</v>
      </c>
      <c r="J37" s="33" t="s">
        <v>215</v>
      </c>
      <c r="K37" s="75" t="s">
        <v>317</v>
      </c>
    </row>
    <row r="38" spans="1:12" ht="11.25">
      <c r="A38" s="54">
        <v>0</v>
      </c>
      <c r="B38" s="59" t="s">
        <v>431</v>
      </c>
      <c r="C38" s="783" t="s">
        <v>216</v>
      </c>
      <c r="D38" s="784"/>
      <c r="E38" s="784"/>
      <c r="F38" s="784"/>
      <c r="G38" s="784"/>
      <c r="H38" s="784"/>
      <c r="I38" s="784"/>
      <c r="J38" s="785"/>
      <c r="K38" s="82">
        <v>1</v>
      </c>
    </row>
    <row r="39" spans="1:12" ht="11.25">
      <c r="A39" s="63" t="s">
        <v>318</v>
      </c>
      <c r="B39" s="60" t="s">
        <v>432</v>
      </c>
      <c r="C39" s="723" t="s">
        <v>217</v>
      </c>
      <c r="D39" s="786"/>
      <c r="E39" s="786"/>
      <c r="F39" s="786"/>
      <c r="G39" s="786"/>
      <c r="H39" s="786"/>
      <c r="I39" s="786"/>
      <c r="J39" s="787"/>
      <c r="K39" s="80">
        <v>2</v>
      </c>
      <c r="L39" s="439">
        <v>11</v>
      </c>
    </row>
    <row r="40" spans="1:12" ht="11.25">
      <c r="A40" s="63" t="s">
        <v>319</v>
      </c>
      <c r="B40" s="60" t="s">
        <v>433</v>
      </c>
      <c r="C40" s="723" t="s">
        <v>420</v>
      </c>
      <c r="D40" s="786"/>
      <c r="E40" s="786"/>
      <c r="F40" s="786"/>
      <c r="G40" s="786"/>
      <c r="H40" s="786"/>
      <c r="I40" s="786"/>
      <c r="J40" s="787"/>
      <c r="K40" s="80">
        <v>2</v>
      </c>
      <c r="L40" s="439">
        <v>16</v>
      </c>
    </row>
    <row r="41" spans="1:12" ht="11.25">
      <c r="A41" s="63" t="s">
        <v>320</v>
      </c>
      <c r="B41" s="60" t="s">
        <v>434</v>
      </c>
      <c r="C41" s="722" t="s">
        <v>218</v>
      </c>
      <c r="D41" s="722"/>
      <c r="E41" s="722"/>
      <c r="F41" s="722"/>
      <c r="G41" s="722"/>
      <c r="H41" s="722"/>
      <c r="I41" s="722"/>
      <c r="J41" s="725"/>
      <c r="K41" s="80">
        <v>2</v>
      </c>
      <c r="L41" s="439">
        <v>8</v>
      </c>
    </row>
    <row r="42" spans="1:12" ht="11.25">
      <c r="A42" s="63" t="s">
        <v>178</v>
      </c>
      <c r="B42" s="60" t="s">
        <v>435</v>
      </c>
      <c r="C42" s="858" t="s">
        <v>179</v>
      </c>
      <c r="D42" s="859"/>
      <c r="E42" s="859"/>
      <c r="F42" s="859"/>
      <c r="G42" s="859"/>
      <c r="H42" s="859"/>
      <c r="I42" s="859"/>
      <c r="J42" s="860"/>
      <c r="K42" s="80">
        <v>2</v>
      </c>
      <c r="L42" s="439">
        <v>11</v>
      </c>
    </row>
    <row r="43" spans="1:12" ht="12" thickBot="1">
      <c r="A43" s="55" t="s">
        <v>180</v>
      </c>
      <c r="B43" s="64" t="s">
        <v>436</v>
      </c>
      <c r="C43" s="768" t="s">
        <v>219</v>
      </c>
      <c r="D43" s="769"/>
      <c r="E43" s="769"/>
      <c r="F43" s="769"/>
      <c r="G43" s="769"/>
      <c r="H43" s="769"/>
      <c r="I43" s="769"/>
      <c r="J43" s="770"/>
      <c r="K43" s="80">
        <v>2</v>
      </c>
      <c r="L43" s="439">
        <v>11</v>
      </c>
    </row>
    <row r="44" spans="1:12" s="61" customFormat="1" ht="15" customHeight="1" thickBot="1">
      <c r="A44" s="58" t="s">
        <v>371</v>
      </c>
      <c r="B44" s="58" t="s">
        <v>523</v>
      </c>
      <c r="C44" s="837" t="s">
        <v>593</v>
      </c>
      <c r="D44" s="838"/>
      <c r="E44" s="838"/>
      <c r="F44" s="838"/>
      <c r="G44" s="854" t="s">
        <v>594</v>
      </c>
      <c r="H44" s="838"/>
      <c r="I44" s="838"/>
      <c r="J44" s="839"/>
      <c r="K44" s="58">
        <v>2</v>
      </c>
      <c r="L44" s="439">
        <v>1</v>
      </c>
    </row>
    <row r="45" spans="1:12" s="61" customFormat="1" ht="15" customHeight="1">
      <c r="A45" s="54" t="s">
        <v>372</v>
      </c>
      <c r="B45" s="704" t="s">
        <v>453</v>
      </c>
      <c r="C45" s="855" t="s">
        <v>159</v>
      </c>
      <c r="D45" s="855"/>
      <c r="E45" s="855"/>
      <c r="F45" s="775"/>
      <c r="G45" s="856" t="s">
        <v>578</v>
      </c>
      <c r="H45" s="855"/>
      <c r="I45" s="855"/>
      <c r="J45" s="857"/>
      <c r="K45" s="63">
        <v>2</v>
      </c>
      <c r="L45" s="439">
        <v>0</v>
      </c>
    </row>
    <row r="46" spans="1:12" s="61" customFormat="1" ht="15" customHeight="1">
      <c r="A46" s="63" t="s">
        <v>373</v>
      </c>
      <c r="B46" s="717"/>
      <c r="C46" s="696" t="s">
        <v>161</v>
      </c>
      <c r="D46" s="696"/>
      <c r="E46" s="696"/>
      <c r="F46" s="782"/>
      <c r="G46" s="697" t="s">
        <v>162</v>
      </c>
      <c r="H46" s="696"/>
      <c r="I46" s="696"/>
      <c r="J46" s="698"/>
      <c r="K46" s="63">
        <v>2</v>
      </c>
      <c r="L46" s="439">
        <v>57</v>
      </c>
    </row>
    <row r="47" spans="1:12" s="61" customFormat="1" ht="15" customHeight="1" thickBot="1">
      <c r="A47" s="55" t="s">
        <v>188</v>
      </c>
      <c r="B47" s="716"/>
      <c r="C47" s="853" t="s">
        <v>192</v>
      </c>
      <c r="D47" s="853"/>
      <c r="E47" s="853"/>
      <c r="F47" s="788"/>
      <c r="G47" s="861" t="s">
        <v>193</v>
      </c>
      <c r="H47" s="853"/>
      <c r="I47" s="853"/>
      <c r="J47" s="862"/>
      <c r="K47" s="63">
        <v>2</v>
      </c>
      <c r="L47" s="439">
        <v>12</v>
      </c>
    </row>
    <row r="48" spans="1:12" ht="11.25">
      <c r="A48" s="54" t="s">
        <v>189</v>
      </c>
      <c r="B48" s="704" t="s">
        <v>451</v>
      </c>
      <c r="C48" s="852" t="s">
        <v>150</v>
      </c>
      <c r="D48" s="852"/>
      <c r="E48" s="852"/>
      <c r="F48" s="719"/>
      <c r="G48" s="863" t="s">
        <v>202</v>
      </c>
      <c r="H48" s="852"/>
      <c r="I48" s="852"/>
      <c r="J48" s="864"/>
      <c r="K48" s="54">
        <v>2</v>
      </c>
      <c r="L48" s="439">
        <v>7</v>
      </c>
    </row>
    <row r="49" spans="1:15" ht="12" thickBot="1">
      <c r="A49" s="55" t="s">
        <v>190</v>
      </c>
      <c r="B49" s="716"/>
      <c r="C49" s="715" t="s">
        <v>203</v>
      </c>
      <c r="D49" s="715"/>
      <c r="E49" s="715"/>
      <c r="F49" s="720"/>
      <c r="G49" s="759" t="s">
        <v>204</v>
      </c>
      <c r="H49" s="715"/>
      <c r="I49" s="715"/>
      <c r="J49" s="760"/>
      <c r="K49" s="55">
        <v>2</v>
      </c>
      <c r="L49" s="439">
        <v>1</v>
      </c>
    </row>
    <row r="50" spans="1:15" ht="26.25" customHeight="1" thickBot="1">
      <c r="A50" s="432" t="s">
        <v>1763</v>
      </c>
      <c r="B50" s="298" t="s">
        <v>457</v>
      </c>
      <c r="C50" s="431"/>
      <c r="D50" s="435"/>
      <c r="E50" s="435"/>
      <c r="F50" s="435"/>
      <c r="G50" s="433" t="s">
        <v>1436</v>
      </c>
      <c r="H50" s="433" t="s">
        <v>1435</v>
      </c>
      <c r="I50" s="433" t="s">
        <v>1434</v>
      </c>
      <c r="J50" s="434" t="s">
        <v>1433</v>
      </c>
      <c r="K50" s="303">
        <v>2</v>
      </c>
      <c r="L50" s="439">
        <v>0</v>
      </c>
    </row>
    <row r="51" spans="1:15" s="61" customFormat="1" ht="15" customHeight="1">
      <c r="A51" s="82" t="s">
        <v>1764</v>
      </c>
      <c r="B51" s="704" t="s">
        <v>1031</v>
      </c>
      <c r="C51" s="806" t="s">
        <v>1765</v>
      </c>
      <c r="D51" s="807"/>
      <c r="E51" s="807"/>
      <c r="F51" s="807"/>
      <c r="G51" s="807"/>
      <c r="H51" s="807"/>
      <c r="I51" s="807"/>
      <c r="J51" s="808"/>
      <c r="K51" s="82">
        <v>2</v>
      </c>
      <c r="L51" s="439">
        <v>0</v>
      </c>
    </row>
    <row r="52" spans="1:15" s="61" customFormat="1" ht="15" customHeight="1" thickBot="1">
      <c r="A52" s="430" t="s">
        <v>322</v>
      </c>
      <c r="B52" s="716"/>
      <c r="C52" s="809"/>
      <c r="D52" s="810"/>
      <c r="E52" s="810"/>
      <c r="F52" s="810"/>
      <c r="G52" s="810"/>
      <c r="H52" s="810"/>
      <c r="I52" s="810"/>
      <c r="J52" s="811"/>
      <c r="K52" s="430">
        <v>2</v>
      </c>
      <c r="L52" s="439">
        <v>0</v>
      </c>
    </row>
    <row r="53" spans="1:15" s="99" customFormat="1" ht="15" customHeight="1">
      <c r="A53" s="82" t="s">
        <v>1069</v>
      </c>
      <c r="B53" s="840" t="s">
        <v>1368</v>
      </c>
      <c r="C53" s="843" t="s">
        <v>1299</v>
      </c>
      <c r="D53" s="844"/>
      <c r="E53" s="844"/>
      <c r="F53" s="844"/>
      <c r="G53" s="844"/>
      <c r="H53" s="844"/>
      <c r="I53" s="844"/>
      <c r="J53" s="845"/>
      <c r="K53" s="279">
        <v>2</v>
      </c>
      <c r="L53" s="439">
        <v>0</v>
      </c>
    </row>
    <row r="54" spans="1:15" ht="11.25">
      <c r="A54" s="429" t="s">
        <v>1070</v>
      </c>
      <c r="B54" s="841"/>
      <c r="C54" s="846" t="s">
        <v>1301</v>
      </c>
      <c r="D54" s="847"/>
      <c r="E54" s="847"/>
      <c r="F54" s="847"/>
      <c r="G54" s="847"/>
      <c r="H54" s="847"/>
      <c r="I54" s="847"/>
      <c r="J54" s="848"/>
      <c r="K54" s="281">
        <v>2</v>
      </c>
      <c r="L54" s="439">
        <v>0</v>
      </c>
      <c r="O54" s="99"/>
    </row>
    <row r="55" spans="1:15" ht="12" thickBot="1">
      <c r="A55" s="430" t="s">
        <v>1071</v>
      </c>
      <c r="B55" s="842"/>
      <c r="C55" s="849" t="s">
        <v>1302</v>
      </c>
      <c r="D55" s="850"/>
      <c r="E55" s="850"/>
      <c r="F55" s="850"/>
      <c r="G55" s="850"/>
      <c r="H55" s="850"/>
      <c r="I55" s="850"/>
      <c r="J55" s="851"/>
      <c r="K55" s="283">
        <v>2</v>
      </c>
      <c r="L55" s="439">
        <v>0</v>
      </c>
      <c r="M55" s="99"/>
      <c r="N55" s="99"/>
      <c r="O55" s="99"/>
    </row>
    <row r="56" spans="1:15" ht="11.25">
      <c r="A56" s="82" t="s">
        <v>1072</v>
      </c>
      <c r="B56" s="704" t="s">
        <v>1031</v>
      </c>
      <c r="C56" s="806" t="s">
        <v>1766</v>
      </c>
      <c r="D56" s="807"/>
      <c r="E56" s="807"/>
      <c r="F56" s="807"/>
      <c r="G56" s="807"/>
      <c r="H56" s="807"/>
      <c r="I56" s="807"/>
      <c r="J56" s="808"/>
      <c r="K56" s="82">
        <v>2</v>
      </c>
      <c r="L56" s="439">
        <v>10</v>
      </c>
      <c r="O56" s="99"/>
    </row>
    <row r="57" spans="1:15" ht="12" thickBot="1">
      <c r="A57" s="430" t="s">
        <v>556</v>
      </c>
      <c r="B57" s="716"/>
      <c r="C57" s="809"/>
      <c r="D57" s="810"/>
      <c r="E57" s="810"/>
      <c r="F57" s="810"/>
      <c r="G57" s="810"/>
      <c r="H57" s="810"/>
      <c r="I57" s="810"/>
      <c r="J57" s="811"/>
      <c r="K57" s="430">
        <v>2</v>
      </c>
      <c r="L57" s="439">
        <v>30</v>
      </c>
      <c r="M57" s="99"/>
      <c r="N57" s="99"/>
      <c r="O57" s="99"/>
    </row>
    <row r="58" spans="1:15" ht="11.25">
      <c r="A58" s="82" t="s">
        <v>1073</v>
      </c>
      <c r="B58" s="840" t="s">
        <v>1368</v>
      </c>
      <c r="C58" s="843" t="s">
        <v>1299</v>
      </c>
      <c r="D58" s="844"/>
      <c r="E58" s="844"/>
      <c r="F58" s="844"/>
      <c r="G58" s="844"/>
      <c r="H58" s="844"/>
      <c r="I58" s="844"/>
      <c r="J58" s="845"/>
      <c r="K58" s="279">
        <v>2</v>
      </c>
      <c r="L58" s="439">
        <v>10</v>
      </c>
      <c r="O58" s="99"/>
    </row>
    <row r="59" spans="1:15" ht="11.25">
      <c r="A59" s="429" t="s">
        <v>1074</v>
      </c>
      <c r="B59" s="841"/>
      <c r="C59" s="846" t="s">
        <v>1301</v>
      </c>
      <c r="D59" s="847"/>
      <c r="E59" s="847"/>
      <c r="F59" s="847"/>
      <c r="G59" s="847"/>
      <c r="H59" s="847"/>
      <c r="I59" s="847"/>
      <c r="J59" s="848"/>
      <c r="K59" s="281">
        <v>2</v>
      </c>
      <c r="L59" s="439">
        <v>11</v>
      </c>
      <c r="M59" s="99"/>
      <c r="N59" s="99"/>
      <c r="O59" s="99"/>
    </row>
    <row r="60" spans="1:15" ht="12" thickBot="1">
      <c r="A60" s="430" t="s">
        <v>1075</v>
      </c>
      <c r="B60" s="842"/>
      <c r="C60" s="849" t="s">
        <v>1302</v>
      </c>
      <c r="D60" s="850"/>
      <c r="E60" s="850"/>
      <c r="F60" s="850"/>
      <c r="G60" s="850"/>
      <c r="H60" s="850"/>
      <c r="I60" s="850"/>
      <c r="J60" s="851"/>
      <c r="K60" s="283">
        <v>2</v>
      </c>
      <c r="L60" s="439">
        <v>29</v>
      </c>
      <c r="O60" s="99"/>
    </row>
    <row r="61" spans="1:15" ht="11.25">
      <c r="A61" s="82" t="s">
        <v>1076</v>
      </c>
      <c r="B61" s="63" t="s">
        <v>446</v>
      </c>
      <c r="C61" s="821" t="s">
        <v>206</v>
      </c>
      <c r="D61" s="821"/>
      <c r="E61" s="821"/>
      <c r="F61" s="821"/>
      <c r="G61" s="821"/>
      <c r="H61" s="821"/>
      <c r="I61" s="821"/>
      <c r="J61" s="822"/>
      <c r="K61" s="63">
        <v>2</v>
      </c>
      <c r="L61" s="439">
        <v>1</v>
      </c>
      <c r="M61" s="99"/>
      <c r="N61" s="99"/>
      <c r="O61" s="99"/>
    </row>
    <row r="62" spans="1:15" ht="12" thickBot="1">
      <c r="A62" s="430">
        <v>47</v>
      </c>
      <c r="B62" s="64" t="s">
        <v>447</v>
      </c>
      <c r="C62" s="727" t="s">
        <v>207</v>
      </c>
      <c r="D62" s="727"/>
      <c r="E62" s="727"/>
      <c r="F62" s="727"/>
      <c r="G62" s="727"/>
      <c r="H62" s="727"/>
      <c r="I62" s="727"/>
      <c r="J62" s="778"/>
      <c r="K62" s="73">
        <v>1</v>
      </c>
      <c r="O62" s="99"/>
    </row>
    <row r="63" spans="1:15" ht="11.25">
      <c r="B63" s="77"/>
    </row>
  </sheetData>
  <mergeCells count="87">
    <mergeCell ref="C62:J62"/>
    <mergeCell ref="C23:F23"/>
    <mergeCell ref="C61:J61"/>
    <mergeCell ref="C24:F24"/>
    <mergeCell ref="G24:J24"/>
    <mergeCell ref="C25:F25"/>
    <mergeCell ref="G25:J25"/>
    <mergeCell ref="C34:J34"/>
    <mergeCell ref="C38:J38"/>
    <mergeCell ref="C40:J40"/>
    <mergeCell ref="C31:J31"/>
    <mergeCell ref="C32:J32"/>
    <mergeCell ref="G47:J47"/>
    <mergeCell ref="G49:J49"/>
    <mergeCell ref="C43:J43"/>
    <mergeCell ref="G48:J48"/>
    <mergeCell ref="C7:J7"/>
    <mergeCell ref="C33:J33"/>
    <mergeCell ref="C39:J39"/>
    <mergeCell ref="C11:J11"/>
    <mergeCell ref="G27:J27"/>
    <mergeCell ref="C22:F22"/>
    <mergeCell ref="G22:J22"/>
    <mergeCell ref="C17:F17"/>
    <mergeCell ref="C29:F29"/>
    <mergeCell ref="C30:F30"/>
    <mergeCell ref="G30:J30"/>
    <mergeCell ref="C21:F21"/>
    <mergeCell ref="G21:J21"/>
    <mergeCell ref="C26:F26"/>
    <mergeCell ref="G26:J26"/>
    <mergeCell ref="G23:J23"/>
    <mergeCell ref="C10:J10"/>
    <mergeCell ref="C12:J12"/>
    <mergeCell ref="G17:H17"/>
    <mergeCell ref="I17:J17"/>
    <mergeCell ref="C42:J42"/>
    <mergeCell ref="C41:J41"/>
    <mergeCell ref="C27:F27"/>
    <mergeCell ref="H13:J13"/>
    <mergeCell ref="C48:F48"/>
    <mergeCell ref="C46:F46"/>
    <mergeCell ref="G46:J46"/>
    <mergeCell ref="C47:F47"/>
    <mergeCell ref="C44:F44"/>
    <mergeCell ref="G44:J44"/>
    <mergeCell ref="C45:F45"/>
    <mergeCell ref="G45:J45"/>
    <mergeCell ref="C49:F49"/>
    <mergeCell ref="A1:K1"/>
    <mergeCell ref="K27:K28"/>
    <mergeCell ref="A5:K5"/>
    <mergeCell ref="A36:K36"/>
    <mergeCell ref="C9:J9"/>
    <mergeCell ref="K13:K14"/>
    <mergeCell ref="K15:K16"/>
    <mergeCell ref="K17:K18"/>
    <mergeCell ref="G29:J29"/>
    <mergeCell ref="C13:D14"/>
    <mergeCell ref="C8:J8"/>
    <mergeCell ref="G20:J20"/>
    <mergeCell ref="C15:F15"/>
    <mergeCell ref="G15:J15"/>
    <mergeCell ref="E13:G13"/>
    <mergeCell ref="B13:B14"/>
    <mergeCell ref="B15:B16"/>
    <mergeCell ref="B17:B18"/>
    <mergeCell ref="B27:B28"/>
    <mergeCell ref="B21:B23"/>
    <mergeCell ref="B24:B26"/>
    <mergeCell ref="A27:A28"/>
    <mergeCell ref="B31:B32"/>
    <mergeCell ref="B29:B30"/>
    <mergeCell ref="B45:B47"/>
    <mergeCell ref="B48:B49"/>
    <mergeCell ref="B51:B52"/>
    <mergeCell ref="C51:J52"/>
    <mergeCell ref="B53:B55"/>
    <mergeCell ref="C53:J53"/>
    <mergeCell ref="C54:J54"/>
    <mergeCell ref="C55:J55"/>
    <mergeCell ref="B56:B57"/>
    <mergeCell ref="C56:J57"/>
    <mergeCell ref="B58:B60"/>
    <mergeCell ref="C58:J58"/>
    <mergeCell ref="C59:J59"/>
    <mergeCell ref="C60:J60"/>
  </mergeCells>
  <phoneticPr fontId="2" type="noConversion"/>
  <pageMargins left="0.74803149606299213" right="0.74803149606299213" top="0.98425196850393704" bottom="0.98425196850393704" header="0.51181102362204722" footer="0.51181102362204722"/>
  <pageSetup paperSize="9" scale="92" orientation="portrait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/>
  <dimension ref="A1:K21"/>
  <sheetViews>
    <sheetView workbookViewId="0">
      <selection activeCell="D42" sqref="D42"/>
    </sheetView>
  </sheetViews>
  <sheetFormatPr defaultRowHeight="13.5"/>
  <sheetData>
    <row r="1" spans="1:11" ht="14.25" thickBot="1">
      <c r="A1" s="814" t="s">
        <v>174</v>
      </c>
      <c r="B1" s="815"/>
      <c r="C1" s="815"/>
      <c r="D1" s="815"/>
      <c r="E1" s="815"/>
      <c r="F1" s="815"/>
      <c r="G1" s="815"/>
      <c r="H1" s="815"/>
      <c r="I1" s="815"/>
      <c r="J1" s="815"/>
      <c r="K1" s="816"/>
    </row>
    <row r="2" spans="1:11">
      <c r="A2" s="452" t="s">
        <v>44</v>
      </c>
      <c r="B2" s="453"/>
      <c r="C2" s="454" t="s">
        <v>45</v>
      </c>
      <c r="D2" s="105"/>
      <c r="E2" s="455"/>
      <c r="F2" s="455"/>
      <c r="G2" s="455"/>
      <c r="H2" s="455"/>
      <c r="I2" s="105"/>
      <c r="J2" s="455" t="s">
        <v>52</v>
      </c>
      <c r="K2" s="456" t="s">
        <v>46</v>
      </c>
    </row>
    <row r="3" spans="1:11">
      <c r="A3" s="85" t="s">
        <v>50</v>
      </c>
      <c r="B3" s="131"/>
      <c r="C3" s="26"/>
      <c r="D3" s="28"/>
      <c r="E3" s="28"/>
      <c r="F3" s="28"/>
      <c r="G3" s="28"/>
      <c r="H3" s="28"/>
      <c r="I3" s="27"/>
      <c r="J3" s="28" t="s">
        <v>47</v>
      </c>
      <c r="K3" s="29" t="s">
        <v>937</v>
      </c>
    </row>
    <row r="4" spans="1:11" ht="14.25" thickBot="1">
      <c r="A4" s="457"/>
      <c r="B4" s="458"/>
      <c r="C4" s="30"/>
      <c r="D4" s="30"/>
      <c r="E4" s="30"/>
      <c r="F4" s="30"/>
      <c r="G4" s="30"/>
      <c r="H4" s="30"/>
      <c r="I4" s="88"/>
      <c r="J4" s="30" t="s">
        <v>49</v>
      </c>
      <c r="K4" s="31" t="s">
        <v>939</v>
      </c>
    </row>
    <row r="5" spans="1:11">
      <c r="A5" s="76"/>
      <c r="B5" s="76"/>
      <c r="C5" s="78"/>
      <c r="D5" s="78"/>
      <c r="E5" s="78"/>
      <c r="F5" s="78"/>
      <c r="G5" s="78"/>
      <c r="H5" s="78"/>
      <c r="I5" s="77"/>
      <c r="J5" s="78"/>
      <c r="K5" s="77"/>
    </row>
    <row r="6" spans="1:11" ht="14.25" thickBot="1">
      <c r="A6" s="889" t="s">
        <v>1786</v>
      </c>
      <c r="B6" s="889"/>
      <c r="C6" s="889"/>
      <c r="D6" s="889"/>
      <c r="E6" s="889"/>
      <c r="F6" s="889"/>
      <c r="G6" s="889"/>
      <c r="H6" s="889"/>
      <c r="I6" s="889"/>
      <c r="J6" s="889"/>
      <c r="K6" s="889"/>
    </row>
    <row r="7" spans="1:11" ht="14.25" thickBot="1">
      <c r="A7" s="460" t="s">
        <v>1804</v>
      </c>
      <c r="B7" s="885" t="s">
        <v>448</v>
      </c>
      <c r="C7" s="886"/>
      <c r="D7" s="461" t="s">
        <v>1787</v>
      </c>
      <c r="E7" s="736" t="s">
        <v>1805</v>
      </c>
      <c r="F7" s="737"/>
      <c r="G7" s="737"/>
      <c r="H7" s="737"/>
      <c r="I7" s="737"/>
      <c r="J7" s="878"/>
      <c r="K7" s="440" t="s">
        <v>175</v>
      </c>
    </row>
    <row r="8" spans="1:11">
      <c r="A8" s="145">
        <v>1</v>
      </c>
      <c r="B8" s="887" t="s">
        <v>1822</v>
      </c>
      <c r="C8" s="888"/>
      <c r="D8" s="441" t="s">
        <v>1791</v>
      </c>
      <c r="E8" s="879" t="s">
        <v>1788</v>
      </c>
      <c r="F8" s="880"/>
      <c r="G8" s="880"/>
      <c r="H8" s="880"/>
      <c r="I8" s="880"/>
      <c r="J8" s="881"/>
      <c r="K8" s="147">
        <v>1</v>
      </c>
    </row>
    <row r="9" spans="1:11">
      <c r="A9" s="145">
        <v>2</v>
      </c>
      <c r="B9" s="874" t="s">
        <v>1816</v>
      </c>
      <c r="C9" s="875"/>
      <c r="D9" s="441" t="s">
        <v>1792</v>
      </c>
      <c r="E9" s="871" t="s">
        <v>1789</v>
      </c>
      <c r="F9" s="872"/>
      <c r="G9" s="872"/>
      <c r="H9" s="872"/>
      <c r="I9" s="872"/>
      <c r="J9" s="873"/>
      <c r="K9" s="147">
        <v>1</v>
      </c>
    </row>
    <row r="10" spans="1:11">
      <c r="A10" s="145">
        <v>3</v>
      </c>
      <c r="B10" s="874" t="s">
        <v>1817</v>
      </c>
      <c r="C10" s="875" t="s">
        <v>1823</v>
      </c>
      <c r="D10" s="441" t="s">
        <v>1793</v>
      </c>
      <c r="E10" s="871" t="s">
        <v>1806</v>
      </c>
      <c r="F10" s="872"/>
      <c r="G10" s="872"/>
      <c r="H10" s="872"/>
      <c r="I10" s="872"/>
      <c r="J10" s="873"/>
      <c r="K10" s="147">
        <v>1</v>
      </c>
    </row>
    <row r="11" spans="1:11">
      <c r="A11" s="145">
        <v>4</v>
      </c>
      <c r="B11" s="874" t="s">
        <v>1818</v>
      </c>
      <c r="C11" s="875" t="s">
        <v>1824</v>
      </c>
      <c r="D11" s="441" t="s">
        <v>1794</v>
      </c>
      <c r="E11" s="871" t="s">
        <v>1807</v>
      </c>
      <c r="F11" s="872"/>
      <c r="G11" s="872"/>
      <c r="H11" s="872"/>
      <c r="I11" s="872"/>
      <c r="J11" s="873"/>
      <c r="K11" s="147">
        <v>1</v>
      </c>
    </row>
    <row r="12" spans="1:11">
      <c r="A12" s="145">
        <v>5</v>
      </c>
      <c r="B12" s="874" t="s">
        <v>1819</v>
      </c>
      <c r="C12" s="875" t="s">
        <v>1795</v>
      </c>
      <c r="D12" s="441" t="s">
        <v>1795</v>
      </c>
      <c r="E12" s="871" t="s">
        <v>1808</v>
      </c>
      <c r="F12" s="872"/>
      <c r="G12" s="872"/>
      <c r="H12" s="872"/>
      <c r="I12" s="872"/>
      <c r="J12" s="873"/>
      <c r="K12" s="147">
        <v>1</v>
      </c>
    </row>
    <row r="13" spans="1:11">
      <c r="A13" s="145">
        <v>6</v>
      </c>
      <c r="B13" s="874" t="s">
        <v>1820</v>
      </c>
      <c r="C13" s="875" t="s">
        <v>1796</v>
      </c>
      <c r="D13" s="441" t="s">
        <v>1796</v>
      </c>
      <c r="E13" s="871" t="s">
        <v>1809</v>
      </c>
      <c r="F13" s="872"/>
      <c r="G13" s="872"/>
      <c r="H13" s="872"/>
      <c r="I13" s="872"/>
      <c r="J13" s="873"/>
      <c r="K13" s="147">
        <v>1</v>
      </c>
    </row>
    <row r="14" spans="1:11">
      <c r="A14" s="145">
        <v>7</v>
      </c>
      <c r="B14" s="874" t="s">
        <v>1821</v>
      </c>
      <c r="C14" s="875" t="s">
        <v>1797</v>
      </c>
      <c r="D14" s="441" t="s">
        <v>1797</v>
      </c>
      <c r="E14" s="871" t="s">
        <v>1810</v>
      </c>
      <c r="F14" s="872"/>
      <c r="G14" s="872"/>
      <c r="H14" s="872"/>
      <c r="I14" s="872"/>
      <c r="J14" s="873"/>
      <c r="K14" s="147">
        <v>1</v>
      </c>
    </row>
    <row r="15" spans="1:11">
      <c r="A15" s="145">
        <v>8</v>
      </c>
      <c r="B15" s="874" t="s">
        <v>1825</v>
      </c>
      <c r="C15" s="875" t="s">
        <v>1798</v>
      </c>
      <c r="D15" s="441" t="s">
        <v>1798</v>
      </c>
      <c r="E15" s="871" t="s">
        <v>1811</v>
      </c>
      <c r="F15" s="872"/>
      <c r="G15" s="872"/>
      <c r="H15" s="872"/>
      <c r="I15" s="872"/>
      <c r="J15" s="873"/>
      <c r="K15" s="147">
        <v>1</v>
      </c>
    </row>
    <row r="16" spans="1:11">
      <c r="A16" s="145">
        <v>9</v>
      </c>
      <c r="B16" s="874" t="s">
        <v>1826</v>
      </c>
      <c r="C16" s="875" t="s">
        <v>1831</v>
      </c>
      <c r="D16" s="441" t="s">
        <v>1799</v>
      </c>
      <c r="E16" s="871" t="s">
        <v>1812</v>
      </c>
      <c r="F16" s="872"/>
      <c r="G16" s="872"/>
      <c r="H16" s="872"/>
      <c r="I16" s="872"/>
      <c r="J16" s="873"/>
      <c r="K16" s="147">
        <v>1</v>
      </c>
    </row>
    <row r="17" spans="1:11">
      <c r="A17" s="145">
        <v>10</v>
      </c>
      <c r="B17" s="874" t="s">
        <v>1827</v>
      </c>
      <c r="C17" s="875" t="s">
        <v>1800</v>
      </c>
      <c r="D17" s="441" t="s">
        <v>1800</v>
      </c>
      <c r="E17" s="871" t="s">
        <v>1813</v>
      </c>
      <c r="F17" s="872"/>
      <c r="G17" s="872"/>
      <c r="H17" s="872"/>
      <c r="I17" s="872"/>
      <c r="J17" s="873"/>
      <c r="K17" s="147">
        <v>1</v>
      </c>
    </row>
    <row r="18" spans="1:11">
      <c r="A18" s="145">
        <v>11</v>
      </c>
      <c r="B18" s="874" t="s">
        <v>1828</v>
      </c>
      <c r="C18" s="875" t="s">
        <v>1801</v>
      </c>
      <c r="D18" s="441" t="s">
        <v>1801</v>
      </c>
      <c r="E18" s="871" t="s">
        <v>1814</v>
      </c>
      <c r="F18" s="872"/>
      <c r="G18" s="872"/>
      <c r="H18" s="872"/>
      <c r="I18" s="872"/>
      <c r="J18" s="873"/>
      <c r="K18" s="147">
        <v>1</v>
      </c>
    </row>
    <row r="19" spans="1:11">
      <c r="A19" s="145">
        <v>12</v>
      </c>
      <c r="B19" s="874" t="s">
        <v>1829</v>
      </c>
      <c r="C19" s="875" t="s">
        <v>1802</v>
      </c>
      <c r="D19" s="441" t="s">
        <v>1802</v>
      </c>
      <c r="E19" s="871" t="s">
        <v>1815</v>
      </c>
      <c r="F19" s="872"/>
      <c r="G19" s="872"/>
      <c r="H19" s="872"/>
      <c r="I19" s="872"/>
      <c r="J19" s="873"/>
      <c r="K19" s="147">
        <v>1</v>
      </c>
    </row>
    <row r="20" spans="1:11" ht="14.25" thickBot="1">
      <c r="A20" s="459">
        <v>13</v>
      </c>
      <c r="B20" s="876" t="s">
        <v>1830</v>
      </c>
      <c r="C20" s="877"/>
      <c r="D20" s="442" t="s">
        <v>1803</v>
      </c>
      <c r="E20" s="882" t="s">
        <v>1790</v>
      </c>
      <c r="F20" s="883"/>
      <c r="G20" s="883"/>
      <c r="H20" s="883"/>
      <c r="I20" s="883"/>
      <c r="J20" s="884"/>
      <c r="K20" s="451">
        <v>1</v>
      </c>
    </row>
    <row r="21" spans="1:11">
      <c r="A21" s="76"/>
      <c r="B21" s="76"/>
      <c r="C21" s="78"/>
      <c r="D21" s="78"/>
      <c r="E21" s="78"/>
      <c r="F21" s="78"/>
      <c r="G21" s="78"/>
      <c r="H21" s="78"/>
      <c r="I21" s="77"/>
      <c r="J21" s="78"/>
      <c r="K21" s="77"/>
    </row>
  </sheetData>
  <mergeCells count="30">
    <mergeCell ref="A1:K1"/>
    <mergeCell ref="E14:J14"/>
    <mergeCell ref="E15:J15"/>
    <mergeCell ref="E16:J16"/>
    <mergeCell ref="E17:J17"/>
    <mergeCell ref="A6:K6"/>
    <mergeCell ref="B17:C17"/>
    <mergeCell ref="B18:C18"/>
    <mergeCell ref="B7:C7"/>
    <mergeCell ref="B8:C8"/>
    <mergeCell ref="B9:C9"/>
    <mergeCell ref="B10:C10"/>
    <mergeCell ref="B11:C11"/>
    <mergeCell ref="B12:C12"/>
    <mergeCell ref="E18:J18"/>
    <mergeCell ref="E19:J19"/>
    <mergeCell ref="B19:C19"/>
    <mergeCell ref="B20:C20"/>
    <mergeCell ref="E7:J7"/>
    <mergeCell ref="E8:J8"/>
    <mergeCell ref="E20:J20"/>
    <mergeCell ref="E9:J9"/>
    <mergeCell ref="E10:J10"/>
    <mergeCell ref="E11:J11"/>
    <mergeCell ref="E12:J12"/>
    <mergeCell ref="E13:J13"/>
    <mergeCell ref="B13:C13"/>
    <mergeCell ref="B14:C14"/>
    <mergeCell ref="B15:C15"/>
    <mergeCell ref="B16:C16"/>
  </mergeCells>
  <phoneticPr fontId="2" type="noConversion"/>
  <pageMargins left="0.7" right="0.7" top="0.75" bottom="0.75" header="0.3" footer="0.3"/>
  <pageSetup paperSize="9" orientation="portrait" horizontalDpi="4294967292"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7"/>
  <dimension ref="A1:Q49"/>
  <sheetViews>
    <sheetView workbookViewId="0">
      <selection activeCell="B43" sqref="B43:K47"/>
    </sheetView>
  </sheetViews>
  <sheetFormatPr defaultRowHeight="10.5"/>
  <cols>
    <col min="1" max="2" width="5.6640625" style="51" customWidth="1"/>
    <col min="3" max="11" width="6.77734375" style="51" customWidth="1"/>
    <col min="12" max="16384" width="8.88671875" style="51"/>
  </cols>
  <sheetData>
    <row r="1" spans="1:12" s="61" customFormat="1" ht="15" customHeight="1" thickBot="1">
      <c r="A1" s="814" t="s">
        <v>311</v>
      </c>
      <c r="B1" s="815"/>
      <c r="C1" s="815"/>
      <c r="D1" s="815"/>
      <c r="E1" s="815"/>
      <c r="F1" s="815"/>
      <c r="G1" s="815"/>
      <c r="H1" s="815"/>
      <c r="I1" s="815"/>
      <c r="J1" s="815"/>
      <c r="K1" s="816"/>
    </row>
    <row r="2" spans="1:12" s="61" customFormat="1" ht="15" customHeight="1">
      <c r="A2" s="101" t="s">
        <v>312</v>
      </c>
      <c r="B2" s="133"/>
      <c r="C2" s="102" t="s">
        <v>313</v>
      </c>
      <c r="D2" s="103"/>
      <c r="E2" s="104"/>
      <c r="F2" s="104"/>
      <c r="G2" s="104"/>
      <c r="H2" s="104"/>
      <c r="I2" s="105"/>
      <c r="J2" s="104" t="s">
        <v>52</v>
      </c>
      <c r="K2" s="106" t="s">
        <v>314</v>
      </c>
    </row>
    <row r="3" spans="1:12" s="61" customFormat="1" ht="15" customHeight="1">
      <c r="A3" s="85" t="s">
        <v>315</v>
      </c>
      <c r="B3" s="131"/>
      <c r="C3" s="26"/>
      <c r="D3" s="28"/>
      <c r="E3" s="28"/>
      <c r="F3" s="28"/>
      <c r="G3" s="28"/>
      <c r="H3" s="28"/>
      <c r="I3" s="27"/>
      <c r="J3" s="28" t="s">
        <v>47</v>
      </c>
      <c r="K3" s="29" t="s">
        <v>937</v>
      </c>
    </row>
    <row r="4" spans="1:12" s="61" customFormat="1" ht="15" customHeight="1" thickBot="1">
      <c r="A4" s="86"/>
      <c r="B4" s="132"/>
      <c r="C4" s="87"/>
      <c r="D4" s="87"/>
      <c r="E4" s="87"/>
      <c r="F4" s="87"/>
      <c r="G4" s="87"/>
      <c r="H4" s="87"/>
      <c r="I4" s="88"/>
      <c r="J4" s="30" t="s">
        <v>49</v>
      </c>
      <c r="K4" s="31" t="s">
        <v>939</v>
      </c>
    </row>
    <row r="5" spans="1:12" ht="12" thickBot="1">
      <c r="A5" s="736" t="s">
        <v>585</v>
      </c>
      <c r="B5" s="737"/>
      <c r="C5" s="737"/>
      <c r="D5" s="737"/>
      <c r="E5" s="737"/>
      <c r="F5" s="737"/>
      <c r="G5" s="737"/>
      <c r="H5" s="737"/>
      <c r="I5" s="737"/>
      <c r="J5" s="737"/>
      <c r="K5" s="738"/>
    </row>
    <row r="6" spans="1:12" ht="12" thickBot="1">
      <c r="A6" s="58" t="s">
        <v>316</v>
      </c>
      <c r="B6" s="58" t="s">
        <v>448</v>
      </c>
      <c r="C6" s="52" t="s">
        <v>208</v>
      </c>
      <c r="D6" s="32" t="s">
        <v>209</v>
      </c>
      <c r="E6" s="32" t="s">
        <v>210</v>
      </c>
      <c r="F6" s="32" t="s">
        <v>211</v>
      </c>
      <c r="G6" s="32" t="s">
        <v>212</v>
      </c>
      <c r="H6" s="32" t="s">
        <v>213</v>
      </c>
      <c r="I6" s="32" t="s">
        <v>214</v>
      </c>
      <c r="J6" s="33" t="s">
        <v>215</v>
      </c>
      <c r="K6" s="75" t="s">
        <v>317</v>
      </c>
    </row>
    <row r="7" spans="1:12" ht="11.25">
      <c r="A7" s="54">
        <v>0</v>
      </c>
      <c r="B7" s="59" t="s">
        <v>431</v>
      </c>
      <c r="C7" s="783" t="s">
        <v>216</v>
      </c>
      <c r="D7" s="784"/>
      <c r="E7" s="784"/>
      <c r="F7" s="784"/>
      <c r="G7" s="784"/>
      <c r="H7" s="784"/>
      <c r="I7" s="784"/>
      <c r="J7" s="785"/>
      <c r="K7" s="82">
        <v>1</v>
      </c>
    </row>
    <row r="8" spans="1:12" ht="11.25">
      <c r="A8" s="63" t="s">
        <v>318</v>
      </c>
      <c r="B8" s="60" t="s">
        <v>432</v>
      </c>
      <c r="C8" s="723" t="s">
        <v>217</v>
      </c>
      <c r="D8" s="786"/>
      <c r="E8" s="786"/>
      <c r="F8" s="786"/>
      <c r="G8" s="786"/>
      <c r="H8" s="786"/>
      <c r="I8" s="786"/>
      <c r="J8" s="787"/>
      <c r="K8" s="80">
        <v>2</v>
      </c>
    </row>
    <row r="9" spans="1:12" ht="11.25">
      <c r="A9" s="63" t="s">
        <v>319</v>
      </c>
      <c r="B9" s="60" t="s">
        <v>433</v>
      </c>
      <c r="C9" s="723" t="s">
        <v>420</v>
      </c>
      <c r="D9" s="786"/>
      <c r="E9" s="786"/>
      <c r="F9" s="786"/>
      <c r="G9" s="786"/>
      <c r="H9" s="786"/>
      <c r="I9" s="786"/>
      <c r="J9" s="787"/>
      <c r="K9" s="80">
        <v>2</v>
      </c>
    </row>
    <row r="10" spans="1:12" ht="11.25">
      <c r="A10" s="63" t="s">
        <v>320</v>
      </c>
      <c r="B10" s="60" t="s">
        <v>434</v>
      </c>
      <c r="C10" s="722" t="s">
        <v>218</v>
      </c>
      <c r="D10" s="722"/>
      <c r="E10" s="722"/>
      <c r="F10" s="722"/>
      <c r="G10" s="722"/>
      <c r="H10" s="722"/>
      <c r="I10" s="722"/>
      <c r="J10" s="725"/>
      <c r="K10" s="80">
        <v>2</v>
      </c>
    </row>
    <row r="11" spans="1:12" ht="11.25">
      <c r="A11" s="63" t="s">
        <v>178</v>
      </c>
      <c r="B11" s="60" t="s">
        <v>435</v>
      </c>
      <c r="C11" s="858" t="s">
        <v>179</v>
      </c>
      <c r="D11" s="859"/>
      <c r="E11" s="859"/>
      <c r="F11" s="859"/>
      <c r="G11" s="859"/>
      <c r="H11" s="859"/>
      <c r="I11" s="859"/>
      <c r="J11" s="860"/>
      <c r="K11" s="80">
        <v>2</v>
      </c>
    </row>
    <row r="12" spans="1:12" ht="12" thickBot="1">
      <c r="A12" s="55" t="s">
        <v>180</v>
      </c>
      <c r="B12" s="64" t="s">
        <v>436</v>
      </c>
      <c r="C12" s="768" t="s">
        <v>219</v>
      </c>
      <c r="D12" s="769"/>
      <c r="E12" s="769"/>
      <c r="F12" s="769"/>
      <c r="G12" s="769"/>
      <c r="H12" s="769"/>
      <c r="I12" s="769"/>
      <c r="J12" s="770"/>
      <c r="K12" s="83">
        <v>2</v>
      </c>
    </row>
    <row r="13" spans="1:12" s="61" customFormat="1" ht="15" customHeight="1">
      <c r="A13" s="54">
        <v>11</v>
      </c>
      <c r="B13" s="704" t="s">
        <v>437</v>
      </c>
      <c r="C13" s="719" t="s">
        <v>150</v>
      </c>
      <c r="D13" s="718"/>
      <c r="E13" s="718" t="s">
        <v>182</v>
      </c>
      <c r="F13" s="718"/>
      <c r="G13" s="718"/>
      <c r="H13" s="718" t="s">
        <v>183</v>
      </c>
      <c r="I13" s="718"/>
      <c r="J13" s="774"/>
      <c r="K13" s="704">
        <v>2</v>
      </c>
      <c r="L13" s="50"/>
    </row>
    <row r="14" spans="1:12" s="61" customFormat="1" ht="15" customHeight="1" thickBot="1">
      <c r="A14" s="55">
        <v>12</v>
      </c>
      <c r="B14" s="716"/>
      <c r="C14" s="720"/>
      <c r="D14" s="712"/>
      <c r="E14" s="35" t="s">
        <v>144</v>
      </c>
      <c r="F14" s="35" t="s">
        <v>145</v>
      </c>
      <c r="G14" s="35" t="s">
        <v>147</v>
      </c>
      <c r="H14" s="35" t="s">
        <v>144</v>
      </c>
      <c r="I14" s="35" t="s">
        <v>145</v>
      </c>
      <c r="J14" s="36" t="s">
        <v>147</v>
      </c>
      <c r="K14" s="716"/>
      <c r="L14" s="50"/>
    </row>
    <row r="15" spans="1:12" s="61" customFormat="1" ht="15" customHeight="1">
      <c r="A15" s="54">
        <v>13</v>
      </c>
      <c r="B15" s="704" t="s">
        <v>440</v>
      </c>
      <c r="C15" s="775" t="s">
        <v>184</v>
      </c>
      <c r="D15" s="733"/>
      <c r="E15" s="733"/>
      <c r="F15" s="733"/>
      <c r="G15" s="733" t="s">
        <v>185</v>
      </c>
      <c r="H15" s="733"/>
      <c r="I15" s="733"/>
      <c r="J15" s="734"/>
      <c r="K15" s="704">
        <v>2</v>
      </c>
    </row>
    <row r="16" spans="1:12" s="61" customFormat="1" ht="15" customHeight="1" thickBot="1">
      <c r="A16" s="55">
        <v>14</v>
      </c>
      <c r="B16" s="716"/>
      <c r="C16" s="37" t="s">
        <v>148</v>
      </c>
      <c r="D16" s="38" t="s">
        <v>186</v>
      </c>
      <c r="E16" s="38" t="s">
        <v>187</v>
      </c>
      <c r="F16" s="38" t="s">
        <v>140</v>
      </c>
      <c r="G16" s="38" t="s">
        <v>148</v>
      </c>
      <c r="H16" s="38" t="s">
        <v>186</v>
      </c>
      <c r="I16" s="38" t="s">
        <v>187</v>
      </c>
      <c r="J16" s="44" t="s">
        <v>140</v>
      </c>
      <c r="K16" s="716"/>
    </row>
    <row r="17" spans="1:17" s="61" customFormat="1" ht="15" customHeight="1">
      <c r="A17" s="54">
        <v>15</v>
      </c>
      <c r="B17" s="704" t="s">
        <v>441</v>
      </c>
      <c r="C17" s="719" t="s">
        <v>141</v>
      </c>
      <c r="D17" s="718"/>
      <c r="E17" s="718"/>
      <c r="F17" s="718"/>
      <c r="G17" s="718" t="s">
        <v>142</v>
      </c>
      <c r="H17" s="718"/>
      <c r="I17" s="718" t="s">
        <v>143</v>
      </c>
      <c r="J17" s="774"/>
      <c r="K17" s="704">
        <v>2</v>
      </c>
    </row>
    <row r="18" spans="1:17" s="61" customFormat="1" ht="15" customHeight="1" thickBot="1">
      <c r="A18" s="55">
        <v>16</v>
      </c>
      <c r="B18" s="716"/>
      <c r="C18" s="71" t="s">
        <v>144</v>
      </c>
      <c r="D18" s="39" t="s">
        <v>145</v>
      </c>
      <c r="E18" s="39" t="s">
        <v>146</v>
      </c>
      <c r="F18" s="39" t="s">
        <v>147</v>
      </c>
      <c r="G18" s="35" t="s">
        <v>148</v>
      </c>
      <c r="H18" s="35" t="s">
        <v>149</v>
      </c>
      <c r="I18" s="35" t="s">
        <v>148</v>
      </c>
      <c r="J18" s="36" t="s">
        <v>149</v>
      </c>
      <c r="K18" s="716"/>
    </row>
    <row r="19" spans="1:17" ht="12" thickBot="1">
      <c r="A19" s="58" t="s">
        <v>188</v>
      </c>
      <c r="B19" s="58" t="s">
        <v>457</v>
      </c>
      <c r="C19" s="90" t="s">
        <v>150</v>
      </c>
      <c r="D19" s="41" t="s">
        <v>151</v>
      </c>
      <c r="E19" s="40" t="s">
        <v>152</v>
      </c>
      <c r="F19" s="40" t="s">
        <v>153</v>
      </c>
      <c r="G19" s="40" t="s">
        <v>154</v>
      </c>
      <c r="H19" s="40" t="s">
        <v>155</v>
      </c>
      <c r="I19" s="40" t="s">
        <v>156</v>
      </c>
      <c r="J19" s="42" t="s">
        <v>31</v>
      </c>
      <c r="K19" s="81">
        <v>2</v>
      </c>
    </row>
    <row r="20" spans="1:17" ht="12" thickBot="1">
      <c r="A20" s="58" t="s">
        <v>189</v>
      </c>
      <c r="B20" s="55" t="s">
        <v>442</v>
      </c>
      <c r="C20" s="91" t="s">
        <v>150</v>
      </c>
      <c r="D20" s="43" t="s">
        <v>157</v>
      </c>
      <c r="E20" s="43" t="s">
        <v>158</v>
      </c>
      <c r="F20" s="43" t="s">
        <v>150</v>
      </c>
      <c r="G20" s="793" t="s">
        <v>428</v>
      </c>
      <c r="H20" s="793"/>
      <c r="I20" s="793"/>
      <c r="J20" s="794"/>
      <c r="K20" s="58">
        <v>2</v>
      </c>
    </row>
    <row r="21" spans="1:17" ht="11.25">
      <c r="A21" s="54" t="s">
        <v>190</v>
      </c>
      <c r="B21" s="704" t="s">
        <v>453</v>
      </c>
      <c r="C21" s="775" t="s">
        <v>159</v>
      </c>
      <c r="D21" s="733"/>
      <c r="E21" s="733"/>
      <c r="F21" s="733"/>
      <c r="G21" s="733" t="s">
        <v>578</v>
      </c>
      <c r="H21" s="733"/>
      <c r="I21" s="733"/>
      <c r="J21" s="734"/>
      <c r="K21" s="54">
        <v>2</v>
      </c>
    </row>
    <row r="22" spans="1:17" ht="11.25">
      <c r="A22" s="63" t="s">
        <v>191</v>
      </c>
      <c r="B22" s="717"/>
      <c r="C22" s="782" t="s">
        <v>161</v>
      </c>
      <c r="D22" s="779"/>
      <c r="E22" s="779"/>
      <c r="F22" s="779"/>
      <c r="G22" s="779" t="s">
        <v>162</v>
      </c>
      <c r="H22" s="779"/>
      <c r="I22" s="779"/>
      <c r="J22" s="780"/>
      <c r="K22" s="63">
        <v>2</v>
      </c>
    </row>
    <row r="23" spans="1:17" ht="12" thickBot="1">
      <c r="A23" s="55" t="s">
        <v>321</v>
      </c>
      <c r="B23" s="716"/>
      <c r="C23" s="788" t="s">
        <v>192</v>
      </c>
      <c r="D23" s="772"/>
      <c r="E23" s="772"/>
      <c r="F23" s="772"/>
      <c r="G23" s="772" t="s">
        <v>193</v>
      </c>
      <c r="H23" s="772"/>
      <c r="I23" s="772"/>
      <c r="J23" s="773"/>
      <c r="K23" s="55">
        <v>2</v>
      </c>
    </row>
    <row r="24" spans="1:17" ht="11.25">
      <c r="A24" s="63" t="s">
        <v>322</v>
      </c>
      <c r="B24" s="717" t="s">
        <v>450</v>
      </c>
      <c r="C24" s="719" t="s">
        <v>194</v>
      </c>
      <c r="D24" s="718"/>
      <c r="E24" s="718"/>
      <c r="F24" s="718"/>
      <c r="G24" s="718" t="s">
        <v>577</v>
      </c>
      <c r="H24" s="718"/>
      <c r="I24" s="718"/>
      <c r="J24" s="774"/>
      <c r="K24" s="54">
        <v>2</v>
      </c>
    </row>
    <row r="25" spans="1:17" ht="11.25">
      <c r="A25" s="63" t="s">
        <v>323</v>
      </c>
      <c r="B25" s="717"/>
      <c r="C25" s="771" t="s">
        <v>196</v>
      </c>
      <c r="D25" s="707"/>
      <c r="E25" s="707"/>
      <c r="F25" s="707"/>
      <c r="G25" s="707" t="s">
        <v>197</v>
      </c>
      <c r="H25" s="707"/>
      <c r="I25" s="707"/>
      <c r="J25" s="732"/>
      <c r="K25" s="63">
        <v>2</v>
      </c>
    </row>
    <row r="26" spans="1:17" ht="12" thickBot="1">
      <c r="A26" s="55" t="s">
        <v>324</v>
      </c>
      <c r="B26" s="716"/>
      <c r="C26" s="720" t="s">
        <v>198</v>
      </c>
      <c r="D26" s="712"/>
      <c r="E26" s="712"/>
      <c r="F26" s="712"/>
      <c r="G26" s="712" t="s">
        <v>199</v>
      </c>
      <c r="H26" s="712"/>
      <c r="I26" s="712"/>
      <c r="J26" s="735"/>
      <c r="K26" s="55">
        <v>2</v>
      </c>
    </row>
    <row r="27" spans="1:17" ht="13.5" customHeight="1">
      <c r="A27" s="704" t="s">
        <v>560</v>
      </c>
      <c r="B27" s="704" t="s">
        <v>561</v>
      </c>
      <c r="C27" s="801" t="s">
        <v>581</v>
      </c>
      <c r="D27" s="802"/>
      <c r="E27" s="802"/>
      <c r="F27" s="803"/>
      <c r="G27" s="795" t="s">
        <v>582</v>
      </c>
      <c r="H27" s="796"/>
      <c r="I27" s="796"/>
      <c r="J27" s="797"/>
      <c r="K27" s="742">
        <v>2</v>
      </c>
    </row>
    <row r="28" spans="1:17" ht="12" thickBot="1">
      <c r="A28" s="716"/>
      <c r="B28" s="716"/>
      <c r="C28" s="139" t="s">
        <v>562</v>
      </c>
      <c r="D28" s="121" t="s">
        <v>563</v>
      </c>
      <c r="E28" s="121" t="s">
        <v>564</v>
      </c>
      <c r="F28" s="121" t="s">
        <v>565</v>
      </c>
      <c r="G28" s="120" t="s">
        <v>566</v>
      </c>
      <c r="H28" s="121" t="s">
        <v>567</v>
      </c>
      <c r="I28" s="121" t="s">
        <v>568</v>
      </c>
      <c r="J28" s="122" t="s">
        <v>569</v>
      </c>
      <c r="K28" s="743"/>
      <c r="L28" s="61"/>
      <c r="M28" s="61"/>
      <c r="N28" s="74"/>
      <c r="O28" s="61"/>
      <c r="P28" s="61"/>
      <c r="Q28" s="61"/>
    </row>
    <row r="29" spans="1:17" ht="11.25">
      <c r="A29" s="54" t="s">
        <v>370</v>
      </c>
      <c r="B29" s="704" t="s">
        <v>486</v>
      </c>
      <c r="C29" s="890" t="s">
        <v>205</v>
      </c>
      <c r="D29" s="891"/>
      <c r="E29" s="891"/>
      <c r="F29" s="891"/>
      <c r="G29" s="891"/>
      <c r="H29" s="891"/>
      <c r="I29" s="891"/>
      <c r="J29" s="892"/>
      <c r="K29" s="54">
        <v>2</v>
      </c>
    </row>
    <row r="30" spans="1:17" ht="12" thickBot="1">
      <c r="A30" s="55" t="s">
        <v>325</v>
      </c>
      <c r="B30" s="716"/>
      <c r="C30" s="893" t="s">
        <v>205</v>
      </c>
      <c r="D30" s="894"/>
      <c r="E30" s="894"/>
      <c r="F30" s="894"/>
      <c r="G30" s="894"/>
      <c r="H30" s="894"/>
      <c r="I30" s="894"/>
      <c r="J30" s="895"/>
      <c r="K30" s="55">
        <v>2</v>
      </c>
    </row>
    <row r="31" spans="1:17" ht="11.25">
      <c r="A31" s="63" t="s">
        <v>326</v>
      </c>
      <c r="B31" s="54" t="s">
        <v>487</v>
      </c>
      <c r="C31" s="821" t="s">
        <v>206</v>
      </c>
      <c r="D31" s="821"/>
      <c r="E31" s="821"/>
      <c r="F31" s="821"/>
      <c r="G31" s="821"/>
      <c r="H31" s="821"/>
      <c r="I31" s="821"/>
      <c r="J31" s="822"/>
      <c r="K31" s="54">
        <v>2</v>
      </c>
    </row>
    <row r="32" spans="1:17" ht="12" thickBot="1">
      <c r="A32" s="55">
        <v>41</v>
      </c>
      <c r="B32" s="55" t="s">
        <v>488</v>
      </c>
      <c r="C32" s="727" t="s">
        <v>207</v>
      </c>
      <c r="D32" s="727"/>
      <c r="E32" s="727"/>
      <c r="F32" s="727"/>
      <c r="G32" s="727"/>
      <c r="H32" s="727"/>
      <c r="I32" s="727"/>
      <c r="J32" s="778"/>
      <c r="K32" s="55">
        <v>1</v>
      </c>
    </row>
    <row r="33" spans="1:11" ht="11.25">
      <c r="A33" s="77"/>
      <c r="B33" s="77"/>
    </row>
    <row r="34" spans="1:11" ht="11.25" thickBot="1"/>
    <row r="35" spans="1:11" ht="12" thickBot="1">
      <c r="A35" s="736" t="s">
        <v>587</v>
      </c>
      <c r="B35" s="737"/>
      <c r="C35" s="737"/>
      <c r="D35" s="737"/>
      <c r="E35" s="737"/>
      <c r="F35" s="737"/>
      <c r="G35" s="737"/>
      <c r="H35" s="737"/>
      <c r="I35" s="737"/>
      <c r="J35" s="737"/>
      <c r="K35" s="738"/>
    </row>
    <row r="36" spans="1:11" ht="12" thickBot="1">
      <c r="A36" s="58" t="s">
        <v>316</v>
      </c>
      <c r="B36" s="58" t="s">
        <v>449</v>
      </c>
      <c r="C36" s="52" t="s">
        <v>208</v>
      </c>
      <c r="D36" s="32" t="s">
        <v>209</v>
      </c>
      <c r="E36" s="32" t="s">
        <v>210</v>
      </c>
      <c r="F36" s="32" t="s">
        <v>211</v>
      </c>
      <c r="G36" s="32" t="s">
        <v>212</v>
      </c>
      <c r="H36" s="32" t="s">
        <v>213</v>
      </c>
      <c r="I36" s="32" t="s">
        <v>214</v>
      </c>
      <c r="J36" s="33" t="s">
        <v>215</v>
      </c>
      <c r="K36" s="75" t="s">
        <v>317</v>
      </c>
    </row>
    <row r="37" spans="1:11" ht="11.25">
      <c r="A37" s="54">
        <v>0</v>
      </c>
      <c r="B37" s="59" t="s">
        <v>431</v>
      </c>
      <c r="C37" s="783" t="s">
        <v>216</v>
      </c>
      <c r="D37" s="784"/>
      <c r="E37" s="784"/>
      <c r="F37" s="784"/>
      <c r="G37" s="784"/>
      <c r="H37" s="784"/>
      <c r="I37" s="784"/>
      <c r="J37" s="896"/>
      <c r="K37" s="82">
        <v>1</v>
      </c>
    </row>
    <row r="38" spans="1:11" ht="11.25">
      <c r="A38" s="63" t="s">
        <v>318</v>
      </c>
      <c r="B38" s="60" t="s">
        <v>432</v>
      </c>
      <c r="C38" s="723" t="s">
        <v>217</v>
      </c>
      <c r="D38" s="786"/>
      <c r="E38" s="786"/>
      <c r="F38" s="786"/>
      <c r="G38" s="786"/>
      <c r="H38" s="786"/>
      <c r="I38" s="786"/>
      <c r="J38" s="724"/>
      <c r="K38" s="80">
        <v>2</v>
      </c>
    </row>
    <row r="39" spans="1:11" ht="11.25">
      <c r="A39" s="63" t="s">
        <v>319</v>
      </c>
      <c r="B39" s="60" t="s">
        <v>433</v>
      </c>
      <c r="C39" s="723" t="s">
        <v>420</v>
      </c>
      <c r="D39" s="786"/>
      <c r="E39" s="786"/>
      <c r="F39" s="786"/>
      <c r="G39" s="786"/>
      <c r="H39" s="786"/>
      <c r="I39" s="786"/>
      <c r="J39" s="787"/>
      <c r="K39" s="80">
        <v>2</v>
      </c>
    </row>
    <row r="40" spans="1:11" ht="11.25">
      <c r="A40" s="63" t="s">
        <v>320</v>
      </c>
      <c r="B40" s="60" t="s">
        <v>434</v>
      </c>
      <c r="C40" s="722" t="s">
        <v>218</v>
      </c>
      <c r="D40" s="722"/>
      <c r="E40" s="722"/>
      <c r="F40" s="722"/>
      <c r="G40" s="722"/>
      <c r="H40" s="722"/>
      <c r="I40" s="722"/>
      <c r="J40" s="722"/>
      <c r="K40" s="80">
        <v>2</v>
      </c>
    </row>
    <row r="41" spans="1:11" ht="11.25">
      <c r="A41" s="63" t="s">
        <v>178</v>
      </c>
      <c r="B41" s="60" t="s">
        <v>435</v>
      </c>
      <c r="C41" s="858" t="s">
        <v>179</v>
      </c>
      <c r="D41" s="859"/>
      <c r="E41" s="859"/>
      <c r="F41" s="859"/>
      <c r="G41" s="859"/>
      <c r="H41" s="859"/>
      <c r="I41" s="859"/>
      <c r="J41" s="898"/>
      <c r="K41" s="80">
        <v>2</v>
      </c>
    </row>
    <row r="42" spans="1:11" ht="12" thickBot="1">
      <c r="A42" s="55" t="s">
        <v>180</v>
      </c>
      <c r="B42" s="64" t="s">
        <v>436</v>
      </c>
      <c r="C42" s="768" t="s">
        <v>219</v>
      </c>
      <c r="D42" s="769"/>
      <c r="E42" s="769"/>
      <c r="F42" s="769"/>
      <c r="G42" s="769"/>
      <c r="H42" s="769"/>
      <c r="I42" s="769"/>
      <c r="J42" s="899"/>
      <c r="K42" s="83">
        <v>2</v>
      </c>
    </row>
    <row r="43" spans="1:11" ht="11.25" customHeight="1">
      <c r="A43" s="54" t="s">
        <v>371</v>
      </c>
      <c r="B43" s="704" t="s">
        <v>1031</v>
      </c>
      <c r="C43" s="806" t="s">
        <v>1410</v>
      </c>
      <c r="D43" s="807"/>
      <c r="E43" s="807"/>
      <c r="F43" s="807"/>
      <c r="G43" s="807"/>
      <c r="H43" s="807"/>
      <c r="I43" s="807"/>
      <c r="J43" s="808"/>
      <c r="K43" s="82">
        <v>2</v>
      </c>
    </row>
    <row r="44" spans="1:11" ht="14.25" customHeight="1" thickBot="1">
      <c r="A44" s="55" t="s">
        <v>372</v>
      </c>
      <c r="B44" s="716"/>
      <c r="C44" s="809"/>
      <c r="D44" s="810"/>
      <c r="E44" s="810"/>
      <c r="F44" s="810"/>
      <c r="G44" s="810"/>
      <c r="H44" s="810"/>
      <c r="I44" s="810"/>
      <c r="J44" s="811"/>
      <c r="K44" s="83">
        <v>2</v>
      </c>
    </row>
    <row r="45" spans="1:11" ht="11.25">
      <c r="A45" s="278" t="s">
        <v>300</v>
      </c>
      <c r="B45" s="840" t="s">
        <v>1368</v>
      </c>
      <c r="C45" s="843" t="s">
        <v>1299</v>
      </c>
      <c r="D45" s="844"/>
      <c r="E45" s="844"/>
      <c r="F45" s="844"/>
      <c r="G45" s="844"/>
      <c r="H45" s="844"/>
      <c r="I45" s="844"/>
      <c r="J45" s="845"/>
      <c r="K45" s="279">
        <v>2</v>
      </c>
    </row>
    <row r="46" spans="1:11" ht="11.25">
      <c r="A46" s="280" t="s">
        <v>188</v>
      </c>
      <c r="B46" s="841"/>
      <c r="C46" s="846" t="s">
        <v>1301</v>
      </c>
      <c r="D46" s="847"/>
      <c r="E46" s="847"/>
      <c r="F46" s="847"/>
      <c r="G46" s="847"/>
      <c r="H46" s="847"/>
      <c r="I46" s="847"/>
      <c r="J46" s="848"/>
      <c r="K46" s="281">
        <v>2</v>
      </c>
    </row>
    <row r="47" spans="1:11" ht="14.25" customHeight="1" thickBot="1">
      <c r="A47" s="282" t="s">
        <v>189</v>
      </c>
      <c r="B47" s="842"/>
      <c r="C47" s="849" t="s">
        <v>1302</v>
      </c>
      <c r="D47" s="850"/>
      <c r="E47" s="850"/>
      <c r="F47" s="850"/>
      <c r="G47" s="850"/>
      <c r="H47" s="850"/>
      <c r="I47" s="850"/>
      <c r="J47" s="851"/>
      <c r="K47" s="283">
        <v>2</v>
      </c>
    </row>
    <row r="48" spans="1:11" ht="11.25">
      <c r="A48" s="63" t="s">
        <v>190</v>
      </c>
      <c r="B48" s="63" t="s">
        <v>487</v>
      </c>
      <c r="C48" s="821" t="s">
        <v>206</v>
      </c>
      <c r="D48" s="821"/>
      <c r="E48" s="821"/>
      <c r="F48" s="821"/>
      <c r="G48" s="821"/>
      <c r="H48" s="821"/>
      <c r="I48" s="821"/>
      <c r="J48" s="821"/>
      <c r="K48" s="80">
        <v>2</v>
      </c>
    </row>
    <row r="49" spans="1:11" ht="12" thickBot="1">
      <c r="A49" s="55">
        <v>23</v>
      </c>
      <c r="B49" s="64" t="s">
        <v>488</v>
      </c>
      <c r="C49" s="897" t="s">
        <v>207</v>
      </c>
      <c r="D49" s="897"/>
      <c r="E49" s="897"/>
      <c r="F49" s="897"/>
      <c r="G49" s="897"/>
      <c r="H49" s="897"/>
      <c r="I49" s="897"/>
      <c r="J49" s="897"/>
      <c r="K49" s="83">
        <v>1</v>
      </c>
    </row>
  </sheetData>
  <mergeCells count="62">
    <mergeCell ref="C49:J49"/>
    <mergeCell ref="C13:D14"/>
    <mergeCell ref="E13:G13"/>
    <mergeCell ref="H13:J13"/>
    <mergeCell ref="C15:F15"/>
    <mergeCell ref="C40:J40"/>
    <mergeCell ref="C41:J41"/>
    <mergeCell ref="C42:J42"/>
    <mergeCell ref="C23:F23"/>
    <mergeCell ref="G23:J23"/>
    <mergeCell ref="C21:F21"/>
    <mergeCell ref="G21:J21"/>
    <mergeCell ref="C32:J32"/>
    <mergeCell ref="C26:F26"/>
    <mergeCell ref="G22:J22"/>
    <mergeCell ref="G26:J26"/>
    <mergeCell ref="A1:K1"/>
    <mergeCell ref="K13:K14"/>
    <mergeCell ref="K15:K16"/>
    <mergeCell ref="C9:J9"/>
    <mergeCell ref="C7:J7"/>
    <mergeCell ref="C11:J11"/>
    <mergeCell ref="C12:J12"/>
    <mergeCell ref="C48:J48"/>
    <mergeCell ref="C37:J37"/>
    <mergeCell ref="C38:J38"/>
    <mergeCell ref="C39:J39"/>
    <mergeCell ref="G15:J15"/>
    <mergeCell ref="C27:F27"/>
    <mergeCell ref="G27:J27"/>
    <mergeCell ref="G20:J20"/>
    <mergeCell ref="G17:H17"/>
    <mergeCell ref="I17:J17"/>
    <mergeCell ref="C17:F17"/>
    <mergeCell ref="C45:J45"/>
    <mergeCell ref="B24:B26"/>
    <mergeCell ref="A5:K5"/>
    <mergeCell ref="K17:K18"/>
    <mergeCell ref="C24:F24"/>
    <mergeCell ref="G24:J24"/>
    <mergeCell ref="C25:F25"/>
    <mergeCell ref="G25:J25"/>
    <mergeCell ref="C22:F22"/>
    <mergeCell ref="C8:J8"/>
    <mergeCell ref="B13:B14"/>
    <mergeCell ref="B15:B16"/>
    <mergeCell ref="C10:J10"/>
    <mergeCell ref="B17:B18"/>
    <mergeCell ref="B21:B23"/>
    <mergeCell ref="K27:K28"/>
    <mergeCell ref="A27:A28"/>
    <mergeCell ref="B27:B28"/>
    <mergeCell ref="A35:K35"/>
    <mergeCell ref="C29:J29"/>
    <mergeCell ref="C30:J30"/>
    <mergeCell ref="C31:J31"/>
    <mergeCell ref="B45:B47"/>
    <mergeCell ref="C46:J46"/>
    <mergeCell ref="C47:J47"/>
    <mergeCell ref="C43:J44"/>
    <mergeCell ref="B29:B30"/>
    <mergeCell ref="B43:B44"/>
  </mergeCells>
  <phoneticPr fontId="2" type="noConversion"/>
  <pageMargins left="0.75" right="0.75" top="1" bottom="1" header="0.5" footer="0.5"/>
  <headerFooter alignWithMargins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8"/>
  <dimension ref="A1:Q74"/>
  <sheetViews>
    <sheetView workbookViewId="0">
      <selection activeCell="K82" sqref="K82"/>
    </sheetView>
  </sheetViews>
  <sheetFormatPr defaultRowHeight="10.5"/>
  <cols>
    <col min="1" max="2" width="5.6640625" style="51" customWidth="1"/>
    <col min="3" max="11" width="6.77734375" style="51" customWidth="1"/>
    <col min="12" max="16384" width="8.88671875" style="51"/>
  </cols>
  <sheetData>
    <row r="1" spans="1:12" s="61" customFormat="1" ht="15" customHeight="1" thickBot="1">
      <c r="A1" s="814" t="s">
        <v>311</v>
      </c>
      <c r="B1" s="815"/>
      <c r="C1" s="815"/>
      <c r="D1" s="815"/>
      <c r="E1" s="815"/>
      <c r="F1" s="815"/>
      <c r="G1" s="815"/>
      <c r="H1" s="815"/>
      <c r="I1" s="815"/>
      <c r="J1" s="815"/>
      <c r="K1" s="816"/>
    </row>
    <row r="2" spans="1:12" s="61" customFormat="1" ht="15" customHeight="1">
      <c r="A2" s="101" t="s">
        <v>312</v>
      </c>
      <c r="B2" s="133"/>
      <c r="C2" s="102" t="s">
        <v>313</v>
      </c>
      <c r="D2" s="103"/>
      <c r="E2" s="104"/>
      <c r="F2" s="104"/>
      <c r="G2" s="104"/>
      <c r="H2" s="104"/>
      <c r="J2" s="104" t="s">
        <v>52</v>
      </c>
      <c r="K2" s="106" t="s">
        <v>314</v>
      </c>
    </row>
    <row r="3" spans="1:12" s="61" customFormat="1" ht="15" customHeight="1">
      <c r="A3" s="85" t="s">
        <v>315</v>
      </c>
      <c r="B3" s="131"/>
      <c r="C3" s="26"/>
      <c r="D3" s="28"/>
      <c r="E3" s="28"/>
      <c r="F3" s="28"/>
      <c r="G3" s="28"/>
      <c r="H3" s="28"/>
      <c r="J3" s="28" t="s">
        <v>47</v>
      </c>
      <c r="K3" s="29" t="s">
        <v>937</v>
      </c>
    </row>
    <row r="4" spans="1:12" s="61" customFormat="1" ht="15" customHeight="1" thickBot="1">
      <c r="A4" s="86"/>
      <c r="B4" s="132"/>
      <c r="C4" s="87"/>
      <c r="D4" s="87"/>
      <c r="E4" s="87"/>
      <c r="F4" s="87"/>
      <c r="G4" s="87"/>
      <c r="H4" s="87"/>
      <c r="J4" s="30" t="s">
        <v>49</v>
      </c>
      <c r="K4" s="31" t="s">
        <v>939</v>
      </c>
    </row>
    <row r="5" spans="1:12" ht="12" thickBot="1">
      <c r="A5" s="736" t="s">
        <v>588</v>
      </c>
      <c r="B5" s="737"/>
      <c r="C5" s="737"/>
      <c r="D5" s="737"/>
      <c r="E5" s="737"/>
      <c r="F5" s="737"/>
      <c r="G5" s="737"/>
      <c r="H5" s="737"/>
      <c r="I5" s="737"/>
      <c r="J5" s="737"/>
      <c r="K5" s="738"/>
    </row>
    <row r="6" spans="1:12" ht="12" thickBot="1">
      <c r="A6" s="58" t="s">
        <v>316</v>
      </c>
      <c r="B6" s="58" t="s">
        <v>448</v>
      </c>
      <c r="C6" s="52" t="s">
        <v>208</v>
      </c>
      <c r="D6" s="32" t="s">
        <v>209</v>
      </c>
      <c r="E6" s="32" t="s">
        <v>210</v>
      </c>
      <c r="F6" s="32" t="s">
        <v>211</v>
      </c>
      <c r="G6" s="32" t="s">
        <v>212</v>
      </c>
      <c r="H6" s="32" t="s">
        <v>213</v>
      </c>
      <c r="I6" s="32" t="s">
        <v>214</v>
      </c>
      <c r="J6" s="33" t="s">
        <v>215</v>
      </c>
      <c r="K6" s="75" t="s">
        <v>317</v>
      </c>
    </row>
    <row r="7" spans="1:12" ht="11.25">
      <c r="A7" s="54">
        <v>0</v>
      </c>
      <c r="B7" s="53" t="s">
        <v>431</v>
      </c>
      <c r="C7" s="783" t="s">
        <v>216</v>
      </c>
      <c r="D7" s="784"/>
      <c r="E7" s="784"/>
      <c r="F7" s="784"/>
      <c r="G7" s="784"/>
      <c r="H7" s="784"/>
      <c r="I7" s="784"/>
      <c r="J7" s="785"/>
      <c r="K7" s="82">
        <v>1</v>
      </c>
    </row>
    <row r="8" spans="1:12" ht="11.25">
      <c r="A8" s="63" t="s">
        <v>318</v>
      </c>
      <c r="B8" s="60" t="s">
        <v>432</v>
      </c>
      <c r="C8" s="723" t="s">
        <v>217</v>
      </c>
      <c r="D8" s="786"/>
      <c r="E8" s="786"/>
      <c r="F8" s="786"/>
      <c r="G8" s="786"/>
      <c r="H8" s="786"/>
      <c r="I8" s="786"/>
      <c r="J8" s="787"/>
      <c r="K8" s="80">
        <v>2</v>
      </c>
    </row>
    <row r="9" spans="1:12" ht="11.25">
      <c r="A9" s="63" t="s">
        <v>319</v>
      </c>
      <c r="B9" s="60" t="s">
        <v>433</v>
      </c>
      <c r="C9" s="723" t="s">
        <v>421</v>
      </c>
      <c r="D9" s="786"/>
      <c r="E9" s="786"/>
      <c r="F9" s="786"/>
      <c r="G9" s="786"/>
      <c r="H9" s="786"/>
      <c r="I9" s="786"/>
      <c r="J9" s="787"/>
      <c r="K9" s="80">
        <v>2</v>
      </c>
    </row>
    <row r="10" spans="1:12" ht="11.25">
      <c r="A10" s="63" t="s">
        <v>320</v>
      </c>
      <c r="B10" s="60" t="s">
        <v>434</v>
      </c>
      <c r="C10" s="722" t="s">
        <v>218</v>
      </c>
      <c r="D10" s="722"/>
      <c r="E10" s="722"/>
      <c r="F10" s="722"/>
      <c r="G10" s="722"/>
      <c r="H10" s="722"/>
      <c r="I10" s="722"/>
      <c r="J10" s="725"/>
      <c r="K10" s="80">
        <v>2</v>
      </c>
    </row>
    <row r="11" spans="1:12" ht="11.25">
      <c r="A11" s="63" t="s">
        <v>178</v>
      </c>
      <c r="B11" s="60" t="s">
        <v>435</v>
      </c>
      <c r="C11" s="858" t="s">
        <v>179</v>
      </c>
      <c r="D11" s="859"/>
      <c r="E11" s="859"/>
      <c r="F11" s="859"/>
      <c r="G11" s="859"/>
      <c r="H11" s="859"/>
      <c r="I11" s="859"/>
      <c r="J11" s="860"/>
      <c r="K11" s="80">
        <v>2</v>
      </c>
    </row>
    <row r="12" spans="1:12" ht="12" thickBot="1">
      <c r="A12" s="55" t="s">
        <v>180</v>
      </c>
      <c r="B12" s="64" t="s">
        <v>436</v>
      </c>
      <c r="C12" s="768" t="s">
        <v>219</v>
      </c>
      <c r="D12" s="769"/>
      <c r="E12" s="769"/>
      <c r="F12" s="769"/>
      <c r="G12" s="769"/>
      <c r="H12" s="769"/>
      <c r="I12" s="769"/>
      <c r="J12" s="770"/>
      <c r="K12" s="83">
        <v>2</v>
      </c>
      <c r="L12" s="61"/>
    </row>
    <row r="13" spans="1:12" s="61" customFormat="1" ht="15" customHeight="1">
      <c r="A13" s="54">
        <v>11</v>
      </c>
      <c r="B13" s="704" t="s">
        <v>437</v>
      </c>
      <c r="C13" s="719" t="s">
        <v>150</v>
      </c>
      <c r="D13" s="718"/>
      <c r="E13" s="718" t="s">
        <v>182</v>
      </c>
      <c r="F13" s="718"/>
      <c r="G13" s="718"/>
      <c r="H13" s="718" t="s">
        <v>183</v>
      </c>
      <c r="I13" s="718"/>
      <c r="J13" s="774"/>
      <c r="K13" s="704">
        <v>2</v>
      </c>
    </row>
    <row r="14" spans="1:12" s="61" customFormat="1" ht="15" customHeight="1" thickBot="1">
      <c r="A14" s="55">
        <v>12</v>
      </c>
      <c r="B14" s="716"/>
      <c r="C14" s="720"/>
      <c r="D14" s="712"/>
      <c r="E14" s="35" t="s">
        <v>144</v>
      </c>
      <c r="F14" s="35" t="s">
        <v>145</v>
      </c>
      <c r="G14" s="35" t="s">
        <v>147</v>
      </c>
      <c r="H14" s="35" t="s">
        <v>144</v>
      </c>
      <c r="I14" s="35" t="s">
        <v>145</v>
      </c>
      <c r="J14" s="36" t="s">
        <v>147</v>
      </c>
      <c r="K14" s="716"/>
      <c r="L14" s="50"/>
    </row>
    <row r="15" spans="1:12" s="61" customFormat="1" ht="15" customHeight="1">
      <c r="A15" s="54">
        <v>13</v>
      </c>
      <c r="B15" s="704" t="s">
        <v>440</v>
      </c>
      <c r="C15" s="775" t="s">
        <v>184</v>
      </c>
      <c r="D15" s="733"/>
      <c r="E15" s="733"/>
      <c r="F15" s="733"/>
      <c r="G15" s="733" t="s">
        <v>185</v>
      </c>
      <c r="H15" s="733"/>
      <c r="I15" s="733"/>
      <c r="J15" s="734"/>
      <c r="K15" s="704">
        <v>2</v>
      </c>
      <c r="L15" s="50"/>
    </row>
    <row r="16" spans="1:12" s="61" customFormat="1" ht="15" customHeight="1" thickBot="1">
      <c r="A16" s="55">
        <v>14</v>
      </c>
      <c r="B16" s="716"/>
      <c r="C16" s="37" t="s">
        <v>148</v>
      </c>
      <c r="D16" s="38" t="s">
        <v>186</v>
      </c>
      <c r="E16" s="38" t="s">
        <v>187</v>
      </c>
      <c r="F16" s="38" t="s">
        <v>140</v>
      </c>
      <c r="G16" s="38" t="s">
        <v>148</v>
      </c>
      <c r="H16" s="38" t="s">
        <v>186</v>
      </c>
      <c r="I16" s="38" t="s">
        <v>187</v>
      </c>
      <c r="J16" s="44" t="s">
        <v>140</v>
      </c>
      <c r="K16" s="716"/>
      <c r="L16" s="50"/>
    </row>
    <row r="17" spans="1:17" s="61" customFormat="1" ht="15" customHeight="1">
      <c r="A17" s="54">
        <v>15</v>
      </c>
      <c r="B17" s="704" t="s">
        <v>441</v>
      </c>
      <c r="C17" s="719" t="s">
        <v>141</v>
      </c>
      <c r="D17" s="718"/>
      <c r="E17" s="718"/>
      <c r="F17" s="718"/>
      <c r="G17" s="718" t="s">
        <v>142</v>
      </c>
      <c r="H17" s="718"/>
      <c r="I17" s="718" t="s">
        <v>143</v>
      </c>
      <c r="J17" s="774"/>
      <c r="K17" s="704">
        <v>2</v>
      </c>
      <c r="L17" s="50"/>
    </row>
    <row r="18" spans="1:17" s="61" customFormat="1" ht="15" customHeight="1" thickBot="1">
      <c r="A18" s="55">
        <v>16</v>
      </c>
      <c r="B18" s="716"/>
      <c r="C18" s="71" t="s">
        <v>144</v>
      </c>
      <c r="D18" s="39" t="s">
        <v>145</v>
      </c>
      <c r="E18" s="39" t="s">
        <v>146</v>
      </c>
      <c r="F18" s="39" t="s">
        <v>147</v>
      </c>
      <c r="G18" s="35" t="s">
        <v>148</v>
      </c>
      <c r="H18" s="35" t="s">
        <v>149</v>
      </c>
      <c r="I18" s="35" t="s">
        <v>148</v>
      </c>
      <c r="J18" s="36" t="s">
        <v>149</v>
      </c>
      <c r="K18" s="716"/>
    </row>
    <row r="19" spans="1:17" ht="12" thickBot="1">
      <c r="A19" s="58" t="s">
        <v>188</v>
      </c>
      <c r="B19" s="54" t="s">
        <v>457</v>
      </c>
      <c r="C19" s="90" t="s">
        <v>150</v>
      </c>
      <c r="D19" s="41" t="s">
        <v>151</v>
      </c>
      <c r="E19" s="40" t="s">
        <v>152</v>
      </c>
      <c r="F19" s="40" t="s">
        <v>153</v>
      </c>
      <c r="G19" s="40" t="s">
        <v>154</v>
      </c>
      <c r="H19" s="40" t="s">
        <v>155</v>
      </c>
      <c r="I19" s="40" t="s">
        <v>156</v>
      </c>
      <c r="J19" s="42" t="s">
        <v>31</v>
      </c>
      <c r="K19" s="81">
        <v>2</v>
      </c>
      <c r="L19" s="61"/>
    </row>
    <row r="20" spans="1:17" ht="12" thickBot="1">
      <c r="A20" s="58" t="s">
        <v>189</v>
      </c>
      <c r="B20" s="58" t="s">
        <v>442</v>
      </c>
      <c r="C20" s="91" t="s">
        <v>150</v>
      </c>
      <c r="D20" s="43" t="s">
        <v>157</v>
      </c>
      <c r="E20" s="43" t="s">
        <v>158</v>
      </c>
      <c r="F20" s="43" t="s">
        <v>150</v>
      </c>
      <c r="G20" s="793" t="s">
        <v>428</v>
      </c>
      <c r="H20" s="793"/>
      <c r="I20" s="793"/>
      <c r="J20" s="794"/>
      <c r="K20" s="81">
        <v>2</v>
      </c>
      <c r="L20" s="61"/>
    </row>
    <row r="21" spans="1:17" ht="11.25">
      <c r="A21" s="63" t="s">
        <v>190</v>
      </c>
      <c r="B21" s="704" t="s">
        <v>453</v>
      </c>
      <c r="C21" s="775" t="s">
        <v>159</v>
      </c>
      <c r="D21" s="733"/>
      <c r="E21" s="733"/>
      <c r="F21" s="733"/>
      <c r="G21" s="733" t="s">
        <v>578</v>
      </c>
      <c r="H21" s="733"/>
      <c r="I21" s="733"/>
      <c r="J21" s="734"/>
      <c r="K21" s="82">
        <v>2</v>
      </c>
      <c r="L21" s="61"/>
    </row>
    <row r="22" spans="1:17" ht="11.25">
      <c r="A22" s="63" t="s">
        <v>191</v>
      </c>
      <c r="B22" s="717"/>
      <c r="C22" s="782" t="s">
        <v>161</v>
      </c>
      <c r="D22" s="779"/>
      <c r="E22" s="779"/>
      <c r="F22" s="779"/>
      <c r="G22" s="779" t="s">
        <v>162</v>
      </c>
      <c r="H22" s="779"/>
      <c r="I22" s="779"/>
      <c r="J22" s="780"/>
      <c r="K22" s="80">
        <v>2</v>
      </c>
    </row>
    <row r="23" spans="1:17" ht="12" thickBot="1">
      <c r="A23" s="63" t="s">
        <v>321</v>
      </c>
      <c r="B23" s="717"/>
      <c r="C23" s="788" t="s">
        <v>192</v>
      </c>
      <c r="D23" s="772"/>
      <c r="E23" s="772"/>
      <c r="F23" s="772"/>
      <c r="G23" s="772" t="s">
        <v>193</v>
      </c>
      <c r="H23" s="772"/>
      <c r="I23" s="772"/>
      <c r="J23" s="773"/>
      <c r="K23" s="83">
        <v>2</v>
      </c>
      <c r="L23" s="50"/>
    </row>
    <row r="24" spans="1:17" ht="11.25">
      <c r="A24" s="54" t="s">
        <v>322</v>
      </c>
      <c r="B24" s="704" t="s">
        <v>450</v>
      </c>
      <c r="C24" s="719" t="s">
        <v>194</v>
      </c>
      <c r="D24" s="718"/>
      <c r="E24" s="718"/>
      <c r="F24" s="718"/>
      <c r="G24" s="718" t="s">
        <v>579</v>
      </c>
      <c r="H24" s="718"/>
      <c r="I24" s="718"/>
      <c r="J24" s="774"/>
      <c r="K24" s="82">
        <v>2</v>
      </c>
    </row>
    <row r="25" spans="1:17" ht="11.25">
      <c r="A25" s="63" t="s">
        <v>323</v>
      </c>
      <c r="B25" s="717"/>
      <c r="C25" s="771" t="s">
        <v>196</v>
      </c>
      <c r="D25" s="707"/>
      <c r="E25" s="707"/>
      <c r="F25" s="707"/>
      <c r="G25" s="707" t="s">
        <v>197</v>
      </c>
      <c r="H25" s="707"/>
      <c r="I25" s="707"/>
      <c r="J25" s="732"/>
      <c r="K25" s="80">
        <v>2</v>
      </c>
    </row>
    <row r="26" spans="1:17" ht="12" thickBot="1">
      <c r="A26" s="55" t="s">
        <v>324</v>
      </c>
      <c r="B26" s="716"/>
      <c r="C26" s="720" t="s">
        <v>198</v>
      </c>
      <c r="D26" s="712"/>
      <c r="E26" s="712"/>
      <c r="F26" s="712"/>
      <c r="G26" s="712" t="s">
        <v>199</v>
      </c>
      <c r="H26" s="712"/>
      <c r="I26" s="712"/>
      <c r="J26" s="735"/>
      <c r="K26" s="83">
        <v>2</v>
      </c>
    </row>
    <row r="27" spans="1:17" s="61" customFormat="1" ht="15" customHeight="1">
      <c r="A27" s="704" t="s">
        <v>289</v>
      </c>
      <c r="B27" s="704" t="s">
        <v>532</v>
      </c>
      <c r="C27" s="801" t="s">
        <v>581</v>
      </c>
      <c r="D27" s="802"/>
      <c r="E27" s="802"/>
      <c r="F27" s="803"/>
      <c r="G27" s="795" t="s">
        <v>582</v>
      </c>
      <c r="H27" s="796"/>
      <c r="I27" s="796"/>
      <c r="J27" s="797"/>
      <c r="K27" s="742">
        <v>2</v>
      </c>
      <c r="L27" s="51"/>
      <c r="M27" s="51"/>
      <c r="N27" s="51"/>
      <c r="O27" s="51"/>
      <c r="P27" s="51"/>
      <c r="Q27" s="51"/>
    </row>
    <row r="28" spans="1:17" s="61" customFormat="1" ht="15" customHeight="1" thickBot="1">
      <c r="A28" s="716"/>
      <c r="B28" s="716"/>
      <c r="C28" s="139" t="s">
        <v>535</v>
      </c>
      <c r="D28" s="121" t="s">
        <v>536</v>
      </c>
      <c r="E28" s="121" t="s">
        <v>524</v>
      </c>
      <c r="F28" s="121" t="s">
        <v>537</v>
      </c>
      <c r="G28" s="120" t="s">
        <v>538</v>
      </c>
      <c r="H28" s="121" t="s">
        <v>539</v>
      </c>
      <c r="I28" s="121" t="s">
        <v>540</v>
      </c>
      <c r="J28" s="122" t="s">
        <v>3</v>
      </c>
      <c r="K28" s="743"/>
      <c r="L28" s="51"/>
      <c r="N28" s="74"/>
    </row>
    <row r="29" spans="1:17" s="61" customFormat="1" ht="15" customHeight="1">
      <c r="A29" s="704" t="s">
        <v>290</v>
      </c>
      <c r="B29" s="704" t="s">
        <v>533</v>
      </c>
      <c r="C29" s="729" t="s">
        <v>528</v>
      </c>
      <c r="D29" s="730"/>
      <c r="E29" s="730"/>
      <c r="F29" s="731"/>
      <c r="G29" s="804" t="s">
        <v>529</v>
      </c>
      <c r="H29" s="730"/>
      <c r="I29" s="730"/>
      <c r="J29" s="805"/>
      <c r="K29" s="746">
        <v>2</v>
      </c>
      <c r="L29" s="51"/>
    </row>
    <row r="30" spans="1:17" s="61" customFormat="1" ht="15" customHeight="1" thickBot="1">
      <c r="A30" s="716"/>
      <c r="B30" s="716"/>
      <c r="C30" s="127" t="s">
        <v>535</v>
      </c>
      <c r="D30" s="35" t="s">
        <v>536</v>
      </c>
      <c r="E30" s="35" t="s">
        <v>524</v>
      </c>
      <c r="F30" s="35" t="s">
        <v>537</v>
      </c>
      <c r="G30" s="71" t="s">
        <v>538</v>
      </c>
      <c r="H30" s="35" t="s">
        <v>539</v>
      </c>
      <c r="I30" s="35" t="s">
        <v>540</v>
      </c>
      <c r="J30" s="36" t="s">
        <v>3</v>
      </c>
      <c r="K30" s="747"/>
      <c r="L30" s="51"/>
      <c r="M30" s="51"/>
      <c r="N30" s="51"/>
      <c r="O30" s="51"/>
      <c r="P30" s="51"/>
      <c r="Q30" s="51"/>
    </row>
    <row r="31" spans="1:17" ht="11.25">
      <c r="A31" s="704" t="s">
        <v>291</v>
      </c>
      <c r="B31" s="704" t="s">
        <v>534</v>
      </c>
      <c r="C31" s="761" t="s">
        <v>526</v>
      </c>
      <c r="D31" s="762"/>
      <c r="E31" s="762"/>
      <c r="F31" s="763"/>
      <c r="G31" s="764" t="s">
        <v>527</v>
      </c>
      <c r="H31" s="762"/>
      <c r="I31" s="762"/>
      <c r="J31" s="765"/>
      <c r="K31" s="746">
        <v>2</v>
      </c>
      <c r="M31" s="61"/>
      <c r="N31" s="61"/>
      <c r="O31" s="61"/>
      <c r="P31" s="61"/>
      <c r="Q31" s="61"/>
    </row>
    <row r="32" spans="1:17" ht="12" thickBot="1">
      <c r="A32" s="716"/>
      <c r="B32" s="716"/>
      <c r="C32" s="45" t="s">
        <v>535</v>
      </c>
      <c r="D32" s="46" t="s">
        <v>536</v>
      </c>
      <c r="E32" s="46" t="s">
        <v>524</v>
      </c>
      <c r="F32" s="46" t="s">
        <v>537</v>
      </c>
      <c r="G32" s="47" t="s">
        <v>538</v>
      </c>
      <c r="H32" s="46" t="s">
        <v>539</v>
      </c>
      <c r="I32" s="46" t="s">
        <v>540</v>
      </c>
      <c r="J32" s="48" t="s">
        <v>3</v>
      </c>
      <c r="K32" s="747"/>
      <c r="L32" s="61"/>
    </row>
    <row r="33" spans="1:17" s="61" customFormat="1" ht="11.25">
      <c r="A33" s="54" t="s">
        <v>292</v>
      </c>
      <c r="B33" s="704" t="s">
        <v>454</v>
      </c>
      <c r="C33" s="798" t="s">
        <v>576</v>
      </c>
      <c r="D33" s="776"/>
      <c r="E33" s="776"/>
      <c r="F33" s="799"/>
      <c r="G33" s="800" t="s">
        <v>580</v>
      </c>
      <c r="H33" s="776"/>
      <c r="I33" s="776"/>
      <c r="J33" s="777"/>
      <c r="K33" s="63">
        <v>2</v>
      </c>
      <c r="L33" s="51"/>
      <c r="M33" s="51"/>
      <c r="N33" s="51"/>
      <c r="O33" s="51"/>
      <c r="P33" s="51"/>
      <c r="Q33" s="51"/>
    </row>
    <row r="34" spans="1:17" s="61" customFormat="1" ht="13.5" customHeight="1">
      <c r="A34" s="63" t="s">
        <v>293</v>
      </c>
      <c r="B34" s="717"/>
      <c r="C34" s="721" t="s">
        <v>575</v>
      </c>
      <c r="D34" s="722"/>
      <c r="E34" s="722"/>
      <c r="F34" s="723"/>
      <c r="G34" s="724" t="s">
        <v>574</v>
      </c>
      <c r="H34" s="722"/>
      <c r="I34" s="722"/>
      <c r="J34" s="725"/>
      <c r="K34" s="63">
        <v>2</v>
      </c>
      <c r="M34" s="51"/>
      <c r="N34" s="51"/>
      <c r="O34" s="51"/>
      <c r="P34" s="51"/>
      <c r="Q34" s="51"/>
    </row>
    <row r="35" spans="1:17" ht="14.25" customHeight="1" thickBot="1">
      <c r="A35" s="55" t="s">
        <v>294</v>
      </c>
      <c r="B35" s="716"/>
      <c r="C35" s="726" t="s">
        <v>200</v>
      </c>
      <c r="D35" s="727"/>
      <c r="E35" s="727"/>
      <c r="F35" s="728"/>
      <c r="G35" s="781" t="s">
        <v>201</v>
      </c>
      <c r="H35" s="727"/>
      <c r="I35" s="727"/>
      <c r="J35" s="778"/>
      <c r="K35" s="83">
        <v>2</v>
      </c>
      <c r="L35" s="61"/>
      <c r="M35" s="65"/>
      <c r="N35" s="65"/>
      <c r="O35" s="65"/>
      <c r="P35" s="65"/>
      <c r="Q35" s="65"/>
    </row>
    <row r="36" spans="1:17" ht="11.25">
      <c r="A36" s="63" t="s">
        <v>329</v>
      </c>
      <c r="B36" s="704" t="s">
        <v>481</v>
      </c>
      <c r="C36" s="702" t="s">
        <v>490</v>
      </c>
      <c r="D36" s="702"/>
      <c r="E36" s="702"/>
      <c r="F36" s="702"/>
      <c r="G36" s="702"/>
      <c r="H36" s="702"/>
      <c r="I36" s="702"/>
      <c r="J36" s="703"/>
      <c r="K36" s="82">
        <v>2</v>
      </c>
    </row>
    <row r="37" spans="1:17" ht="11.25">
      <c r="A37" s="63" t="s">
        <v>330</v>
      </c>
      <c r="B37" s="717"/>
      <c r="C37" s="853" t="s">
        <v>474</v>
      </c>
      <c r="D37" s="853"/>
      <c r="E37" s="853"/>
      <c r="F37" s="853"/>
      <c r="G37" s="853"/>
      <c r="H37" s="853"/>
      <c r="I37" s="853"/>
      <c r="J37" s="862"/>
      <c r="K37" s="80">
        <v>2</v>
      </c>
      <c r="L37" s="61"/>
    </row>
    <row r="38" spans="1:17" ht="11.25">
      <c r="A38" s="63" t="s">
        <v>378</v>
      </c>
      <c r="B38" s="900" t="s">
        <v>482</v>
      </c>
      <c r="C38" s="696" t="s">
        <v>491</v>
      </c>
      <c r="D38" s="696"/>
      <c r="E38" s="696"/>
      <c r="F38" s="696"/>
      <c r="G38" s="696"/>
      <c r="H38" s="696"/>
      <c r="I38" s="696"/>
      <c r="J38" s="698"/>
      <c r="K38" s="135">
        <v>2</v>
      </c>
    </row>
    <row r="39" spans="1:17" ht="11.25">
      <c r="A39" s="63" t="s">
        <v>331</v>
      </c>
      <c r="B39" s="705"/>
      <c r="C39" s="696" t="s">
        <v>496</v>
      </c>
      <c r="D39" s="696"/>
      <c r="E39" s="696"/>
      <c r="F39" s="696"/>
      <c r="G39" s="696"/>
      <c r="H39" s="696"/>
      <c r="I39" s="696"/>
      <c r="J39" s="698"/>
      <c r="K39" s="134">
        <v>2</v>
      </c>
    </row>
    <row r="40" spans="1:17" ht="11.25">
      <c r="A40" s="63" t="s">
        <v>393</v>
      </c>
      <c r="B40" s="717" t="s">
        <v>483</v>
      </c>
      <c r="C40" s="855" t="s">
        <v>492</v>
      </c>
      <c r="D40" s="855"/>
      <c r="E40" s="855"/>
      <c r="F40" s="855"/>
      <c r="G40" s="855"/>
      <c r="H40" s="855"/>
      <c r="I40" s="855"/>
      <c r="J40" s="857"/>
      <c r="K40" s="80">
        <v>2</v>
      </c>
    </row>
    <row r="41" spans="1:17" ht="11.25">
      <c r="A41" s="63" t="s">
        <v>334</v>
      </c>
      <c r="B41" s="717"/>
      <c r="C41" s="853" t="s">
        <v>495</v>
      </c>
      <c r="D41" s="853"/>
      <c r="E41" s="853"/>
      <c r="F41" s="853"/>
      <c r="G41" s="853"/>
      <c r="H41" s="853"/>
      <c r="I41" s="853"/>
      <c r="J41" s="862"/>
      <c r="K41" s="80">
        <v>2</v>
      </c>
      <c r="L41" s="65"/>
    </row>
    <row r="42" spans="1:17" ht="11.25">
      <c r="A42" s="63" t="s">
        <v>335</v>
      </c>
      <c r="B42" s="900" t="s">
        <v>484</v>
      </c>
      <c r="C42" s="696" t="s">
        <v>493</v>
      </c>
      <c r="D42" s="696"/>
      <c r="E42" s="696"/>
      <c r="F42" s="696"/>
      <c r="G42" s="696"/>
      <c r="H42" s="696"/>
      <c r="I42" s="696"/>
      <c r="J42" s="698"/>
      <c r="K42" s="135">
        <v>2</v>
      </c>
    </row>
    <row r="43" spans="1:17" ht="12" thickBot="1">
      <c r="A43" s="55" t="s">
        <v>489</v>
      </c>
      <c r="B43" s="717"/>
      <c r="C43" s="853" t="s">
        <v>494</v>
      </c>
      <c r="D43" s="853"/>
      <c r="E43" s="853"/>
      <c r="F43" s="853"/>
      <c r="G43" s="853"/>
      <c r="H43" s="853"/>
      <c r="I43" s="853"/>
      <c r="J43" s="862"/>
      <c r="K43" s="80">
        <v>2</v>
      </c>
    </row>
    <row r="44" spans="1:17" ht="14.25" customHeight="1">
      <c r="A44" s="704" t="s">
        <v>308</v>
      </c>
      <c r="B44" s="198"/>
      <c r="C44" s="907" t="s">
        <v>1128</v>
      </c>
      <c r="D44" s="902"/>
      <c r="E44" s="902"/>
      <c r="F44" s="908"/>
      <c r="G44" s="909" t="s">
        <v>1127</v>
      </c>
      <c r="H44" s="902"/>
      <c r="I44" s="902"/>
      <c r="J44" s="903"/>
      <c r="K44" s="80"/>
    </row>
    <row r="45" spans="1:17" ht="34.5" thickBot="1">
      <c r="A45" s="717"/>
      <c r="B45" s="228" t="s">
        <v>443</v>
      </c>
      <c r="C45" s="288" t="s">
        <v>150</v>
      </c>
      <c r="D45" s="289" t="s">
        <v>150</v>
      </c>
      <c r="E45" s="290" t="s">
        <v>1129</v>
      </c>
      <c r="F45" s="290" t="s">
        <v>1130</v>
      </c>
      <c r="G45" s="290" t="s">
        <v>1134</v>
      </c>
      <c r="H45" s="290" t="s">
        <v>1131</v>
      </c>
      <c r="I45" s="290" t="s">
        <v>1132</v>
      </c>
      <c r="J45" s="291" t="s">
        <v>1133</v>
      </c>
      <c r="K45" s="80">
        <v>2</v>
      </c>
    </row>
    <row r="46" spans="1:17" ht="14.25" customHeight="1">
      <c r="A46" s="54" t="s">
        <v>1085</v>
      </c>
      <c r="B46" s="708" t="s">
        <v>1326</v>
      </c>
      <c r="C46" s="901" t="s">
        <v>1299</v>
      </c>
      <c r="D46" s="902"/>
      <c r="E46" s="902"/>
      <c r="F46" s="902"/>
      <c r="G46" s="902"/>
      <c r="H46" s="902"/>
      <c r="I46" s="902"/>
      <c r="J46" s="903"/>
      <c r="K46" s="82">
        <v>2</v>
      </c>
    </row>
    <row r="47" spans="1:17" ht="11.25">
      <c r="A47" s="63" t="s">
        <v>1086</v>
      </c>
      <c r="B47" s="709"/>
      <c r="C47" s="904" t="s">
        <v>1301</v>
      </c>
      <c r="D47" s="905"/>
      <c r="E47" s="905"/>
      <c r="F47" s="905"/>
      <c r="G47" s="905"/>
      <c r="H47" s="905"/>
      <c r="I47" s="905"/>
      <c r="J47" s="906"/>
      <c r="K47" s="80">
        <v>2</v>
      </c>
    </row>
    <row r="48" spans="1:17" ht="11.25">
      <c r="A48" s="63" t="s">
        <v>1087</v>
      </c>
      <c r="B48" s="709"/>
      <c r="C48" s="904" t="s">
        <v>1302</v>
      </c>
      <c r="D48" s="905"/>
      <c r="E48" s="905"/>
      <c r="F48" s="905"/>
      <c r="G48" s="905"/>
      <c r="H48" s="905"/>
      <c r="I48" s="905"/>
      <c r="J48" s="906"/>
      <c r="K48" s="80">
        <v>2</v>
      </c>
    </row>
    <row r="49" spans="1:12" ht="11.25">
      <c r="A49" s="63" t="s">
        <v>1088</v>
      </c>
      <c r="B49" s="709"/>
      <c r="C49" s="904" t="s">
        <v>1303</v>
      </c>
      <c r="D49" s="905"/>
      <c r="E49" s="905"/>
      <c r="F49" s="905"/>
      <c r="G49" s="905"/>
      <c r="H49" s="905"/>
      <c r="I49" s="905"/>
      <c r="J49" s="906"/>
      <c r="K49" s="80">
        <v>2</v>
      </c>
    </row>
    <row r="50" spans="1:12" ht="11.25">
      <c r="A50" s="63" t="s">
        <v>1089</v>
      </c>
      <c r="B50" s="709"/>
      <c r="C50" s="904" t="s">
        <v>1304</v>
      </c>
      <c r="D50" s="905"/>
      <c r="E50" s="905"/>
      <c r="F50" s="905"/>
      <c r="G50" s="905"/>
      <c r="H50" s="905"/>
      <c r="I50" s="905"/>
      <c r="J50" s="906"/>
      <c r="K50" s="80">
        <v>2</v>
      </c>
    </row>
    <row r="51" spans="1:12" ht="12" thickBot="1">
      <c r="A51" s="55" t="s">
        <v>1090</v>
      </c>
      <c r="B51" s="710"/>
      <c r="C51" s="910" t="s">
        <v>1305</v>
      </c>
      <c r="D51" s="911"/>
      <c r="E51" s="911"/>
      <c r="F51" s="911"/>
      <c r="G51" s="911"/>
      <c r="H51" s="911"/>
      <c r="I51" s="911"/>
      <c r="J51" s="912"/>
      <c r="K51" s="83">
        <v>2</v>
      </c>
    </row>
    <row r="52" spans="1:12" ht="12" thickBot="1">
      <c r="A52" s="55" t="s">
        <v>344</v>
      </c>
      <c r="B52" s="287"/>
      <c r="C52" s="913" t="s">
        <v>205</v>
      </c>
      <c r="D52" s="914"/>
      <c r="E52" s="914"/>
      <c r="F52" s="914"/>
      <c r="G52" s="914"/>
      <c r="H52" s="914"/>
      <c r="I52" s="914"/>
      <c r="J52" s="915"/>
      <c r="K52" s="83">
        <v>2</v>
      </c>
    </row>
    <row r="53" spans="1:12" ht="11.25">
      <c r="A53" s="54" t="s">
        <v>345</v>
      </c>
      <c r="B53" s="54" t="s">
        <v>446</v>
      </c>
      <c r="C53" s="776" t="s">
        <v>206</v>
      </c>
      <c r="D53" s="776"/>
      <c r="E53" s="776"/>
      <c r="F53" s="776"/>
      <c r="G53" s="776"/>
      <c r="H53" s="776"/>
      <c r="I53" s="776"/>
      <c r="J53" s="777"/>
      <c r="K53" s="82">
        <v>2</v>
      </c>
    </row>
    <row r="54" spans="1:12" ht="12" thickBot="1">
      <c r="A54" s="55">
        <v>79</v>
      </c>
      <c r="B54" s="64" t="s">
        <v>447</v>
      </c>
      <c r="C54" s="727" t="s">
        <v>207</v>
      </c>
      <c r="D54" s="727"/>
      <c r="E54" s="727"/>
      <c r="F54" s="727"/>
      <c r="G54" s="727"/>
      <c r="H54" s="727"/>
      <c r="I54" s="727"/>
      <c r="J54" s="778"/>
      <c r="K54" s="83">
        <v>1</v>
      </c>
    </row>
    <row r="56" spans="1:12" ht="11.25" thickBot="1"/>
    <row r="57" spans="1:12" ht="12" thickBot="1">
      <c r="A57" s="736" t="s">
        <v>589</v>
      </c>
      <c r="B57" s="737"/>
      <c r="C57" s="737"/>
      <c r="D57" s="737"/>
      <c r="E57" s="737"/>
      <c r="F57" s="737"/>
      <c r="G57" s="737"/>
      <c r="H57" s="737"/>
      <c r="I57" s="737"/>
      <c r="J57" s="737"/>
      <c r="K57" s="738"/>
    </row>
    <row r="58" spans="1:12" ht="12" thickBot="1">
      <c r="A58" s="58" t="s">
        <v>316</v>
      </c>
      <c r="B58" s="58" t="s">
        <v>448</v>
      </c>
      <c r="C58" s="52" t="s">
        <v>208</v>
      </c>
      <c r="D58" s="32" t="s">
        <v>209</v>
      </c>
      <c r="E58" s="32" t="s">
        <v>210</v>
      </c>
      <c r="F58" s="32" t="s">
        <v>211</v>
      </c>
      <c r="G58" s="32" t="s">
        <v>212</v>
      </c>
      <c r="H58" s="32" t="s">
        <v>213</v>
      </c>
      <c r="I58" s="32" t="s">
        <v>214</v>
      </c>
      <c r="J58" s="33" t="s">
        <v>215</v>
      </c>
      <c r="K58" s="75" t="s">
        <v>317</v>
      </c>
    </row>
    <row r="59" spans="1:12" ht="11.25">
      <c r="A59" s="54">
        <v>0</v>
      </c>
      <c r="B59" s="53" t="s">
        <v>431</v>
      </c>
      <c r="C59" s="783" t="s">
        <v>216</v>
      </c>
      <c r="D59" s="784"/>
      <c r="E59" s="784"/>
      <c r="F59" s="784"/>
      <c r="G59" s="784"/>
      <c r="H59" s="784"/>
      <c r="I59" s="784"/>
      <c r="J59" s="785"/>
      <c r="K59" s="82">
        <v>1</v>
      </c>
    </row>
    <row r="60" spans="1:12" ht="11.25">
      <c r="A60" s="63" t="s">
        <v>318</v>
      </c>
      <c r="B60" s="60" t="s">
        <v>432</v>
      </c>
      <c r="C60" s="723" t="s">
        <v>217</v>
      </c>
      <c r="D60" s="786"/>
      <c r="E60" s="786"/>
      <c r="F60" s="786"/>
      <c r="G60" s="786"/>
      <c r="H60" s="786"/>
      <c r="I60" s="786"/>
      <c r="J60" s="787"/>
      <c r="K60" s="80">
        <v>2</v>
      </c>
      <c r="L60" s="51" t="s">
        <v>1418</v>
      </c>
    </row>
    <row r="61" spans="1:12" ht="11.25">
      <c r="A61" s="63" t="s">
        <v>319</v>
      </c>
      <c r="B61" s="60" t="s">
        <v>433</v>
      </c>
      <c r="C61" s="723" t="s">
        <v>420</v>
      </c>
      <c r="D61" s="786"/>
      <c r="E61" s="786"/>
      <c r="F61" s="786"/>
      <c r="G61" s="786"/>
      <c r="H61" s="786"/>
      <c r="I61" s="786"/>
      <c r="J61" s="787"/>
      <c r="K61" s="80">
        <v>2</v>
      </c>
      <c r="L61" s="51">
        <v>16</v>
      </c>
    </row>
    <row r="62" spans="1:12" ht="11.25">
      <c r="A62" s="63" t="s">
        <v>320</v>
      </c>
      <c r="B62" s="60" t="s">
        <v>434</v>
      </c>
      <c r="C62" s="722" t="s">
        <v>218</v>
      </c>
      <c r="D62" s="722"/>
      <c r="E62" s="722"/>
      <c r="F62" s="722"/>
      <c r="G62" s="722"/>
      <c r="H62" s="722"/>
      <c r="I62" s="722"/>
      <c r="J62" s="725"/>
      <c r="K62" s="80">
        <v>2</v>
      </c>
      <c r="L62" s="51">
        <v>7</v>
      </c>
    </row>
    <row r="63" spans="1:12" ht="11.25">
      <c r="A63" s="63" t="s">
        <v>178</v>
      </c>
      <c r="B63" s="60" t="s">
        <v>435</v>
      </c>
      <c r="C63" s="858" t="s">
        <v>179</v>
      </c>
      <c r="D63" s="859"/>
      <c r="E63" s="859"/>
      <c r="F63" s="859"/>
      <c r="G63" s="859"/>
      <c r="H63" s="859"/>
      <c r="I63" s="859"/>
      <c r="J63" s="860"/>
      <c r="K63" s="80">
        <v>2</v>
      </c>
      <c r="L63" s="51">
        <v>11</v>
      </c>
    </row>
    <row r="64" spans="1:12" ht="12" thickBot="1">
      <c r="A64" s="55" t="s">
        <v>180</v>
      </c>
      <c r="B64" s="64" t="s">
        <v>436</v>
      </c>
      <c r="C64" s="768" t="s">
        <v>219</v>
      </c>
      <c r="D64" s="769"/>
      <c r="E64" s="769"/>
      <c r="F64" s="769"/>
      <c r="G64" s="769"/>
      <c r="H64" s="769"/>
      <c r="I64" s="769"/>
      <c r="J64" s="770"/>
      <c r="K64" s="83">
        <v>2</v>
      </c>
      <c r="L64" s="51">
        <v>3</v>
      </c>
    </row>
    <row r="65" spans="1:12" ht="11.25">
      <c r="A65" s="54" t="s">
        <v>371</v>
      </c>
      <c r="B65" s="704" t="s">
        <v>1031</v>
      </c>
      <c r="C65" s="806" t="s">
        <v>1410</v>
      </c>
      <c r="D65" s="807"/>
      <c r="E65" s="807"/>
      <c r="F65" s="807"/>
      <c r="G65" s="807"/>
      <c r="H65" s="807"/>
      <c r="I65" s="807"/>
      <c r="J65" s="808"/>
      <c r="K65" s="82">
        <v>2</v>
      </c>
      <c r="L65" s="51">
        <v>10</v>
      </c>
    </row>
    <row r="66" spans="1:12" ht="12" thickBot="1">
      <c r="A66" s="55" t="s">
        <v>372</v>
      </c>
      <c r="B66" s="716"/>
      <c r="C66" s="809"/>
      <c r="D66" s="810"/>
      <c r="E66" s="810"/>
      <c r="F66" s="810"/>
      <c r="G66" s="810"/>
      <c r="H66" s="810"/>
      <c r="I66" s="810"/>
      <c r="J66" s="811"/>
      <c r="K66" s="83">
        <v>2</v>
      </c>
      <c r="L66" s="51">
        <v>2</v>
      </c>
    </row>
    <row r="67" spans="1:12" ht="11.25">
      <c r="A67" s="278" t="s">
        <v>300</v>
      </c>
      <c r="B67" s="840" t="s">
        <v>1368</v>
      </c>
      <c r="C67" s="843" t="s">
        <v>1299</v>
      </c>
      <c r="D67" s="844"/>
      <c r="E67" s="844"/>
      <c r="F67" s="844"/>
      <c r="G67" s="844"/>
      <c r="H67" s="844"/>
      <c r="I67" s="844"/>
      <c r="J67" s="845"/>
      <c r="K67" s="279">
        <v>2</v>
      </c>
    </row>
    <row r="68" spans="1:12" ht="11.25">
      <c r="A68" s="280" t="s">
        <v>188</v>
      </c>
      <c r="B68" s="841"/>
      <c r="C68" s="846" t="s">
        <v>1301</v>
      </c>
      <c r="D68" s="847"/>
      <c r="E68" s="847"/>
      <c r="F68" s="847"/>
      <c r="G68" s="847"/>
      <c r="H68" s="847"/>
      <c r="I68" s="847"/>
      <c r="J68" s="848"/>
      <c r="K68" s="281">
        <v>2</v>
      </c>
    </row>
    <row r="69" spans="1:12" ht="12" thickBot="1">
      <c r="A69" s="282" t="s">
        <v>189</v>
      </c>
      <c r="B69" s="842"/>
      <c r="C69" s="849" t="s">
        <v>1302</v>
      </c>
      <c r="D69" s="850"/>
      <c r="E69" s="850"/>
      <c r="F69" s="850"/>
      <c r="G69" s="850"/>
      <c r="H69" s="850"/>
      <c r="I69" s="850"/>
      <c r="J69" s="851"/>
      <c r="K69" s="283">
        <v>2</v>
      </c>
    </row>
    <row r="70" spans="1:12" ht="12" thickBot="1">
      <c r="A70" s="58" t="s">
        <v>190</v>
      </c>
      <c r="B70" s="58" t="s">
        <v>497</v>
      </c>
      <c r="C70" s="838" t="s">
        <v>394</v>
      </c>
      <c r="D70" s="838"/>
      <c r="E70" s="838"/>
      <c r="F70" s="838"/>
      <c r="G70" s="838"/>
      <c r="H70" s="838"/>
      <c r="I70" s="838"/>
      <c r="J70" s="839"/>
      <c r="K70" s="81">
        <v>2</v>
      </c>
    </row>
    <row r="71" spans="1:12" ht="11.25">
      <c r="A71" s="54" t="s">
        <v>191</v>
      </c>
      <c r="B71" s="54" t="s">
        <v>446</v>
      </c>
      <c r="C71" s="821" t="s">
        <v>206</v>
      </c>
      <c r="D71" s="821"/>
      <c r="E71" s="821"/>
      <c r="F71" s="821"/>
      <c r="G71" s="821"/>
      <c r="H71" s="821"/>
      <c r="I71" s="821"/>
      <c r="J71" s="822"/>
      <c r="K71" s="82">
        <v>2</v>
      </c>
    </row>
    <row r="72" spans="1:12" ht="12" thickBot="1">
      <c r="A72" s="55">
        <v>25</v>
      </c>
      <c r="B72" s="64" t="s">
        <v>447</v>
      </c>
      <c r="C72" s="727" t="s">
        <v>207</v>
      </c>
      <c r="D72" s="727"/>
      <c r="E72" s="727"/>
      <c r="F72" s="727"/>
      <c r="G72" s="727"/>
      <c r="H72" s="727"/>
      <c r="I72" s="727"/>
      <c r="J72" s="778"/>
      <c r="K72" s="83">
        <v>1</v>
      </c>
    </row>
    <row r="73" spans="1:12" ht="11.25">
      <c r="A73" s="77"/>
      <c r="B73" s="77"/>
    </row>
    <row r="74" spans="1:12" ht="11.25">
      <c r="A74" s="77"/>
      <c r="B74" s="77"/>
    </row>
  </sheetData>
  <mergeCells count="100">
    <mergeCell ref="C70:J70"/>
    <mergeCell ref="C71:J71"/>
    <mergeCell ref="C72:J72"/>
    <mergeCell ref="C59:J59"/>
    <mergeCell ref="C53:J53"/>
    <mergeCell ref="C64:J64"/>
    <mergeCell ref="C63:J63"/>
    <mergeCell ref="C65:J66"/>
    <mergeCell ref="C60:J60"/>
    <mergeCell ref="C61:J61"/>
    <mergeCell ref="C62:J62"/>
    <mergeCell ref="A57:K57"/>
    <mergeCell ref="B67:B69"/>
    <mergeCell ref="C67:J67"/>
    <mergeCell ref="C68:J68"/>
    <mergeCell ref="C69:J69"/>
    <mergeCell ref="A44:A45"/>
    <mergeCell ref="C54:J54"/>
    <mergeCell ref="C51:J51"/>
    <mergeCell ref="B46:B51"/>
    <mergeCell ref="C48:J48"/>
    <mergeCell ref="C50:J50"/>
    <mergeCell ref="C49:J49"/>
    <mergeCell ref="C52:J52"/>
    <mergeCell ref="C36:J36"/>
    <mergeCell ref="H13:J13"/>
    <mergeCell ref="C31:F31"/>
    <mergeCell ref="G27:J27"/>
    <mergeCell ref="C26:F26"/>
    <mergeCell ref="G26:J26"/>
    <mergeCell ref="C21:F21"/>
    <mergeCell ref="G21:J21"/>
    <mergeCell ref="C23:F23"/>
    <mergeCell ref="G20:J20"/>
    <mergeCell ref="G17:H17"/>
    <mergeCell ref="I17:J17"/>
    <mergeCell ref="C17:F17"/>
    <mergeCell ref="G23:J23"/>
    <mergeCell ref="C24:F24"/>
    <mergeCell ref="G24:J24"/>
    <mergeCell ref="G25:J25"/>
    <mergeCell ref="C34:F34"/>
    <mergeCell ref="G34:J34"/>
    <mergeCell ref="C35:F35"/>
    <mergeCell ref="G35:J35"/>
    <mergeCell ref="C33:F33"/>
    <mergeCell ref="G33:J33"/>
    <mergeCell ref="C29:F29"/>
    <mergeCell ref="G29:J29"/>
    <mergeCell ref="C25:F25"/>
    <mergeCell ref="K31:K32"/>
    <mergeCell ref="A5:K5"/>
    <mergeCell ref="C9:J9"/>
    <mergeCell ref="C11:J11"/>
    <mergeCell ref="G15:J15"/>
    <mergeCell ref="C8:J8"/>
    <mergeCell ref="C12:J12"/>
    <mergeCell ref="C7:J7"/>
    <mergeCell ref="C10:J10"/>
    <mergeCell ref="C15:F15"/>
    <mergeCell ref="K29:K30"/>
    <mergeCell ref="A31:A32"/>
    <mergeCell ref="B24:B26"/>
    <mergeCell ref="C22:F22"/>
    <mergeCell ref="G22:J22"/>
    <mergeCell ref="A29:A30"/>
    <mergeCell ref="C37:J37"/>
    <mergeCell ref="G31:J31"/>
    <mergeCell ref="B27:B28"/>
    <mergeCell ref="A1:K1"/>
    <mergeCell ref="K13:K14"/>
    <mergeCell ref="K15:K16"/>
    <mergeCell ref="K17:K18"/>
    <mergeCell ref="K27:K28"/>
    <mergeCell ref="C13:D14"/>
    <mergeCell ref="E13:G13"/>
    <mergeCell ref="B13:B14"/>
    <mergeCell ref="B15:B16"/>
    <mergeCell ref="B17:B18"/>
    <mergeCell ref="A27:A28"/>
    <mergeCell ref="C27:F27"/>
    <mergeCell ref="B21:B23"/>
    <mergeCell ref="B29:B30"/>
    <mergeCell ref="B36:B37"/>
    <mergeCell ref="B31:B32"/>
    <mergeCell ref="B33:B35"/>
    <mergeCell ref="B40:B41"/>
    <mergeCell ref="B65:B66"/>
    <mergeCell ref="B42:B43"/>
    <mergeCell ref="B38:B39"/>
    <mergeCell ref="C46:J46"/>
    <mergeCell ref="C47:J47"/>
    <mergeCell ref="C43:J43"/>
    <mergeCell ref="C44:F44"/>
    <mergeCell ref="G44:J44"/>
    <mergeCell ref="C42:J42"/>
    <mergeCell ref="C38:J38"/>
    <mergeCell ref="C39:J39"/>
    <mergeCell ref="C40:J40"/>
    <mergeCell ref="C41:J41"/>
  </mergeCells>
  <phoneticPr fontId="2" type="noConversion"/>
  <pageMargins left="0.75" right="0.75" top="1" bottom="1" header="0.5" footer="0.5"/>
  <pageSetup paperSize="9" orientation="portrait" horizontalDpi="0" verticalDpi="0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9">
    <pageSetUpPr fitToPage="1"/>
  </sheetPr>
  <dimension ref="A1:AE132"/>
  <sheetViews>
    <sheetView topLeftCell="A13" workbookViewId="0">
      <selection sqref="A1:K47"/>
    </sheetView>
  </sheetViews>
  <sheetFormatPr defaultRowHeight="10.5"/>
  <cols>
    <col min="1" max="2" width="5.6640625" style="51" customWidth="1"/>
    <col min="3" max="11" width="6.77734375" style="51" customWidth="1"/>
    <col min="12" max="13" width="8.88671875" style="51"/>
    <col min="14" max="22" width="8.88671875" style="51" customWidth="1"/>
    <col min="23" max="30" width="5.77734375" style="51" customWidth="1"/>
    <col min="31" max="16384" width="8.88671875" style="51"/>
  </cols>
  <sheetData>
    <row r="1" spans="1:13" s="61" customFormat="1" ht="15" customHeight="1" thickBot="1">
      <c r="A1" s="814" t="s">
        <v>311</v>
      </c>
      <c r="B1" s="815"/>
      <c r="C1" s="815"/>
      <c r="D1" s="815"/>
      <c r="E1" s="815"/>
      <c r="F1" s="815"/>
      <c r="G1" s="815"/>
      <c r="H1" s="815"/>
      <c r="I1" s="815"/>
      <c r="J1" s="815"/>
      <c r="K1" s="816"/>
    </row>
    <row r="2" spans="1:13" s="61" customFormat="1" ht="15" customHeight="1">
      <c r="A2" s="101" t="s">
        <v>312</v>
      </c>
      <c r="B2" s="133"/>
      <c r="C2" s="102" t="s">
        <v>313</v>
      </c>
      <c r="D2" s="103"/>
      <c r="E2" s="104"/>
      <c r="F2" s="104"/>
      <c r="G2" s="104"/>
      <c r="H2" s="104"/>
      <c r="I2" s="105"/>
      <c r="J2" s="104" t="s">
        <v>52</v>
      </c>
      <c r="K2" s="106" t="s">
        <v>314</v>
      </c>
    </row>
    <row r="3" spans="1:13" s="61" customFormat="1" ht="15" customHeight="1">
      <c r="A3" s="85" t="s">
        <v>315</v>
      </c>
      <c r="B3" s="131"/>
      <c r="C3" s="26"/>
      <c r="D3" s="28"/>
      <c r="E3" s="28"/>
      <c r="F3" s="28"/>
      <c r="G3" s="28"/>
      <c r="H3" s="28"/>
      <c r="I3" s="27"/>
      <c r="J3" s="28" t="s">
        <v>47</v>
      </c>
      <c r="K3" s="29" t="s">
        <v>937</v>
      </c>
    </row>
    <row r="4" spans="1:13" s="61" customFormat="1" ht="15" customHeight="1" thickBot="1">
      <c r="A4" s="86"/>
      <c r="B4" s="132"/>
      <c r="C4" s="87"/>
      <c r="D4" s="87"/>
      <c r="E4" s="87"/>
      <c r="F4" s="87"/>
      <c r="G4" s="87"/>
      <c r="H4" s="87"/>
      <c r="I4" s="88"/>
      <c r="J4" s="30" t="s">
        <v>49</v>
      </c>
      <c r="K4" s="31" t="s">
        <v>939</v>
      </c>
    </row>
    <row r="5" spans="1:13" ht="12" thickBot="1">
      <c r="A5" s="736" t="s">
        <v>590</v>
      </c>
      <c r="B5" s="737"/>
      <c r="C5" s="737"/>
      <c r="D5" s="737"/>
      <c r="E5" s="737"/>
      <c r="F5" s="737"/>
      <c r="G5" s="737"/>
      <c r="H5" s="737"/>
      <c r="I5" s="737"/>
      <c r="J5" s="737"/>
      <c r="K5" s="738"/>
    </row>
    <row r="6" spans="1:13" ht="12" thickBot="1">
      <c r="A6" s="58" t="s">
        <v>316</v>
      </c>
      <c r="B6" s="58" t="s">
        <v>448</v>
      </c>
      <c r="C6" s="52" t="s">
        <v>208</v>
      </c>
      <c r="D6" s="32" t="s">
        <v>209</v>
      </c>
      <c r="E6" s="32" t="s">
        <v>210</v>
      </c>
      <c r="F6" s="32" t="s">
        <v>211</v>
      </c>
      <c r="G6" s="32" t="s">
        <v>212</v>
      </c>
      <c r="H6" s="32" t="s">
        <v>213</v>
      </c>
      <c r="I6" s="32" t="s">
        <v>214</v>
      </c>
      <c r="J6" s="33" t="s">
        <v>215</v>
      </c>
      <c r="K6" s="75" t="s">
        <v>317</v>
      </c>
    </row>
    <row r="7" spans="1:13" ht="11.25">
      <c r="A7" s="54">
        <v>0</v>
      </c>
      <c r="B7" s="53" t="s">
        <v>431</v>
      </c>
      <c r="C7" s="783" t="s">
        <v>216</v>
      </c>
      <c r="D7" s="784"/>
      <c r="E7" s="784"/>
      <c r="F7" s="784"/>
      <c r="G7" s="784"/>
      <c r="H7" s="784"/>
      <c r="I7" s="784"/>
      <c r="J7" s="785"/>
      <c r="K7" s="82">
        <v>1</v>
      </c>
    </row>
    <row r="8" spans="1:13" ht="11.25">
      <c r="A8" s="63" t="s">
        <v>318</v>
      </c>
      <c r="B8" s="60" t="s">
        <v>432</v>
      </c>
      <c r="C8" s="723" t="s">
        <v>217</v>
      </c>
      <c r="D8" s="786"/>
      <c r="E8" s="786"/>
      <c r="F8" s="786"/>
      <c r="G8" s="786"/>
      <c r="H8" s="786"/>
      <c r="I8" s="786"/>
      <c r="J8" s="787"/>
      <c r="K8" s="80">
        <v>2</v>
      </c>
      <c r="L8" s="51">
        <v>16</v>
      </c>
    </row>
    <row r="9" spans="1:13" ht="11.25">
      <c r="A9" s="63" t="s">
        <v>319</v>
      </c>
      <c r="B9" s="60" t="s">
        <v>433</v>
      </c>
      <c r="C9" s="723" t="s">
        <v>422</v>
      </c>
      <c r="D9" s="786"/>
      <c r="E9" s="786"/>
      <c r="F9" s="786"/>
      <c r="G9" s="786"/>
      <c r="H9" s="786"/>
      <c r="I9" s="786"/>
      <c r="J9" s="787"/>
      <c r="K9" s="80">
        <v>2</v>
      </c>
      <c r="L9" s="51">
        <v>15</v>
      </c>
    </row>
    <row r="10" spans="1:13" ht="11.25">
      <c r="A10" s="63" t="s">
        <v>320</v>
      </c>
      <c r="B10" s="60" t="s">
        <v>434</v>
      </c>
      <c r="C10" s="722" t="s">
        <v>218</v>
      </c>
      <c r="D10" s="722"/>
      <c r="E10" s="722"/>
      <c r="F10" s="722"/>
      <c r="G10" s="722"/>
      <c r="H10" s="722"/>
      <c r="I10" s="722"/>
      <c r="J10" s="725"/>
      <c r="K10" s="80">
        <v>2</v>
      </c>
      <c r="L10" s="51">
        <v>6</v>
      </c>
    </row>
    <row r="11" spans="1:13" ht="11.25">
      <c r="A11" s="63" t="s">
        <v>178</v>
      </c>
      <c r="B11" s="60" t="s">
        <v>435</v>
      </c>
      <c r="C11" s="858" t="s">
        <v>179</v>
      </c>
      <c r="D11" s="859"/>
      <c r="E11" s="859"/>
      <c r="F11" s="859"/>
      <c r="G11" s="859"/>
      <c r="H11" s="859"/>
      <c r="I11" s="859"/>
      <c r="J11" s="860"/>
      <c r="K11" s="80">
        <v>2</v>
      </c>
      <c r="L11" s="51">
        <v>10</v>
      </c>
    </row>
    <row r="12" spans="1:13" ht="12" thickBot="1">
      <c r="A12" s="55" t="s">
        <v>180</v>
      </c>
      <c r="B12" s="64" t="s">
        <v>436</v>
      </c>
      <c r="C12" s="768" t="s">
        <v>219</v>
      </c>
      <c r="D12" s="769"/>
      <c r="E12" s="769"/>
      <c r="F12" s="769"/>
      <c r="G12" s="769"/>
      <c r="H12" s="769"/>
      <c r="I12" s="769"/>
      <c r="J12" s="770"/>
      <c r="K12" s="83">
        <v>2</v>
      </c>
      <c r="L12" s="51" t="s">
        <v>1781</v>
      </c>
    </row>
    <row r="13" spans="1:13" s="61" customFormat="1" ht="15" customHeight="1">
      <c r="A13" s="54">
        <v>11</v>
      </c>
      <c r="B13" s="704" t="s">
        <v>437</v>
      </c>
      <c r="C13" s="719" t="s">
        <v>150</v>
      </c>
      <c r="D13" s="718"/>
      <c r="E13" s="718" t="s">
        <v>182</v>
      </c>
      <c r="F13" s="718"/>
      <c r="G13" s="718"/>
      <c r="H13" s="718" t="s">
        <v>183</v>
      </c>
      <c r="I13" s="718"/>
      <c r="J13" s="774"/>
      <c r="K13" s="704">
        <v>2</v>
      </c>
      <c r="L13" s="51"/>
      <c r="M13" s="51"/>
    </row>
    <row r="14" spans="1:13" s="61" customFormat="1" ht="15" customHeight="1" thickBot="1">
      <c r="A14" s="55">
        <v>12</v>
      </c>
      <c r="B14" s="716"/>
      <c r="C14" s="720"/>
      <c r="D14" s="712"/>
      <c r="E14" s="35" t="s">
        <v>144</v>
      </c>
      <c r="F14" s="35" t="s">
        <v>145</v>
      </c>
      <c r="G14" s="35" t="s">
        <v>147</v>
      </c>
      <c r="H14" s="35" t="s">
        <v>144</v>
      </c>
      <c r="I14" s="35" t="s">
        <v>145</v>
      </c>
      <c r="J14" s="36" t="s">
        <v>147</v>
      </c>
      <c r="K14" s="716"/>
      <c r="L14" s="51">
        <v>4</v>
      </c>
      <c r="M14" s="51"/>
    </row>
    <row r="15" spans="1:13" s="61" customFormat="1" ht="15" customHeight="1">
      <c r="A15" s="54">
        <v>13</v>
      </c>
      <c r="B15" s="704" t="s">
        <v>440</v>
      </c>
      <c r="C15" s="775" t="s">
        <v>184</v>
      </c>
      <c r="D15" s="733"/>
      <c r="E15" s="733"/>
      <c r="F15" s="733"/>
      <c r="G15" s="733" t="s">
        <v>185</v>
      </c>
      <c r="H15" s="733"/>
      <c r="I15" s="733"/>
      <c r="J15" s="734"/>
      <c r="K15" s="704">
        <v>2</v>
      </c>
      <c r="L15" s="51"/>
      <c r="M15" s="51"/>
    </row>
    <row r="16" spans="1:13" s="61" customFormat="1" ht="15" customHeight="1" thickBot="1">
      <c r="A16" s="55">
        <v>14</v>
      </c>
      <c r="B16" s="716"/>
      <c r="C16" s="37" t="s">
        <v>148</v>
      </c>
      <c r="D16" s="38" t="s">
        <v>186</v>
      </c>
      <c r="E16" s="38" t="s">
        <v>187</v>
      </c>
      <c r="F16" s="38" t="s">
        <v>140</v>
      </c>
      <c r="G16" s="38" t="s">
        <v>148</v>
      </c>
      <c r="H16" s="38" t="s">
        <v>186</v>
      </c>
      <c r="I16" s="38" t="s">
        <v>187</v>
      </c>
      <c r="J16" s="44" t="s">
        <v>140</v>
      </c>
      <c r="K16" s="716"/>
      <c r="L16" s="51">
        <v>0</v>
      </c>
      <c r="M16" s="51"/>
    </row>
    <row r="17" spans="1:20" s="61" customFormat="1" ht="15" customHeight="1">
      <c r="A17" s="54">
        <v>15</v>
      </c>
      <c r="B17" s="704" t="s">
        <v>441</v>
      </c>
      <c r="C17" s="719" t="s">
        <v>141</v>
      </c>
      <c r="D17" s="718"/>
      <c r="E17" s="718"/>
      <c r="F17" s="718"/>
      <c r="G17" s="718" t="s">
        <v>142</v>
      </c>
      <c r="H17" s="718"/>
      <c r="I17" s="718" t="s">
        <v>143</v>
      </c>
      <c r="J17" s="774"/>
      <c r="K17" s="704">
        <v>2</v>
      </c>
      <c r="L17" s="51"/>
      <c r="M17" s="51"/>
    </row>
    <row r="18" spans="1:20" s="61" customFormat="1" ht="15" customHeight="1" thickBot="1">
      <c r="A18" s="55">
        <v>16</v>
      </c>
      <c r="B18" s="716"/>
      <c r="C18" s="71" t="s">
        <v>144</v>
      </c>
      <c r="D18" s="39" t="s">
        <v>145</v>
      </c>
      <c r="E18" s="39" t="s">
        <v>146</v>
      </c>
      <c r="F18" s="39" t="s">
        <v>147</v>
      </c>
      <c r="G18" s="35" t="s">
        <v>148</v>
      </c>
      <c r="H18" s="35" t="s">
        <v>149</v>
      </c>
      <c r="I18" s="35" t="s">
        <v>148</v>
      </c>
      <c r="J18" s="36" t="s">
        <v>149</v>
      </c>
      <c r="K18" s="716"/>
      <c r="L18" s="51">
        <v>1</v>
      </c>
      <c r="M18" s="51"/>
    </row>
    <row r="19" spans="1:20" ht="12" thickBot="1">
      <c r="A19" s="58" t="s">
        <v>188</v>
      </c>
      <c r="B19" s="54" t="s">
        <v>457</v>
      </c>
      <c r="C19" s="90" t="s">
        <v>150</v>
      </c>
      <c r="D19" s="41" t="s">
        <v>151</v>
      </c>
      <c r="E19" s="40" t="s">
        <v>152</v>
      </c>
      <c r="F19" s="40" t="s">
        <v>153</v>
      </c>
      <c r="G19" s="40" t="s">
        <v>154</v>
      </c>
      <c r="H19" s="40" t="s">
        <v>155</v>
      </c>
      <c r="I19" s="40" t="s">
        <v>156</v>
      </c>
      <c r="J19" s="42" t="s">
        <v>31</v>
      </c>
      <c r="K19" s="81">
        <v>2</v>
      </c>
      <c r="L19" s="51">
        <v>4</v>
      </c>
    </row>
    <row r="20" spans="1:20" ht="12" thickBot="1">
      <c r="A20" s="58" t="s">
        <v>189</v>
      </c>
      <c r="B20" s="58" t="s">
        <v>442</v>
      </c>
      <c r="C20" s="91" t="s">
        <v>150</v>
      </c>
      <c r="D20" s="43" t="s">
        <v>157</v>
      </c>
      <c r="E20" s="43" t="s">
        <v>158</v>
      </c>
      <c r="F20" s="43" t="s">
        <v>150</v>
      </c>
      <c r="G20" s="793" t="s">
        <v>428</v>
      </c>
      <c r="H20" s="793"/>
      <c r="I20" s="793"/>
      <c r="J20" s="794"/>
      <c r="K20" s="81">
        <v>2</v>
      </c>
      <c r="L20" s="51" t="s">
        <v>1752</v>
      </c>
    </row>
    <row r="21" spans="1:20" ht="11.25">
      <c r="A21" s="54" t="s">
        <v>190</v>
      </c>
      <c r="B21" s="704" t="s">
        <v>453</v>
      </c>
      <c r="C21" s="775" t="s">
        <v>159</v>
      </c>
      <c r="D21" s="733"/>
      <c r="E21" s="733"/>
      <c r="F21" s="733"/>
      <c r="G21" s="733" t="s">
        <v>578</v>
      </c>
      <c r="H21" s="733"/>
      <c r="I21" s="733"/>
      <c r="J21" s="734"/>
      <c r="K21" s="82">
        <v>2</v>
      </c>
      <c r="L21" s="51">
        <v>0</v>
      </c>
    </row>
    <row r="22" spans="1:20" ht="11.25">
      <c r="A22" s="63" t="s">
        <v>191</v>
      </c>
      <c r="B22" s="717"/>
      <c r="C22" s="782" t="s">
        <v>161</v>
      </c>
      <c r="D22" s="779"/>
      <c r="E22" s="779"/>
      <c r="F22" s="779"/>
      <c r="G22" s="779" t="s">
        <v>162</v>
      </c>
      <c r="H22" s="779"/>
      <c r="I22" s="779"/>
      <c r="J22" s="780"/>
      <c r="K22" s="80">
        <v>2</v>
      </c>
      <c r="L22" s="51">
        <v>0</v>
      </c>
    </row>
    <row r="23" spans="1:20" ht="12" thickBot="1">
      <c r="A23" s="55" t="s">
        <v>321</v>
      </c>
      <c r="B23" s="716"/>
      <c r="C23" s="788" t="s">
        <v>192</v>
      </c>
      <c r="D23" s="772"/>
      <c r="E23" s="772"/>
      <c r="F23" s="772"/>
      <c r="G23" s="772" t="s">
        <v>193</v>
      </c>
      <c r="H23" s="772"/>
      <c r="I23" s="772"/>
      <c r="J23" s="773"/>
      <c r="K23" s="83">
        <v>2</v>
      </c>
      <c r="L23" s="51">
        <v>0</v>
      </c>
    </row>
    <row r="24" spans="1:20" ht="11.25">
      <c r="A24" s="54" t="s">
        <v>322</v>
      </c>
      <c r="B24" s="704" t="s">
        <v>450</v>
      </c>
      <c r="C24" s="719" t="s">
        <v>194</v>
      </c>
      <c r="D24" s="718"/>
      <c r="E24" s="718"/>
      <c r="F24" s="718"/>
      <c r="G24" s="718" t="s">
        <v>577</v>
      </c>
      <c r="H24" s="718"/>
      <c r="I24" s="718"/>
      <c r="J24" s="774"/>
      <c r="K24" s="82">
        <v>2</v>
      </c>
      <c r="L24" s="51">
        <v>0</v>
      </c>
    </row>
    <row r="25" spans="1:20" ht="11.25">
      <c r="A25" s="63" t="s">
        <v>323</v>
      </c>
      <c r="B25" s="717"/>
      <c r="C25" s="771" t="s">
        <v>196</v>
      </c>
      <c r="D25" s="707"/>
      <c r="E25" s="707"/>
      <c r="F25" s="707"/>
      <c r="G25" s="707" t="s">
        <v>197</v>
      </c>
      <c r="H25" s="707"/>
      <c r="I25" s="707"/>
      <c r="J25" s="732"/>
      <c r="K25" s="80">
        <v>2</v>
      </c>
      <c r="L25" s="51">
        <v>0</v>
      </c>
    </row>
    <row r="26" spans="1:20" ht="12" thickBot="1">
      <c r="A26" s="55" t="s">
        <v>324</v>
      </c>
      <c r="B26" s="716"/>
      <c r="C26" s="720" t="s">
        <v>198</v>
      </c>
      <c r="D26" s="712"/>
      <c r="E26" s="712"/>
      <c r="F26" s="712"/>
      <c r="G26" s="712" t="s">
        <v>199</v>
      </c>
      <c r="H26" s="712"/>
      <c r="I26" s="712"/>
      <c r="J26" s="735"/>
      <c r="K26" s="83">
        <v>2</v>
      </c>
      <c r="L26" s="51">
        <v>0</v>
      </c>
    </row>
    <row r="27" spans="1:20" s="61" customFormat="1" ht="15" customHeight="1">
      <c r="A27" s="704" t="s">
        <v>289</v>
      </c>
      <c r="B27" s="704" t="s">
        <v>532</v>
      </c>
      <c r="C27" s="801" t="s">
        <v>581</v>
      </c>
      <c r="D27" s="802"/>
      <c r="E27" s="802"/>
      <c r="F27" s="803"/>
      <c r="G27" s="795" t="s">
        <v>582</v>
      </c>
      <c r="H27" s="796"/>
      <c r="I27" s="796"/>
      <c r="J27" s="797"/>
      <c r="K27" s="742">
        <v>2</v>
      </c>
      <c r="L27" s="51"/>
      <c r="M27" s="51"/>
      <c r="N27" s="51"/>
      <c r="O27" s="51"/>
      <c r="P27" s="51"/>
      <c r="Q27" s="51"/>
      <c r="R27" s="51"/>
      <c r="S27" s="51"/>
      <c r="T27" s="51"/>
    </row>
    <row r="28" spans="1:20" s="61" customFormat="1" ht="15" customHeight="1" thickBot="1">
      <c r="A28" s="716"/>
      <c r="B28" s="716"/>
      <c r="C28" s="139" t="s">
        <v>535</v>
      </c>
      <c r="D28" s="121" t="s">
        <v>536</v>
      </c>
      <c r="E28" s="121" t="s">
        <v>524</v>
      </c>
      <c r="F28" s="121" t="s">
        <v>537</v>
      </c>
      <c r="G28" s="120" t="s">
        <v>538</v>
      </c>
      <c r="H28" s="121" t="s">
        <v>539</v>
      </c>
      <c r="I28" s="121" t="s">
        <v>540</v>
      </c>
      <c r="J28" s="122" t="s">
        <v>3</v>
      </c>
      <c r="K28" s="743"/>
      <c r="L28" s="51">
        <v>0</v>
      </c>
      <c r="M28" s="51"/>
      <c r="O28" s="74"/>
    </row>
    <row r="29" spans="1:20" s="61" customFormat="1" ht="15" customHeight="1">
      <c r="A29" s="704" t="s">
        <v>290</v>
      </c>
      <c r="B29" s="704" t="s">
        <v>533</v>
      </c>
      <c r="C29" s="729" t="s">
        <v>528</v>
      </c>
      <c r="D29" s="730"/>
      <c r="E29" s="730"/>
      <c r="F29" s="731"/>
      <c r="G29" s="804" t="s">
        <v>529</v>
      </c>
      <c r="H29" s="730"/>
      <c r="I29" s="730"/>
      <c r="J29" s="805"/>
      <c r="K29" s="746">
        <v>2</v>
      </c>
      <c r="L29" s="51"/>
      <c r="M29" s="51"/>
    </row>
    <row r="30" spans="1:20" s="61" customFormat="1" ht="15" customHeight="1" thickBot="1">
      <c r="A30" s="716"/>
      <c r="B30" s="716"/>
      <c r="C30" s="127" t="s">
        <v>535</v>
      </c>
      <c r="D30" s="35" t="s">
        <v>536</v>
      </c>
      <c r="E30" s="35" t="s">
        <v>524</v>
      </c>
      <c r="F30" s="35" t="s">
        <v>537</v>
      </c>
      <c r="G30" s="71" t="s">
        <v>538</v>
      </c>
      <c r="H30" s="35" t="s">
        <v>539</v>
      </c>
      <c r="I30" s="35" t="s">
        <v>540</v>
      </c>
      <c r="J30" s="36" t="s">
        <v>3</v>
      </c>
      <c r="K30" s="747"/>
      <c r="L30" s="51">
        <v>0</v>
      </c>
      <c r="M30" s="51"/>
      <c r="N30" s="51"/>
      <c r="O30" s="51"/>
      <c r="P30" s="51"/>
      <c r="Q30" s="51"/>
      <c r="R30" s="51"/>
      <c r="S30" s="51"/>
      <c r="T30" s="51"/>
    </row>
    <row r="31" spans="1:20" ht="11.25">
      <c r="A31" s="704" t="s">
        <v>291</v>
      </c>
      <c r="B31" s="704" t="s">
        <v>534</v>
      </c>
      <c r="C31" s="761" t="s">
        <v>526</v>
      </c>
      <c r="D31" s="762"/>
      <c r="E31" s="762"/>
      <c r="F31" s="763"/>
      <c r="G31" s="764" t="s">
        <v>527</v>
      </c>
      <c r="H31" s="762"/>
      <c r="I31" s="762"/>
      <c r="J31" s="765"/>
      <c r="K31" s="746">
        <v>2</v>
      </c>
      <c r="N31" s="61"/>
      <c r="O31" s="61"/>
      <c r="P31" s="61"/>
      <c r="Q31" s="61"/>
      <c r="R31" s="61"/>
      <c r="S31" s="61"/>
      <c r="T31" s="61"/>
    </row>
    <row r="32" spans="1:20" ht="14.25" customHeight="1" thickBot="1">
      <c r="A32" s="716"/>
      <c r="B32" s="716"/>
      <c r="C32" s="45" t="s">
        <v>535</v>
      </c>
      <c r="D32" s="46" t="s">
        <v>536</v>
      </c>
      <c r="E32" s="46" t="s">
        <v>524</v>
      </c>
      <c r="F32" s="46" t="s">
        <v>537</v>
      </c>
      <c r="G32" s="47" t="s">
        <v>538</v>
      </c>
      <c r="H32" s="46" t="s">
        <v>539</v>
      </c>
      <c r="I32" s="46" t="s">
        <v>540</v>
      </c>
      <c r="J32" s="48" t="s">
        <v>3</v>
      </c>
      <c r="K32" s="747"/>
      <c r="L32" s="51">
        <v>0</v>
      </c>
    </row>
    <row r="33" spans="1:20" s="61" customFormat="1" ht="11.25">
      <c r="A33" s="54" t="s">
        <v>292</v>
      </c>
      <c r="B33" s="704" t="s">
        <v>454</v>
      </c>
      <c r="C33" s="798" t="s">
        <v>576</v>
      </c>
      <c r="D33" s="776"/>
      <c r="E33" s="776"/>
      <c r="F33" s="799"/>
      <c r="G33" s="800" t="s">
        <v>580</v>
      </c>
      <c r="H33" s="776"/>
      <c r="I33" s="776"/>
      <c r="J33" s="777"/>
      <c r="K33" s="63">
        <v>2</v>
      </c>
      <c r="L33" s="51">
        <v>0</v>
      </c>
      <c r="M33" s="51"/>
      <c r="N33" s="51"/>
      <c r="O33" s="51"/>
      <c r="P33" s="51"/>
      <c r="Q33" s="51"/>
      <c r="R33" s="51"/>
      <c r="S33" s="51"/>
      <c r="T33" s="51"/>
    </row>
    <row r="34" spans="1:20" s="61" customFormat="1" ht="13.5" customHeight="1">
      <c r="A34" s="63" t="s">
        <v>293</v>
      </c>
      <c r="B34" s="717"/>
      <c r="C34" s="721" t="s">
        <v>575</v>
      </c>
      <c r="D34" s="722"/>
      <c r="E34" s="722"/>
      <c r="F34" s="723"/>
      <c r="G34" s="724" t="s">
        <v>574</v>
      </c>
      <c r="H34" s="722"/>
      <c r="I34" s="722"/>
      <c r="J34" s="725"/>
      <c r="K34" s="63">
        <v>2</v>
      </c>
      <c r="L34" s="51">
        <v>0</v>
      </c>
      <c r="M34" s="51"/>
      <c r="N34" s="51"/>
      <c r="O34" s="51"/>
      <c r="P34" s="51"/>
      <c r="Q34" s="51"/>
      <c r="R34" s="51"/>
      <c r="S34" s="51"/>
      <c r="T34" s="51"/>
    </row>
    <row r="35" spans="1:20" ht="14.25" customHeight="1" thickBot="1">
      <c r="A35" s="55" t="s">
        <v>294</v>
      </c>
      <c r="B35" s="716"/>
      <c r="C35" s="726" t="s">
        <v>200</v>
      </c>
      <c r="D35" s="727"/>
      <c r="E35" s="727"/>
      <c r="F35" s="728"/>
      <c r="G35" s="781" t="s">
        <v>612</v>
      </c>
      <c r="H35" s="727"/>
      <c r="I35" s="727"/>
      <c r="J35" s="778"/>
      <c r="K35" s="83">
        <v>2</v>
      </c>
      <c r="L35" s="51">
        <v>0</v>
      </c>
      <c r="N35" s="65"/>
      <c r="O35" s="65"/>
      <c r="P35" s="65"/>
      <c r="Q35" s="65"/>
      <c r="R35" s="65"/>
      <c r="S35" s="65"/>
      <c r="T35" s="65"/>
    </row>
    <row r="36" spans="1:20" ht="11.25">
      <c r="A36" s="63" t="s">
        <v>329</v>
      </c>
      <c r="B36" s="704" t="s">
        <v>481</v>
      </c>
      <c r="C36" s="702" t="s">
        <v>490</v>
      </c>
      <c r="D36" s="702"/>
      <c r="E36" s="702"/>
      <c r="F36" s="702"/>
      <c r="G36" s="702"/>
      <c r="H36" s="702"/>
      <c r="I36" s="702"/>
      <c r="J36" s="703"/>
      <c r="K36" s="82">
        <v>2</v>
      </c>
      <c r="L36" s="51">
        <v>0</v>
      </c>
    </row>
    <row r="37" spans="1:20" ht="11.25">
      <c r="A37" s="63" t="s">
        <v>330</v>
      </c>
      <c r="B37" s="705"/>
      <c r="C37" s="696" t="s">
        <v>474</v>
      </c>
      <c r="D37" s="696"/>
      <c r="E37" s="696"/>
      <c r="F37" s="696"/>
      <c r="G37" s="696"/>
      <c r="H37" s="696"/>
      <c r="I37" s="696"/>
      <c r="J37" s="698"/>
      <c r="K37" s="134">
        <v>2</v>
      </c>
      <c r="L37" s="51">
        <v>0</v>
      </c>
    </row>
    <row r="38" spans="1:20" ht="11.25">
      <c r="A38" s="63" t="s">
        <v>378</v>
      </c>
      <c r="B38" s="717" t="s">
        <v>482</v>
      </c>
      <c r="C38" s="855" t="s">
        <v>491</v>
      </c>
      <c r="D38" s="855"/>
      <c r="E38" s="855"/>
      <c r="F38" s="855"/>
      <c r="G38" s="855"/>
      <c r="H38" s="855"/>
      <c r="I38" s="855"/>
      <c r="J38" s="857"/>
      <c r="K38" s="80">
        <v>2</v>
      </c>
      <c r="L38" s="51">
        <v>0</v>
      </c>
    </row>
    <row r="39" spans="1:20" ht="11.25">
      <c r="A39" s="63" t="s">
        <v>331</v>
      </c>
      <c r="B39" s="717"/>
      <c r="C39" s="853" t="s">
        <v>496</v>
      </c>
      <c r="D39" s="853"/>
      <c r="E39" s="853"/>
      <c r="F39" s="853"/>
      <c r="G39" s="853"/>
      <c r="H39" s="853"/>
      <c r="I39" s="853"/>
      <c r="J39" s="862"/>
      <c r="K39" s="80">
        <v>2</v>
      </c>
      <c r="L39" s="51">
        <v>0</v>
      </c>
    </row>
    <row r="40" spans="1:20" ht="11.25">
      <c r="A40" s="63" t="s">
        <v>393</v>
      </c>
      <c r="B40" s="900" t="s">
        <v>483</v>
      </c>
      <c r="C40" s="696" t="s">
        <v>492</v>
      </c>
      <c r="D40" s="696"/>
      <c r="E40" s="696"/>
      <c r="F40" s="696"/>
      <c r="G40" s="696"/>
      <c r="H40" s="696"/>
      <c r="I40" s="696"/>
      <c r="J40" s="698"/>
      <c r="K40" s="135">
        <v>2</v>
      </c>
      <c r="L40" s="51">
        <v>0</v>
      </c>
    </row>
    <row r="41" spans="1:20" ht="11.25">
      <c r="A41" s="63" t="s">
        <v>334</v>
      </c>
      <c r="B41" s="705"/>
      <c r="C41" s="696" t="s">
        <v>495</v>
      </c>
      <c r="D41" s="696"/>
      <c r="E41" s="696"/>
      <c r="F41" s="696"/>
      <c r="G41" s="696"/>
      <c r="H41" s="696"/>
      <c r="I41" s="696"/>
      <c r="J41" s="698"/>
      <c r="K41" s="134">
        <v>2</v>
      </c>
      <c r="L41" s="51">
        <v>0</v>
      </c>
    </row>
    <row r="42" spans="1:20" ht="11.25">
      <c r="A42" s="63" t="s">
        <v>335</v>
      </c>
      <c r="B42" s="717" t="s">
        <v>484</v>
      </c>
      <c r="C42" s="855" t="s">
        <v>525</v>
      </c>
      <c r="D42" s="855"/>
      <c r="E42" s="855"/>
      <c r="F42" s="855"/>
      <c r="G42" s="855"/>
      <c r="H42" s="855"/>
      <c r="I42" s="855"/>
      <c r="J42" s="857"/>
      <c r="K42" s="80">
        <v>2</v>
      </c>
      <c r="L42" s="51">
        <v>0</v>
      </c>
    </row>
    <row r="43" spans="1:20" ht="12" thickBot="1">
      <c r="A43" s="55" t="s">
        <v>489</v>
      </c>
      <c r="B43" s="716"/>
      <c r="C43" s="687" t="s">
        <v>494</v>
      </c>
      <c r="D43" s="687"/>
      <c r="E43" s="687"/>
      <c r="F43" s="687"/>
      <c r="G43" s="687"/>
      <c r="H43" s="687"/>
      <c r="I43" s="687"/>
      <c r="J43" s="689"/>
      <c r="K43" s="83">
        <v>2</v>
      </c>
      <c r="L43" s="51">
        <v>0</v>
      </c>
    </row>
    <row r="44" spans="1:20" ht="11.25">
      <c r="A44" s="54" t="s">
        <v>308</v>
      </c>
      <c r="B44" s="704" t="s">
        <v>452</v>
      </c>
      <c r="C44" s="925" t="s">
        <v>1849</v>
      </c>
      <c r="D44" s="926"/>
      <c r="E44" s="926"/>
      <c r="F44" s="926"/>
      <c r="G44" s="926"/>
      <c r="H44" s="926"/>
      <c r="I44" s="926"/>
      <c r="J44" s="927"/>
      <c r="K44" s="82">
        <v>2</v>
      </c>
      <c r="L44" s="51">
        <v>1</v>
      </c>
    </row>
    <row r="45" spans="1:20" ht="12" thickBot="1">
      <c r="A45" s="55" t="s">
        <v>309</v>
      </c>
      <c r="B45" s="716"/>
      <c r="C45" s="928" t="s">
        <v>1848</v>
      </c>
      <c r="D45" s="929"/>
      <c r="E45" s="929"/>
      <c r="F45" s="929"/>
      <c r="G45" s="929"/>
      <c r="H45" s="929"/>
      <c r="I45" s="929"/>
      <c r="J45" s="930"/>
      <c r="K45" s="83">
        <v>2</v>
      </c>
      <c r="L45" s="51">
        <v>0</v>
      </c>
    </row>
    <row r="46" spans="1:20" ht="11.25">
      <c r="A46" s="54" t="s">
        <v>570</v>
      </c>
      <c r="B46" s="54" t="s">
        <v>446</v>
      </c>
      <c r="C46" s="776" t="s">
        <v>206</v>
      </c>
      <c r="D46" s="776"/>
      <c r="E46" s="776"/>
      <c r="F46" s="776"/>
      <c r="G46" s="776"/>
      <c r="H46" s="776"/>
      <c r="I46" s="776"/>
      <c r="J46" s="777"/>
      <c r="K46" s="82">
        <v>2</v>
      </c>
      <c r="L46" s="51">
        <v>1</v>
      </c>
    </row>
    <row r="47" spans="1:20" ht="12" thickBot="1">
      <c r="A47" s="55">
        <v>67</v>
      </c>
      <c r="B47" s="64" t="s">
        <v>447</v>
      </c>
      <c r="C47" s="727" t="s">
        <v>974</v>
      </c>
      <c r="D47" s="727"/>
      <c r="E47" s="727"/>
      <c r="F47" s="727"/>
      <c r="G47" s="727"/>
      <c r="H47" s="727"/>
      <c r="I47" s="727"/>
      <c r="J47" s="778"/>
      <c r="K47" s="83">
        <v>1</v>
      </c>
    </row>
    <row r="48" spans="1:20" ht="12" thickBot="1">
      <c r="A48" s="77"/>
      <c r="B48" s="77"/>
      <c r="C48" s="50"/>
      <c r="D48" s="50"/>
      <c r="E48" s="50"/>
      <c r="F48" s="50"/>
      <c r="G48" s="50"/>
      <c r="H48" s="50"/>
      <c r="I48" s="50"/>
      <c r="J48" s="50"/>
    </row>
    <row r="49" spans="1:31" ht="12" thickBot="1">
      <c r="A49" s="736" t="s">
        <v>591</v>
      </c>
      <c r="B49" s="737"/>
      <c r="C49" s="737"/>
      <c r="D49" s="737"/>
      <c r="E49" s="737"/>
      <c r="F49" s="737"/>
      <c r="G49" s="737"/>
      <c r="H49" s="737"/>
      <c r="I49" s="737"/>
      <c r="J49" s="737"/>
      <c r="K49" s="738"/>
    </row>
    <row r="50" spans="1:31" ht="12" thickBot="1">
      <c r="A50" s="58" t="s">
        <v>316</v>
      </c>
      <c r="B50" s="58" t="s">
        <v>498</v>
      </c>
      <c r="C50" s="52" t="s">
        <v>208</v>
      </c>
      <c r="D50" s="32" t="s">
        <v>209</v>
      </c>
      <c r="E50" s="32" t="s">
        <v>210</v>
      </c>
      <c r="F50" s="32" t="s">
        <v>211</v>
      </c>
      <c r="G50" s="32" t="s">
        <v>212</v>
      </c>
      <c r="H50" s="32" t="s">
        <v>213</v>
      </c>
      <c r="I50" s="32" t="s">
        <v>214</v>
      </c>
      <c r="J50" s="33" t="s">
        <v>215</v>
      </c>
      <c r="K50" s="75" t="s">
        <v>317</v>
      </c>
    </row>
    <row r="51" spans="1:31" ht="11.25">
      <c r="A51" s="54">
        <v>0</v>
      </c>
      <c r="B51" s="53" t="s">
        <v>499</v>
      </c>
      <c r="C51" s="783" t="s">
        <v>216</v>
      </c>
      <c r="D51" s="784"/>
      <c r="E51" s="784"/>
      <c r="F51" s="784"/>
      <c r="G51" s="784"/>
      <c r="H51" s="784"/>
      <c r="I51" s="784"/>
      <c r="J51" s="785"/>
      <c r="K51" s="82">
        <v>1</v>
      </c>
    </row>
    <row r="52" spans="1:31" ht="11.25">
      <c r="A52" s="63" t="s">
        <v>318</v>
      </c>
      <c r="B52" s="60" t="s">
        <v>500</v>
      </c>
      <c r="C52" s="723" t="s">
        <v>217</v>
      </c>
      <c r="D52" s="786"/>
      <c r="E52" s="786"/>
      <c r="F52" s="786"/>
      <c r="G52" s="786"/>
      <c r="H52" s="786"/>
      <c r="I52" s="786"/>
      <c r="J52" s="787"/>
      <c r="K52" s="80">
        <v>2</v>
      </c>
      <c r="L52" s="51">
        <v>15</v>
      </c>
    </row>
    <row r="53" spans="1:31" ht="11.25">
      <c r="A53" s="63" t="s">
        <v>319</v>
      </c>
      <c r="B53" s="60" t="s">
        <v>501</v>
      </c>
      <c r="C53" s="723" t="s">
        <v>420</v>
      </c>
      <c r="D53" s="786"/>
      <c r="E53" s="786"/>
      <c r="F53" s="786"/>
      <c r="G53" s="786"/>
      <c r="H53" s="786"/>
      <c r="I53" s="786"/>
      <c r="J53" s="787"/>
      <c r="K53" s="80">
        <v>2</v>
      </c>
      <c r="L53" s="51">
        <v>16</v>
      </c>
    </row>
    <row r="54" spans="1:31" ht="11.25">
      <c r="A54" s="63" t="s">
        <v>320</v>
      </c>
      <c r="B54" s="60" t="s">
        <v>502</v>
      </c>
      <c r="C54" s="722" t="s">
        <v>218</v>
      </c>
      <c r="D54" s="722"/>
      <c r="E54" s="722"/>
      <c r="F54" s="722"/>
      <c r="G54" s="722"/>
      <c r="H54" s="722"/>
      <c r="I54" s="722"/>
      <c r="J54" s="725"/>
      <c r="K54" s="80">
        <v>2</v>
      </c>
      <c r="L54" s="51" t="s">
        <v>1782</v>
      </c>
    </row>
    <row r="55" spans="1:31" ht="11.25">
      <c r="A55" s="63" t="s">
        <v>178</v>
      </c>
      <c r="B55" s="60" t="s">
        <v>503</v>
      </c>
      <c r="C55" s="858" t="s">
        <v>179</v>
      </c>
      <c r="D55" s="859"/>
      <c r="E55" s="859"/>
      <c r="F55" s="859"/>
      <c r="G55" s="859"/>
      <c r="H55" s="859"/>
      <c r="I55" s="859"/>
      <c r="J55" s="860"/>
      <c r="K55" s="80">
        <v>2</v>
      </c>
      <c r="L55" s="51">
        <v>11</v>
      </c>
    </row>
    <row r="56" spans="1:31" ht="12" thickBot="1">
      <c r="A56" s="55" t="s">
        <v>180</v>
      </c>
      <c r="B56" s="64" t="s">
        <v>504</v>
      </c>
      <c r="C56" s="819" t="s">
        <v>219</v>
      </c>
      <c r="D56" s="819"/>
      <c r="E56" s="819"/>
      <c r="F56" s="819"/>
      <c r="G56" s="819"/>
      <c r="H56" s="819"/>
      <c r="I56" s="819"/>
      <c r="J56" s="820"/>
      <c r="K56" s="83">
        <v>2</v>
      </c>
      <c r="L56" s="51" t="s">
        <v>1783</v>
      </c>
      <c r="M56" s="50"/>
    </row>
    <row r="57" spans="1:31" s="61" customFormat="1" ht="15" customHeight="1">
      <c r="A57" s="704" t="s">
        <v>298</v>
      </c>
      <c r="B57" s="704" t="s">
        <v>441</v>
      </c>
      <c r="C57" s="852" t="s">
        <v>141</v>
      </c>
      <c r="D57" s="852"/>
      <c r="E57" s="852"/>
      <c r="F57" s="719"/>
      <c r="G57" s="863" t="s">
        <v>142</v>
      </c>
      <c r="H57" s="719"/>
      <c r="I57" s="863" t="s">
        <v>143</v>
      </c>
      <c r="J57" s="864"/>
      <c r="K57" s="704">
        <v>2</v>
      </c>
      <c r="L57" s="51"/>
      <c r="M57" s="50"/>
      <c r="S57" s="188" t="s">
        <v>1043</v>
      </c>
    </row>
    <row r="58" spans="1:31" s="61" customFormat="1" ht="15" customHeight="1" thickBot="1">
      <c r="A58" s="716"/>
      <c r="B58" s="716"/>
      <c r="C58" s="71" t="s">
        <v>144</v>
      </c>
      <c r="D58" s="39" t="s">
        <v>145</v>
      </c>
      <c r="E58" s="39" t="s">
        <v>146</v>
      </c>
      <c r="F58" s="39" t="s">
        <v>147</v>
      </c>
      <c r="G58" s="35" t="s">
        <v>148</v>
      </c>
      <c r="H58" s="35" t="s">
        <v>149</v>
      </c>
      <c r="I58" s="35" t="s">
        <v>148</v>
      </c>
      <c r="J58" s="36" t="s">
        <v>149</v>
      </c>
      <c r="K58" s="716"/>
      <c r="L58" s="51">
        <v>1</v>
      </c>
      <c r="M58" s="50"/>
      <c r="S58" s="187" t="s">
        <v>1044</v>
      </c>
      <c r="T58" s="51"/>
      <c r="U58" s="51"/>
    </row>
    <row r="59" spans="1:31" ht="12" thickBot="1">
      <c r="A59" s="54" t="s">
        <v>372</v>
      </c>
      <c r="B59" s="63" t="s">
        <v>505</v>
      </c>
      <c r="C59" s="108" t="s">
        <v>333</v>
      </c>
      <c r="D59" s="41" t="s">
        <v>595</v>
      </c>
      <c r="E59" s="40" t="s">
        <v>152</v>
      </c>
      <c r="F59" s="40" t="s">
        <v>153</v>
      </c>
      <c r="G59" s="40" t="s">
        <v>154</v>
      </c>
      <c r="H59" s="40" t="s">
        <v>155</v>
      </c>
      <c r="I59" s="40" t="s">
        <v>156</v>
      </c>
      <c r="J59" s="42" t="s">
        <v>31</v>
      </c>
      <c r="K59" s="82">
        <v>2</v>
      </c>
      <c r="L59" s="51">
        <v>4</v>
      </c>
      <c r="M59" s="61"/>
      <c r="S59" s="187"/>
    </row>
    <row r="60" spans="1:31" s="61" customFormat="1" ht="15" customHeight="1">
      <c r="A60" s="162" t="s">
        <v>1409</v>
      </c>
      <c r="B60" s="924" t="s">
        <v>907</v>
      </c>
      <c r="C60" s="921" t="s">
        <v>908</v>
      </c>
      <c r="D60" s="922"/>
      <c r="E60" s="922"/>
      <c r="F60" s="922"/>
      <c r="G60" s="922"/>
      <c r="H60" s="922"/>
      <c r="I60" s="922"/>
      <c r="J60" s="923"/>
      <c r="K60" s="163">
        <v>2</v>
      </c>
      <c r="L60" s="51" t="s">
        <v>1783</v>
      </c>
      <c r="M60"/>
      <c r="N60" s="74" t="s">
        <v>940</v>
      </c>
      <c r="P60" s="51"/>
      <c r="Q60" s="51"/>
      <c r="R60" s="51" t="s">
        <v>941</v>
      </c>
      <c r="S60" s="195">
        <v>55</v>
      </c>
      <c r="T60" s="51" t="str">
        <f>DEC2HEX(S60)</f>
        <v>37</v>
      </c>
      <c r="U60" s="51">
        <v>0</v>
      </c>
      <c r="V60" s="51"/>
      <c r="W60" s="921" t="s">
        <v>908</v>
      </c>
      <c r="X60" s="922"/>
      <c r="Y60" s="922"/>
      <c r="Z60" s="922"/>
      <c r="AA60" s="922"/>
      <c r="AB60" s="922"/>
      <c r="AC60" s="922"/>
      <c r="AD60" s="923"/>
      <c r="AE60" s="184" t="s">
        <v>977</v>
      </c>
    </row>
    <row r="61" spans="1:31" ht="13.5">
      <c r="A61" s="159" t="s">
        <v>1063</v>
      </c>
      <c r="B61" s="717"/>
      <c r="C61" s="919" t="s">
        <v>909</v>
      </c>
      <c r="D61" s="690"/>
      <c r="E61" s="690"/>
      <c r="F61" s="690"/>
      <c r="G61" s="690"/>
      <c r="H61" s="690"/>
      <c r="I61" s="690"/>
      <c r="J61" s="692"/>
      <c r="K61" s="80">
        <v>2</v>
      </c>
      <c r="L61" s="51">
        <v>37</v>
      </c>
      <c r="M61"/>
      <c r="N61" s="51" t="s">
        <v>942</v>
      </c>
      <c r="O61" s="61"/>
      <c r="R61" s="51" t="s">
        <v>941</v>
      </c>
      <c r="S61" s="187">
        <v>55</v>
      </c>
      <c r="T61" s="51" t="str">
        <f t="shared" ref="T61:T84" si="0">DEC2HEX(S61)</f>
        <v>37</v>
      </c>
      <c r="U61" s="51">
        <v>1</v>
      </c>
      <c r="W61" s="919" t="s">
        <v>909</v>
      </c>
      <c r="X61" s="690"/>
      <c r="Y61" s="690"/>
      <c r="Z61" s="690"/>
      <c r="AA61" s="690"/>
      <c r="AB61" s="690"/>
      <c r="AC61" s="690"/>
      <c r="AD61" s="692"/>
      <c r="AE61" s="185" t="s">
        <v>977</v>
      </c>
    </row>
    <row r="62" spans="1:31" ht="13.5" customHeight="1">
      <c r="A62" s="159" t="s">
        <v>1064</v>
      </c>
      <c r="B62" s="717"/>
      <c r="C62" s="919" t="s">
        <v>910</v>
      </c>
      <c r="D62" s="690"/>
      <c r="E62" s="690"/>
      <c r="F62" s="690"/>
      <c r="G62" s="690"/>
      <c r="H62" s="690"/>
      <c r="I62" s="690"/>
      <c r="J62" s="692"/>
      <c r="K62" s="80">
        <v>2</v>
      </c>
      <c r="L62" s="51">
        <v>37</v>
      </c>
      <c r="M62"/>
      <c r="N62" s="51" t="s">
        <v>943</v>
      </c>
      <c r="O62" s="61"/>
      <c r="R62" s="51" t="s">
        <v>941</v>
      </c>
      <c r="S62" s="187">
        <v>55</v>
      </c>
      <c r="T62" s="51" t="str">
        <f t="shared" si="0"/>
        <v>37</v>
      </c>
      <c r="U62" s="51">
        <v>2</v>
      </c>
      <c r="W62" s="919" t="s">
        <v>910</v>
      </c>
      <c r="X62" s="690"/>
      <c r="Y62" s="690"/>
      <c r="Z62" s="690"/>
      <c r="AA62" s="690"/>
      <c r="AB62" s="690"/>
      <c r="AC62" s="690"/>
      <c r="AD62" s="692"/>
      <c r="AE62" s="185" t="s">
        <v>977</v>
      </c>
    </row>
    <row r="63" spans="1:31" ht="13.5" customHeight="1">
      <c r="A63" s="159" t="s">
        <v>1065</v>
      </c>
      <c r="B63" s="717"/>
      <c r="C63" s="919" t="s">
        <v>911</v>
      </c>
      <c r="D63" s="690"/>
      <c r="E63" s="690"/>
      <c r="F63" s="690"/>
      <c r="G63" s="690"/>
      <c r="H63" s="690"/>
      <c r="I63" s="690"/>
      <c r="J63" s="692"/>
      <c r="K63" s="80">
        <v>2</v>
      </c>
      <c r="L63" s="50" t="s">
        <v>1783</v>
      </c>
      <c r="M63"/>
      <c r="N63" s="51" t="s">
        <v>955</v>
      </c>
      <c r="O63" s="61"/>
      <c r="R63" s="51" t="s">
        <v>941</v>
      </c>
      <c r="S63" s="187">
        <v>63</v>
      </c>
      <c r="T63" s="51" t="str">
        <f t="shared" si="0"/>
        <v>3F</v>
      </c>
      <c r="U63" s="51">
        <v>3</v>
      </c>
      <c r="W63" s="919" t="s">
        <v>911</v>
      </c>
      <c r="X63" s="690"/>
      <c r="Y63" s="690"/>
      <c r="Z63" s="690"/>
      <c r="AA63" s="690"/>
      <c r="AB63" s="690"/>
      <c r="AC63" s="690"/>
      <c r="AD63" s="692"/>
      <c r="AE63" s="185" t="s">
        <v>977</v>
      </c>
    </row>
    <row r="64" spans="1:31" ht="13.5" customHeight="1">
      <c r="A64" s="159" t="s">
        <v>1066</v>
      </c>
      <c r="B64" s="717"/>
      <c r="C64" s="919" t="s">
        <v>1843</v>
      </c>
      <c r="D64" s="690"/>
      <c r="E64" s="690"/>
      <c r="F64" s="690"/>
      <c r="G64" s="690"/>
      <c r="H64" s="690"/>
      <c r="I64" s="690"/>
      <c r="J64" s="692"/>
      <c r="K64" s="80">
        <v>2</v>
      </c>
      <c r="L64" s="50">
        <v>2</v>
      </c>
      <c r="M64"/>
      <c r="N64" s="51" t="s">
        <v>956</v>
      </c>
      <c r="O64" s="61"/>
      <c r="S64" s="187">
        <v>2</v>
      </c>
      <c r="T64" s="51" t="str">
        <f t="shared" si="0"/>
        <v>2</v>
      </c>
      <c r="U64" s="51">
        <v>4</v>
      </c>
      <c r="W64" s="919" t="s">
        <v>1842</v>
      </c>
      <c r="X64" s="690"/>
      <c r="Y64" s="690"/>
      <c r="Z64" s="690"/>
      <c r="AA64" s="690"/>
      <c r="AB64" s="690"/>
      <c r="AC64" s="690"/>
      <c r="AD64" s="692"/>
      <c r="AE64" s="185" t="s">
        <v>977</v>
      </c>
    </row>
    <row r="65" spans="1:31" ht="13.5" customHeight="1">
      <c r="A65" s="159" t="s">
        <v>1067</v>
      </c>
      <c r="B65" s="717"/>
      <c r="C65" s="919" t="s">
        <v>913</v>
      </c>
      <c r="D65" s="690"/>
      <c r="E65" s="690"/>
      <c r="F65" s="690"/>
      <c r="G65" s="690"/>
      <c r="H65" s="690"/>
      <c r="I65" s="690"/>
      <c r="J65" s="692"/>
      <c r="K65" s="80">
        <v>2</v>
      </c>
      <c r="L65" s="61">
        <v>0</v>
      </c>
      <c r="M65"/>
      <c r="N65" s="51" t="s">
        <v>944</v>
      </c>
      <c r="O65" s="61"/>
      <c r="S65" s="187"/>
      <c r="T65" s="51" t="str">
        <f t="shared" si="0"/>
        <v>0</v>
      </c>
      <c r="U65" s="51">
        <v>5</v>
      </c>
      <c r="W65" s="919" t="s">
        <v>913</v>
      </c>
      <c r="X65" s="690"/>
      <c r="Y65" s="690"/>
      <c r="Z65" s="690"/>
      <c r="AA65" s="690"/>
      <c r="AB65" s="690"/>
      <c r="AC65" s="690"/>
      <c r="AD65" s="692"/>
      <c r="AE65" s="185"/>
    </row>
    <row r="66" spans="1:31" ht="13.5" customHeight="1">
      <c r="A66" s="159" t="s">
        <v>1068</v>
      </c>
      <c r="B66" s="717"/>
      <c r="C66" s="919" t="s">
        <v>914</v>
      </c>
      <c r="D66" s="690"/>
      <c r="E66" s="690"/>
      <c r="F66" s="690"/>
      <c r="G66" s="690"/>
      <c r="H66" s="690"/>
      <c r="I66" s="690"/>
      <c r="J66" s="692"/>
      <c r="K66" s="80">
        <v>2</v>
      </c>
      <c r="L66" s="61">
        <v>0</v>
      </c>
      <c r="M66"/>
      <c r="N66" s="51" t="s">
        <v>957</v>
      </c>
      <c r="O66" s="61"/>
      <c r="S66" s="187"/>
      <c r="T66" s="51" t="str">
        <f t="shared" si="0"/>
        <v>0</v>
      </c>
      <c r="U66" s="51">
        <v>6</v>
      </c>
      <c r="W66" s="919" t="s">
        <v>914</v>
      </c>
      <c r="X66" s="690"/>
      <c r="Y66" s="690"/>
      <c r="Z66" s="690"/>
      <c r="AA66" s="690"/>
      <c r="AB66" s="690"/>
      <c r="AC66" s="690"/>
      <c r="AD66" s="692"/>
      <c r="AE66" s="185"/>
    </row>
    <row r="67" spans="1:31" ht="13.5" customHeight="1">
      <c r="A67" s="159" t="s">
        <v>1069</v>
      </c>
      <c r="B67" s="717"/>
      <c r="C67" s="919" t="s">
        <v>915</v>
      </c>
      <c r="D67" s="690"/>
      <c r="E67" s="690"/>
      <c r="F67" s="690"/>
      <c r="G67" s="690"/>
      <c r="H67" s="690"/>
      <c r="I67" s="690"/>
      <c r="J67" s="692"/>
      <c r="K67" s="80">
        <v>2</v>
      </c>
      <c r="L67">
        <v>0</v>
      </c>
      <c r="M67"/>
      <c r="N67" s="51" t="s">
        <v>945</v>
      </c>
      <c r="O67" s="61"/>
      <c r="S67" s="187"/>
      <c r="T67" s="51" t="str">
        <f t="shared" si="0"/>
        <v>0</v>
      </c>
      <c r="W67" s="919" t="s">
        <v>915</v>
      </c>
      <c r="X67" s="690"/>
      <c r="Y67" s="690"/>
      <c r="Z67" s="690"/>
      <c r="AA67" s="690"/>
      <c r="AB67" s="690"/>
      <c r="AC67" s="690"/>
      <c r="AD67" s="692"/>
      <c r="AE67" s="185"/>
    </row>
    <row r="68" spans="1:31" ht="13.5" customHeight="1">
      <c r="A68" s="159" t="s">
        <v>1070</v>
      </c>
      <c r="B68" s="717"/>
      <c r="C68" s="919" t="s">
        <v>916</v>
      </c>
      <c r="D68" s="690"/>
      <c r="E68" s="690"/>
      <c r="F68" s="690"/>
      <c r="G68" s="690"/>
      <c r="H68" s="690"/>
      <c r="I68" s="690"/>
      <c r="J68" s="692"/>
      <c r="K68" s="80">
        <v>2</v>
      </c>
      <c r="L68">
        <v>0</v>
      </c>
      <c r="M68"/>
      <c r="N68" s="51" t="s">
        <v>958</v>
      </c>
      <c r="O68" s="61"/>
      <c r="S68" s="187"/>
      <c r="T68" s="51" t="str">
        <f t="shared" si="0"/>
        <v>0</v>
      </c>
      <c r="U68" s="51">
        <v>7</v>
      </c>
      <c r="W68" s="919" t="s">
        <v>916</v>
      </c>
      <c r="X68" s="690"/>
      <c r="Y68" s="690"/>
      <c r="Z68" s="690"/>
      <c r="AA68" s="690"/>
      <c r="AB68" s="690"/>
      <c r="AC68" s="690"/>
      <c r="AD68" s="692"/>
      <c r="AE68" s="185"/>
    </row>
    <row r="69" spans="1:31" ht="13.5" customHeight="1">
      <c r="A69" s="159" t="s">
        <v>1071</v>
      </c>
      <c r="B69" s="717"/>
      <c r="C69" s="919" t="s">
        <v>917</v>
      </c>
      <c r="D69" s="690"/>
      <c r="E69" s="690"/>
      <c r="F69" s="690"/>
      <c r="G69" s="690"/>
      <c r="H69" s="690"/>
      <c r="I69" s="690"/>
      <c r="J69" s="692"/>
      <c r="K69" s="80">
        <v>2</v>
      </c>
      <c r="L69">
        <v>0</v>
      </c>
      <c r="M69"/>
      <c r="N69" s="51" t="s">
        <v>959</v>
      </c>
      <c r="O69" s="61"/>
      <c r="S69" s="187"/>
      <c r="T69" s="51" t="str">
        <f t="shared" si="0"/>
        <v>0</v>
      </c>
      <c r="U69" s="51">
        <v>8</v>
      </c>
      <c r="W69" s="919" t="s">
        <v>917</v>
      </c>
      <c r="X69" s="690"/>
      <c r="Y69" s="690"/>
      <c r="Z69" s="690"/>
      <c r="AA69" s="690"/>
      <c r="AB69" s="690"/>
      <c r="AC69" s="690"/>
      <c r="AD69" s="692"/>
      <c r="AE69" s="185"/>
    </row>
    <row r="70" spans="1:31" ht="13.5" customHeight="1">
      <c r="A70" s="159" t="s">
        <v>1072</v>
      </c>
      <c r="B70" s="717"/>
      <c r="C70" s="919" t="s">
        <v>918</v>
      </c>
      <c r="D70" s="690"/>
      <c r="E70" s="690"/>
      <c r="F70" s="690"/>
      <c r="G70" s="690"/>
      <c r="H70" s="690"/>
      <c r="I70" s="690"/>
      <c r="J70" s="692"/>
      <c r="K70" s="80">
        <v>2</v>
      </c>
      <c r="L70">
        <v>0</v>
      </c>
      <c r="M70"/>
      <c r="N70" s="51" t="s">
        <v>946</v>
      </c>
      <c r="O70" s="61"/>
      <c r="S70" s="187"/>
      <c r="T70" s="51" t="str">
        <f t="shared" si="0"/>
        <v>0</v>
      </c>
      <c r="W70" s="919" t="s">
        <v>918</v>
      </c>
      <c r="X70" s="690"/>
      <c r="Y70" s="690"/>
      <c r="Z70" s="690"/>
      <c r="AA70" s="690"/>
      <c r="AB70" s="690"/>
      <c r="AC70" s="690"/>
      <c r="AD70" s="692"/>
      <c r="AE70" s="185"/>
    </row>
    <row r="71" spans="1:31" ht="13.5" customHeight="1">
      <c r="A71" s="159" t="s">
        <v>556</v>
      </c>
      <c r="B71" s="717"/>
      <c r="C71" s="919" t="s">
        <v>919</v>
      </c>
      <c r="D71" s="690"/>
      <c r="E71" s="690"/>
      <c r="F71" s="690"/>
      <c r="G71" s="690"/>
      <c r="H71" s="690"/>
      <c r="I71" s="690"/>
      <c r="J71" s="692"/>
      <c r="K71" s="80">
        <v>2</v>
      </c>
      <c r="L71">
        <v>0</v>
      </c>
      <c r="M71"/>
      <c r="N71" s="51" t="s">
        <v>960</v>
      </c>
      <c r="O71" s="61"/>
      <c r="S71" s="187"/>
      <c r="T71" s="51" t="str">
        <f t="shared" si="0"/>
        <v>0</v>
      </c>
      <c r="U71" s="51">
        <v>9</v>
      </c>
      <c r="W71" s="919" t="s">
        <v>919</v>
      </c>
      <c r="X71" s="690"/>
      <c r="Y71" s="690"/>
      <c r="Z71" s="690"/>
      <c r="AA71" s="690"/>
      <c r="AB71" s="690"/>
      <c r="AC71" s="690"/>
      <c r="AD71" s="692"/>
      <c r="AE71" s="185"/>
    </row>
    <row r="72" spans="1:31" ht="13.5" customHeight="1">
      <c r="A72" s="159" t="s">
        <v>1073</v>
      </c>
      <c r="B72" s="717"/>
      <c r="C72" s="919" t="s">
        <v>920</v>
      </c>
      <c r="D72" s="690"/>
      <c r="E72" s="690"/>
      <c r="F72" s="690"/>
      <c r="G72" s="690"/>
      <c r="H72" s="690"/>
      <c r="I72" s="690"/>
      <c r="J72" s="692"/>
      <c r="K72" s="80">
        <v>2</v>
      </c>
      <c r="L72">
        <v>1</v>
      </c>
      <c r="M72"/>
      <c r="N72" s="51" t="s">
        <v>961</v>
      </c>
      <c r="O72" s="61"/>
      <c r="R72" s="51" t="s">
        <v>947</v>
      </c>
      <c r="S72" s="187">
        <v>1</v>
      </c>
      <c r="T72" s="51" t="str">
        <f t="shared" si="0"/>
        <v>1</v>
      </c>
      <c r="U72" s="51">
        <v>10</v>
      </c>
      <c r="V72" s="51" t="s">
        <v>948</v>
      </c>
      <c r="W72" s="919" t="s">
        <v>920</v>
      </c>
      <c r="X72" s="690"/>
      <c r="Y72" s="690"/>
      <c r="Z72" s="690"/>
      <c r="AA72" s="690"/>
      <c r="AB72" s="690"/>
      <c r="AC72" s="690"/>
      <c r="AD72" s="692"/>
      <c r="AE72" s="185" t="s">
        <v>977</v>
      </c>
    </row>
    <row r="73" spans="1:31" ht="13.5" customHeight="1">
      <c r="A73" s="159" t="s">
        <v>1074</v>
      </c>
      <c r="B73" s="717"/>
      <c r="C73" s="919" t="s">
        <v>921</v>
      </c>
      <c r="D73" s="690"/>
      <c r="E73" s="690"/>
      <c r="F73" s="690"/>
      <c r="G73" s="690"/>
      <c r="H73" s="690"/>
      <c r="I73" s="690"/>
      <c r="J73" s="692"/>
      <c r="K73" s="80">
        <v>2</v>
      </c>
      <c r="L73">
        <v>0</v>
      </c>
      <c r="M73"/>
      <c r="N73" s="51" t="s">
        <v>962</v>
      </c>
      <c r="O73" s="61"/>
      <c r="S73" s="187"/>
      <c r="T73" s="51" t="str">
        <f t="shared" si="0"/>
        <v>0</v>
      </c>
      <c r="U73" s="51">
        <v>11</v>
      </c>
      <c r="W73" s="919" t="s">
        <v>921</v>
      </c>
      <c r="X73" s="690"/>
      <c r="Y73" s="690"/>
      <c r="Z73" s="690"/>
      <c r="AA73" s="690"/>
      <c r="AB73" s="690"/>
      <c r="AC73" s="690"/>
      <c r="AD73" s="692"/>
      <c r="AE73" s="185"/>
    </row>
    <row r="74" spans="1:31" ht="13.5" customHeight="1">
      <c r="A74" s="159" t="s">
        <v>1075</v>
      </c>
      <c r="B74" s="717"/>
      <c r="C74" s="919" t="s">
        <v>922</v>
      </c>
      <c r="D74" s="690"/>
      <c r="E74" s="690"/>
      <c r="F74" s="690"/>
      <c r="G74" s="690"/>
      <c r="H74" s="690"/>
      <c r="I74" s="690"/>
      <c r="J74" s="692"/>
      <c r="K74" s="80">
        <v>2</v>
      </c>
      <c r="L74">
        <v>6</v>
      </c>
      <c r="M74"/>
      <c r="N74" s="51" t="s">
        <v>963</v>
      </c>
      <c r="O74" s="61"/>
      <c r="R74" s="51" t="s">
        <v>949</v>
      </c>
      <c r="S74" s="187">
        <v>11</v>
      </c>
      <c r="T74" s="51" t="str">
        <f t="shared" si="0"/>
        <v>B</v>
      </c>
      <c r="U74" s="51">
        <v>12</v>
      </c>
      <c r="W74" s="919" t="s">
        <v>922</v>
      </c>
      <c r="X74" s="690"/>
      <c r="Y74" s="690"/>
      <c r="Z74" s="690"/>
      <c r="AA74" s="690"/>
      <c r="AB74" s="690"/>
      <c r="AC74" s="690"/>
      <c r="AD74" s="692"/>
      <c r="AE74" s="185" t="s">
        <v>977</v>
      </c>
    </row>
    <row r="75" spans="1:31" ht="13.5" customHeight="1">
      <c r="A75" s="159" t="s">
        <v>1076</v>
      </c>
      <c r="B75" s="717"/>
      <c r="C75" s="919" t="s">
        <v>923</v>
      </c>
      <c r="D75" s="690"/>
      <c r="E75" s="690"/>
      <c r="F75" s="690"/>
      <c r="G75" s="690"/>
      <c r="H75" s="690"/>
      <c r="I75" s="690"/>
      <c r="J75" s="692"/>
      <c r="K75" s="80">
        <v>2</v>
      </c>
      <c r="L75">
        <v>6</v>
      </c>
      <c r="M75"/>
      <c r="N75" s="51" t="s">
        <v>950</v>
      </c>
      <c r="O75" s="61"/>
      <c r="R75" s="51" t="s">
        <v>949</v>
      </c>
      <c r="S75" s="187">
        <v>11</v>
      </c>
      <c r="T75" s="51" t="str">
        <f t="shared" si="0"/>
        <v>B</v>
      </c>
      <c r="U75" s="51">
        <v>13</v>
      </c>
      <c r="W75" s="919" t="s">
        <v>923</v>
      </c>
      <c r="X75" s="690"/>
      <c r="Y75" s="690"/>
      <c r="Z75" s="690"/>
      <c r="AA75" s="690"/>
      <c r="AB75" s="690"/>
      <c r="AC75" s="690"/>
      <c r="AD75" s="692"/>
      <c r="AE75" s="185" t="s">
        <v>977</v>
      </c>
    </row>
    <row r="76" spans="1:31" ht="13.5" customHeight="1">
      <c r="A76" s="159" t="s">
        <v>1077</v>
      </c>
      <c r="B76" s="717"/>
      <c r="C76" s="919" t="s">
        <v>924</v>
      </c>
      <c r="D76" s="690"/>
      <c r="E76" s="690"/>
      <c r="F76" s="690"/>
      <c r="G76" s="690"/>
      <c r="H76" s="690"/>
      <c r="I76" s="690"/>
      <c r="J76" s="692"/>
      <c r="K76" s="80">
        <v>2</v>
      </c>
      <c r="L76">
        <v>0</v>
      </c>
      <c r="M76"/>
      <c r="N76" s="51" t="s">
        <v>964</v>
      </c>
      <c r="O76" s="61"/>
      <c r="S76" s="187"/>
      <c r="T76" s="51" t="str">
        <f t="shared" si="0"/>
        <v>0</v>
      </c>
      <c r="U76" s="51">
        <v>14</v>
      </c>
      <c r="W76" s="919" t="s">
        <v>924</v>
      </c>
      <c r="X76" s="690"/>
      <c r="Y76" s="690"/>
      <c r="Z76" s="690"/>
      <c r="AA76" s="690"/>
      <c r="AB76" s="690"/>
      <c r="AC76" s="690"/>
      <c r="AD76" s="692"/>
      <c r="AE76" s="185"/>
    </row>
    <row r="77" spans="1:31" ht="13.5" customHeight="1">
      <c r="A77" s="159" t="s">
        <v>1078</v>
      </c>
      <c r="B77" s="717"/>
      <c r="C77" s="919" t="s">
        <v>976</v>
      </c>
      <c r="D77" s="690"/>
      <c r="E77" s="690"/>
      <c r="F77" s="690"/>
      <c r="G77" s="690"/>
      <c r="H77" s="690"/>
      <c r="I77" s="690"/>
      <c r="J77" s="692"/>
      <c r="K77" s="80">
        <v>2</v>
      </c>
      <c r="L77">
        <v>4</v>
      </c>
      <c r="M77"/>
      <c r="N77" s="51" t="s">
        <v>965</v>
      </c>
      <c r="O77" s="61"/>
      <c r="R77" s="51" t="s">
        <v>951</v>
      </c>
      <c r="S77" s="187">
        <v>8</v>
      </c>
      <c r="T77" s="51" t="str">
        <f t="shared" si="0"/>
        <v>8</v>
      </c>
      <c r="U77" s="51">
        <v>15</v>
      </c>
      <c r="W77" s="919" t="s">
        <v>976</v>
      </c>
      <c r="X77" s="690"/>
      <c r="Y77" s="690"/>
      <c r="Z77" s="690"/>
      <c r="AA77" s="690"/>
      <c r="AB77" s="690"/>
      <c r="AC77" s="690"/>
      <c r="AD77" s="692"/>
      <c r="AE77" s="185" t="s">
        <v>977</v>
      </c>
    </row>
    <row r="78" spans="1:31" ht="13.5" customHeight="1">
      <c r="A78" s="159" t="s">
        <v>1079</v>
      </c>
      <c r="B78" s="717"/>
      <c r="C78" s="919" t="s">
        <v>925</v>
      </c>
      <c r="D78" s="690"/>
      <c r="E78" s="690"/>
      <c r="F78" s="690"/>
      <c r="G78" s="690"/>
      <c r="H78" s="690"/>
      <c r="I78" s="690"/>
      <c r="J78" s="692"/>
      <c r="K78" s="80">
        <v>2</v>
      </c>
      <c r="L78">
        <v>4</v>
      </c>
      <c r="M78"/>
      <c r="N78" s="51" t="s">
        <v>966</v>
      </c>
      <c r="O78" s="61"/>
      <c r="R78" s="51" t="s">
        <v>951</v>
      </c>
      <c r="S78" s="187">
        <v>8</v>
      </c>
      <c r="T78" s="51" t="str">
        <f t="shared" si="0"/>
        <v>8</v>
      </c>
      <c r="U78" s="51">
        <v>16</v>
      </c>
      <c r="W78" s="919" t="s">
        <v>925</v>
      </c>
      <c r="X78" s="690"/>
      <c r="Y78" s="690"/>
      <c r="Z78" s="690"/>
      <c r="AA78" s="690"/>
      <c r="AB78" s="690"/>
      <c r="AC78" s="690"/>
      <c r="AD78" s="692"/>
      <c r="AE78" s="185" t="s">
        <v>977</v>
      </c>
    </row>
    <row r="79" spans="1:31" ht="13.5" customHeight="1">
      <c r="A79" s="159" t="s">
        <v>1080</v>
      </c>
      <c r="B79" s="717"/>
      <c r="C79" s="919" t="s">
        <v>926</v>
      </c>
      <c r="D79" s="690"/>
      <c r="E79" s="690"/>
      <c r="F79" s="690"/>
      <c r="G79" s="690"/>
      <c r="H79" s="690"/>
      <c r="I79" s="690"/>
      <c r="J79" s="692"/>
      <c r="K79" s="80">
        <v>2</v>
      </c>
      <c r="L79">
        <v>0</v>
      </c>
      <c r="M79"/>
      <c r="N79" s="51" t="s">
        <v>967</v>
      </c>
      <c r="O79" s="61"/>
      <c r="S79" s="187"/>
      <c r="T79" s="51" t="str">
        <f t="shared" si="0"/>
        <v>0</v>
      </c>
      <c r="U79" s="51">
        <v>17</v>
      </c>
      <c r="W79" s="919" t="s">
        <v>926</v>
      </c>
      <c r="X79" s="690"/>
      <c r="Y79" s="690"/>
      <c r="Z79" s="690"/>
      <c r="AA79" s="690"/>
      <c r="AB79" s="690"/>
      <c r="AC79" s="690"/>
      <c r="AD79" s="692"/>
      <c r="AE79" s="185"/>
    </row>
    <row r="80" spans="1:31" ht="13.5" customHeight="1">
      <c r="A80" s="159" t="s">
        <v>1081</v>
      </c>
      <c r="B80" s="717"/>
      <c r="C80" s="919" t="s">
        <v>927</v>
      </c>
      <c r="D80" s="690"/>
      <c r="E80" s="690"/>
      <c r="F80" s="690"/>
      <c r="G80" s="690"/>
      <c r="H80" s="690"/>
      <c r="I80" s="690"/>
      <c r="J80" s="692"/>
      <c r="K80" s="80">
        <v>2</v>
      </c>
      <c r="L80" t="s">
        <v>1784</v>
      </c>
      <c r="M80"/>
      <c r="N80" s="51" t="s">
        <v>968</v>
      </c>
      <c r="O80" s="61"/>
      <c r="R80" s="51" t="s">
        <v>952</v>
      </c>
      <c r="S80" s="187">
        <v>12</v>
      </c>
      <c r="T80" s="51" t="str">
        <f t="shared" si="0"/>
        <v>C</v>
      </c>
      <c r="U80" s="51">
        <v>18</v>
      </c>
      <c r="W80" s="919" t="s">
        <v>927</v>
      </c>
      <c r="X80" s="690"/>
      <c r="Y80" s="690"/>
      <c r="Z80" s="690"/>
      <c r="AA80" s="690"/>
      <c r="AB80" s="690"/>
      <c r="AC80" s="690"/>
      <c r="AD80" s="692"/>
      <c r="AE80" s="185" t="s">
        <v>977</v>
      </c>
    </row>
    <row r="81" spans="1:31" ht="13.5" customHeight="1">
      <c r="A81" s="159" t="s">
        <v>1082</v>
      </c>
      <c r="B81" s="717"/>
      <c r="C81" s="919" t="s">
        <v>928</v>
      </c>
      <c r="D81" s="690"/>
      <c r="E81" s="690"/>
      <c r="F81" s="690"/>
      <c r="G81" s="690"/>
      <c r="H81" s="690"/>
      <c r="I81" s="690"/>
      <c r="J81" s="692"/>
      <c r="K81" s="80">
        <v>2</v>
      </c>
      <c r="L81" t="s">
        <v>1784</v>
      </c>
      <c r="M81"/>
      <c r="N81" s="51" t="s">
        <v>969</v>
      </c>
      <c r="O81" s="61"/>
      <c r="R81" s="51" t="s">
        <v>952</v>
      </c>
      <c r="S81" s="187">
        <v>12</v>
      </c>
      <c r="T81" s="51" t="str">
        <f t="shared" si="0"/>
        <v>C</v>
      </c>
      <c r="U81" s="51">
        <v>19</v>
      </c>
      <c r="W81" s="919" t="s">
        <v>928</v>
      </c>
      <c r="X81" s="690"/>
      <c r="Y81" s="690"/>
      <c r="Z81" s="690"/>
      <c r="AA81" s="690"/>
      <c r="AB81" s="690"/>
      <c r="AC81" s="690"/>
      <c r="AD81" s="692"/>
      <c r="AE81" s="185" t="s">
        <v>977</v>
      </c>
    </row>
    <row r="82" spans="1:31" ht="13.5" customHeight="1">
      <c r="A82" s="159" t="s">
        <v>1083</v>
      </c>
      <c r="B82" s="717"/>
      <c r="C82" s="920" t="s">
        <v>929</v>
      </c>
      <c r="D82" s="693"/>
      <c r="E82" s="693"/>
      <c r="F82" s="693"/>
      <c r="G82" s="693"/>
      <c r="H82" s="693"/>
      <c r="I82" s="693"/>
      <c r="J82" s="695"/>
      <c r="K82" s="80">
        <v>2</v>
      </c>
      <c r="L82">
        <v>0</v>
      </c>
      <c r="M82"/>
      <c r="N82" s="51" t="s">
        <v>970</v>
      </c>
      <c r="O82" s="61"/>
      <c r="S82" s="187"/>
      <c r="T82" s="51" t="str">
        <f t="shared" si="0"/>
        <v>0</v>
      </c>
      <c r="U82" s="51">
        <v>20</v>
      </c>
      <c r="W82" s="920" t="s">
        <v>929</v>
      </c>
      <c r="X82" s="693"/>
      <c r="Y82" s="693"/>
      <c r="Z82" s="693"/>
      <c r="AA82" s="693"/>
      <c r="AB82" s="693"/>
      <c r="AC82" s="693"/>
      <c r="AD82" s="695"/>
      <c r="AE82" s="185"/>
    </row>
    <row r="83" spans="1:31" ht="13.5" customHeight="1">
      <c r="A83" s="159" t="s">
        <v>1084</v>
      </c>
      <c r="B83" s="63"/>
      <c r="C83" s="919" t="s">
        <v>930</v>
      </c>
      <c r="D83" s="690"/>
      <c r="E83" s="690"/>
      <c r="F83" s="690"/>
      <c r="G83" s="690"/>
      <c r="H83" s="690"/>
      <c r="I83" s="690"/>
      <c r="J83" s="692"/>
      <c r="K83" s="80">
        <v>2</v>
      </c>
      <c r="L83">
        <v>7</v>
      </c>
      <c r="M83"/>
      <c r="N83" s="51" t="s">
        <v>971</v>
      </c>
      <c r="O83" s="61"/>
      <c r="R83" s="51" t="s">
        <v>953</v>
      </c>
      <c r="S83" s="187">
        <v>9</v>
      </c>
      <c r="T83" s="51" t="str">
        <f t="shared" si="0"/>
        <v>9</v>
      </c>
      <c r="U83" s="51">
        <v>21</v>
      </c>
      <c r="W83" s="919" t="s">
        <v>930</v>
      </c>
      <c r="X83" s="690"/>
      <c r="Y83" s="690"/>
      <c r="Z83" s="690"/>
      <c r="AA83" s="690"/>
      <c r="AB83" s="690"/>
      <c r="AC83" s="690"/>
      <c r="AD83" s="692"/>
      <c r="AE83" s="185" t="s">
        <v>977</v>
      </c>
    </row>
    <row r="84" spans="1:31" ht="13.5" customHeight="1">
      <c r="A84" s="159" t="s">
        <v>1085</v>
      </c>
      <c r="B84" s="63"/>
      <c r="C84" s="919" t="s">
        <v>931</v>
      </c>
      <c r="D84" s="690"/>
      <c r="E84" s="690"/>
      <c r="F84" s="690"/>
      <c r="G84" s="690"/>
      <c r="H84" s="690"/>
      <c r="I84" s="690"/>
      <c r="J84" s="692"/>
      <c r="K84" s="80">
        <v>2</v>
      </c>
      <c r="L84">
        <v>7</v>
      </c>
      <c r="M84"/>
      <c r="N84" s="51" t="s">
        <v>972</v>
      </c>
      <c r="O84" s="61"/>
      <c r="R84" s="51" t="s">
        <v>953</v>
      </c>
      <c r="S84" s="187">
        <v>9</v>
      </c>
      <c r="T84" s="51" t="str">
        <f t="shared" si="0"/>
        <v>9</v>
      </c>
      <c r="U84" s="51">
        <v>22</v>
      </c>
      <c r="W84" s="919" t="s">
        <v>931</v>
      </c>
      <c r="X84" s="690"/>
      <c r="Y84" s="690"/>
      <c r="Z84" s="690"/>
      <c r="AA84" s="690"/>
      <c r="AB84" s="690"/>
      <c r="AC84" s="690"/>
      <c r="AD84" s="692"/>
      <c r="AE84" s="185" t="s">
        <v>977</v>
      </c>
    </row>
    <row r="85" spans="1:31" ht="18.75" customHeight="1">
      <c r="A85" s="159" t="s">
        <v>1086</v>
      </c>
      <c r="B85" s="63"/>
      <c r="C85" s="920" t="s">
        <v>954</v>
      </c>
      <c r="D85" s="693"/>
      <c r="E85" s="693"/>
      <c r="F85" s="693"/>
      <c r="G85" s="693"/>
      <c r="H85" s="693"/>
      <c r="I85" s="693"/>
      <c r="J85" s="695"/>
      <c r="K85" s="80">
        <v>2</v>
      </c>
      <c r="L85">
        <v>0</v>
      </c>
      <c r="M85"/>
      <c r="N85" s="51" t="s">
        <v>150</v>
      </c>
      <c r="O85" s="61"/>
      <c r="T85" s="51">
        <v>0</v>
      </c>
      <c r="U85" s="51">
        <v>23</v>
      </c>
      <c r="W85" s="920" t="s">
        <v>975</v>
      </c>
      <c r="X85" s="693"/>
      <c r="Y85" s="693"/>
      <c r="Z85" s="693"/>
      <c r="AA85" s="693"/>
      <c r="AB85" s="693"/>
      <c r="AC85" s="693"/>
      <c r="AD85" s="695"/>
    </row>
    <row r="86" spans="1:31" ht="13.5" customHeight="1" thickBot="1">
      <c r="A86" s="438" t="s">
        <v>1087</v>
      </c>
      <c r="B86" s="217"/>
      <c r="C86" s="916" t="s">
        <v>1780</v>
      </c>
      <c r="D86" s="917"/>
      <c r="E86" s="917"/>
      <c r="F86" s="917"/>
      <c r="G86" s="917"/>
      <c r="H86" s="917"/>
      <c r="I86" s="917"/>
      <c r="J86" s="918"/>
      <c r="K86" s="217"/>
      <c r="L86"/>
      <c r="M86"/>
      <c r="O86" s="61"/>
    </row>
    <row r="87" spans="1:31" ht="13.5" customHeight="1" thickBot="1">
      <c r="A87" s="55" t="s">
        <v>1088</v>
      </c>
      <c r="B87" s="55" t="s">
        <v>596</v>
      </c>
      <c r="C87" s="939" t="s">
        <v>597</v>
      </c>
      <c r="D87" s="939"/>
      <c r="E87" s="939"/>
      <c r="F87" s="939"/>
      <c r="G87" s="939"/>
      <c r="H87" s="939"/>
      <c r="I87" s="939"/>
      <c r="J87" s="940"/>
      <c r="K87" s="55">
        <v>2</v>
      </c>
      <c r="L87" t="s">
        <v>1785</v>
      </c>
      <c r="M87"/>
      <c r="O87" s="61"/>
    </row>
    <row r="88" spans="1:31" ht="13.5" customHeight="1">
      <c r="A88" s="63" t="s">
        <v>1089</v>
      </c>
      <c r="B88" s="717" t="s">
        <v>506</v>
      </c>
      <c r="C88" s="144">
        <v>1</v>
      </c>
      <c r="D88" s="932" t="s">
        <v>423</v>
      </c>
      <c r="E88" s="933"/>
      <c r="F88" s="933"/>
      <c r="G88" s="933"/>
      <c r="H88" s="933"/>
      <c r="I88" s="933"/>
      <c r="J88" s="934"/>
      <c r="K88" s="80">
        <v>2</v>
      </c>
      <c r="L88">
        <v>20</v>
      </c>
      <c r="M88"/>
      <c r="O88" s="61"/>
    </row>
    <row r="89" spans="1:31" ht="13.5" customHeight="1">
      <c r="A89" s="63" t="s">
        <v>1090</v>
      </c>
      <c r="B89" s="717"/>
      <c r="C89" s="109">
        <v>2</v>
      </c>
      <c r="D89" s="932"/>
      <c r="E89" s="933"/>
      <c r="F89" s="933"/>
      <c r="G89" s="933"/>
      <c r="H89" s="933"/>
      <c r="I89" s="933"/>
      <c r="J89" s="934"/>
      <c r="K89" s="80">
        <v>2</v>
      </c>
      <c r="L89">
        <v>20</v>
      </c>
      <c r="M89"/>
      <c r="O89" s="61"/>
    </row>
    <row r="90" spans="1:31" ht="13.5" customHeight="1">
      <c r="A90" s="63" t="s">
        <v>1091</v>
      </c>
      <c r="B90" s="717"/>
      <c r="C90" s="109">
        <v>3</v>
      </c>
      <c r="D90" s="932"/>
      <c r="E90" s="933"/>
      <c r="F90" s="933"/>
      <c r="G90" s="933"/>
      <c r="H90" s="933"/>
      <c r="I90" s="933"/>
      <c r="J90" s="934"/>
      <c r="K90" s="80">
        <v>2</v>
      </c>
      <c r="L90">
        <v>20</v>
      </c>
      <c r="M90"/>
      <c r="O90" s="61"/>
    </row>
    <row r="91" spans="1:31" ht="13.5" customHeight="1">
      <c r="A91" s="63" t="s">
        <v>1092</v>
      </c>
      <c r="B91" s="717"/>
      <c r="C91" s="109">
        <v>4</v>
      </c>
      <c r="D91" s="932"/>
      <c r="E91" s="933"/>
      <c r="F91" s="933"/>
      <c r="G91" s="933"/>
      <c r="H91" s="933"/>
      <c r="I91" s="933"/>
      <c r="J91" s="934"/>
      <c r="K91" s="80">
        <v>2</v>
      </c>
      <c r="L91">
        <v>20</v>
      </c>
      <c r="M91"/>
      <c r="O91" s="61"/>
    </row>
    <row r="92" spans="1:31" ht="14.25" customHeight="1">
      <c r="A92" s="63" t="s">
        <v>1093</v>
      </c>
      <c r="B92" s="717"/>
      <c r="C92" s="109">
        <v>5</v>
      </c>
      <c r="D92" s="932"/>
      <c r="E92" s="933"/>
      <c r="F92" s="933"/>
      <c r="G92" s="933"/>
      <c r="H92" s="933"/>
      <c r="I92" s="933"/>
      <c r="J92" s="934"/>
      <c r="K92" s="80">
        <v>2</v>
      </c>
      <c r="L92">
        <v>20</v>
      </c>
      <c r="M92"/>
      <c r="O92" s="61"/>
    </row>
    <row r="93" spans="1:31" ht="13.5">
      <c r="A93" s="63" t="s">
        <v>1094</v>
      </c>
      <c r="B93" s="717"/>
      <c r="C93" s="109">
        <v>6</v>
      </c>
      <c r="D93" s="932"/>
      <c r="E93" s="933"/>
      <c r="F93" s="933"/>
      <c r="G93" s="933"/>
      <c r="H93" s="933"/>
      <c r="I93" s="933"/>
      <c r="J93" s="934"/>
      <c r="K93" s="80">
        <v>2</v>
      </c>
      <c r="L93">
        <v>20</v>
      </c>
      <c r="M93"/>
      <c r="O93" s="61"/>
    </row>
    <row r="94" spans="1:31" ht="13.5">
      <c r="A94" s="63" t="s">
        <v>1095</v>
      </c>
      <c r="B94" s="717"/>
      <c r="C94" s="109">
        <v>7</v>
      </c>
      <c r="D94" s="932"/>
      <c r="E94" s="933"/>
      <c r="F94" s="933"/>
      <c r="G94" s="933"/>
      <c r="H94" s="933"/>
      <c r="I94" s="933"/>
      <c r="J94" s="934"/>
      <c r="K94" s="80">
        <v>2</v>
      </c>
      <c r="L94">
        <v>20</v>
      </c>
      <c r="M94"/>
      <c r="O94" s="61"/>
    </row>
    <row r="95" spans="1:31" ht="13.5">
      <c r="A95" s="63" t="s">
        <v>1096</v>
      </c>
      <c r="B95" s="717"/>
      <c r="C95" s="109">
        <v>8</v>
      </c>
      <c r="D95" s="932"/>
      <c r="E95" s="933"/>
      <c r="F95" s="933"/>
      <c r="G95" s="933"/>
      <c r="H95" s="933"/>
      <c r="I95" s="933"/>
      <c r="J95" s="934"/>
      <c r="K95" s="80">
        <v>2</v>
      </c>
      <c r="L95">
        <v>20</v>
      </c>
      <c r="M95"/>
      <c r="O95" s="61"/>
    </row>
    <row r="96" spans="1:31" ht="13.5">
      <c r="A96" s="63" t="s">
        <v>1097</v>
      </c>
      <c r="B96" s="717"/>
      <c r="C96" s="109">
        <v>9</v>
      </c>
      <c r="D96" s="932"/>
      <c r="E96" s="933"/>
      <c r="F96" s="933"/>
      <c r="G96" s="933"/>
      <c r="H96" s="933"/>
      <c r="I96" s="933"/>
      <c r="J96" s="934"/>
      <c r="K96" s="80">
        <v>2</v>
      </c>
      <c r="L96">
        <v>20</v>
      </c>
      <c r="M96"/>
      <c r="O96" s="61"/>
    </row>
    <row r="97" spans="1:15" ht="13.5">
      <c r="A97" s="63" t="s">
        <v>1098</v>
      </c>
      <c r="B97" s="717"/>
      <c r="C97" s="109">
        <v>10</v>
      </c>
      <c r="D97" s="932"/>
      <c r="E97" s="933"/>
      <c r="F97" s="933"/>
      <c r="G97" s="933"/>
      <c r="H97" s="933"/>
      <c r="I97" s="933"/>
      <c r="J97" s="934"/>
      <c r="K97" s="80">
        <v>2</v>
      </c>
      <c r="L97">
        <v>20</v>
      </c>
      <c r="M97"/>
      <c r="O97" s="61"/>
    </row>
    <row r="98" spans="1:15" ht="13.5">
      <c r="A98" s="63" t="s">
        <v>1099</v>
      </c>
      <c r="B98" s="717"/>
      <c r="C98" s="109">
        <v>11</v>
      </c>
      <c r="D98" s="932"/>
      <c r="E98" s="933"/>
      <c r="F98" s="933"/>
      <c r="G98" s="933"/>
      <c r="H98" s="933"/>
      <c r="I98" s="933"/>
      <c r="J98" s="934"/>
      <c r="K98" s="80">
        <v>2</v>
      </c>
      <c r="L98">
        <v>20</v>
      </c>
      <c r="M98"/>
      <c r="O98" s="61"/>
    </row>
    <row r="99" spans="1:15" ht="13.5">
      <c r="A99" s="63" t="s">
        <v>1100</v>
      </c>
      <c r="B99" s="717"/>
      <c r="C99" s="109">
        <v>12</v>
      </c>
      <c r="D99" s="932"/>
      <c r="E99" s="933"/>
      <c r="F99" s="933"/>
      <c r="G99" s="933"/>
      <c r="H99" s="933"/>
      <c r="I99" s="933"/>
      <c r="J99" s="934"/>
      <c r="K99" s="80">
        <v>2</v>
      </c>
      <c r="L99">
        <v>20</v>
      </c>
      <c r="M99"/>
      <c r="O99" s="61"/>
    </row>
    <row r="100" spans="1:15" ht="13.5">
      <c r="A100" s="63" t="s">
        <v>1101</v>
      </c>
      <c r="B100" s="717"/>
      <c r="C100" s="109">
        <v>13</v>
      </c>
      <c r="D100" s="932"/>
      <c r="E100" s="933"/>
      <c r="F100" s="933"/>
      <c r="G100" s="933"/>
      <c r="H100" s="933"/>
      <c r="I100" s="933"/>
      <c r="J100" s="934"/>
      <c r="K100" s="80">
        <v>2</v>
      </c>
      <c r="L100">
        <v>20</v>
      </c>
      <c r="M100"/>
      <c r="O100" s="61"/>
    </row>
    <row r="101" spans="1:15" ht="13.5">
      <c r="A101" s="63" t="s">
        <v>1102</v>
      </c>
      <c r="B101" s="717"/>
      <c r="C101" s="109">
        <v>14</v>
      </c>
      <c r="D101" s="932"/>
      <c r="E101" s="933"/>
      <c r="F101" s="933"/>
      <c r="G101" s="933"/>
      <c r="H101" s="933"/>
      <c r="I101" s="933"/>
      <c r="J101" s="934"/>
      <c r="K101" s="80">
        <v>2</v>
      </c>
      <c r="L101">
        <v>20</v>
      </c>
      <c r="M101"/>
      <c r="O101" s="61"/>
    </row>
    <row r="102" spans="1:15" ht="13.5">
      <c r="A102" s="63" t="s">
        <v>1103</v>
      </c>
      <c r="B102" s="717"/>
      <c r="C102" s="109">
        <v>15</v>
      </c>
      <c r="D102" s="932"/>
      <c r="E102" s="933"/>
      <c r="F102" s="933"/>
      <c r="G102" s="933"/>
      <c r="H102" s="933"/>
      <c r="I102" s="933"/>
      <c r="J102" s="934"/>
      <c r="K102" s="80">
        <v>2</v>
      </c>
      <c r="L102">
        <v>20</v>
      </c>
      <c r="M102"/>
      <c r="O102" s="61"/>
    </row>
    <row r="103" spans="1:15" ht="13.5">
      <c r="A103" s="63" t="s">
        <v>1104</v>
      </c>
      <c r="B103" s="717"/>
      <c r="C103" s="109">
        <v>16</v>
      </c>
      <c r="D103" s="932"/>
      <c r="E103" s="933"/>
      <c r="F103" s="933"/>
      <c r="G103" s="933"/>
      <c r="H103" s="933"/>
      <c r="I103" s="933"/>
      <c r="J103" s="934"/>
      <c r="K103" s="80">
        <v>2</v>
      </c>
      <c r="L103">
        <v>20</v>
      </c>
      <c r="M103"/>
      <c r="O103" s="61"/>
    </row>
    <row r="104" spans="1:15" ht="13.5">
      <c r="A104" s="63" t="s">
        <v>1105</v>
      </c>
      <c r="B104" s="717"/>
      <c r="C104" s="109">
        <v>17</v>
      </c>
      <c r="D104" s="932"/>
      <c r="E104" s="933"/>
      <c r="F104" s="933"/>
      <c r="G104" s="933"/>
      <c r="H104" s="933"/>
      <c r="I104" s="933"/>
      <c r="J104" s="934"/>
      <c r="K104" s="80">
        <v>2</v>
      </c>
      <c r="L104">
        <v>20</v>
      </c>
      <c r="M104"/>
      <c r="O104" s="61"/>
    </row>
    <row r="105" spans="1:15" ht="13.5">
      <c r="A105" s="63" t="s">
        <v>1106</v>
      </c>
      <c r="B105" s="717"/>
      <c r="C105" s="109">
        <v>18</v>
      </c>
      <c r="D105" s="932"/>
      <c r="E105" s="933"/>
      <c r="F105" s="933"/>
      <c r="G105" s="933"/>
      <c r="H105" s="933"/>
      <c r="I105" s="933"/>
      <c r="J105" s="934"/>
      <c r="K105" s="80">
        <v>2</v>
      </c>
      <c r="L105">
        <v>20</v>
      </c>
      <c r="M105"/>
      <c r="O105" s="61"/>
    </row>
    <row r="106" spans="1:15" ht="13.5">
      <c r="A106" s="63" t="s">
        <v>1107</v>
      </c>
      <c r="B106" s="717"/>
      <c r="C106" s="109">
        <v>19</v>
      </c>
      <c r="D106" s="932"/>
      <c r="E106" s="933"/>
      <c r="F106" s="933"/>
      <c r="G106" s="933"/>
      <c r="H106" s="933"/>
      <c r="I106" s="933"/>
      <c r="J106" s="934"/>
      <c r="K106" s="80">
        <v>2</v>
      </c>
      <c r="L106">
        <v>20</v>
      </c>
      <c r="M106"/>
      <c r="O106" s="61"/>
    </row>
    <row r="107" spans="1:15" ht="13.5">
      <c r="A107" s="63" t="s">
        <v>1108</v>
      </c>
      <c r="B107" s="717"/>
      <c r="C107" s="109">
        <v>20</v>
      </c>
      <c r="D107" s="932"/>
      <c r="E107" s="933"/>
      <c r="F107" s="933"/>
      <c r="G107" s="933"/>
      <c r="H107" s="933"/>
      <c r="I107" s="933"/>
      <c r="J107" s="934"/>
      <c r="K107" s="80">
        <v>2</v>
      </c>
      <c r="L107">
        <v>20</v>
      </c>
      <c r="M107"/>
      <c r="O107" s="61"/>
    </row>
    <row r="108" spans="1:15" ht="13.5">
      <c r="A108" s="63" t="s">
        <v>1109</v>
      </c>
      <c r="B108" s="717"/>
      <c r="C108" s="109">
        <v>21</v>
      </c>
      <c r="D108" s="932"/>
      <c r="E108" s="933"/>
      <c r="F108" s="933"/>
      <c r="G108" s="933"/>
      <c r="H108" s="933"/>
      <c r="I108" s="933"/>
      <c r="J108" s="934"/>
      <c r="K108" s="80">
        <v>2</v>
      </c>
      <c r="L108">
        <v>20</v>
      </c>
      <c r="M108"/>
      <c r="O108" s="61"/>
    </row>
    <row r="109" spans="1:15" ht="13.5">
      <c r="A109" s="62" t="s">
        <v>1110</v>
      </c>
      <c r="B109" s="717"/>
      <c r="C109" s="109">
        <v>22</v>
      </c>
      <c r="D109" s="932"/>
      <c r="E109" s="933"/>
      <c r="F109" s="933"/>
      <c r="G109" s="933"/>
      <c r="H109" s="933"/>
      <c r="I109" s="933"/>
      <c r="J109" s="934"/>
      <c r="K109" s="80">
        <v>2</v>
      </c>
      <c r="L109">
        <v>20</v>
      </c>
      <c r="M109"/>
      <c r="O109" s="61"/>
    </row>
    <row r="110" spans="1:15" ht="13.5">
      <c r="A110" s="53" t="s">
        <v>1111</v>
      </c>
      <c r="B110" s="717"/>
      <c r="C110" s="109">
        <v>23</v>
      </c>
      <c r="D110" s="932"/>
      <c r="E110" s="933"/>
      <c r="F110" s="933"/>
      <c r="G110" s="933"/>
      <c r="H110" s="933"/>
      <c r="I110" s="933"/>
      <c r="J110" s="934"/>
      <c r="K110" s="80">
        <v>2</v>
      </c>
      <c r="L110">
        <v>20</v>
      </c>
      <c r="M110"/>
      <c r="O110" s="61"/>
    </row>
    <row r="111" spans="1:15" ht="13.5">
      <c r="A111" s="63" t="s">
        <v>1112</v>
      </c>
      <c r="B111" s="717"/>
      <c r="C111" s="109">
        <v>24</v>
      </c>
      <c r="D111" s="932"/>
      <c r="E111" s="933"/>
      <c r="F111" s="933"/>
      <c r="G111" s="933"/>
      <c r="H111" s="933"/>
      <c r="I111" s="933"/>
      <c r="J111" s="934"/>
      <c r="K111" s="80">
        <v>2</v>
      </c>
      <c r="L111">
        <v>20</v>
      </c>
      <c r="M111"/>
      <c r="O111" s="61"/>
    </row>
    <row r="112" spans="1:15" ht="13.5">
      <c r="A112" s="63" t="s">
        <v>1113</v>
      </c>
      <c r="B112" s="717"/>
      <c r="C112" s="109">
        <v>25</v>
      </c>
      <c r="D112" s="932"/>
      <c r="E112" s="933"/>
      <c r="F112" s="933"/>
      <c r="G112" s="933"/>
      <c r="H112" s="933"/>
      <c r="I112" s="933"/>
      <c r="J112" s="934"/>
      <c r="K112" s="80">
        <v>2</v>
      </c>
      <c r="L112">
        <v>20</v>
      </c>
      <c r="M112"/>
      <c r="O112" s="61"/>
    </row>
    <row r="113" spans="1:15" ht="13.5">
      <c r="A113" s="63" t="s">
        <v>1114</v>
      </c>
      <c r="B113" s="717"/>
      <c r="C113" s="109">
        <v>26</v>
      </c>
      <c r="D113" s="932"/>
      <c r="E113" s="933"/>
      <c r="F113" s="933"/>
      <c r="G113" s="933"/>
      <c r="H113" s="933"/>
      <c r="I113" s="933"/>
      <c r="J113" s="934"/>
      <c r="K113" s="80">
        <v>2</v>
      </c>
      <c r="L113">
        <v>20</v>
      </c>
      <c r="M113"/>
      <c r="O113" s="61"/>
    </row>
    <row r="114" spans="1:15" ht="13.5">
      <c r="A114" s="63" t="s">
        <v>1115</v>
      </c>
      <c r="B114" s="717"/>
      <c r="C114" s="109">
        <v>27</v>
      </c>
      <c r="D114" s="932"/>
      <c r="E114" s="933"/>
      <c r="F114" s="933"/>
      <c r="G114" s="933"/>
      <c r="H114" s="933"/>
      <c r="I114" s="933"/>
      <c r="J114" s="934"/>
      <c r="K114" s="80">
        <v>2</v>
      </c>
      <c r="L114">
        <v>20</v>
      </c>
      <c r="M114"/>
      <c r="O114" s="61"/>
    </row>
    <row r="115" spans="1:15" ht="13.5">
      <c r="A115" s="63" t="s">
        <v>1116</v>
      </c>
      <c r="B115" s="717"/>
      <c r="C115" s="109">
        <v>28</v>
      </c>
      <c r="D115" s="932"/>
      <c r="E115" s="933"/>
      <c r="F115" s="933"/>
      <c r="G115" s="933"/>
      <c r="H115" s="933"/>
      <c r="I115" s="933"/>
      <c r="J115" s="934"/>
      <c r="K115" s="80">
        <v>2</v>
      </c>
      <c r="L115">
        <v>20</v>
      </c>
      <c r="M115"/>
      <c r="O115" s="61"/>
    </row>
    <row r="116" spans="1:15" ht="13.5">
      <c r="A116" s="63" t="s">
        <v>1117</v>
      </c>
      <c r="B116" s="717"/>
      <c r="C116" s="109">
        <v>29</v>
      </c>
      <c r="D116" s="932"/>
      <c r="E116" s="933"/>
      <c r="F116" s="933"/>
      <c r="G116" s="933"/>
      <c r="H116" s="933"/>
      <c r="I116" s="933"/>
      <c r="J116" s="934"/>
      <c r="K116" s="80">
        <v>2</v>
      </c>
      <c r="L116">
        <v>20</v>
      </c>
      <c r="M116"/>
      <c r="O116" s="61"/>
    </row>
    <row r="117" spans="1:15" ht="13.5">
      <c r="A117" s="63" t="s">
        <v>1118</v>
      </c>
      <c r="B117" s="717"/>
      <c r="C117" s="109">
        <v>30</v>
      </c>
      <c r="D117" s="932"/>
      <c r="E117" s="933"/>
      <c r="F117" s="933"/>
      <c r="G117" s="933"/>
      <c r="H117" s="933"/>
      <c r="I117" s="933"/>
      <c r="J117" s="934"/>
      <c r="K117" s="80">
        <v>2</v>
      </c>
      <c r="L117">
        <v>20</v>
      </c>
      <c r="M117"/>
      <c r="O117" s="61"/>
    </row>
    <row r="118" spans="1:15" ht="13.5">
      <c r="A118" s="63" t="s">
        <v>1423</v>
      </c>
      <c r="B118" s="717"/>
      <c r="C118" s="109">
        <v>31</v>
      </c>
      <c r="D118" s="932"/>
      <c r="E118" s="933"/>
      <c r="F118" s="933"/>
      <c r="G118" s="933"/>
      <c r="H118" s="933"/>
      <c r="I118" s="933"/>
      <c r="J118" s="934"/>
      <c r="K118" s="80">
        <v>2</v>
      </c>
      <c r="L118">
        <v>20</v>
      </c>
      <c r="M118"/>
      <c r="O118" s="61"/>
    </row>
    <row r="119" spans="1:15" ht="14.25" thickBot="1">
      <c r="A119" s="63" t="s">
        <v>1424</v>
      </c>
      <c r="B119" s="717"/>
      <c r="C119" s="271">
        <v>32</v>
      </c>
      <c r="D119" s="932"/>
      <c r="E119" s="933"/>
      <c r="F119" s="933"/>
      <c r="G119" s="933"/>
      <c r="H119" s="933"/>
      <c r="I119" s="933"/>
      <c r="J119" s="934"/>
      <c r="K119" s="80">
        <v>2</v>
      </c>
      <c r="L119">
        <v>20</v>
      </c>
      <c r="M119"/>
      <c r="O119" s="61"/>
    </row>
    <row r="120" spans="1:15" ht="13.5">
      <c r="A120" s="704" t="s">
        <v>1428</v>
      </c>
      <c r="B120" s="704" t="s">
        <v>442</v>
      </c>
      <c r="C120" s="938" t="s">
        <v>1226</v>
      </c>
      <c r="D120" s="938"/>
      <c r="E120" s="941" t="s">
        <v>1775</v>
      </c>
      <c r="F120" s="941"/>
      <c r="G120" s="941"/>
      <c r="H120" s="941"/>
      <c r="I120" s="218" t="s">
        <v>1415</v>
      </c>
      <c r="J120" s="219"/>
      <c r="K120" s="82"/>
      <c r="L120">
        <v>0</v>
      </c>
      <c r="M120"/>
      <c r="O120" s="61"/>
    </row>
    <row r="121" spans="1:15" ht="23.25" thickBot="1">
      <c r="A121" s="716"/>
      <c r="B121" s="716"/>
      <c r="C121" s="292" t="s">
        <v>1224</v>
      </c>
      <c r="D121" s="293" t="s">
        <v>1225</v>
      </c>
      <c r="E121" s="437" t="s">
        <v>1779</v>
      </c>
      <c r="F121" s="437" t="s">
        <v>1778</v>
      </c>
      <c r="G121" s="437" t="s">
        <v>1777</v>
      </c>
      <c r="H121" s="437" t="s">
        <v>1776</v>
      </c>
      <c r="I121" s="294" t="s">
        <v>1416</v>
      </c>
      <c r="J121" s="297" t="s">
        <v>732</v>
      </c>
      <c r="K121" s="83">
        <v>2</v>
      </c>
      <c r="L121">
        <v>0</v>
      </c>
      <c r="M121"/>
      <c r="O121" s="61"/>
    </row>
    <row r="122" spans="1:15" ht="14.25" thickBot="1">
      <c r="A122" s="295" t="s">
        <v>1425</v>
      </c>
      <c r="B122" s="296" t="s">
        <v>1427</v>
      </c>
      <c r="C122" s="935" t="s">
        <v>1138</v>
      </c>
      <c r="D122" s="936"/>
      <c r="E122" s="936"/>
      <c r="F122" s="936"/>
      <c r="G122" s="936"/>
      <c r="H122" s="936"/>
      <c r="I122" s="936"/>
      <c r="J122" s="936"/>
      <c r="K122" s="81">
        <v>2</v>
      </c>
      <c r="L122">
        <v>0</v>
      </c>
      <c r="M122"/>
      <c r="O122" s="61"/>
    </row>
    <row r="123" spans="1:15" ht="14.25" thickBot="1">
      <c r="A123" s="128" t="s">
        <v>1249</v>
      </c>
      <c r="B123" s="58" t="s">
        <v>446</v>
      </c>
      <c r="C123" s="937" t="s">
        <v>206</v>
      </c>
      <c r="D123" s="937"/>
      <c r="E123" s="937"/>
      <c r="F123" s="937"/>
      <c r="G123" s="937"/>
      <c r="H123" s="937"/>
      <c r="I123" s="937"/>
      <c r="J123" s="937"/>
      <c r="K123" s="81">
        <v>2</v>
      </c>
      <c r="L123">
        <v>1</v>
      </c>
      <c r="M123"/>
      <c r="O123" s="61"/>
    </row>
    <row r="124" spans="1:15" ht="14.25" thickBot="1">
      <c r="A124" s="284" t="s">
        <v>1426</v>
      </c>
      <c r="B124" s="55" t="s">
        <v>447</v>
      </c>
      <c r="C124" s="931" t="s">
        <v>207</v>
      </c>
      <c r="D124" s="931"/>
      <c r="E124" s="931"/>
      <c r="F124" s="931"/>
      <c r="G124" s="931"/>
      <c r="H124" s="931"/>
      <c r="I124" s="931"/>
      <c r="J124" s="931"/>
      <c r="K124" s="83">
        <v>1</v>
      </c>
      <c r="L124"/>
      <c r="M124"/>
      <c r="O124" s="61" t="str">
        <f>L132&amp;"~"&amp;M124</f>
        <v>~</v>
      </c>
    </row>
    <row r="125" spans="1:15" ht="13.5">
      <c r="A125" s="77"/>
      <c r="B125" s="77"/>
      <c r="C125" s="57"/>
      <c r="D125" s="57"/>
      <c r="E125" s="57"/>
      <c r="F125" s="57"/>
      <c r="G125" s="57"/>
      <c r="H125" s="57"/>
      <c r="I125" s="57"/>
      <c r="J125" s="57"/>
      <c r="K125" s="57"/>
      <c r="L125"/>
    </row>
    <row r="126" spans="1:15" ht="13.5">
      <c r="L126"/>
    </row>
    <row r="127" spans="1:15" ht="13.5">
      <c r="L127"/>
    </row>
    <row r="128" spans="1:15" ht="13.5">
      <c r="L128"/>
    </row>
    <row r="129" spans="12:12" ht="13.5">
      <c r="L129"/>
    </row>
    <row r="130" spans="12:12" ht="13.5">
      <c r="L130"/>
    </row>
    <row r="131" spans="12:12" ht="13.5">
      <c r="L131"/>
    </row>
    <row r="132" spans="12:12" ht="13.5">
      <c r="L132"/>
    </row>
  </sheetData>
  <mergeCells count="153">
    <mergeCell ref="C124:J124"/>
    <mergeCell ref="D88:J119"/>
    <mergeCell ref="C122:J122"/>
    <mergeCell ref="C123:J123"/>
    <mergeCell ref="C66:J66"/>
    <mergeCell ref="C67:J67"/>
    <mergeCell ref="C68:J68"/>
    <mergeCell ref="C69:J69"/>
    <mergeCell ref="A120:A121"/>
    <mergeCell ref="C120:D120"/>
    <mergeCell ref="C87:J87"/>
    <mergeCell ref="C84:J84"/>
    <mergeCell ref="C85:J85"/>
    <mergeCell ref="C83:J83"/>
    <mergeCell ref="B120:B121"/>
    <mergeCell ref="C71:J71"/>
    <mergeCell ref="C72:J72"/>
    <mergeCell ref="C73:J73"/>
    <mergeCell ref="C74:J74"/>
    <mergeCell ref="C75:J75"/>
    <mergeCell ref="E120:H120"/>
    <mergeCell ref="C10:J10"/>
    <mergeCell ref="C11:J11"/>
    <mergeCell ref="C12:J12"/>
    <mergeCell ref="C13:D14"/>
    <mergeCell ref="E13:G13"/>
    <mergeCell ref="C55:J55"/>
    <mergeCell ref="H13:J13"/>
    <mergeCell ref="C15:F15"/>
    <mergeCell ref="C52:J52"/>
    <mergeCell ref="C53:J53"/>
    <mergeCell ref="C54:J54"/>
    <mergeCell ref="G35:J35"/>
    <mergeCell ref="C42:J42"/>
    <mergeCell ref="C38:J38"/>
    <mergeCell ref="G33:J33"/>
    <mergeCell ref="A1:K1"/>
    <mergeCell ref="K31:K32"/>
    <mergeCell ref="B17:B18"/>
    <mergeCell ref="B27:B28"/>
    <mergeCell ref="B21:B23"/>
    <mergeCell ref="B24:B26"/>
    <mergeCell ref="A5:K5"/>
    <mergeCell ref="K13:K14"/>
    <mergeCell ref="K15:K16"/>
    <mergeCell ref="K17:K18"/>
    <mergeCell ref="G20:J20"/>
    <mergeCell ref="C24:F24"/>
    <mergeCell ref="G24:J24"/>
    <mergeCell ref="C25:F25"/>
    <mergeCell ref="G25:J25"/>
    <mergeCell ref="C26:F26"/>
    <mergeCell ref="G26:J26"/>
    <mergeCell ref="C21:F21"/>
    <mergeCell ref="G21:J21"/>
    <mergeCell ref="C22:F22"/>
    <mergeCell ref="G15:J15"/>
    <mergeCell ref="C7:J7"/>
    <mergeCell ref="C8:J8"/>
    <mergeCell ref="C9:J9"/>
    <mergeCell ref="K57:K58"/>
    <mergeCell ref="A49:K49"/>
    <mergeCell ref="K27:K28"/>
    <mergeCell ref="C41:J41"/>
    <mergeCell ref="K29:K30"/>
    <mergeCell ref="A31:A32"/>
    <mergeCell ref="A27:A28"/>
    <mergeCell ref="A29:A30"/>
    <mergeCell ref="C46:J46"/>
    <mergeCell ref="G29:J29"/>
    <mergeCell ref="G34:J34"/>
    <mergeCell ref="C51:J51"/>
    <mergeCell ref="C43:J43"/>
    <mergeCell ref="C44:J44"/>
    <mergeCell ref="C45:J45"/>
    <mergeCell ref="C35:F35"/>
    <mergeCell ref="C39:J39"/>
    <mergeCell ref="C40:J40"/>
    <mergeCell ref="C27:F27"/>
    <mergeCell ref="G27:J27"/>
    <mergeCell ref="C31:F31"/>
    <mergeCell ref="G31:J31"/>
    <mergeCell ref="C37:J37"/>
    <mergeCell ref="C34:F34"/>
    <mergeCell ref="B13:B14"/>
    <mergeCell ref="B15:B16"/>
    <mergeCell ref="B88:B119"/>
    <mergeCell ref="B38:B39"/>
    <mergeCell ref="B29:B30"/>
    <mergeCell ref="B36:B37"/>
    <mergeCell ref="B33:B35"/>
    <mergeCell ref="B31:B32"/>
    <mergeCell ref="C29:F29"/>
    <mergeCell ref="C33:F33"/>
    <mergeCell ref="C36:J36"/>
    <mergeCell ref="G22:J22"/>
    <mergeCell ref="C23:F23"/>
    <mergeCell ref="G23:J23"/>
    <mergeCell ref="C17:F17"/>
    <mergeCell ref="G17:H17"/>
    <mergeCell ref="I17:J17"/>
    <mergeCell ref="G57:H57"/>
    <mergeCell ref="I57:J57"/>
    <mergeCell ref="C57:F57"/>
    <mergeCell ref="C56:J56"/>
    <mergeCell ref="W62:AD62"/>
    <mergeCell ref="W63:AD63"/>
    <mergeCell ref="W64:AD64"/>
    <mergeCell ref="W65:AD65"/>
    <mergeCell ref="C76:J76"/>
    <mergeCell ref="C77:J77"/>
    <mergeCell ref="C78:J78"/>
    <mergeCell ref="B40:B41"/>
    <mergeCell ref="B42:B43"/>
    <mergeCell ref="B44:B45"/>
    <mergeCell ref="B57:B58"/>
    <mergeCell ref="B60:B82"/>
    <mergeCell ref="C47:J47"/>
    <mergeCell ref="C63:J63"/>
    <mergeCell ref="C64:J64"/>
    <mergeCell ref="C65:J65"/>
    <mergeCell ref="C62:J62"/>
    <mergeCell ref="C60:J60"/>
    <mergeCell ref="C61:J61"/>
    <mergeCell ref="C79:J79"/>
    <mergeCell ref="C80:J80"/>
    <mergeCell ref="C81:J81"/>
    <mergeCell ref="C82:J82"/>
    <mergeCell ref="C70:J70"/>
    <mergeCell ref="A57:A58"/>
    <mergeCell ref="C86:J86"/>
    <mergeCell ref="W84:AD84"/>
    <mergeCell ref="W85:AD85"/>
    <mergeCell ref="W78:AD78"/>
    <mergeCell ref="W79:AD79"/>
    <mergeCell ref="W80:AD80"/>
    <mergeCell ref="W81:AD81"/>
    <mergeCell ref="W82:AD82"/>
    <mergeCell ref="W83:AD83"/>
    <mergeCell ref="W72:AD72"/>
    <mergeCell ref="W73:AD73"/>
    <mergeCell ref="W74:AD74"/>
    <mergeCell ref="W75:AD75"/>
    <mergeCell ref="W76:AD76"/>
    <mergeCell ref="W77:AD77"/>
    <mergeCell ref="W66:AD66"/>
    <mergeCell ref="W67:AD67"/>
    <mergeCell ref="W68:AD68"/>
    <mergeCell ref="W69:AD69"/>
    <mergeCell ref="W70:AD70"/>
    <mergeCell ref="W71:AD71"/>
    <mergeCell ref="W60:AD60"/>
    <mergeCell ref="W61:AD61"/>
  </mergeCells>
  <phoneticPr fontId="2" type="noConversion"/>
  <pageMargins left="0.74803149606299213" right="0.74803149606299213" top="0.98425196850393704" bottom="0.98425196850393704" header="0.51181102362204722" footer="0.51181102362204722"/>
  <pageSetup paperSize="9" scale="29" orientation="landscape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0"/>
  <dimension ref="A1:T102"/>
  <sheetViews>
    <sheetView topLeftCell="A7" workbookViewId="0">
      <selection activeCell="T31" sqref="T31"/>
    </sheetView>
  </sheetViews>
  <sheetFormatPr defaultRowHeight="10.5"/>
  <cols>
    <col min="1" max="2" width="5.6640625" style="56" customWidth="1"/>
    <col min="3" max="11" width="6.77734375" style="51" customWidth="1"/>
    <col min="12" max="13" width="3.21875" style="51" bestFit="1" customWidth="1"/>
    <col min="14" max="16384" width="8.88671875" style="51"/>
  </cols>
  <sheetData>
    <row r="1" spans="1:13" s="61" customFormat="1" ht="15" customHeight="1" thickBot="1">
      <c r="A1" s="814" t="s">
        <v>311</v>
      </c>
      <c r="B1" s="815"/>
      <c r="C1" s="815"/>
      <c r="D1" s="815"/>
      <c r="E1" s="815"/>
      <c r="F1" s="815"/>
      <c r="G1" s="815"/>
      <c r="H1" s="815"/>
      <c r="I1" s="815"/>
      <c r="J1" s="815"/>
      <c r="K1" s="816"/>
    </row>
    <row r="2" spans="1:13" s="61" customFormat="1" ht="15" customHeight="1">
      <c r="A2" s="101" t="s">
        <v>312</v>
      </c>
      <c r="B2" s="133"/>
      <c r="C2" s="102" t="s">
        <v>313</v>
      </c>
      <c r="D2" s="103"/>
      <c r="E2" s="104"/>
      <c r="F2" s="104"/>
      <c r="G2" s="104"/>
      <c r="H2" s="104"/>
      <c r="I2" s="103"/>
      <c r="J2" s="104" t="s">
        <v>52</v>
      </c>
      <c r="K2" s="106" t="s">
        <v>314</v>
      </c>
    </row>
    <row r="3" spans="1:13" s="61" customFormat="1" ht="15" customHeight="1">
      <c r="A3" s="85" t="s">
        <v>315</v>
      </c>
      <c r="B3" s="131"/>
      <c r="C3" s="26"/>
      <c r="D3" s="28"/>
      <c r="E3" s="28"/>
      <c r="F3" s="28"/>
      <c r="G3" s="28"/>
      <c r="H3" s="28"/>
      <c r="I3" s="27"/>
      <c r="J3" s="28" t="s">
        <v>47</v>
      </c>
      <c r="K3" s="29" t="s">
        <v>937</v>
      </c>
    </row>
    <row r="4" spans="1:13" s="61" customFormat="1" ht="15" customHeight="1" thickBot="1">
      <c r="A4" s="86"/>
      <c r="B4" s="132"/>
      <c r="C4" s="87"/>
      <c r="D4" s="87"/>
      <c r="E4" s="87"/>
      <c r="F4" s="87"/>
      <c r="G4" s="87"/>
      <c r="H4" s="87"/>
      <c r="I4" s="88"/>
      <c r="J4" s="30" t="s">
        <v>49</v>
      </c>
      <c r="K4" s="31" t="s">
        <v>939</v>
      </c>
    </row>
    <row r="5" spans="1:13" ht="12" thickBot="1">
      <c r="A5" s="736" t="s">
        <v>521</v>
      </c>
      <c r="B5" s="737"/>
      <c r="C5" s="737"/>
      <c r="D5" s="737"/>
      <c r="E5" s="737"/>
      <c r="F5" s="737"/>
      <c r="G5" s="737"/>
      <c r="H5" s="737"/>
      <c r="I5" s="737"/>
      <c r="J5" s="737"/>
      <c r="K5" s="738"/>
    </row>
    <row r="6" spans="1:13" ht="12" thickBot="1">
      <c r="A6" s="58" t="s">
        <v>316</v>
      </c>
      <c r="B6" s="58" t="s">
        <v>448</v>
      </c>
      <c r="C6" s="110" t="s">
        <v>208</v>
      </c>
      <c r="D6" s="111" t="s">
        <v>209</v>
      </c>
      <c r="E6" s="111" t="s">
        <v>210</v>
      </c>
      <c r="F6" s="111" t="s">
        <v>211</v>
      </c>
      <c r="G6" s="111" t="s">
        <v>212</v>
      </c>
      <c r="H6" s="111" t="s">
        <v>213</v>
      </c>
      <c r="I6" s="111" t="s">
        <v>214</v>
      </c>
      <c r="J6" s="112" t="s">
        <v>215</v>
      </c>
      <c r="K6" s="75" t="s">
        <v>317</v>
      </c>
    </row>
    <row r="7" spans="1:13" ht="11.25">
      <c r="A7" s="54">
        <v>0</v>
      </c>
      <c r="B7" s="53" t="s">
        <v>431</v>
      </c>
      <c r="C7" s="799" t="s">
        <v>216</v>
      </c>
      <c r="D7" s="954"/>
      <c r="E7" s="954"/>
      <c r="F7" s="954"/>
      <c r="G7" s="954"/>
      <c r="H7" s="954"/>
      <c r="I7" s="954"/>
      <c r="J7" s="955"/>
      <c r="K7" s="82">
        <v>1</v>
      </c>
    </row>
    <row r="8" spans="1:13" ht="11.25">
      <c r="A8" s="63" t="s">
        <v>318</v>
      </c>
      <c r="B8" s="60" t="s">
        <v>432</v>
      </c>
      <c r="C8" s="723" t="s">
        <v>425</v>
      </c>
      <c r="D8" s="786"/>
      <c r="E8" s="786"/>
      <c r="F8" s="786"/>
      <c r="G8" s="786"/>
      <c r="H8" s="786"/>
      <c r="I8" s="786"/>
      <c r="J8" s="787"/>
      <c r="K8" s="80">
        <v>2</v>
      </c>
      <c r="L8" s="56">
        <v>16</v>
      </c>
      <c r="M8" s="56">
        <v>16</v>
      </c>
    </row>
    <row r="9" spans="1:13" ht="11.25">
      <c r="A9" s="63" t="s">
        <v>319</v>
      </c>
      <c r="B9" s="60" t="s">
        <v>433</v>
      </c>
      <c r="C9" s="723" t="s">
        <v>420</v>
      </c>
      <c r="D9" s="786"/>
      <c r="E9" s="786"/>
      <c r="F9" s="786"/>
      <c r="G9" s="786"/>
      <c r="H9" s="786"/>
      <c r="I9" s="786"/>
      <c r="J9" s="787"/>
      <c r="K9" s="80">
        <v>2</v>
      </c>
      <c r="L9" s="56">
        <v>13</v>
      </c>
      <c r="M9" s="56">
        <v>13</v>
      </c>
    </row>
    <row r="10" spans="1:13" ht="11.25">
      <c r="A10" s="63" t="s">
        <v>320</v>
      </c>
      <c r="B10" s="60" t="s">
        <v>434</v>
      </c>
      <c r="C10" s="722" t="s">
        <v>218</v>
      </c>
      <c r="D10" s="722"/>
      <c r="E10" s="722"/>
      <c r="F10" s="722"/>
      <c r="G10" s="722"/>
      <c r="H10" s="722"/>
      <c r="I10" s="722"/>
      <c r="J10" s="725"/>
      <c r="K10" s="80">
        <v>2</v>
      </c>
      <c r="L10" s="56" t="s">
        <v>1220</v>
      </c>
      <c r="M10" s="56" t="s">
        <v>1220</v>
      </c>
    </row>
    <row r="11" spans="1:13" ht="11.25">
      <c r="A11" s="63" t="s">
        <v>178</v>
      </c>
      <c r="B11" s="60" t="s">
        <v>435</v>
      </c>
      <c r="C11" s="858" t="s">
        <v>179</v>
      </c>
      <c r="D11" s="859"/>
      <c r="E11" s="859"/>
      <c r="F11" s="859"/>
      <c r="G11" s="859"/>
      <c r="H11" s="859"/>
      <c r="I11" s="859"/>
      <c r="J11" s="860"/>
      <c r="K11" s="80">
        <v>2</v>
      </c>
      <c r="L11" s="56">
        <v>10</v>
      </c>
      <c r="M11" s="56">
        <v>10</v>
      </c>
    </row>
    <row r="12" spans="1:13" ht="12" thickBot="1">
      <c r="A12" s="55" t="s">
        <v>180</v>
      </c>
      <c r="B12" s="62" t="s">
        <v>436</v>
      </c>
      <c r="C12" s="728" t="s">
        <v>219</v>
      </c>
      <c r="D12" s="949"/>
      <c r="E12" s="949"/>
      <c r="F12" s="949"/>
      <c r="G12" s="949"/>
      <c r="H12" s="949"/>
      <c r="I12" s="949"/>
      <c r="J12" s="950"/>
      <c r="K12" s="83">
        <v>2</v>
      </c>
      <c r="L12" s="56" t="s">
        <v>1221</v>
      </c>
      <c r="M12" s="56" t="s">
        <v>1221</v>
      </c>
    </row>
    <row r="13" spans="1:13" s="61" customFormat="1" ht="15" customHeight="1">
      <c r="A13" s="54">
        <v>11</v>
      </c>
      <c r="B13" s="704" t="s">
        <v>437</v>
      </c>
      <c r="C13" s="823" t="s">
        <v>150</v>
      </c>
      <c r="D13" s="947"/>
      <c r="E13" s="947" t="s">
        <v>182</v>
      </c>
      <c r="F13" s="947"/>
      <c r="G13" s="947"/>
      <c r="H13" s="947" t="s">
        <v>183</v>
      </c>
      <c r="I13" s="947"/>
      <c r="J13" s="948"/>
      <c r="K13" s="704">
        <v>2</v>
      </c>
      <c r="M13" s="56"/>
    </row>
    <row r="14" spans="1:13" s="61" customFormat="1" ht="15" customHeight="1" thickBot="1">
      <c r="A14" s="55">
        <v>12</v>
      </c>
      <c r="B14" s="716"/>
      <c r="C14" s="953"/>
      <c r="D14" s="951"/>
      <c r="E14" s="66" t="s">
        <v>144</v>
      </c>
      <c r="F14" s="66" t="s">
        <v>145</v>
      </c>
      <c r="G14" s="66" t="s">
        <v>147</v>
      </c>
      <c r="H14" s="66" t="s">
        <v>144</v>
      </c>
      <c r="I14" s="66" t="s">
        <v>145</v>
      </c>
      <c r="J14" s="67" t="s">
        <v>147</v>
      </c>
      <c r="K14" s="716"/>
      <c r="L14" s="107">
        <v>4</v>
      </c>
      <c r="M14" s="61">
        <v>4</v>
      </c>
    </row>
    <row r="15" spans="1:13" s="61" customFormat="1" ht="15" customHeight="1">
      <c r="A15" s="54">
        <v>13</v>
      </c>
      <c r="B15" s="704" t="s">
        <v>440</v>
      </c>
      <c r="C15" s="824" t="s">
        <v>184</v>
      </c>
      <c r="D15" s="825"/>
      <c r="E15" s="825"/>
      <c r="F15" s="825"/>
      <c r="G15" s="825" t="s">
        <v>185</v>
      </c>
      <c r="H15" s="825"/>
      <c r="I15" s="825"/>
      <c r="J15" s="826"/>
      <c r="K15" s="704">
        <v>2</v>
      </c>
    </row>
    <row r="16" spans="1:13" s="61" customFormat="1" ht="15" customHeight="1" thickBot="1">
      <c r="A16" s="55">
        <v>14</v>
      </c>
      <c r="B16" s="716"/>
      <c r="C16" s="47" t="s">
        <v>148</v>
      </c>
      <c r="D16" s="46" t="s">
        <v>186</v>
      </c>
      <c r="E16" s="46" t="s">
        <v>187</v>
      </c>
      <c r="F16" s="46" t="s">
        <v>140</v>
      </c>
      <c r="G16" s="46" t="s">
        <v>148</v>
      </c>
      <c r="H16" s="46" t="s">
        <v>186</v>
      </c>
      <c r="I16" s="46" t="s">
        <v>187</v>
      </c>
      <c r="J16" s="48" t="s">
        <v>140</v>
      </c>
      <c r="K16" s="716"/>
      <c r="L16" s="50">
        <v>8</v>
      </c>
      <c r="M16" s="61">
        <v>8</v>
      </c>
    </row>
    <row r="17" spans="1:20" s="61" customFormat="1" ht="15" customHeight="1">
      <c r="A17" s="54">
        <v>15</v>
      </c>
      <c r="B17" s="704" t="s">
        <v>441</v>
      </c>
      <c r="C17" s="823" t="s">
        <v>141</v>
      </c>
      <c r="D17" s="947"/>
      <c r="E17" s="947"/>
      <c r="F17" s="947"/>
      <c r="G17" s="947" t="s">
        <v>142</v>
      </c>
      <c r="H17" s="947"/>
      <c r="I17" s="947" t="s">
        <v>143</v>
      </c>
      <c r="J17" s="948"/>
      <c r="K17" s="704">
        <v>2</v>
      </c>
    </row>
    <row r="18" spans="1:20" s="61" customFormat="1" ht="15" customHeight="1" thickBot="1">
      <c r="A18" s="55">
        <v>16</v>
      </c>
      <c r="B18" s="716"/>
      <c r="C18" s="92" t="s">
        <v>144</v>
      </c>
      <c r="D18" s="113" t="s">
        <v>145</v>
      </c>
      <c r="E18" s="113" t="s">
        <v>146</v>
      </c>
      <c r="F18" s="113" t="s">
        <v>147</v>
      </c>
      <c r="G18" s="66" t="s">
        <v>148</v>
      </c>
      <c r="H18" s="66" t="s">
        <v>149</v>
      </c>
      <c r="I18" s="66" t="s">
        <v>148</v>
      </c>
      <c r="J18" s="67" t="s">
        <v>149</v>
      </c>
      <c r="K18" s="716"/>
      <c r="L18" s="50">
        <v>0</v>
      </c>
      <c r="M18" s="61">
        <v>0</v>
      </c>
    </row>
    <row r="19" spans="1:20" ht="12" thickBot="1">
      <c r="A19" s="58" t="s">
        <v>188</v>
      </c>
      <c r="B19" s="63" t="s">
        <v>457</v>
      </c>
      <c r="C19" s="114" t="s">
        <v>150</v>
      </c>
      <c r="D19" s="115" t="s">
        <v>151</v>
      </c>
      <c r="E19" s="116" t="s">
        <v>152</v>
      </c>
      <c r="F19" s="116" t="s">
        <v>153</v>
      </c>
      <c r="G19" s="116" t="s">
        <v>154</v>
      </c>
      <c r="H19" s="116" t="s">
        <v>155</v>
      </c>
      <c r="I19" s="116" t="s">
        <v>156</v>
      </c>
      <c r="J19" s="117" t="s">
        <v>31</v>
      </c>
      <c r="K19" s="81">
        <v>2</v>
      </c>
      <c r="L19" s="61">
        <v>24</v>
      </c>
      <c r="M19" s="61">
        <v>24</v>
      </c>
    </row>
    <row r="20" spans="1:20" ht="12" thickBot="1">
      <c r="A20" s="58" t="s">
        <v>189</v>
      </c>
      <c r="B20" s="58" t="s">
        <v>442</v>
      </c>
      <c r="C20" s="118" t="s">
        <v>150</v>
      </c>
      <c r="D20" s="119" t="s">
        <v>157</v>
      </c>
      <c r="E20" s="119" t="s">
        <v>158</v>
      </c>
      <c r="F20" s="119" t="s">
        <v>150</v>
      </c>
      <c r="G20" s="956" t="s">
        <v>428</v>
      </c>
      <c r="H20" s="956"/>
      <c r="I20" s="956"/>
      <c r="J20" s="957"/>
      <c r="K20" s="81">
        <v>2</v>
      </c>
      <c r="L20" s="61" t="s">
        <v>1222</v>
      </c>
      <c r="M20" s="61" t="s">
        <v>1222</v>
      </c>
    </row>
    <row r="21" spans="1:20" ht="11.25">
      <c r="A21" s="54" t="s">
        <v>190</v>
      </c>
      <c r="B21" s="704" t="s">
        <v>453</v>
      </c>
      <c r="C21" s="824" t="s">
        <v>159</v>
      </c>
      <c r="D21" s="825"/>
      <c r="E21" s="825"/>
      <c r="F21" s="825"/>
      <c r="G21" s="825" t="s">
        <v>578</v>
      </c>
      <c r="H21" s="825"/>
      <c r="I21" s="825"/>
      <c r="J21" s="826"/>
      <c r="K21" s="82">
        <v>2</v>
      </c>
      <c r="L21" s="61">
        <v>0</v>
      </c>
      <c r="M21" s="61">
        <v>0</v>
      </c>
    </row>
    <row r="22" spans="1:20" ht="11.25">
      <c r="A22" s="63" t="s">
        <v>191</v>
      </c>
      <c r="B22" s="717"/>
      <c r="C22" s="782" t="s">
        <v>161</v>
      </c>
      <c r="D22" s="779"/>
      <c r="E22" s="779"/>
      <c r="F22" s="779"/>
      <c r="G22" s="779" t="s">
        <v>613</v>
      </c>
      <c r="H22" s="779"/>
      <c r="I22" s="779"/>
      <c r="J22" s="780"/>
      <c r="K22" s="80">
        <v>2</v>
      </c>
      <c r="L22" s="61">
        <v>0</v>
      </c>
      <c r="M22" s="56">
        <v>0</v>
      </c>
    </row>
    <row r="23" spans="1:20" ht="12" thickBot="1">
      <c r="A23" s="55" t="s">
        <v>321</v>
      </c>
      <c r="B23" s="716"/>
      <c r="C23" s="944" t="s">
        <v>192</v>
      </c>
      <c r="D23" s="945"/>
      <c r="E23" s="945"/>
      <c r="F23" s="945"/>
      <c r="G23" s="945" t="s">
        <v>193</v>
      </c>
      <c r="H23" s="945"/>
      <c r="I23" s="945"/>
      <c r="J23" s="946"/>
      <c r="K23" s="83">
        <v>2</v>
      </c>
      <c r="L23" s="56">
        <v>0</v>
      </c>
      <c r="M23" s="56">
        <v>0</v>
      </c>
    </row>
    <row r="24" spans="1:20" ht="11.25">
      <c r="A24" s="54" t="s">
        <v>322</v>
      </c>
      <c r="B24" s="704" t="s">
        <v>450</v>
      </c>
      <c r="C24" s="823" t="s">
        <v>194</v>
      </c>
      <c r="D24" s="947"/>
      <c r="E24" s="947"/>
      <c r="F24" s="947"/>
      <c r="G24" s="947" t="s">
        <v>577</v>
      </c>
      <c r="H24" s="947"/>
      <c r="I24" s="947"/>
      <c r="J24" s="948"/>
      <c r="K24" s="82">
        <v>2</v>
      </c>
      <c r="L24" s="56">
        <v>0</v>
      </c>
      <c r="M24" s="56">
        <v>0</v>
      </c>
    </row>
    <row r="25" spans="1:20" ht="11.25">
      <c r="A25" s="63" t="s">
        <v>323</v>
      </c>
      <c r="B25" s="717"/>
      <c r="C25" s="771" t="s">
        <v>196</v>
      </c>
      <c r="D25" s="707"/>
      <c r="E25" s="707"/>
      <c r="F25" s="707"/>
      <c r="G25" s="707" t="s">
        <v>197</v>
      </c>
      <c r="H25" s="707"/>
      <c r="I25" s="707"/>
      <c r="J25" s="732"/>
      <c r="K25" s="80">
        <v>2</v>
      </c>
      <c r="L25" s="50">
        <v>0</v>
      </c>
      <c r="M25" s="56">
        <v>0</v>
      </c>
    </row>
    <row r="26" spans="1:20" ht="12" thickBot="1">
      <c r="A26" s="55" t="s">
        <v>324</v>
      </c>
      <c r="B26" s="716"/>
      <c r="C26" s="953" t="s">
        <v>198</v>
      </c>
      <c r="D26" s="951"/>
      <c r="E26" s="951"/>
      <c r="F26" s="951"/>
      <c r="G26" s="951" t="s">
        <v>199</v>
      </c>
      <c r="H26" s="951"/>
      <c r="I26" s="951"/>
      <c r="J26" s="952"/>
      <c r="K26" s="83">
        <v>2</v>
      </c>
      <c r="L26" s="56">
        <v>0</v>
      </c>
      <c r="M26" s="56">
        <v>0</v>
      </c>
    </row>
    <row r="27" spans="1:20" s="61" customFormat="1" ht="15" customHeight="1">
      <c r="A27" s="704" t="s">
        <v>522</v>
      </c>
      <c r="B27" s="704" t="s">
        <v>532</v>
      </c>
      <c r="C27" s="801" t="s">
        <v>581</v>
      </c>
      <c r="D27" s="802"/>
      <c r="E27" s="802"/>
      <c r="F27" s="803"/>
      <c r="G27" s="795" t="s">
        <v>582</v>
      </c>
      <c r="H27" s="796"/>
      <c r="I27" s="796"/>
      <c r="J27" s="797"/>
      <c r="K27" s="742">
        <v>2</v>
      </c>
      <c r="M27" s="56"/>
      <c r="N27" s="51"/>
      <c r="O27" s="51"/>
      <c r="P27" s="51"/>
      <c r="Q27" s="51"/>
    </row>
    <row r="28" spans="1:20" s="61" customFormat="1" ht="15" customHeight="1" thickBot="1">
      <c r="A28" s="716"/>
      <c r="B28" s="716"/>
      <c r="C28" s="139" t="s">
        <v>535</v>
      </c>
      <c r="D28" s="121" t="s">
        <v>536</v>
      </c>
      <c r="E28" s="121" t="s">
        <v>524</v>
      </c>
      <c r="F28" s="121" t="s">
        <v>537</v>
      </c>
      <c r="G28" s="120" t="s">
        <v>538</v>
      </c>
      <c r="H28" s="121" t="s">
        <v>539</v>
      </c>
      <c r="I28" s="121" t="s">
        <v>540</v>
      </c>
      <c r="J28" s="122" t="s">
        <v>3</v>
      </c>
      <c r="K28" s="743"/>
      <c r="L28" s="56">
        <v>0</v>
      </c>
      <c r="M28" s="56">
        <v>0</v>
      </c>
      <c r="N28" s="74"/>
    </row>
    <row r="29" spans="1:20" ht="13.5" customHeight="1">
      <c r="A29" s="54" t="s">
        <v>370</v>
      </c>
      <c r="B29" s="704" t="s">
        <v>452</v>
      </c>
      <c r="C29" s="942" t="s">
        <v>519</v>
      </c>
      <c r="D29" s="943"/>
      <c r="E29" s="943"/>
      <c r="F29" s="943"/>
      <c r="G29" s="943"/>
      <c r="H29" s="943"/>
      <c r="I29" s="943"/>
      <c r="J29" s="143" t="s">
        <v>732</v>
      </c>
      <c r="K29" s="82">
        <v>2</v>
      </c>
      <c r="L29" s="56">
        <v>10</v>
      </c>
      <c r="M29" s="56">
        <v>1</v>
      </c>
    </row>
    <row r="30" spans="1:20" ht="12" thickBot="1">
      <c r="A30" s="55" t="s">
        <v>325</v>
      </c>
      <c r="B30" s="716"/>
      <c r="C30" s="868" t="s">
        <v>205</v>
      </c>
      <c r="D30" s="869"/>
      <c r="E30" s="869"/>
      <c r="F30" s="869"/>
      <c r="G30" s="869"/>
      <c r="H30" s="869"/>
      <c r="I30" s="869"/>
      <c r="J30" s="870"/>
      <c r="K30" s="83">
        <v>2</v>
      </c>
      <c r="L30" s="56">
        <v>0</v>
      </c>
      <c r="M30" s="56">
        <v>0</v>
      </c>
    </row>
    <row r="31" spans="1:20" ht="11.25">
      <c r="A31" s="54" t="s">
        <v>326</v>
      </c>
      <c r="B31" s="54" t="s">
        <v>446</v>
      </c>
      <c r="C31" s="776" t="s">
        <v>206</v>
      </c>
      <c r="D31" s="776"/>
      <c r="E31" s="776"/>
      <c r="F31" s="776"/>
      <c r="G31" s="776"/>
      <c r="H31" s="776"/>
      <c r="I31" s="776"/>
      <c r="J31" s="777"/>
      <c r="K31" s="82">
        <v>2</v>
      </c>
      <c r="L31" s="56" t="s">
        <v>1223</v>
      </c>
      <c r="M31" s="56"/>
      <c r="T31" s="51">
        <f>48/2*(3+9)</f>
        <v>288</v>
      </c>
    </row>
    <row r="32" spans="1:20" ht="12" thickBot="1">
      <c r="A32" s="55">
        <v>41</v>
      </c>
      <c r="B32" s="64" t="s">
        <v>447</v>
      </c>
      <c r="C32" s="727" t="s">
        <v>207</v>
      </c>
      <c r="D32" s="727"/>
      <c r="E32" s="727"/>
      <c r="F32" s="727"/>
      <c r="G32" s="727"/>
      <c r="H32" s="727"/>
      <c r="I32" s="727"/>
      <c r="J32" s="778"/>
      <c r="K32" s="83">
        <v>1</v>
      </c>
      <c r="M32" s="61"/>
    </row>
    <row r="33" spans="1:12" ht="12" thickBot="1">
      <c r="L33" s="61"/>
    </row>
    <row r="34" spans="1:12" ht="12" thickBot="1">
      <c r="A34" s="736" t="s">
        <v>615</v>
      </c>
      <c r="B34" s="737"/>
      <c r="C34" s="737"/>
      <c r="D34" s="737"/>
      <c r="E34" s="737"/>
      <c r="F34" s="737"/>
      <c r="G34" s="737"/>
      <c r="H34" s="737"/>
      <c r="I34" s="737"/>
      <c r="J34" s="737"/>
      <c r="K34" s="738"/>
    </row>
    <row r="35" spans="1:12" ht="12" thickBot="1">
      <c r="A35" s="58" t="s">
        <v>316</v>
      </c>
      <c r="B35" s="58" t="s">
        <v>449</v>
      </c>
      <c r="C35" s="52" t="s">
        <v>208</v>
      </c>
      <c r="D35" s="32" t="s">
        <v>209</v>
      </c>
      <c r="E35" s="32" t="s">
        <v>210</v>
      </c>
      <c r="F35" s="32" t="s">
        <v>211</v>
      </c>
      <c r="G35" s="32" t="s">
        <v>212</v>
      </c>
      <c r="H35" s="32" t="s">
        <v>213</v>
      </c>
      <c r="I35" s="32" t="s">
        <v>214</v>
      </c>
      <c r="J35" s="33" t="s">
        <v>215</v>
      </c>
      <c r="K35" s="75" t="s">
        <v>317</v>
      </c>
    </row>
    <row r="36" spans="1:12" ht="11.25">
      <c r="A36" s="54">
        <v>0</v>
      </c>
      <c r="B36" s="53" t="s">
        <v>509</v>
      </c>
      <c r="C36" s="783" t="s">
        <v>216</v>
      </c>
      <c r="D36" s="784"/>
      <c r="E36" s="784"/>
      <c r="F36" s="784"/>
      <c r="G36" s="784"/>
      <c r="H36" s="784"/>
      <c r="I36" s="784"/>
      <c r="J36" s="785"/>
      <c r="K36" s="82">
        <v>1</v>
      </c>
    </row>
    <row r="37" spans="1:12" ht="11.25">
      <c r="A37" s="63" t="s">
        <v>318</v>
      </c>
      <c r="B37" s="60" t="s">
        <v>510</v>
      </c>
      <c r="C37" s="723" t="s">
        <v>973</v>
      </c>
      <c r="D37" s="786"/>
      <c r="E37" s="786"/>
      <c r="F37" s="786"/>
      <c r="G37" s="786"/>
      <c r="H37" s="786"/>
      <c r="I37" s="786"/>
      <c r="J37" s="787"/>
      <c r="K37" s="80">
        <v>2</v>
      </c>
    </row>
    <row r="38" spans="1:12" ht="11.25">
      <c r="A38" s="63" t="s">
        <v>319</v>
      </c>
      <c r="B38" s="60" t="s">
        <v>511</v>
      </c>
      <c r="C38" s="723" t="s">
        <v>420</v>
      </c>
      <c r="D38" s="786"/>
      <c r="E38" s="786"/>
      <c r="F38" s="786"/>
      <c r="G38" s="786"/>
      <c r="H38" s="786"/>
      <c r="I38" s="786"/>
      <c r="J38" s="787"/>
      <c r="K38" s="80">
        <v>2</v>
      </c>
    </row>
    <row r="39" spans="1:12" ht="11.25">
      <c r="A39" s="63" t="s">
        <v>320</v>
      </c>
      <c r="B39" s="60" t="s">
        <v>512</v>
      </c>
      <c r="C39" s="722" t="s">
        <v>218</v>
      </c>
      <c r="D39" s="722"/>
      <c r="E39" s="722"/>
      <c r="F39" s="722"/>
      <c r="G39" s="722"/>
      <c r="H39" s="722"/>
      <c r="I39" s="722"/>
      <c r="J39" s="725"/>
      <c r="K39" s="80">
        <v>2</v>
      </c>
    </row>
    <row r="40" spans="1:12" ht="11.25">
      <c r="A40" s="63" t="s">
        <v>426</v>
      </c>
      <c r="B40" s="60" t="s">
        <v>513</v>
      </c>
      <c r="C40" s="858" t="s">
        <v>179</v>
      </c>
      <c r="D40" s="859"/>
      <c r="E40" s="859"/>
      <c r="F40" s="859"/>
      <c r="G40" s="859"/>
      <c r="H40" s="859"/>
      <c r="I40" s="859"/>
      <c r="J40" s="860"/>
      <c r="K40" s="80">
        <v>2</v>
      </c>
    </row>
    <row r="41" spans="1:12" ht="12" thickBot="1">
      <c r="A41" s="55" t="s">
        <v>427</v>
      </c>
      <c r="B41" s="62" t="s">
        <v>514</v>
      </c>
      <c r="C41" s="768" t="s">
        <v>1761</v>
      </c>
      <c r="D41" s="769"/>
      <c r="E41" s="769"/>
      <c r="F41" s="769"/>
      <c r="G41" s="769"/>
      <c r="H41" s="769"/>
      <c r="I41" s="769"/>
      <c r="J41" s="770"/>
      <c r="K41" s="83">
        <v>2</v>
      </c>
    </row>
    <row r="42" spans="1:12" ht="11.25">
      <c r="A42" s="54" t="s">
        <v>298</v>
      </c>
      <c r="B42" s="704" t="s">
        <v>485</v>
      </c>
      <c r="C42" s="824" t="s">
        <v>396</v>
      </c>
      <c r="D42" s="825"/>
      <c r="E42" s="825"/>
      <c r="F42" s="825"/>
      <c r="G42" s="825"/>
      <c r="H42" s="825"/>
      <c r="I42" s="825"/>
      <c r="J42" s="826"/>
      <c r="K42" s="82">
        <v>2</v>
      </c>
    </row>
    <row r="43" spans="1:12" ht="13.5" customHeight="1">
      <c r="A43" s="63" t="s">
        <v>299</v>
      </c>
      <c r="B43" s="717"/>
      <c r="C43" s="782" t="s">
        <v>397</v>
      </c>
      <c r="D43" s="779"/>
      <c r="E43" s="779"/>
      <c r="F43" s="779"/>
      <c r="G43" s="779"/>
      <c r="H43" s="779"/>
      <c r="I43" s="779"/>
      <c r="J43" s="780"/>
      <c r="K43" s="80">
        <v>2</v>
      </c>
    </row>
    <row r="44" spans="1:12" ht="13.5" customHeight="1">
      <c r="A44" s="63" t="s">
        <v>300</v>
      </c>
      <c r="B44" s="717"/>
      <c r="C44" s="782" t="s">
        <v>398</v>
      </c>
      <c r="D44" s="779"/>
      <c r="E44" s="779"/>
      <c r="F44" s="779"/>
      <c r="G44" s="779"/>
      <c r="H44" s="779"/>
      <c r="I44" s="779"/>
      <c r="J44" s="780"/>
      <c r="K44" s="80">
        <v>2</v>
      </c>
    </row>
    <row r="45" spans="1:12" ht="13.5" customHeight="1">
      <c r="A45" s="63" t="s">
        <v>188</v>
      </c>
      <c r="B45" s="717"/>
      <c r="C45" s="782" t="s">
        <v>399</v>
      </c>
      <c r="D45" s="779"/>
      <c r="E45" s="779"/>
      <c r="F45" s="779"/>
      <c r="G45" s="779"/>
      <c r="H45" s="779"/>
      <c r="I45" s="779"/>
      <c r="J45" s="780"/>
      <c r="K45" s="80">
        <v>2</v>
      </c>
    </row>
    <row r="46" spans="1:12" ht="13.5" customHeight="1">
      <c r="A46" s="63" t="s">
        <v>310</v>
      </c>
      <c r="B46" s="717"/>
      <c r="C46" s="782" t="s">
        <v>400</v>
      </c>
      <c r="D46" s="779"/>
      <c r="E46" s="779"/>
      <c r="F46" s="779"/>
      <c r="G46" s="779"/>
      <c r="H46" s="779"/>
      <c r="I46" s="779"/>
      <c r="J46" s="780"/>
      <c r="K46" s="80">
        <v>2</v>
      </c>
    </row>
    <row r="47" spans="1:12" ht="14.25" customHeight="1" thickBot="1">
      <c r="A47" s="55" t="s">
        <v>301</v>
      </c>
      <c r="B47" s="716"/>
      <c r="C47" s="944" t="s">
        <v>401</v>
      </c>
      <c r="D47" s="945"/>
      <c r="E47" s="945"/>
      <c r="F47" s="945"/>
      <c r="G47" s="945"/>
      <c r="H47" s="945"/>
      <c r="I47" s="945"/>
      <c r="J47" s="946"/>
      <c r="K47" s="83">
        <v>2</v>
      </c>
    </row>
    <row r="48" spans="1:12" ht="11.25">
      <c r="A48" s="54" t="s">
        <v>302</v>
      </c>
      <c r="B48" s="704" t="s">
        <v>515</v>
      </c>
      <c r="C48" s="925" t="s">
        <v>150</v>
      </c>
      <c r="D48" s="926"/>
      <c r="E48" s="926"/>
      <c r="F48" s="926"/>
      <c r="G48" s="947" t="s">
        <v>935</v>
      </c>
      <c r="H48" s="947"/>
      <c r="I48" s="947"/>
      <c r="J48" s="948"/>
      <c r="K48" s="82">
        <v>2</v>
      </c>
    </row>
    <row r="49" spans="1:11" ht="11.25">
      <c r="A49" s="63" t="s">
        <v>321</v>
      </c>
      <c r="B49" s="717"/>
      <c r="C49" s="771" t="s">
        <v>598</v>
      </c>
      <c r="D49" s="707"/>
      <c r="E49" s="707"/>
      <c r="F49" s="707"/>
      <c r="G49" s="707" t="s">
        <v>936</v>
      </c>
      <c r="H49" s="707"/>
      <c r="I49" s="707"/>
      <c r="J49" s="732"/>
      <c r="K49" s="80">
        <v>2</v>
      </c>
    </row>
    <row r="50" spans="1:11" ht="11.25">
      <c r="A50" s="63" t="s">
        <v>322</v>
      </c>
      <c r="B50" s="717"/>
      <c r="C50" s="771" t="s">
        <v>402</v>
      </c>
      <c r="D50" s="707"/>
      <c r="E50" s="707"/>
      <c r="F50" s="707"/>
      <c r="G50" s="691" t="s">
        <v>403</v>
      </c>
      <c r="H50" s="690"/>
      <c r="I50" s="690"/>
      <c r="J50" s="692"/>
      <c r="K50" s="80">
        <v>2</v>
      </c>
    </row>
    <row r="51" spans="1:11" ht="11.25">
      <c r="A51" s="63" t="s">
        <v>323</v>
      </c>
      <c r="B51" s="717"/>
      <c r="C51" s="690" t="s">
        <v>404</v>
      </c>
      <c r="D51" s="690"/>
      <c r="E51" s="690"/>
      <c r="F51" s="771"/>
      <c r="G51" s="691" t="s">
        <v>405</v>
      </c>
      <c r="H51" s="690"/>
      <c r="I51" s="690"/>
      <c r="J51" s="692"/>
      <c r="K51" s="80">
        <v>2</v>
      </c>
    </row>
    <row r="52" spans="1:11" ht="11.25">
      <c r="A52" s="63" t="s">
        <v>288</v>
      </c>
      <c r="B52" s="717"/>
      <c r="C52" s="690" t="s">
        <v>406</v>
      </c>
      <c r="D52" s="690"/>
      <c r="E52" s="690"/>
      <c r="F52" s="771"/>
      <c r="G52" s="691" t="s">
        <v>407</v>
      </c>
      <c r="H52" s="690"/>
      <c r="I52" s="690"/>
      <c r="J52" s="692"/>
      <c r="K52" s="80">
        <v>2</v>
      </c>
    </row>
    <row r="53" spans="1:11" ht="12" thickBot="1">
      <c r="A53" s="55" t="s">
        <v>289</v>
      </c>
      <c r="B53" s="716"/>
      <c r="C53" s="928" t="s">
        <v>30</v>
      </c>
      <c r="D53" s="929"/>
      <c r="E53" s="929"/>
      <c r="F53" s="929"/>
      <c r="G53" s="929"/>
      <c r="H53" s="929"/>
      <c r="I53" s="929"/>
      <c r="J53" s="930"/>
      <c r="K53" s="83">
        <v>2</v>
      </c>
    </row>
    <row r="54" spans="1:11" ht="11.25">
      <c r="A54" s="63" t="s">
        <v>370</v>
      </c>
      <c r="B54" s="704" t="s">
        <v>516</v>
      </c>
      <c r="C54" s="719" t="s">
        <v>601</v>
      </c>
      <c r="D54" s="718"/>
      <c r="E54" s="718"/>
      <c r="F54" s="718"/>
      <c r="G54" s="718" t="s">
        <v>599</v>
      </c>
      <c r="H54" s="718"/>
      <c r="I54" s="718"/>
      <c r="J54" s="774"/>
      <c r="K54" s="82">
        <v>2</v>
      </c>
    </row>
    <row r="55" spans="1:11" ht="13.5" customHeight="1">
      <c r="A55" s="63" t="s">
        <v>325</v>
      </c>
      <c r="B55" s="717"/>
      <c r="C55" s="771" t="s">
        <v>600</v>
      </c>
      <c r="D55" s="707"/>
      <c r="E55" s="707"/>
      <c r="F55" s="707"/>
      <c r="G55" s="707" t="s">
        <v>408</v>
      </c>
      <c r="H55" s="707"/>
      <c r="I55" s="707"/>
      <c r="J55" s="732"/>
      <c r="K55" s="80">
        <v>2</v>
      </c>
    </row>
    <row r="56" spans="1:11" ht="13.5" customHeight="1">
      <c r="A56" s="63" t="s">
        <v>326</v>
      </c>
      <c r="B56" s="717"/>
      <c r="C56" s="771" t="s">
        <v>409</v>
      </c>
      <c r="D56" s="707"/>
      <c r="E56" s="707"/>
      <c r="F56" s="707"/>
      <c r="G56" s="691" t="s">
        <v>410</v>
      </c>
      <c r="H56" s="690"/>
      <c r="I56" s="690"/>
      <c r="J56" s="692"/>
      <c r="K56" s="80">
        <v>2</v>
      </c>
    </row>
    <row r="57" spans="1:11" ht="13.5" customHeight="1">
      <c r="A57" s="63" t="s">
        <v>293</v>
      </c>
      <c r="B57" s="717"/>
      <c r="C57" s="690" t="s">
        <v>411</v>
      </c>
      <c r="D57" s="690"/>
      <c r="E57" s="690"/>
      <c r="F57" s="771"/>
      <c r="G57" s="691" t="s">
        <v>412</v>
      </c>
      <c r="H57" s="690"/>
      <c r="I57" s="690"/>
      <c r="J57" s="692"/>
      <c r="K57" s="80">
        <v>2</v>
      </c>
    </row>
    <row r="58" spans="1:11" ht="14.25" customHeight="1" thickBot="1">
      <c r="A58" s="55" t="s">
        <v>294</v>
      </c>
      <c r="B58" s="716"/>
      <c r="C58" s="715" t="s">
        <v>413</v>
      </c>
      <c r="D58" s="715"/>
      <c r="E58" s="715"/>
      <c r="F58" s="720"/>
      <c r="G58" s="759" t="s">
        <v>414</v>
      </c>
      <c r="H58" s="715"/>
      <c r="I58" s="715"/>
      <c r="J58" s="760"/>
      <c r="K58" s="83">
        <v>2</v>
      </c>
    </row>
    <row r="59" spans="1:11" ht="13.5" customHeight="1">
      <c r="A59" s="54" t="s">
        <v>295</v>
      </c>
      <c r="B59" s="277" t="s">
        <v>1366</v>
      </c>
      <c r="C59" s="961" t="s">
        <v>519</v>
      </c>
      <c r="D59" s="962"/>
      <c r="E59" s="962"/>
      <c r="F59" s="274" t="s">
        <v>1365</v>
      </c>
      <c r="G59" s="961" t="s">
        <v>150</v>
      </c>
      <c r="H59" s="962"/>
      <c r="I59" s="962"/>
      <c r="J59" s="272" t="s">
        <v>732</v>
      </c>
      <c r="K59" s="82">
        <v>2</v>
      </c>
    </row>
    <row r="60" spans="1:11" ht="14.25" customHeight="1">
      <c r="A60" s="27" t="s">
        <v>296</v>
      </c>
      <c r="B60" s="959" t="s">
        <v>1364</v>
      </c>
      <c r="C60" s="958" t="s">
        <v>1031</v>
      </c>
      <c r="D60" s="958"/>
      <c r="E60" s="958"/>
      <c r="F60" s="958"/>
      <c r="G60" s="958"/>
      <c r="H60" s="958"/>
      <c r="I60" s="958"/>
      <c r="J60" s="958"/>
      <c r="K60" s="273">
        <v>2</v>
      </c>
    </row>
    <row r="61" spans="1:11" ht="14.25" customHeight="1" thickBot="1">
      <c r="A61" s="27" t="s">
        <v>297</v>
      </c>
      <c r="B61" s="960"/>
      <c r="C61" s="958"/>
      <c r="D61" s="958"/>
      <c r="E61" s="958"/>
      <c r="F61" s="958"/>
      <c r="G61" s="958"/>
      <c r="H61" s="958"/>
      <c r="I61" s="958"/>
      <c r="J61" s="958"/>
      <c r="K61" s="273">
        <v>2</v>
      </c>
    </row>
    <row r="62" spans="1:11" ht="14.25" customHeight="1">
      <c r="A62" s="278" t="s">
        <v>303</v>
      </c>
      <c r="B62" s="840" t="s">
        <v>1368</v>
      </c>
      <c r="C62" s="843" t="s">
        <v>1299</v>
      </c>
      <c r="D62" s="844"/>
      <c r="E62" s="844"/>
      <c r="F62" s="844"/>
      <c r="G62" s="844"/>
      <c r="H62" s="844"/>
      <c r="I62" s="844"/>
      <c r="J62" s="845"/>
      <c r="K62" s="279">
        <v>2</v>
      </c>
    </row>
    <row r="63" spans="1:11" ht="14.25" customHeight="1">
      <c r="A63" s="280" t="s">
        <v>304</v>
      </c>
      <c r="B63" s="841"/>
      <c r="C63" s="846" t="s">
        <v>1301</v>
      </c>
      <c r="D63" s="847"/>
      <c r="E63" s="847"/>
      <c r="F63" s="847"/>
      <c r="G63" s="847"/>
      <c r="H63" s="847"/>
      <c r="I63" s="847"/>
      <c r="J63" s="848"/>
      <c r="K63" s="281">
        <v>2</v>
      </c>
    </row>
    <row r="64" spans="1:11" ht="14.25" customHeight="1" thickBot="1">
      <c r="A64" s="282" t="s">
        <v>305</v>
      </c>
      <c r="B64" s="842"/>
      <c r="C64" s="849" t="s">
        <v>1302</v>
      </c>
      <c r="D64" s="850"/>
      <c r="E64" s="850"/>
      <c r="F64" s="850"/>
      <c r="G64" s="850"/>
      <c r="H64" s="850"/>
      <c r="I64" s="850"/>
      <c r="J64" s="851"/>
      <c r="K64" s="283">
        <v>2</v>
      </c>
    </row>
    <row r="65" spans="1:11" ht="11.25">
      <c r="A65" s="54" t="s">
        <v>306</v>
      </c>
      <c r="B65" s="54" t="s">
        <v>507</v>
      </c>
      <c r="C65" s="821" t="s">
        <v>206</v>
      </c>
      <c r="D65" s="821"/>
      <c r="E65" s="821"/>
      <c r="F65" s="821"/>
      <c r="G65" s="821"/>
      <c r="H65" s="821"/>
      <c r="I65" s="821"/>
      <c r="J65" s="822"/>
      <c r="K65" s="80">
        <v>2</v>
      </c>
    </row>
    <row r="66" spans="1:11" ht="12" thickBot="1">
      <c r="A66" s="284">
        <v>59</v>
      </c>
      <c r="B66" s="64" t="s">
        <v>508</v>
      </c>
      <c r="C66" s="727" t="s">
        <v>207</v>
      </c>
      <c r="D66" s="727"/>
      <c r="E66" s="727"/>
      <c r="F66" s="727"/>
      <c r="G66" s="727"/>
      <c r="H66" s="727"/>
      <c r="I66" s="727"/>
      <c r="J66" s="778"/>
      <c r="K66" s="83">
        <v>1</v>
      </c>
    </row>
    <row r="67" spans="1:11" ht="11.25">
      <c r="A67" s="77"/>
      <c r="B67" s="77"/>
    </row>
    <row r="68" spans="1:11" ht="11.25">
      <c r="A68" s="77"/>
      <c r="B68" s="77"/>
    </row>
    <row r="69" spans="1:11" ht="11.25">
      <c r="A69" s="77"/>
      <c r="B69" s="77"/>
    </row>
    <row r="70" spans="1:11" ht="11.25">
      <c r="A70" s="77"/>
      <c r="B70" s="77"/>
    </row>
    <row r="71" spans="1:11" ht="11.25">
      <c r="A71" s="77"/>
      <c r="B71" s="77"/>
    </row>
    <row r="72" spans="1:11" ht="11.25">
      <c r="A72" s="77"/>
      <c r="B72" s="77"/>
    </row>
    <row r="73" spans="1:11" ht="11.25">
      <c r="A73" s="77"/>
      <c r="B73" s="77"/>
    </row>
    <row r="74" spans="1:11" ht="11.25">
      <c r="A74" s="77"/>
      <c r="B74" s="77"/>
    </row>
    <row r="75" spans="1:11" ht="11.25">
      <c r="A75" s="77"/>
      <c r="B75" s="77"/>
    </row>
    <row r="76" spans="1:11" ht="11.25">
      <c r="A76" s="77"/>
      <c r="B76" s="77"/>
    </row>
    <row r="77" spans="1:11" ht="11.25">
      <c r="A77" s="77"/>
      <c r="B77" s="77"/>
    </row>
    <row r="78" spans="1:11" ht="11.25">
      <c r="A78" s="77"/>
      <c r="B78" s="77"/>
    </row>
    <row r="79" spans="1:11" ht="11.25">
      <c r="A79" s="77"/>
      <c r="B79" s="77"/>
    </row>
    <row r="80" spans="1:11" ht="11.25">
      <c r="A80" s="77"/>
      <c r="B80" s="77"/>
    </row>
    <row r="81" spans="1:2" ht="11.25">
      <c r="A81" s="77"/>
      <c r="B81" s="77"/>
    </row>
    <row r="82" spans="1:2" ht="11.25">
      <c r="A82" s="77"/>
      <c r="B82" s="77"/>
    </row>
    <row r="83" spans="1:2" ht="11.25">
      <c r="A83" s="77"/>
      <c r="B83" s="77"/>
    </row>
    <row r="84" spans="1:2" ht="11.25">
      <c r="A84" s="77"/>
      <c r="B84" s="77"/>
    </row>
    <row r="85" spans="1:2" ht="11.25">
      <c r="A85" s="77"/>
      <c r="B85" s="77"/>
    </row>
    <row r="86" spans="1:2" ht="11.25">
      <c r="A86" s="77"/>
      <c r="B86" s="77"/>
    </row>
    <row r="87" spans="1:2" ht="11.25">
      <c r="A87" s="77"/>
      <c r="B87" s="77"/>
    </row>
    <row r="88" spans="1:2" ht="11.25">
      <c r="A88" s="77"/>
      <c r="B88" s="77"/>
    </row>
    <row r="89" spans="1:2" ht="11.25">
      <c r="A89" s="77"/>
      <c r="B89" s="77"/>
    </row>
    <row r="90" spans="1:2" ht="11.25">
      <c r="A90" s="77"/>
      <c r="B90" s="77"/>
    </row>
    <row r="91" spans="1:2" ht="11.25">
      <c r="A91" s="77"/>
      <c r="B91" s="77"/>
    </row>
    <row r="92" spans="1:2" ht="11.25">
      <c r="A92" s="77"/>
      <c r="B92" s="77"/>
    </row>
    <row r="93" spans="1:2" ht="11.25">
      <c r="A93" s="77"/>
      <c r="B93" s="77"/>
    </row>
    <row r="94" spans="1:2" ht="11.25">
      <c r="A94" s="77"/>
      <c r="B94" s="77"/>
    </row>
    <row r="95" spans="1:2" ht="11.25">
      <c r="A95" s="77"/>
      <c r="B95" s="77"/>
    </row>
    <row r="96" spans="1:2" ht="11.25">
      <c r="A96" s="77"/>
      <c r="B96" s="77"/>
    </row>
    <row r="97" spans="1:2" ht="11.25">
      <c r="A97" s="77"/>
      <c r="B97" s="77"/>
    </row>
    <row r="98" spans="1:2" ht="11.25">
      <c r="A98" s="77"/>
      <c r="B98" s="77"/>
    </row>
    <row r="99" spans="1:2" ht="11.25">
      <c r="A99" s="77"/>
      <c r="B99" s="77"/>
    </row>
    <row r="100" spans="1:2" ht="11.25">
      <c r="A100" s="77"/>
      <c r="B100" s="77"/>
    </row>
    <row r="101" spans="1:2" ht="11.25">
      <c r="A101" s="77"/>
      <c r="B101" s="77"/>
    </row>
    <row r="102" spans="1:2" ht="11.25">
      <c r="B102" s="77"/>
    </row>
  </sheetData>
  <mergeCells count="94">
    <mergeCell ref="C66:J66"/>
    <mergeCell ref="B62:B64"/>
    <mergeCell ref="C62:J62"/>
    <mergeCell ref="C63:J63"/>
    <mergeCell ref="C64:J64"/>
    <mergeCell ref="C60:J61"/>
    <mergeCell ref="B60:B61"/>
    <mergeCell ref="C59:E59"/>
    <mergeCell ref="G59:I59"/>
    <mergeCell ref="C65:J65"/>
    <mergeCell ref="C58:F58"/>
    <mergeCell ref="G58:J58"/>
    <mergeCell ref="C56:F56"/>
    <mergeCell ref="G56:J56"/>
    <mergeCell ref="C57:F57"/>
    <mergeCell ref="G57:J57"/>
    <mergeCell ref="C55:F55"/>
    <mergeCell ref="G55:J55"/>
    <mergeCell ref="C50:F50"/>
    <mergeCell ref="G50:J50"/>
    <mergeCell ref="C51:F51"/>
    <mergeCell ref="G51:J51"/>
    <mergeCell ref="C52:F52"/>
    <mergeCell ref="G52:J52"/>
    <mergeCell ref="C53:J53"/>
    <mergeCell ref="C43:J43"/>
    <mergeCell ref="C44:J44"/>
    <mergeCell ref="C45:J45"/>
    <mergeCell ref="C46:J46"/>
    <mergeCell ref="C54:F54"/>
    <mergeCell ref="G54:J54"/>
    <mergeCell ref="K17:K18"/>
    <mergeCell ref="K27:K28"/>
    <mergeCell ref="C36:J36"/>
    <mergeCell ref="C37:J37"/>
    <mergeCell ref="C30:J30"/>
    <mergeCell ref="A34:K34"/>
    <mergeCell ref="C22:F22"/>
    <mergeCell ref="G22:J22"/>
    <mergeCell ref="C21:F21"/>
    <mergeCell ref="G21:J21"/>
    <mergeCell ref="G20:J20"/>
    <mergeCell ref="C17:F17"/>
    <mergeCell ref="G24:J24"/>
    <mergeCell ref="C25:F25"/>
    <mergeCell ref="G25:J25"/>
    <mergeCell ref="C26:F26"/>
    <mergeCell ref="A5:K5"/>
    <mergeCell ref="A1:K1"/>
    <mergeCell ref="K13:K14"/>
    <mergeCell ref="K15:K16"/>
    <mergeCell ref="H13:J13"/>
    <mergeCell ref="C9:J9"/>
    <mergeCell ref="C11:J11"/>
    <mergeCell ref="B13:B14"/>
    <mergeCell ref="C13:D14"/>
    <mergeCell ref="E13:G13"/>
    <mergeCell ref="C7:J7"/>
    <mergeCell ref="C8:J8"/>
    <mergeCell ref="C15:F15"/>
    <mergeCell ref="G15:J15"/>
    <mergeCell ref="C10:J10"/>
    <mergeCell ref="B54:B58"/>
    <mergeCell ref="C27:F27"/>
    <mergeCell ref="G27:J27"/>
    <mergeCell ref="B15:B16"/>
    <mergeCell ref="C12:J12"/>
    <mergeCell ref="B17:B18"/>
    <mergeCell ref="B27:B28"/>
    <mergeCell ref="B21:B23"/>
    <mergeCell ref="B24:B26"/>
    <mergeCell ref="C23:F23"/>
    <mergeCell ref="G23:J23"/>
    <mergeCell ref="G17:H17"/>
    <mergeCell ref="I17:J17"/>
    <mergeCell ref="G26:J26"/>
    <mergeCell ref="C24:F24"/>
    <mergeCell ref="C42:J42"/>
    <mergeCell ref="C29:I29"/>
    <mergeCell ref="A27:A28"/>
    <mergeCell ref="B29:B30"/>
    <mergeCell ref="B42:B47"/>
    <mergeCell ref="B48:B53"/>
    <mergeCell ref="C31:J31"/>
    <mergeCell ref="C38:J38"/>
    <mergeCell ref="C40:J40"/>
    <mergeCell ref="C41:J41"/>
    <mergeCell ref="C32:J32"/>
    <mergeCell ref="C39:J39"/>
    <mergeCell ref="C47:J47"/>
    <mergeCell ref="C48:F48"/>
    <mergeCell ref="G48:J48"/>
    <mergeCell ref="C49:F49"/>
    <mergeCell ref="G49:J49"/>
  </mergeCells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1"/>
  <dimension ref="A1:Q694"/>
  <sheetViews>
    <sheetView topLeftCell="A10" workbookViewId="0">
      <selection activeCell="C12" sqref="C12:L12"/>
    </sheetView>
  </sheetViews>
  <sheetFormatPr defaultRowHeight="10.5"/>
  <cols>
    <col min="1" max="2" width="5.6640625" style="51" customWidth="1"/>
    <col min="3" max="11" width="6.77734375" style="51" customWidth="1"/>
    <col min="12" max="16384" width="8.88671875" style="51"/>
  </cols>
  <sheetData>
    <row r="1" spans="1:12" s="61" customFormat="1" ht="15" customHeight="1" thickBot="1">
      <c r="A1" s="814" t="s">
        <v>311</v>
      </c>
      <c r="B1" s="815"/>
      <c r="C1" s="815"/>
      <c r="D1" s="815"/>
      <c r="E1" s="815"/>
      <c r="F1" s="815"/>
      <c r="G1" s="815"/>
      <c r="H1" s="815"/>
      <c r="I1" s="815"/>
      <c r="J1" s="815"/>
      <c r="K1" s="816"/>
    </row>
    <row r="2" spans="1:12" s="61" customFormat="1" ht="15" customHeight="1">
      <c r="A2" s="101" t="s">
        <v>312</v>
      </c>
      <c r="B2" s="133"/>
      <c r="C2" s="102" t="s">
        <v>313</v>
      </c>
      <c r="D2" s="103"/>
      <c r="E2" s="104"/>
      <c r="F2" s="104"/>
      <c r="G2" s="104"/>
      <c r="H2" s="104"/>
      <c r="I2" s="105"/>
      <c r="J2" s="104" t="s">
        <v>52</v>
      </c>
      <c r="K2" s="106" t="s">
        <v>314</v>
      </c>
    </row>
    <row r="3" spans="1:12" s="61" customFormat="1" ht="15" customHeight="1">
      <c r="A3" s="85" t="s">
        <v>315</v>
      </c>
      <c r="B3" s="131"/>
      <c r="C3" s="26"/>
      <c r="D3" s="28"/>
      <c r="E3" s="28"/>
      <c r="F3" s="28"/>
      <c r="G3" s="28"/>
      <c r="H3" s="28"/>
      <c r="I3" s="27"/>
      <c r="J3" s="28" t="s">
        <v>47</v>
      </c>
      <c r="K3" s="29" t="s">
        <v>937</v>
      </c>
    </row>
    <row r="4" spans="1:12" s="61" customFormat="1" ht="15" customHeight="1" thickBot="1">
      <c r="A4" s="86"/>
      <c r="B4" s="132"/>
      <c r="C4" s="87"/>
      <c r="D4" s="87"/>
      <c r="E4" s="87"/>
      <c r="F4" s="87"/>
      <c r="G4" s="87"/>
      <c r="H4" s="87"/>
      <c r="I4" s="88"/>
      <c r="J4" s="30" t="s">
        <v>49</v>
      </c>
      <c r="K4" s="31" t="s">
        <v>939</v>
      </c>
    </row>
    <row r="5" spans="1:12" s="61" customFormat="1" ht="15" customHeight="1" thickBot="1">
      <c r="A5" s="736" t="s">
        <v>592</v>
      </c>
      <c r="B5" s="737"/>
      <c r="C5" s="737"/>
      <c r="D5" s="737"/>
      <c r="E5" s="737"/>
      <c r="F5" s="737"/>
      <c r="G5" s="737"/>
      <c r="H5" s="737"/>
      <c r="I5" s="737"/>
      <c r="J5" s="737"/>
      <c r="K5" s="738"/>
    </row>
    <row r="6" spans="1:12" s="61" customFormat="1" ht="15" customHeight="1" thickBot="1">
      <c r="A6" s="58" t="s">
        <v>316</v>
      </c>
      <c r="B6" s="58" t="s">
        <v>448</v>
      </c>
      <c r="C6" s="52" t="s">
        <v>208</v>
      </c>
      <c r="D6" s="32" t="s">
        <v>209</v>
      </c>
      <c r="E6" s="32" t="s">
        <v>210</v>
      </c>
      <c r="F6" s="32" t="s">
        <v>211</v>
      </c>
      <c r="G6" s="32" t="s">
        <v>212</v>
      </c>
      <c r="H6" s="32" t="s">
        <v>213</v>
      </c>
      <c r="I6" s="32" t="s">
        <v>214</v>
      </c>
      <c r="J6" s="33" t="s">
        <v>215</v>
      </c>
      <c r="K6" s="75" t="s">
        <v>317</v>
      </c>
    </row>
    <row r="7" spans="1:12" s="61" customFormat="1" ht="15" customHeight="1">
      <c r="A7" s="54">
        <v>0</v>
      </c>
      <c r="B7" s="53" t="s">
        <v>431</v>
      </c>
      <c r="C7" s="783" t="s">
        <v>216</v>
      </c>
      <c r="D7" s="784"/>
      <c r="E7" s="784"/>
      <c r="F7" s="784"/>
      <c r="G7" s="784"/>
      <c r="H7" s="784"/>
      <c r="I7" s="784"/>
      <c r="J7" s="785"/>
      <c r="K7" s="54">
        <v>1</v>
      </c>
    </row>
    <row r="8" spans="1:12" s="61" customFormat="1" ht="15" customHeight="1">
      <c r="A8" s="63" t="s">
        <v>318</v>
      </c>
      <c r="B8" s="60" t="s">
        <v>432</v>
      </c>
      <c r="C8" s="723" t="s">
        <v>424</v>
      </c>
      <c r="D8" s="786"/>
      <c r="E8" s="786"/>
      <c r="F8" s="786"/>
      <c r="G8" s="786"/>
      <c r="H8" s="786"/>
      <c r="I8" s="786"/>
      <c r="J8" s="787"/>
      <c r="K8" s="63">
        <v>2</v>
      </c>
      <c r="L8" s="61">
        <v>16</v>
      </c>
    </row>
    <row r="9" spans="1:12" s="61" customFormat="1" ht="15" customHeight="1">
      <c r="A9" s="63" t="s">
        <v>319</v>
      </c>
      <c r="B9" s="60" t="s">
        <v>433</v>
      </c>
      <c r="C9" s="723" t="s">
        <v>421</v>
      </c>
      <c r="D9" s="786"/>
      <c r="E9" s="786"/>
      <c r="F9" s="786"/>
      <c r="G9" s="786"/>
      <c r="H9" s="786"/>
      <c r="I9" s="786"/>
      <c r="J9" s="787"/>
      <c r="K9" s="63">
        <v>2</v>
      </c>
      <c r="L9" s="61">
        <v>22</v>
      </c>
    </row>
    <row r="10" spans="1:12" ht="11.25">
      <c r="A10" s="63" t="s">
        <v>320</v>
      </c>
      <c r="B10" s="60" t="s">
        <v>434</v>
      </c>
      <c r="C10" s="722" t="s">
        <v>218</v>
      </c>
      <c r="D10" s="722"/>
      <c r="E10" s="722"/>
      <c r="F10" s="722"/>
      <c r="G10" s="722"/>
      <c r="H10" s="722"/>
      <c r="I10" s="722"/>
      <c r="J10" s="725"/>
      <c r="K10" s="84">
        <v>2</v>
      </c>
      <c r="L10" s="51">
        <v>27</v>
      </c>
    </row>
    <row r="11" spans="1:12" s="61" customFormat="1" ht="15" customHeight="1">
      <c r="A11" s="63" t="s">
        <v>178</v>
      </c>
      <c r="B11" s="60" t="s">
        <v>435</v>
      </c>
      <c r="C11" s="858" t="s">
        <v>179</v>
      </c>
      <c r="D11" s="859"/>
      <c r="E11" s="859"/>
      <c r="F11" s="859"/>
      <c r="G11" s="859"/>
      <c r="H11" s="859"/>
      <c r="I11" s="859"/>
      <c r="J11" s="860"/>
      <c r="K11" s="63">
        <v>2</v>
      </c>
      <c r="L11" s="61">
        <v>10</v>
      </c>
    </row>
    <row r="12" spans="1:12" s="61" customFormat="1" ht="15" customHeight="1" thickBot="1">
      <c r="A12" s="55" t="s">
        <v>180</v>
      </c>
      <c r="B12" s="62" t="s">
        <v>436</v>
      </c>
      <c r="C12" s="768" t="s">
        <v>219</v>
      </c>
      <c r="D12" s="769"/>
      <c r="E12" s="769"/>
      <c r="F12" s="769"/>
      <c r="G12" s="769"/>
      <c r="H12" s="769"/>
      <c r="I12" s="769"/>
      <c r="J12" s="770"/>
      <c r="K12" s="55">
        <v>2</v>
      </c>
      <c r="L12" s="436">
        <v>19</v>
      </c>
    </row>
    <row r="13" spans="1:12" s="61" customFormat="1" ht="15" customHeight="1">
      <c r="A13" s="54">
        <v>11</v>
      </c>
      <c r="B13" s="704" t="s">
        <v>437</v>
      </c>
      <c r="C13" s="719" t="s">
        <v>150</v>
      </c>
      <c r="D13" s="718"/>
      <c r="E13" s="718" t="s">
        <v>182</v>
      </c>
      <c r="F13" s="718"/>
      <c r="G13" s="718"/>
      <c r="H13" s="718" t="s">
        <v>183</v>
      </c>
      <c r="I13" s="718"/>
      <c r="J13" s="774"/>
      <c r="K13" s="704">
        <v>2</v>
      </c>
      <c r="L13" s="50"/>
    </row>
    <row r="14" spans="1:12" s="61" customFormat="1" ht="15" customHeight="1" thickBot="1">
      <c r="A14" s="55">
        <v>12</v>
      </c>
      <c r="B14" s="716"/>
      <c r="C14" s="720"/>
      <c r="D14" s="712"/>
      <c r="E14" s="35" t="s">
        <v>144</v>
      </c>
      <c r="F14" s="35" t="s">
        <v>145</v>
      </c>
      <c r="G14" s="35" t="s">
        <v>147</v>
      </c>
      <c r="H14" s="35" t="s">
        <v>144</v>
      </c>
      <c r="I14" s="35" t="s">
        <v>145</v>
      </c>
      <c r="J14" s="36" t="s">
        <v>147</v>
      </c>
      <c r="K14" s="716"/>
      <c r="L14" s="50">
        <v>4</v>
      </c>
    </row>
    <row r="15" spans="1:12" s="61" customFormat="1" ht="15" customHeight="1">
      <c r="A15" s="54">
        <v>13</v>
      </c>
      <c r="B15" s="704" t="s">
        <v>440</v>
      </c>
      <c r="C15" s="775" t="s">
        <v>184</v>
      </c>
      <c r="D15" s="733"/>
      <c r="E15" s="733"/>
      <c r="F15" s="733"/>
      <c r="G15" s="733" t="s">
        <v>185</v>
      </c>
      <c r="H15" s="733"/>
      <c r="I15" s="733"/>
      <c r="J15" s="734"/>
      <c r="K15" s="704">
        <v>2</v>
      </c>
      <c r="L15" s="50"/>
    </row>
    <row r="16" spans="1:12" s="61" customFormat="1" ht="15" customHeight="1" thickBot="1">
      <c r="A16" s="55">
        <v>14</v>
      </c>
      <c r="B16" s="716"/>
      <c r="C16" s="37" t="s">
        <v>148</v>
      </c>
      <c r="D16" s="38" t="s">
        <v>186</v>
      </c>
      <c r="E16" s="38" t="s">
        <v>187</v>
      </c>
      <c r="F16" s="38" t="s">
        <v>140</v>
      </c>
      <c r="G16" s="38" t="s">
        <v>148</v>
      </c>
      <c r="H16" s="38" t="s">
        <v>186</v>
      </c>
      <c r="I16" s="38" t="s">
        <v>187</v>
      </c>
      <c r="J16" s="44" t="s">
        <v>140</v>
      </c>
      <c r="K16" s="716"/>
      <c r="L16" s="50">
        <v>0</v>
      </c>
    </row>
    <row r="17" spans="1:17" s="61" customFormat="1" ht="15" customHeight="1">
      <c r="A17" s="54">
        <v>15</v>
      </c>
      <c r="B17" s="704" t="s">
        <v>441</v>
      </c>
      <c r="C17" s="719" t="s">
        <v>141</v>
      </c>
      <c r="D17" s="718"/>
      <c r="E17" s="718"/>
      <c r="F17" s="718"/>
      <c r="G17" s="718" t="s">
        <v>142</v>
      </c>
      <c r="H17" s="718"/>
      <c r="I17" s="718" t="s">
        <v>143</v>
      </c>
      <c r="J17" s="774"/>
      <c r="K17" s="704">
        <v>2</v>
      </c>
      <c r="L17" s="50"/>
    </row>
    <row r="18" spans="1:17" s="61" customFormat="1" ht="15" customHeight="1" thickBot="1">
      <c r="A18" s="55">
        <v>16</v>
      </c>
      <c r="B18" s="716"/>
      <c r="C18" s="71" t="s">
        <v>144</v>
      </c>
      <c r="D18" s="39" t="s">
        <v>145</v>
      </c>
      <c r="E18" s="39" t="s">
        <v>146</v>
      </c>
      <c r="F18" s="39" t="s">
        <v>147</v>
      </c>
      <c r="G18" s="35" t="s">
        <v>148</v>
      </c>
      <c r="H18" s="35" t="s">
        <v>149</v>
      </c>
      <c r="I18" s="35" t="s">
        <v>148</v>
      </c>
      <c r="J18" s="36" t="s">
        <v>149</v>
      </c>
      <c r="K18" s="716"/>
      <c r="L18" s="61">
        <v>1</v>
      </c>
    </row>
    <row r="19" spans="1:17" ht="12" thickBot="1">
      <c r="A19" s="58" t="s">
        <v>188</v>
      </c>
      <c r="B19" s="63" t="s">
        <v>457</v>
      </c>
      <c r="C19" s="90" t="s">
        <v>150</v>
      </c>
      <c r="D19" s="41" t="s">
        <v>151</v>
      </c>
      <c r="E19" s="40" t="s">
        <v>152</v>
      </c>
      <c r="F19" s="40" t="s">
        <v>153</v>
      </c>
      <c r="G19" s="40" t="s">
        <v>154</v>
      </c>
      <c r="H19" s="40" t="s">
        <v>155</v>
      </c>
      <c r="I19" s="40" t="s">
        <v>156</v>
      </c>
      <c r="J19" s="42" t="s">
        <v>31</v>
      </c>
      <c r="K19" s="81">
        <v>2</v>
      </c>
      <c r="L19" s="61">
        <v>24</v>
      </c>
    </row>
    <row r="20" spans="1:17" ht="12" thickBot="1">
      <c r="A20" s="58" t="s">
        <v>189</v>
      </c>
      <c r="B20" s="58" t="s">
        <v>520</v>
      </c>
      <c r="C20" s="91" t="s">
        <v>150</v>
      </c>
      <c r="D20" s="43" t="s">
        <v>157</v>
      </c>
      <c r="E20" s="43" t="s">
        <v>158</v>
      </c>
      <c r="F20" s="43" t="s">
        <v>150</v>
      </c>
      <c r="G20" s="793" t="s">
        <v>428</v>
      </c>
      <c r="H20" s="793"/>
      <c r="I20" s="793"/>
      <c r="J20" s="794"/>
      <c r="K20" s="81">
        <v>2</v>
      </c>
      <c r="L20" s="61" t="s">
        <v>1752</v>
      </c>
    </row>
    <row r="21" spans="1:17" ht="11.25">
      <c r="A21" s="54" t="s">
        <v>190</v>
      </c>
      <c r="B21" s="704" t="s">
        <v>453</v>
      </c>
      <c r="C21" s="775" t="s">
        <v>159</v>
      </c>
      <c r="D21" s="733"/>
      <c r="E21" s="733"/>
      <c r="F21" s="733"/>
      <c r="G21" s="733" t="s">
        <v>160</v>
      </c>
      <c r="H21" s="733"/>
      <c r="I21" s="733"/>
      <c r="J21" s="734"/>
      <c r="K21" s="82">
        <v>2</v>
      </c>
      <c r="L21" s="61">
        <v>0</v>
      </c>
    </row>
    <row r="22" spans="1:17" ht="11.25">
      <c r="A22" s="63" t="s">
        <v>191</v>
      </c>
      <c r="B22" s="717"/>
      <c r="C22" s="782" t="s">
        <v>161</v>
      </c>
      <c r="D22" s="779"/>
      <c r="E22" s="779"/>
      <c r="F22" s="779"/>
      <c r="G22" s="779" t="s">
        <v>162</v>
      </c>
      <c r="H22" s="779"/>
      <c r="I22" s="779"/>
      <c r="J22" s="780"/>
      <c r="K22" s="80">
        <v>2</v>
      </c>
      <c r="L22" s="51">
        <v>0</v>
      </c>
    </row>
    <row r="23" spans="1:17" ht="12" thickBot="1">
      <c r="A23" s="55" t="s">
        <v>321</v>
      </c>
      <c r="B23" s="716"/>
      <c r="C23" s="788" t="s">
        <v>192</v>
      </c>
      <c r="D23" s="772"/>
      <c r="E23" s="772"/>
      <c r="F23" s="772"/>
      <c r="G23" s="772" t="s">
        <v>193</v>
      </c>
      <c r="H23" s="772"/>
      <c r="I23" s="772"/>
      <c r="J23" s="773"/>
      <c r="K23" s="83">
        <v>2</v>
      </c>
      <c r="L23" s="51">
        <v>0</v>
      </c>
    </row>
    <row r="24" spans="1:17" ht="11.25">
      <c r="A24" s="54" t="s">
        <v>322</v>
      </c>
      <c r="B24" s="704" t="s">
        <v>450</v>
      </c>
      <c r="C24" s="719" t="s">
        <v>194</v>
      </c>
      <c r="D24" s="718"/>
      <c r="E24" s="718"/>
      <c r="F24" s="718"/>
      <c r="G24" s="718" t="s">
        <v>195</v>
      </c>
      <c r="H24" s="718"/>
      <c r="I24" s="718"/>
      <c r="J24" s="774"/>
      <c r="K24" s="82">
        <v>2</v>
      </c>
      <c r="L24" s="50">
        <v>0</v>
      </c>
    </row>
    <row r="25" spans="1:17" ht="11.25">
      <c r="A25" s="63" t="s">
        <v>323</v>
      </c>
      <c r="B25" s="717"/>
      <c r="C25" s="771" t="s">
        <v>196</v>
      </c>
      <c r="D25" s="707"/>
      <c r="E25" s="707"/>
      <c r="F25" s="707"/>
      <c r="G25" s="707" t="s">
        <v>197</v>
      </c>
      <c r="H25" s="707"/>
      <c r="I25" s="707"/>
      <c r="J25" s="732"/>
      <c r="K25" s="80">
        <v>2</v>
      </c>
      <c r="L25" s="51">
        <v>0</v>
      </c>
    </row>
    <row r="26" spans="1:17" ht="12" thickBot="1">
      <c r="A26" s="55" t="s">
        <v>324</v>
      </c>
      <c r="B26" s="716"/>
      <c r="C26" s="720" t="s">
        <v>198</v>
      </c>
      <c r="D26" s="712"/>
      <c r="E26" s="712"/>
      <c r="F26" s="712"/>
      <c r="G26" s="712" t="s">
        <v>199</v>
      </c>
      <c r="H26" s="712"/>
      <c r="I26" s="712"/>
      <c r="J26" s="735"/>
      <c r="K26" s="83">
        <v>2</v>
      </c>
      <c r="L26" s="51">
        <v>0</v>
      </c>
    </row>
    <row r="27" spans="1:17" s="61" customFormat="1" ht="15" customHeight="1">
      <c r="A27" s="704" t="s">
        <v>289</v>
      </c>
      <c r="B27" s="704" t="s">
        <v>532</v>
      </c>
      <c r="C27" s="801" t="s">
        <v>581</v>
      </c>
      <c r="D27" s="802"/>
      <c r="E27" s="802"/>
      <c r="F27" s="803"/>
      <c r="G27" s="795" t="s">
        <v>582</v>
      </c>
      <c r="H27" s="796"/>
      <c r="I27" s="796"/>
      <c r="J27" s="797"/>
      <c r="K27" s="742">
        <v>2</v>
      </c>
      <c r="L27" s="51"/>
      <c r="M27" s="51"/>
      <c r="N27" s="51"/>
      <c r="O27" s="51"/>
      <c r="P27" s="51"/>
      <c r="Q27" s="51"/>
    </row>
    <row r="28" spans="1:17" s="61" customFormat="1" ht="15" customHeight="1" thickBot="1">
      <c r="A28" s="716"/>
      <c r="B28" s="716"/>
      <c r="C28" s="139" t="s">
        <v>535</v>
      </c>
      <c r="D28" s="121" t="s">
        <v>536</v>
      </c>
      <c r="E28" s="121" t="s">
        <v>524</v>
      </c>
      <c r="F28" s="121" t="s">
        <v>537</v>
      </c>
      <c r="G28" s="120" t="s">
        <v>538</v>
      </c>
      <c r="H28" s="121" t="s">
        <v>539</v>
      </c>
      <c r="I28" s="121" t="s">
        <v>540</v>
      </c>
      <c r="J28" s="122" t="s">
        <v>3</v>
      </c>
      <c r="K28" s="743"/>
      <c r="L28" s="51">
        <v>0</v>
      </c>
      <c r="N28" s="74"/>
    </row>
    <row r="29" spans="1:17" s="61" customFormat="1" ht="11.25">
      <c r="A29" s="54" t="s">
        <v>292</v>
      </c>
      <c r="B29" s="704" t="s">
        <v>454</v>
      </c>
      <c r="C29" s="798" t="s">
        <v>576</v>
      </c>
      <c r="D29" s="776"/>
      <c r="E29" s="776"/>
      <c r="F29" s="799"/>
      <c r="G29" s="800" t="s">
        <v>580</v>
      </c>
      <c r="H29" s="776"/>
      <c r="I29" s="776"/>
      <c r="J29" s="777"/>
      <c r="K29" s="63">
        <v>2</v>
      </c>
      <c r="L29" s="51">
        <v>0</v>
      </c>
      <c r="M29" s="51"/>
      <c r="N29" s="51"/>
      <c r="O29" s="51"/>
      <c r="P29" s="51"/>
      <c r="Q29" s="51"/>
    </row>
    <row r="30" spans="1:17" s="61" customFormat="1" ht="13.5" customHeight="1">
      <c r="A30" s="63" t="s">
        <v>293</v>
      </c>
      <c r="B30" s="717"/>
      <c r="C30" s="721" t="s">
        <v>575</v>
      </c>
      <c r="D30" s="722"/>
      <c r="E30" s="722"/>
      <c r="F30" s="723"/>
      <c r="G30" s="724" t="s">
        <v>574</v>
      </c>
      <c r="H30" s="722"/>
      <c r="I30" s="722"/>
      <c r="J30" s="725"/>
      <c r="K30" s="63">
        <v>2</v>
      </c>
      <c r="L30" s="51">
        <v>0</v>
      </c>
      <c r="N30" s="51"/>
      <c r="O30" s="51"/>
      <c r="P30" s="51"/>
      <c r="Q30" s="51"/>
    </row>
    <row r="31" spans="1:17" ht="14.25" customHeight="1" thickBot="1">
      <c r="A31" s="55" t="s">
        <v>294</v>
      </c>
      <c r="B31" s="716"/>
      <c r="C31" s="726" t="s">
        <v>200</v>
      </c>
      <c r="D31" s="727"/>
      <c r="E31" s="727"/>
      <c r="F31" s="728"/>
      <c r="G31" s="781" t="s">
        <v>201</v>
      </c>
      <c r="H31" s="727"/>
      <c r="I31" s="727"/>
      <c r="J31" s="778"/>
      <c r="K31" s="83">
        <v>2</v>
      </c>
      <c r="L31" s="51">
        <v>0</v>
      </c>
      <c r="M31" s="65"/>
      <c r="N31" s="65"/>
      <c r="O31" s="65"/>
      <c r="P31" s="65"/>
      <c r="Q31" s="65"/>
    </row>
    <row r="32" spans="1:17" s="61" customFormat="1" ht="15" customHeight="1">
      <c r="A32" s="54" t="s">
        <v>326</v>
      </c>
      <c r="B32" s="704" t="s">
        <v>451</v>
      </c>
      <c r="C32" s="855" t="s">
        <v>150</v>
      </c>
      <c r="D32" s="855"/>
      <c r="E32" s="855"/>
      <c r="F32" s="855"/>
      <c r="G32" s="856" t="s">
        <v>202</v>
      </c>
      <c r="H32" s="855"/>
      <c r="I32" s="855"/>
      <c r="J32" s="857"/>
      <c r="K32" s="54">
        <v>2</v>
      </c>
      <c r="L32" s="61">
        <v>7</v>
      </c>
    </row>
    <row r="33" spans="1:12" s="61" customFormat="1" ht="15" customHeight="1" thickBot="1">
      <c r="A33" s="63" t="s">
        <v>327</v>
      </c>
      <c r="B33" s="716"/>
      <c r="C33" s="853" t="s">
        <v>203</v>
      </c>
      <c r="D33" s="853"/>
      <c r="E33" s="853"/>
      <c r="F33" s="853"/>
      <c r="G33" s="861" t="s">
        <v>204</v>
      </c>
      <c r="H33" s="853"/>
      <c r="I33" s="853"/>
      <c r="J33" s="862"/>
      <c r="K33" s="63">
        <v>2</v>
      </c>
      <c r="L33" s="51">
        <v>1</v>
      </c>
    </row>
    <row r="34" spans="1:12" s="61" customFormat="1" ht="15" customHeight="1" thickBot="1">
      <c r="A34" s="58" t="s">
        <v>328</v>
      </c>
      <c r="B34" s="58" t="s">
        <v>443</v>
      </c>
      <c r="C34" s="838" t="s">
        <v>150</v>
      </c>
      <c r="D34" s="838"/>
      <c r="E34" s="838"/>
      <c r="F34" s="838"/>
      <c r="G34" s="838"/>
      <c r="H34" s="977"/>
      <c r="I34" s="43" t="s">
        <v>415</v>
      </c>
      <c r="J34" s="123" t="s">
        <v>416</v>
      </c>
      <c r="K34" s="58">
        <v>2</v>
      </c>
      <c r="L34" s="51">
        <v>0</v>
      </c>
    </row>
    <row r="35" spans="1:12" s="61" customFormat="1" ht="15" customHeight="1" thickBot="1">
      <c r="A35" s="55" t="s">
        <v>329</v>
      </c>
      <c r="B35" s="63" t="s">
        <v>517</v>
      </c>
      <c r="C35" s="974" t="s">
        <v>205</v>
      </c>
      <c r="D35" s="975"/>
      <c r="E35" s="975"/>
      <c r="F35" s="975"/>
      <c r="G35" s="975"/>
      <c r="H35" s="975"/>
      <c r="I35" s="975"/>
      <c r="J35" s="976"/>
      <c r="K35" s="55">
        <v>2</v>
      </c>
      <c r="L35" s="65">
        <v>10</v>
      </c>
    </row>
    <row r="36" spans="1:12" s="61" customFormat="1" ht="15" customHeight="1">
      <c r="A36" s="54" t="s">
        <v>330</v>
      </c>
      <c r="B36" s="54" t="s">
        <v>446</v>
      </c>
      <c r="C36" s="776" t="s">
        <v>206</v>
      </c>
      <c r="D36" s="776"/>
      <c r="E36" s="776"/>
      <c r="F36" s="776"/>
      <c r="G36" s="776"/>
      <c r="H36" s="776"/>
      <c r="I36" s="776"/>
      <c r="J36" s="777"/>
      <c r="K36" s="54">
        <v>2</v>
      </c>
      <c r="L36" s="61">
        <v>12</v>
      </c>
    </row>
    <row r="37" spans="1:12" s="61" customFormat="1" ht="15" customHeight="1" thickBot="1">
      <c r="A37" s="55">
        <v>49</v>
      </c>
      <c r="B37" s="64" t="s">
        <v>447</v>
      </c>
      <c r="C37" s="727" t="s">
        <v>207</v>
      </c>
      <c r="D37" s="727"/>
      <c r="E37" s="727"/>
      <c r="F37" s="727"/>
      <c r="G37" s="727"/>
      <c r="H37" s="727"/>
      <c r="I37" s="727"/>
      <c r="J37" s="778"/>
      <c r="K37" s="55">
        <v>1</v>
      </c>
      <c r="L37" s="61">
        <v>2</v>
      </c>
    </row>
    <row r="38" spans="1:12" ht="12" thickBot="1">
      <c r="L38" s="61">
        <v>0</v>
      </c>
    </row>
    <row r="39" spans="1:12" s="61" customFormat="1" ht="15" customHeight="1" thickBot="1">
      <c r="A39" s="736" t="s">
        <v>430</v>
      </c>
      <c r="B39" s="737"/>
      <c r="C39" s="737"/>
      <c r="D39" s="737"/>
      <c r="E39" s="737"/>
      <c r="F39" s="737"/>
      <c r="G39" s="737"/>
      <c r="H39" s="737"/>
      <c r="I39" s="737"/>
      <c r="J39" s="737"/>
      <c r="K39" s="738"/>
      <c r="L39" s="61">
        <v>59</v>
      </c>
    </row>
    <row r="40" spans="1:12" s="61" customFormat="1" ht="15" customHeight="1" thickBot="1">
      <c r="A40" s="58" t="s">
        <v>316</v>
      </c>
      <c r="B40" s="58" t="s">
        <v>498</v>
      </c>
      <c r="C40" s="52" t="s">
        <v>208</v>
      </c>
      <c r="D40" s="32" t="s">
        <v>209</v>
      </c>
      <c r="E40" s="32" t="s">
        <v>210</v>
      </c>
      <c r="F40" s="32" t="s">
        <v>211</v>
      </c>
      <c r="G40" s="32" t="s">
        <v>212</v>
      </c>
      <c r="H40" s="32" t="s">
        <v>213</v>
      </c>
      <c r="I40" s="32" t="s">
        <v>214</v>
      </c>
      <c r="J40" s="33" t="s">
        <v>215</v>
      </c>
      <c r="K40" s="75" t="s">
        <v>317</v>
      </c>
      <c r="L40" s="61">
        <v>11</v>
      </c>
    </row>
    <row r="41" spans="1:12" s="61" customFormat="1" ht="15" customHeight="1">
      <c r="A41" s="54">
        <v>0</v>
      </c>
      <c r="B41" s="53" t="s">
        <v>499</v>
      </c>
      <c r="C41" s="783" t="s">
        <v>216</v>
      </c>
      <c r="D41" s="784"/>
      <c r="E41" s="784"/>
      <c r="F41" s="784"/>
      <c r="G41" s="784"/>
      <c r="H41" s="784"/>
      <c r="I41" s="784"/>
      <c r="J41" s="785"/>
      <c r="K41" s="54">
        <v>1</v>
      </c>
      <c r="L41" s="61">
        <v>0</v>
      </c>
    </row>
    <row r="42" spans="1:12" s="61" customFormat="1" ht="15" customHeight="1">
      <c r="A42" s="63" t="s">
        <v>318</v>
      </c>
      <c r="B42" s="60" t="s">
        <v>500</v>
      </c>
      <c r="C42" s="723" t="s">
        <v>424</v>
      </c>
      <c r="D42" s="786"/>
      <c r="E42" s="786"/>
      <c r="F42" s="786"/>
      <c r="G42" s="786"/>
      <c r="H42" s="786"/>
      <c r="I42" s="786"/>
      <c r="J42" s="787"/>
      <c r="K42" s="63">
        <v>2</v>
      </c>
      <c r="L42" s="51">
        <v>74</v>
      </c>
    </row>
    <row r="43" spans="1:12" s="61" customFormat="1" ht="15" customHeight="1">
      <c r="A43" s="63" t="s">
        <v>319</v>
      </c>
      <c r="B43" s="60" t="s">
        <v>501</v>
      </c>
      <c r="C43" s="723" t="s">
        <v>420</v>
      </c>
      <c r="D43" s="786"/>
      <c r="E43" s="786"/>
      <c r="F43" s="786"/>
      <c r="G43" s="786"/>
      <c r="H43" s="786"/>
      <c r="I43" s="786"/>
      <c r="J43" s="787"/>
      <c r="K43" s="63">
        <v>2</v>
      </c>
    </row>
    <row r="44" spans="1:12" ht="11.25">
      <c r="A44" s="63" t="s">
        <v>320</v>
      </c>
      <c r="B44" s="60" t="s">
        <v>502</v>
      </c>
      <c r="C44" s="722" t="s">
        <v>518</v>
      </c>
      <c r="D44" s="722"/>
      <c r="E44" s="722"/>
      <c r="F44" s="722"/>
      <c r="G44" s="722"/>
      <c r="H44" s="722"/>
      <c r="I44" s="722"/>
      <c r="J44" s="725"/>
      <c r="K44" s="63">
        <v>2</v>
      </c>
      <c r="L44" s="61"/>
    </row>
    <row r="45" spans="1:12" s="61" customFormat="1" ht="15" customHeight="1">
      <c r="A45" s="63" t="s">
        <v>178</v>
      </c>
      <c r="B45" s="60" t="s">
        <v>503</v>
      </c>
      <c r="C45" s="858" t="s">
        <v>179</v>
      </c>
      <c r="D45" s="859"/>
      <c r="E45" s="859"/>
      <c r="F45" s="859"/>
      <c r="G45" s="859"/>
      <c r="H45" s="859"/>
      <c r="I45" s="859"/>
      <c r="J45" s="860"/>
      <c r="K45" s="63">
        <v>2</v>
      </c>
    </row>
    <row r="46" spans="1:12" s="61" customFormat="1" ht="15" customHeight="1" thickBot="1">
      <c r="A46" s="63" t="s">
        <v>180</v>
      </c>
      <c r="B46" s="62" t="s">
        <v>504</v>
      </c>
      <c r="C46" s="768" t="s">
        <v>219</v>
      </c>
      <c r="D46" s="769"/>
      <c r="E46" s="769"/>
      <c r="F46" s="769"/>
      <c r="G46" s="769"/>
      <c r="H46" s="769"/>
      <c r="I46" s="769"/>
      <c r="J46" s="770"/>
      <c r="K46" s="63">
        <v>2</v>
      </c>
    </row>
    <row r="47" spans="1:12" s="61" customFormat="1" ht="15" customHeight="1">
      <c r="A47" s="704" t="s">
        <v>371</v>
      </c>
      <c r="B47" s="704" t="s">
        <v>602</v>
      </c>
      <c r="C47" s="963" t="s">
        <v>429</v>
      </c>
      <c r="D47" s="964"/>
      <c r="E47" s="964"/>
      <c r="F47" s="966"/>
      <c r="G47" s="718" t="s">
        <v>142</v>
      </c>
      <c r="H47" s="718"/>
      <c r="I47" s="718" t="s">
        <v>143</v>
      </c>
      <c r="J47" s="774"/>
      <c r="K47" s="704">
        <v>2</v>
      </c>
    </row>
    <row r="48" spans="1:12" ht="14.25" customHeight="1" thickBot="1">
      <c r="A48" s="716"/>
      <c r="B48" s="716"/>
      <c r="C48" s="967"/>
      <c r="D48" s="968"/>
      <c r="E48" s="968"/>
      <c r="F48" s="969"/>
      <c r="G48" s="35" t="s">
        <v>148</v>
      </c>
      <c r="H48" s="35" t="s">
        <v>149</v>
      </c>
      <c r="I48" s="35" t="s">
        <v>148</v>
      </c>
      <c r="J48" s="36" t="s">
        <v>149</v>
      </c>
      <c r="K48" s="716"/>
    </row>
    <row r="49" spans="1:17" ht="11.25">
      <c r="A49" s="54" t="s">
        <v>372</v>
      </c>
      <c r="B49" s="704" t="s">
        <v>453</v>
      </c>
      <c r="C49" s="775" t="s">
        <v>159</v>
      </c>
      <c r="D49" s="733"/>
      <c r="E49" s="733"/>
      <c r="F49" s="733"/>
      <c r="G49" s="733" t="s">
        <v>578</v>
      </c>
      <c r="H49" s="733"/>
      <c r="I49" s="733"/>
      <c r="J49" s="734"/>
      <c r="K49" s="54">
        <v>2</v>
      </c>
      <c r="L49" s="61"/>
    </row>
    <row r="50" spans="1:17" ht="11.25">
      <c r="A50" s="63" t="s">
        <v>373</v>
      </c>
      <c r="B50" s="717"/>
      <c r="C50" s="782" t="s">
        <v>161</v>
      </c>
      <c r="D50" s="779"/>
      <c r="E50" s="779"/>
      <c r="F50" s="779"/>
      <c r="G50" s="779" t="s">
        <v>162</v>
      </c>
      <c r="H50" s="779"/>
      <c r="I50" s="779"/>
      <c r="J50" s="780"/>
      <c r="K50" s="84">
        <v>2</v>
      </c>
      <c r="L50" s="61"/>
    </row>
    <row r="51" spans="1:17" ht="12" thickBot="1">
      <c r="A51" s="63" t="s">
        <v>188</v>
      </c>
      <c r="B51" s="716"/>
      <c r="C51" s="788" t="s">
        <v>192</v>
      </c>
      <c r="D51" s="772"/>
      <c r="E51" s="772"/>
      <c r="F51" s="772"/>
      <c r="G51" s="772" t="s">
        <v>193</v>
      </c>
      <c r="H51" s="772"/>
      <c r="I51" s="772"/>
      <c r="J51" s="773"/>
      <c r="K51" s="73">
        <v>2</v>
      </c>
      <c r="L51" s="61"/>
    </row>
    <row r="52" spans="1:17" ht="11.25">
      <c r="A52" s="54" t="s">
        <v>189</v>
      </c>
      <c r="B52" s="704" t="s">
        <v>450</v>
      </c>
      <c r="C52" s="719" t="s">
        <v>194</v>
      </c>
      <c r="D52" s="718"/>
      <c r="E52" s="718"/>
      <c r="F52" s="718"/>
      <c r="G52" s="718" t="s">
        <v>577</v>
      </c>
      <c r="H52" s="718"/>
      <c r="I52" s="718"/>
      <c r="J52" s="774"/>
      <c r="K52" s="72">
        <v>2</v>
      </c>
    </row>
    <row r="53" spans="1:17" ht="11.25">
      <c r="A53" s="63" t="s">
        <v>190</v>
      </c>
      <c r="B53" s="717"/>
      <c r="C53" s="771" t="s">
        <v>196</v>
      </c>
      <c r="D53" s="707"/>
      <c r="E53" s="707"/>
      <c r="F53" s="707"/>
      <c r="G53" s="707" t="s">
        <v>197</v>
      </c>
      <c r="H53" s="707"/>
      <c r="I53" s="707"/>
      <c r="J53" s="732"/>
      <c r="K53" s="84">
        <v>2</v>
      </c>
      <c r="L53" s="50"/>
    </row>
    <row r="54" spans="1:17" ht="12" thickBot="1">
      <c r="A54" s="55" t="s">
        <v>302</v>
      </c>
      <c r="B54" s="716"/>
      <c r="C54" s="720" t="s">
        <v>198</v>
      </c>
      <c r="D54" s="712"/>
      <c r="E54" s="712"/>
      <c r="F54" s="712"/>
      <c r="G54" s="712" t="s">
        <v>199</v>
      </c>
      <c r="H54" s="712"/>
      <c r="I54" s="712"/>
      <c r="J54" s="735"/>
      <c r="K54" s="73">
        <v>2</v>
      </c>
    </row>
    <row r="55" spans="1:17" s="61" customFormat="1" ht="15" customHeight="1">
      <c r="A55" s="704" t="s">
        <v>285</v>
      </c>
      <c r="B55" s="704" t="s">
        <v>532</v>
      </c>
      <c r="C55" s="801" t="s">
        <v>530</v>
      </c>
      <c r="D55" s="802"/>
      <c r="E55" s="802"/>
      <c r="F55" s="803"/>
      <c r="G55" s="795" t="s">
        <v>531</v>
      </c>
      <c r="H55" s="796"/>
      <c r="I55" s="796"/>
      <c r="J55" s="797"/>
      <c r="K55" s="742">
        <v>2</v>
      </c>
      <c r="L55" s="51"/>
      <c r="M55" s="51"/>
      <c r="N55" s="51"/>
      <c r="O55" s="51"/>
      <c r="P55" s="51"/>
      <c r="Q55" s="51"/>
    </row>
    <row r="56" spans="1:17" s="61" customFormat="1" ht="15" customHeight="1" thickBot="1">
      <c r="A56" s="716"/>
      <c r="B56" s="716"/>
      <c r="C56" s="139" t="s">
        <v>535</v>
      </c>
      <c r="D56" s="121" t="s">
        <v>536</v>
      </c>
      <c r="E56" s="121" t="s">
        <v>524</v>
      </c>
      <c r="F56" s="121" t="s">
        <v>537</v>
      </c>
      <c r="G56" s="120" t="s">
        <v>538</v>
      </c>
      <c r="H56" s="121" t="s">
        <v>539</v>
      </c>
      <c r="I56" s="121" t="s">
        <v>540</v>
      </c>
      <c r="J56" s="122" t="s">
        <v>3</v>
      </c>
      <c r="K56" s="743"/>
      <c r="L56" s="51"/>
      <c r="N56" s="74"/>
    </row>
    <row r="57" spans="1:17" s="61" customFormat="1" ht="11.25">
      <c r="A57" s="54" t="s">
        <v>286</v>
      </c>
      <c r="B57" s="704" t="s">
        <v>454</v>
      </c>
      <c r="C57" s="798" t="s">
        <v>576</v>
      </c>
      <c r="D57" s="776"/>
      <c r="E57" s="776"/>
      <c r="F57" s="799"/>
      <c r="G57" s="800" t="s">
        <v>580</v>
      </c>
      <c r="H57" s="776"/>
      <c r="I57" s="776"/>
      <c r="J57" s="777"/>
      <c r="K57" s="63">
        <v>2</v>
      </c>
      <c r="L57" s="51"/>
      <c r="M57" s="51"/>
      <c r="N57" s="51"/>
      <c r="O57" s="51"/>
      <c r="P57" s="51"/>
      <c r="Q57" s="51"/>
    </row>
    <row r="58" spans="1:17" s="61" customFormat="1" ht="13.5" customHeight="1">
      <c r="A58" s="63" t="s">
        <v>287</v>
      </c>
      <c r="B58" s="717"/>
      <c r="C58" s="721" t="s">
        <v>575</v>
      </c>
      <c r="D58" s="722"/>
      <c r="E58" s="722"/>
      <c r="F58" s="723"/>
      <c r="G58" s="724" t="s">
        <v>574</v>
      </c>
      <c r="H58" s="722"/>
      <c r="I58" s="722"/>
      <c r="J58" s="725"/>
      <c r="K58" s="63">
        <v>2</v>
      </c>
      <c r="L58" s="51"/>
      <c r="M58" s="51"/>
      <c r="N58" s="51"/>
      <c r="O58" s="51"/>
      <c r="P58" s="51"/>
      <c r="Q58" s="51"/>
    </row>
    <row r="59" spans="1:17" ht="14.25" customHeight="1" thickBot="1">
      <c r="A59" s="55" t="s">
        <v>288</v>
      </c>
      <c r="B59" s="716"/>
      <c r="C59" s="726" t="s">
        <v>200</v>
      </c>
      <c r="D59" s="727"/>
      <c r="E59" s="727"/>
      <c r="F59" s="728"/>
      <c r="G59" s="781" t="s">
        <v>201</v>
      </c>
      <c r="H59" s="727"/>
      <c r="I59" s="727"/>
      <c r="J59" s="778"/>
      <c r="K59" s="83">
        <v>2</v>
      </c>
      <c r="M59" s="65"/>
      <c r="N59" s="65"/>
      <c r="O59" s="65"/>
      <c r="P59" s="65"/>
      <c r="Q59" s="65"/>
    </row>
    <row r="60" spans="1:17" s="61" customFormat="1" ht="15" customHeight="1">
      <c r="A60" s="54" t="s">
        <v>395</v>
      </c>
      <c r="B60" s="704" t="s">
        <v>451</v>
      </c>
      <c r="C60" s="855" t="s">
        <v>150</v>
      </c>
      <c r="D60" s="855"/>
      <c r="E60" s="855"/>
      <c r="F60" s="855"/>
      <c r="G60" s="856" t="s">
        <v>202</v>
      </c>
      <c r="H60" s="855"/>
      <c r="I60" s="855"/>
      <c r="J60" s="857"/>
      <c r="K60" s="54">
        <v>2</v>
      </c>
    </row>
    <row r="61" spans="1:17" s="61" customFormat="1" ht="15" customHeight="1" thickBot="1">
      <c r="A61" s="55" t="s">
        <v>370</v>
      </c>
      <c r="B61" s="716"/>
      <c r="C61" s="853" t="s">
        <v>203</v>
      </c>
      <c r="D61" s="853"/>
      <c r="E61" s="853"/>
      <c r="F61" s="853"/>
      <c r="G61" s="861" t="s">
        <v>204</v>
      </c>
      <c r="H61" s="853"/>
      <c r="I61" s="853"/>
      <c r="J61" s="862"/>
      <c r="K61" s="55">
        <v>2</v>
      </c>
      <c r="L61" s="51"/>
    </row>
    <row r="62" spans="1:17" s="61" customFormat="1" ht="15" customHeight="1" thickBot="1">
      <c r="A62" s="58" t="s">
        <v>325</v>
      </c>
      <c r="B62" s="58" t="s">
        <v>603</v>
      </c>
      <c r="C62" s="837" t="s">
        <v>150</v>
      </c>
      <c r="D62" s="978"/>
      <c r="E62" s="91" t="s">
        <v>417</v>
      </c>
      <c r="F62" s="91" t="s">
        <v>418</v>
      </c>
      <c r="G62" s="43" t="s">
        <v>604</v>
      </c>
      <c r="H62" s="43" t="s">
        <v>419</v>
      </c>
      <c r="I62" s="43" t="s">
        <v>415</v>
      </c>
      <c r="J62" s="123" t="s">
        <v>416</v>
      </c>
      <c r="K62" s="58">
        <v>2</v>
      </c>
      <c r="L62" s="51"/>
    </row>
    <row r="63" spans="1:17" s="61" customFormat="1" ht="15" customHeight="1">
      <c r="A63" s="63" t="s">
        <v>326</v>
      </c>
      <c r="B63" s="704" t="s">
        <v>485</v>
      </c>
      <c r="C63" s="824" t="s">
        <v>605</v>
      </c>
      <c r="D63" s="825"/>
      <c r="E63" s="825"/>
      <c r="F63" s="825"/>
      <c r="G63" s="825"/>
      <c r="H63" s="825"/>
      <c r="I63" s="825"/>
      <c r="J63" s="826"/>
      <c r="K63" s="54">
        <v>2</v>
      </c>
      <c r="L63" s="65"/>
    </row>
    <row r="64" spans="1:17" s="61" customFormat="1" ht="15" customHeight="1">
      <c r="A64" s="63" t="s">
        <v>327</v>
      </c>
      <c r="B64" s="717"/>
      <c r="C64" s="855" t="s">
        <v>606</v>
      </c>
      <c r="D64" s="855"/>
      <c r="E64" s="855"/>
      <c r="F64" s="855"/>
      <c r="G64" s="855"/>
      <c r="H64" s="855"/>
      <c r="I64" s="855"/>
      <c r="J64" s="857"/>
      <c r="K64" s="63">
        <v>2</v>
      </c>
    </row>
    <row r="65" spans="1:12" s="99" customFormat="1" ht="15" customHeight="1">
      <c r="A65" s="63" t="s">
        <v>328</v>
      </c>
      <c r="B65" s="717"/>
      <c r="C65" s="696" t="s">
        <v>607</v>
      </c>
      <c r="D65" s="696"/>
      <c r="E65" s="696"/>
      <c r="F65" s="696"/>
      <c r="G65" s="696"/>
      <c r="H65" s="696"/>
      <c r="I65" s="696"/>
      <c r="J65" s="698"/>
      <c r="K65" s="84">
        <v>2</v>
      </c>
      <c r="L65" s="61"/>
    </row>
    <row r="66" spans="1:12" s="61" customFormat="1" ht="15" customHeight="1">
      <c r="A66" s="63" t="s">
        <v>329</v>
      </c>
      <c r="B66" s="717"/>
      <c r="C66" s="782" t="s">
        <v>608</v>
      </c>
      <c r="D66" s="779"/>
      <c r="E66" s="779"/>
      <c r="F66" s="779"/>
      <c r="G66" s="779"/>
      <c r="H66" s="779"/>
      <c r="I66" s="779"/>
      <c r="J66" s="780"/>
      <c r="K66" s="63">
        <v>2</v>
      </c>
    </row>
    <row r="67" spans="1:12" s="61" customFormat="1" ht="15" customHeight="1">
      <c r="A67" s="63" t="s">
        <v>330</v>
      </c>
      <c r="B67" s="717"/>
      <c r="C67" s="782" t="s">
        <v>609</v>
      </c>
      <c r="D67" s="779"/>
      <c r="E67" s="779"/>
      <c r="F67" s="779"/>
      <c r="G67" s="779"/>
      <c r="H67" s="779"/>
      <c r="I67" s="779"/>
      <c r="J67" s="780"/>
      <c r="K67" s="63">
        <v>2</v>
      </c>
    </row>
    <row r="68" spans="1:12" s="61" customFormat="1" ht="15" customHeight="1" thickBot="1">
      <c r="A68" s="63" t="s">
        <v>378</v>
      </c>
      <c r="B68" s="717"/>
      <c r="C68" s="788" t="s">
        <v>610</v>
      </c>
      <c r="D68" s="772"/>
      <c r="E68" s="772"/>
      <c r="F68" s="772"/>
      <c r="G68" s="772"/>
      <c r="H68" s="772"/>
      <c r="I68" s="772"/>
      <c r="J68" s="773"/>
      <c r="K68" s="63">
        <v>2</v>
      </c>
    </row>
    <row r="69" spans="1:12" s="61" customFormat="1" ht="15" customHeight="1">
      <c r="A69" s="54" t="s">
        <v>378</v>
      </c>
      <c r="B69" s="972" t="s">
        <v>1364</v>
      </c>
      <c r="C69" s="970" t="s">
        <v>1031</v>
      </c>
      <c r="D69" s="970"/>
      <c r="E69" s="970"/>
      <c r="F69" s="970"/>
      <c r="G69" s="970"/>
      <c r="H69" s="970"/>
      <c r="I69" s="970"/>
      <c r="J69" s="970"/>
      <c r="K69" s="285">
        <v>2</v>
      </c>
      <c r="L69" s="99"/>
    </row>
    <row r="70" spans="1:12" s="61" customFormat="1" ht="15" customHeight="1" thickBot="1">
      <c r="A70" s="55" t="s">
        <v>557</v>
      </c>
      <c r="B70" s="973"/>
      <c r="C70" s="971"/>
      <c r="D70" s="971"/>
      <c r="E70" s="971"/>
      <c r="F70" s="971"/>
      <c r="G70" s="971"/>
      <c r="H70" s="971"/>
      <c r="I70" s="971"/>
      <c r="J70" s="971"/>
      <c r="K70" s="286">
        <v>2</v>
      </c>
    </row>
    <row r="71" spans="1:12" s="61" customFormat="1" ht="15" customHeight="1">
      <c r="A71" s="129" t="s">
        <v>1080</v>
      </c>
      <c r="B71" s="840" t="s">
        <v>1368</v>
      </c>
      <c r="C71" s="843" t="s">
        <v>1299</v>
      </c>
      <c r="D71" s="844"/>
      <c r="E71" s="844"/>
      <c r="F71" s="844"/>
      <c r="G71" s="844"/>
      <c r="H71" s="844"/>
      <c r="I71" s="844"/>
      <c r="J71" s="845"/>
      <c r="K71" s="279">
        <v>2</v>
      </c>
    </row>
    <row r="72" spans="1:12" s="61" customFormat="1" ht="15" customHeight="1">
      <c r="A72" s="130" t="s">
        <v>1081</v>
      </c>
      <c r="B72" s="841"/>
      <c r="C72" s="846" t="s">
        <v>1301</v>
      </c>
      <c r="D72" s="847"/>
      <c r="E72" s="847"/>
      <c r="F72" s="847"/>
      <c r="G72" s="847"/>
      <c r="H72" s="847"/>
      <c r="I72" s="847"/>
      <c r="J72" s="848"/>
      <c r="K72" s="281">
        <v>2</v>
      </c>
    </row>
    <row r="73" spans="1:12" s="61" customFormat="1" ht="15" customHeight="1" thickBot="1">
      <c r="A73" s="284" t="s">
        <v>1082</v>
      </c>
      <c r="B73" s="842"/>
      <c r="C73" s="849" t="s">
        <v>1302</v>
      </c>
      <c r="D73" s="850"/>
      <c r="E73" s="850"/>
      <c r="F73" s="850"/>
      <c r="G73" s="850"/>
      <c r="H73" s="850"/>
      <c r="I73" s="850"/>
      <c r="J73" s="851"/>
      <c r="K73" s="283">
        <v>2</v>
      </c>
    </row>
    <row r="74" spans="1:12" s="61" customFormat="1" ht="15" customHeight="1">
      <c r="A74" s="61" t="s">
        <v>1417</v>
      </c>
      <c r="B74" s="63" t="s">
        <v>446</v>
      </c>
      <c r="C74" s="821" t="s">
        <v>206</v>
      </c>
      <c r="D74" s="821"/>
      <c r="E74" s="821"/>
      <c r="F74" s="821"/>
      <c r="G74" s="821"/>
      <c r="H74" s="821"/>
      <c r="I74" s="821"/>
      <c r="J74" s="822"/>
      <c r="K74" s="63">
        <v>2</v>
      </c>
    </row>
    <row r="75" spans="1:12" s="61" customFormat="1" ht="15" customHeight="1" thickBot="1">
      <c r="A75" s="55">
        <v>55</v>
      </c>
      <c r="B75" s="64" t="s">
        <v>447</v>
      </c>
      <c r="C75" s="727" t="s">
        <v>207</v>
      </c>
      <c r="D75" s="727"/>
      <c r="E75" s="727"/>
      <c r="F75" s="727"/>
      <c r="G75" s="727"/>
      <c r="H75" s="727"/>
      <c r="I75" s="727"/>
      <c r="J75" s="778"/>
      <c r="K75" s="55">
        <v>1</v>
      </c>
    </row>
    <row r="76" spans="1:12" ht="12" thickBot="1">
      <c r="L76" s="61"/>
    </row>
    <row r="77" spans="1:12" ht="12" thickBot="1">
      <c r="A77" s="736" t="s">
        <v>430</v>
      </c>
      <c r="B77" s="737"/>
      <c r="C77" s="737"/>
      <c r="D77" s="737"/>
      <c r="E77" s="737"/>
      <c r="F77" s="737"/>
      <c r="G77" s="737"/>
      <c r="H77" s="737"/>
      <c r="I77" s="737"/>
      <c r="J77" s="737"/>
      <c r="K77" s="738"/>
      <c r="L77" s="61"/>
    </row>
    <row r="78" spans="1:12" ht="12" thickBot="1">
      <c r="A78" s="58" t="s">
        <v>316</v>
      </c>
      <c r="B78" s="58" t="s">
        <v>498</v>
      </c>
      <c r="C78" s="52" t="s">
        <v>208</v>
      </c>
      <c r="D78" s="32" t="s">
        <v>209</v>
      </c>
      <c r="E78" s="32" t="s">
        <v>210</v>
      </c>
      <c r="F78" s="32" t="s">
        <v>211</v>
      </c>
      <c r="G78" s="32" t="s">
        <v>212</v>
      </c>
      <c r="H78" s="32" t="s">
        <v>213</v>
      </c>
      <c r="I78" s="32" t="s">
        <v>214</v>
      </c>
      <c r="J78" s="33" t="s">
        <v>215</v>
      </c>
      <c r="K78" s="75" t="s">
        <v>317</v>
      </c>
      <c r="L78" s="61"/>
    </row>
    <row r="79" spans="1:12" ht="11.25">
      <c r="A79" s="54">
        <v>0</v>
      </c>
      <c r="B79" s="53" t="s">
        <v>499</v>
      </c>
      <c r="C79" s="783" t="s">
        <v>216</v>
      </c>
      <c r="D79" s="784"/>
      <c r="E79" s="784"/>
      <c r="F79" s="784"/>
      <c r="G79" s="784"/>
      <c r="H79" s="784"/>
      <c r="I79" s="784"/>
      <c r="J79" s="785"/>
      <c r="K79" s="54">
        <v>1</v>
      </c>
      <c r="L79" s="61"/>
    </row>
    <row r="80" spans="1:12" ht="11.25">
      <c r="A80" s="63" t="s">
        <v>318</v>
      </c>
      <c r="B80" s="60" t="s">
        <v>500</v>
      </c>
      <c r="C80" s="723" t="s">
        <v>424</v>
      </c>
      <c r="D80" s="786"/>
      <c r="E80" s="786"/>
      <c r="F80" s="786"/>
      <c r="G80" s="786"/>
      <c r="H80" s="786"/>
      <c r="I80" s="786"/>
      <c r="J80" s="787"/>
      <c r="K80" s="63">
        <v>2</v>
      </c>
    </row>
    <row r="81" spans="1:11" ht="11.25">
      <c r="A81" s="63" t="s">
        <v>319</v>
      </c>
      <c r="B81" s="60" t="s">
        <v>501</v>
      </c>
      <c r="C81" s="723" t="s">
        <v>420</v>
      </c>
      <c r="D81" s="786"/>
      <c r="E81" s="786"/>
      <c r="F81" s="786"/>
      <c r="G81" s="786"/>
      <c r="H81" s="786"/>
      <c r="I81" s="786"/>
      <c r="J81" s="787"/>
      <c r="K81" s="63">
        <v>2</v>
      </c>
    </row>
    <row r="82" spans="1:11" ht="11.25">
      <c r="A82" s="63" t="s">
        <v>320</v>
      </c>
      <c r="B82" s="60" t="s">
        <v>502</v>
      </c>
      <c r="C82" s="722" t="s">
        <v>518</v>
      </c>
      <c r="D82" s="722"/>
      <c r="E82" s="722"/>
      <c r="F82" s="722"/>
      <c r="G82" s="722"/>
      <c r="H82" s="722"/>
      <c r="I82" s="722"/>
      <c r="J82" s="725"/>
      <c r="K82" s="63">
        <v>2</v>
      </c>
    </row>
    <row r="83" spans="1:11" ht="11.25">
      <c r="A83" s="63" t="s">
        <v>178</v>
      </c>
      <c r="B83" s="60" t="s">
        <v>503</v>
      </c>
      <c r="C83" s="858" t="s">
        <v>179</v>
      </c>
      <c r="D83" s="859"/>
      <c r="E83" s="859"/>
      <c r="F83" s="859"/>
      <c r="G83" s="859"/>
      <c r="H83" s="859"/>
      <c r="I83" s="859"/>
      <c r="J83" s="860"/>
      <c r="K83" s="63">
        <v>2</v>
      </c>
    </row>
    <row r="84" spans="1:11" ht="11.25">
      <c r="A84" s="63" t="s">
        <v>180</v>
      </c>
      <c r="B84" s="62" t="s">
        <v>733</v>
      </c>
      <c r="C84" s="768" t="s">
        <v>736</v>
      </c>
      <c r="D84" s="769"/>
      <c r="E84" s="769"/>
      <c r="F84" s="769"/>
      <c r="G84" s="769"/>
      <c r="H84" s="769"/>
      <c r="I84" s="769"/>
      <c r="J84" s="770"/>
      <c r="K84" s="63">
        <v>2</v>
      </c>
    </row>
    <row r="85" spans="1:11" ht="12" thickBot="1">
      <c r="A85" s="63" t="s">
        <v>180</v>
      </c>
      <c r="B85" s="62" t="s">
        <v>734</v>
      </c>
      <c r="C85" s="768" t="s">
        <v>737</v>
      </c>
      <c r="D85" s="769"/>
      <c r="E85" s="769"/>
      <c r="F85" s="769"/>
      <c r="G85" s="769"/>
      <c r="H85" s="769"/>
      <c r="I85" s="769"/>
      <c r="J85" s="770"/>
      <c r="K85" s="63">
        <v>2</v>
      </c>
    </row>
    <row r="86" spans="1:11" ht="14.25" customHeight="1" thickBot="1">
      <c r="A86" s="58" t="s">
        <v>371</v>
      </c>
      <c r="B86" s="54" t="s">
        <v>602</v>
      </c>
      <c r="C86" s="963" t="s">
        <v>735</v>
      </c>
      <c r="D86" s="964"/>
      <c r="E86" s="964"/>
      <c r="F86" s="964"/>
      <c r="G86" s="964"/>
      <c r="H86" s="964"/>
      <c r="I86" s="964"/>
      <c r="J86" s="965"/>
      <c r="K86" s="54">
        <v>2</v>
      </c>
    </row>
    <row r="87" spans="1:11" ht="11.25">
      <c r="A87" s="63" t="s">
        <v>438</v>
      </c>
      <c r="B87" s="704" t="s">
        <v>738</v>
      </c>
      <c r="C87" s="824" t="s">
        <v>605</v>
      </c>
      <c r="D87" s="825"/>
      <c r="E87" s="825"/>
      <c r="F87" s="825"/>
      <c r="G87" s="825"/>
      <c r="H87" s="825"/>
      <c r="I87" s="825"/>
      <c r="J87" s="826"/>
      <c r="K87" s="54">
        <v>2</v>
      </c>
    </row>
    <row r="88" spans="1:11" ht="11.25">
      <c r="A88" s="63" t="s">
        <v>439</v>
      </c>
      <c r="B88" s="717"/>
      <c r="C88" s="855" t="s">
        <v>606</v>
      </c>
      <c r="D88" s="855"/>
      <c r="E88" s="855"/>
      <c r="F88" s="855"/>
      <c r="G88" s="855"/>
      <c r="H88" s="855"/>
      <c r="I88" s="855"/>
      <c r="J88" s="857"/>
      <c r="K88" s="63">
        <v>2</v>
      </c>
    </row>
    <row r="89" spans="1:11" ht="11.25">
      <c r="A89" s="63" t="s">
        <v>838</v>
      </c>
      <c r="B89" s="717"/>
      <c r="C89" s="696" t="s">
        <v>607</v>
      </c>
      <c r="D89" s="696"/>
      <c r="E89" s="696"/>
      <c r="F89" s="696"/>
      <c r="G89" s="696"/>
      <c r="H89" s="696"/>
      <c r="I89" s="696"/>
      <c r="J89" s="698"/>
      <c r="K89" s="84">
        <v>2</v>
      </c>
    </row>
    <row r="90" spans="1:11" ht="11.25">
      <c r="A90" s="63" t="s">
        <v>839</v>
      </c>
      <c r="B90" s="717"/>
      <c r="C90" s="782" t="s">
        <v>608</v>
      </c>
      <c r="D90" s="779"/>
      <c r="E90" s="779"/>
      <c r="F90" s="779"/>
      <c r="G90" s="779"/>
      <c r="H90" s="779"/>
      <c r="I90" s="779"/>
      <c r="J90" s="780"/>
      <c r="K90" s="63">
        <v>2</v>
      </c>
    </row>
    <row r="91" spans="1:11" ht="11.25">
      <c r="A91" s="63" t="s">
        <v>840</v>
      </c>
      <c r="B91" s="717"/>
      <c r="C91" s="782" t="s">
        <v>609</v>
      </c>
      <c r="D91" s="779"/>
      <c r="E91" s="779"/>
      <c r="F91" s="779"/>
      <c r="G91" s="779"/>
      <c r="H91" s="779"/>
      <c r="I91" s="779"/>
      <c r="J91" s="780"/>
      <c r="K91" s="63">
        <v>2</v>
      </c>
    </row>
    <row r="92" spans="1:11" ht="12" thickBot="1">
      <c r="A92" s="63" t="s">
        <v>841</v>
      </c>
      <c r="B92" s="716"/>
      <c r="C92" s="788" t="s">
        <v>610</v>
      </c>
      <c r="D92" s="772"/>
      <c r="E92" s="772"/>
      <c r="F92" s="772"/>
      <c r="G92" s="772"/>
      <c r="H92" s="772"/>
      <c r="I92" s="772"/>
      <c r="J92" s="773"/>
      <c r="K92" s="63">
        <v>2</v>
      </c>
    </row>
    <row r="93" spans="1:11" ht="11.25">
      <c r="A93" s="63" t="s">
        <v>842</v>
      </c>
      <c r="B93" s="704" t="s">
        <v>739</v>
      </c>
      <c r="C93" s="824" t="s">
        <v>605</v>
      </c>
      <c r="D93" s="825"/>
      <c r="E93" s="825"/>
      <c r="F93" s="825"/>
      <c r="G93" s="825"/>
      <c r="H93" s="825"/>
      <c r="I93" s="825"/>
      <c r="J93" s="826"/>
      <c r="K93" s="54">
        <v>2</v>
      </c>
    </row>
    <row r="94" spans="1:11" ht="11.25">
      <c r="A94" s="63" t="s">
        <v>843</v>
      </c>
      <c r="B94" s="717"/>
      <c r="C94" s="855" t="s">
        <v>606</v>
      </c>
      <c r="D94" s="855"/>
      <c r="E94" s="855"/>
      <c r="F94" s="855"/>
      <c r="G94" s="855"/>
      <c r="H94" s="855"/>
      <c r="I94" s="855"/>
      <c r="J94" s="857"/>
      <c r="K94" s="63">
        <v>2</v>
      </c>
    </row>
    <row r="95" spans="1:11" ht="11.25">
      <c r="A95" s="63" t="s">
        <v>844</v>
      </c>
      <c r="B95" s="717"/>
      <c r="C95" s="696" t="s">
        <v>607</v>
      </c>
      <c r="D95" s="696"/>
      <c r="E95" s="696"/>
      <c r="F95" s="696"/>
      <c r="G95" s="696"/>
      <c r="H95" s="696"/>
      <c r="I95" s="696"/>
      <c r="J95" s="698"/>
      <c r="K95" s="84">
        <v>2</v>
      </c>
    </row>
    <row r="96" spans="1:11" ht="11.25">
      <c r="A96" s="63" t="s">
        <v>295</v>
      </c>
      <c r="B96" s="717"/>
      <c r="C96" s="782" t="s">
        <v>608</v>
      </c>
      <c r="D96" s="779"/>
      <c r="E96" s="779"/>
      <c r="F96" s="779"/>
      <c r="G96" s="779"/>
      <c r="H96" s="779"/>
      <c r="I96" s="779"/>
      <c r="J96" s="780"/>
      <c r="K96" s="63">
        <v>2</v>
      </c>
    </row>
    <row r="97" spans="1:11" ht="11.25">
      <c r="A97" s="63" t="s">
        <v>330</v>
      </c>
      <c r="B97" s="717"/>
      <c r="C97" s="782" t="s">
        <v>609</v>
      </c>
      <c r="D97" s="779"/>
      <c r="E97" s="779"/>
      <c r="F97" s="779"/>
      <c r="G97" s="779"/>
      <c r="H97" s="779"/>
      <c r="I97" s="779"/>
      <c r="J97" s="780"/>
      <c r="K97" s="63">
        <v>2</v>
      </c>
    </row>
    <row r="98" spans="1:11" ht="12" thickBot="1">
      <c r="A98" s="63" t="s">
        <v>378</v>
      </c>
      <c r="B98" s="716"/>
      <c r="C98" s="714" t="s">
        <v>610</v>
      </c>
      <c r="D98" s="687"/>
      <c r="E98" s="687"/>
      <c r="F98" s="687"/>
      <c r="G98" s="687"/>
      <c r="H98" s="687"/>
      <c r="I98" s="687"/>
      <c r="J98" s="689"/>
      <c r="K98" s="63">
        <v>2</v>
      </c>
    </row>
    <row r="99" spans="1:11" ht="11.25">
      <c r="A99" s="63" t="s">
        <v>326</v>
      </c>
      <c r="B99" s="704" t="s">
        <v>740</v>
      </c>
      <c r="C99" s="824" t="s">
        <v>605</v>
      </c>
      <c r="D99" s="825"/>
      <c r="E99" s="825"/>
      <c r="F99" s="825"/>
      <c r="G99" s="825"/>
      <c r="H99" s="825"/>
      <c r="I99" s="825"/>
      <c r="J99" s="826"/>
      <c r="K99" s="54">
        <v>2</v>
      </c>
    </row>
    <row r="100" spans="1:11" ht="11.25">
      <c r="A100" s="63" t="s">
        <v>327</v>
      </c>
      <c r="B100" s="717"/>
      <c r="C100" s="855" t="s">
        <v>606</v>
      </c>
      <c r="D100" s="855"/>
      <c r="E100" s="855"/>
      <c r="F100" s="855"/>
      <c r="G100" s="855"/>
      <c r="H100" s="855"/>
      <c r="I100" s="855"/>
      <c r="J100" s="857"/>
      <c r="K100" s="63">
        <v>2</v>
      </c>
    </row>
    <row r="101" spans="1:11" ht="11.25">
      <c r="A101" s="63" t="s">
        <v>328</v>
      </c>
      <c r="B101" s="717"/>
      <c r="C101" s="696" t="s">
        <v>607</v>
      </c>
      <c r="D101" s="696"/>
      <c r="E101" s="696"/>
      <c r="F101" s="696"/>
      <c r="G101" s="696"/>
      <c r="H101" s="696"/>
      <c r="I101" s="696"/>
      <c r="J101" s="698"/>
      <c r="K101" s="84">
        <v>2</v>
      </c>
    </row>
    <row r="102" spans="1:11" ht="11.25">
      <c r="A102" s="63" t="s">
        <v>329</v>
      </c>
      <c r="B102" s="717"/>
      <c r="C102" s="782" t="s">
        <v>608</v>
      </c>
      <c r="D102" s="779"/>
      <c r="E102" s="779"/>
      <c r="F102" s="779"/>
      <c r="G102" s="779"/>
      <c r="H102" s="779"/>
      <c r="I102" s="779"/>
      <c r="J102" s="780"/>
      <c r="K102" s="63">
        <v>2</v>
      </c>
    </row>
    <row r="103" spans="1:11" ht="11.25">
      <c r="A103" s="63" t="s">
        <v>330</v>
      </c>
      <c r="B103" s="717"/>
      <c r="C103" s="782" t="s">
        <v>609</v>
      </c>
      <c r="D103" s="779"/>
      <c r="E103" s="779"/>
      <c r="F103" s="779"/>
      <c r="G103" s="779"/>
      <c r="H103" s="779"/>
      <c r="I103" s="779"/>
      <c r="J103" s="780"/>
      <c r="K103" s="63">
        <v>2</v>
      </c>
    </row>
    <row r="104" spans="1:11" ht="12" thickBot="1">
      <c r="A104" s="63" t="s">
        <v>378</v>
      </c>
      <c r="B104" s="716"/>
      <c r="C104" s="714" t="s">
        <v>610</v>
      </c>
      <c r="D104" s="687"/>
      <c r="E104" s="687"/>
      <c r="F104" s="687"/>
      <c r="G104" s="687"/>
      <c r="H104" s="687"/>
      <c r="I104" s="687"/>
      <c r="J104" s="689"/>
      <c r="K104" s="63">
        <v>2</v>
      </c>
    </row>
    <row r="105" spans="1:11" ht="11.25">
      <c r="A105" s="63" t="s">
        <v>326</v>
      </c>
      <c r="B105" s="704" t="s">
        <v>741</v>
      </c>
      <c r="C105" s="824" t="s">
        <v>605</v>
      </c>
      <c r="D105" s="825"/>
      <c r="E105" s="825"/>
      <c r="F105" s="825"/>
      <c r="G105" s="825"/>
      <c r="H105" s="825"/>
      <c r="I105" s="825"/>
      <c r="J105" s="826"/>
      <c r="K105" s="54">
        <v>2</v>
      </c>
    </row>
    <row r="106" spans="1:11" ht="11.25">
      <c r="A106" s="63" t="s">
        <v>327</v>
      </c>
      <c r="B106" s="717"/>
      <c r="C106" s="855" t="s">
        <v>606</v>
      </c>
      <c r="D106" s="855"/>
      <c r="E106" s="855"/>
      <c r="F106" s="855"/>
      <c r="G106" s="855"/>
      <c r="H106" s="855"/>
      <c r="I106" s="855"/>
      <c r="J106" s="857"/>
      <c r="K106" s="63">
        <v>2</v>
      </c>
    </row>
    <row r="107" spans="1:11" ht="11.25">
      <c r="A107" s="63" t="s">
        <v>328</v>
      </c>
      <c r="B107" s="717"/>
      <c r="C107" s="696" t="s">
        <v>607</v>
      </c>
      <c r="D107" s="696"/>
      <c r="E107" s="696"/>
      <c r="F107" s="696"/>
      <c r="G107" s="696"/>
      <c r="H107" s="696"/>
      <c r="I107" s="696"/>
      <c r="J107" s="698"/>
      <c r="K107" s="84">
        <v>2</v>
      </c>
    </row>
    <row r="108" spans="1:11" ht="11.25">
      <c r="A108" s="63" t="s">
        <v>329</v>
      </c>
      <c r="B108" s="717"/>
      <c r="C108" s="782" t="s">
        <v>608</v>
      </c>
      <c r="D108" s="779"/>
      <c r="E108" s="779"/>
      <c r="F108" s="779"/>
      <c r="G108" s="779"/>
      <c r="H108" s="779"/>
      <c r="I108" s="779"/>
      <c r="J108" s="780"/>
      <c r="K108" s="63">
        <v>2</v>
      </c>
    </row>
    <row r="109" spans="1:11" ht="11.25">
      <c r="A109" s="63" t="s">
        <v>330</v>
      </c>
      <c r="B109" s="717"/>
      <c r="C109" s="782" t="s">
        <v>609</v>
      </c>
      <c r="D109" s="779"/>
      <c r="E109" s="779"/>
      <c r="F109" s="779"/>
      <c r="G109" s="779"/>
      <c r="H109" s="779"/>
      <c r="I109" s="779"/>
      <c r="J109" s="780"/>
      <c r="K109" s="63">
        <v>2</v>
      </c>
    </row>
    <row r="110" spans="1:11" ht="12" thickBot="1">
      <c r="A110" s="63" t="s">
        <v>378</v>
      </c>
      <c r="B110" s="716"/>
      <c r="C110" s="714" t="s">
        <v>610</v>
      </c>
      <c r="D110" s="687"/>
      <c r="E110" s="687"/>
      <c r="F110" s="687"/>
      <c r="G110" s="687"/>
      <c r="H110" s="687"/>
      <c r="I110" s="687"/>
      <c r="J110" s="689"/>
      <c r="K110" s="63">
        <v>2</v>
      </c>
    </row>
    <row r="111" spans="1:11" ht="11.25">
      <c r="A111" s="63" t="s">
        <v>326</v>
      </c>
      <c r="B111" s="704" t="s">
        <v>742</v>
      </c>
      <c r="C111" s="824" t="s">
        <v>605</v>
      </c>
      <c r="D111" s="825"/>
      <c r="E111" s="825"/>
      <c r="F111" s="825"/>
      <c r="G111" s="825"/>
      <c r="H111" s="825"/>
      <c r="I111" s="825"/>
      <c r="J111" s="826"/>
      <c r="K111" s="54">
        <v>2</v>
      </c>
    </row>
    <row r="112" spans="1:11" ht="11.25">
      <c r="A112" s="63" t="s">
        <v>327</v>
      </c>
      <c r="B112" s="717"/>
      <c r="C112" s="855" t="s">
        <v>606</v>
      </c>
      <c r="D112" s="855"/>
      <c r="E112" s="855"/>
      <c r="F112" s="855"/>
      <c r="G112" s="855"/>
      <c r="H112" s="855"/>
      <c r="I112" s="855"/>
      <c r="J112" s="857"/>
      <c r="K112" s="63">
        <v>2</v>
      </c>
    </row>
    <row r="113" spans="1:11" ht="11.25">
      <c r="A113" s="63" t="s">
        <v>328</v>
      </c>
      <c r="B113" s="717"/>
      <c r="C113" s="696" t="s">
        <v>607</v>
      </c>
      <c r="D113" s="696"/>
      <c r="E113" s="696"/>
      <c r="F113" s="696"/>
      <c r="G113" s="696"/>
      <c r="H113" s="696"/>
      <c r="I113" s="696"/>
      <c r="J113" s="698"/>
      <c r="K113" s="84">
        <v>2</v>
      </c>
    </row>
    <row r="114" spans="1:11" ht="11.25">
      <c r="A114" s="63" t="s">
        <v>329</v>
      </c>
      <c r="B114" s="717"/>
      <c r="C114" s="782" t="s">
        <v>608</v>
      </c>
      <c r="D114" s="779"/>
      <c r="E114" s="779"/>
      <c r="F114" s="779"/>
      <c r="G114" s="779"/>
      <c r="H114" s="779"/>
      <c r="I114" s="779"/>
      <c r="J114" s="780"/>
      <c r="K114" s="63">
        <v>2</v>
      </c>
    </row>
    <row r="115" spans="1:11" ht="11.25">
      <c r="A115" s="63" t="s">
        <v>330</v>
      </c>
      <c r="B115" s="717"/>
      <c r="C115" s="782" t="s">
        <v>609</v>
      </c>
      <c r="D115" s="779"/>
      <c r="E115" s="779"/>
      <c r="F115" s="779"/>
      <c r="G115" s="779"/>
      <c r="H115" s="779"/>
      <c r="I115" s="779"/>
      <c r="J115" s="780"/>
      <c r="K115" s="63">
        <v>2</v>
      </c>
    </row>
    <row r="116" spans="1:11" ht="12" thickBot="1">
      <c r="A116" s="63" t="s">
        <v>378</v>
      </c>
      <c r="B116" s="716"/>
      <c r="C116" s="714" t="s">
        <v>610</v>
      </c>
      <c r="D116" s="687"/>
      <c r="E116" s="687"/>
      <c r="F116" s="687"/>
      <c r="G116" s="687"/>
      <c r="H116" s="687"/>
      <c r="I116" s="687"/>
      <c r="J116" s="689"/>
      <c r="K116" s="63">
        <v>2</v>
      </c>
    </row>
    <row r="117" spans="1:11" ht="11.25">
      <c r="A117" s="63" t="s">
        <v>326</v>
      </c>
      <c r="B117" s="704" t="s">
        <v>743</v>
      </c>
      <c r="C117" s="824" t="s">
        <v>605</v>
      </c>
      <c r="D117" s="825"/>
      <c r="E117" s="825"/>
      <c r="F117" s="825"/>
      <c r="G117" s="825"/>
      <c r="H117" s="825"/>
      <c r="I117" s="825"/>
      <c r="J117" s="826"/>
      <c r="K117" s="54">
        <v>2</v>
      </c>
    </row>
    <row r="118" spans="1:11" ht="11.25">
      <c r="A118" s="63" t="s">
        <v>327</v>
      </c>
      <c r="B118" s="717"/>
      <c r="C118" s="855" t="s">
        <v>606</v>
      </c>
      <c r="D118" s="855"/>
      <c r="E118" s="855"/>
      <c r="F118" s="855"/>
      <c r="G118" s="855"/>
      <c r="H118" s="855"/>
      <c r="I118" s="855"/>
      <c r="J118" s="857"/>
      <c r="K118" s="63">
        <v>2</v>
      </c>
    </row>
    <row r="119" spans="1:11" ht="11.25">
      <c r="A119" s="63" t="s">
        <v>328</v>
      </c>
      <c r="B119" s="717"/>
      <c r="C119" s="696" t="s">
        <v>607</v>
      </c>
      <c r="D119" s="696"/>
      <c r="E119" s="696"/>
      <c r="F119" s="696"/>
      <c r="G119" s="696"/>
      <c r="H119" s="696"/>
      <c r="I119" s="696"/>
      <c r="J119" s="698"/>
      <c r="K119" s="84">
        <v>2</v>
      </c>
    </row>
    <row r="120" spans="1:11" ht="11.25">
      <c r="A120" s="63" t="s">
        <v>329</v>
      </c>
      <c r="B120" s="717"/>
      <c r="C120" s="782" t="s">
        <v>608</v>
      </c>
      <c r="D120" s="779"/>
      <c r="E120" s="779"/>
      <c r="F120" s="779"/>
      <c r="G120" s="779"/>
      <c r="H120" s="779"/>
      <c r="I120" s="779"/>
      <c r="J120" s="780"/>
      <c r="K120" s="63">
        <v>2</v>
      </c>
    </row>
    <row r="121" spans="1:11" ht="11.25">
      <c r="A121" s="63" t="s">
        <v>330</v>
      </c>
      <c r="B121" s="717"/>
      <c r="C121" s="782" t="s">
        <v>609</v>
      </c>
      <c r="D121" s="779"/>
      <c r="E121" s="779"/>
      <c r="F121" s="779"/>
      <c r="G121" s="779"/>
      <c r="H121" s="779"/>
      <c r="I121" s="779"/>
      <c r="J121" s="780"/>
      <c r="K121" s="63">
        <v>2</v>
      </c>
    </row>
    <row r="122" spans="1:11" ht="12" thickBot="1">
      <c r="A122" s="63" t="s">
        <v>378</v>
      </c>
      <c r="B122" s="716"/>
      <c r="C122" s="714" t="s">
        <v>610</v>
      </c>
      <c r="D122" s="687"/>
      <c r="E122" s="687"/>
      <c r="F122" s="687"/>
      <c r="G122" s="687"/>
      <c r="H122" s="687"/>
      <c r="I122" s="687"/>
      <c r="J122" s="689"/>
      <c r="K122" s="63">
        <v>2</v>
      </c>
    </row>
    <row r="123" spans="1:11" ht="11.25">
      <c r="A123" s="63" t="s">
        <v>326</v>
      </c>
      <c r="B123" s="704" t="s">
        <v>744</v>
      </c>
      <c r="C123" s="824" t="s">
        <v>605</v>
      </c>
      <c r="D123" s="825"/>
      <c r="E123" s="825"/>
      <c r="F123" s="825"/>
      <c r="G123" s="825"/>
      <c r="H123" s="825"/>
      <c r="I123" s="825"/>
      <c r="J123" s="826"/>
      <c r="K123" s="54">
        <v>2</v>
      </c>
    </row>
    <row r="124" spans="1:11" ht="11.25">
      <c r="A124" s="63" t="s">
        <v>327</v>
      </c>
      <c r="B124" s="717"/>
      <c r="C124" s="855" t="s">
        <v>606</v>
      </c>
      <c r="D124" s="855"/>
      <c r="E124" s="855"/>
      <c r="F124" s="855"/>
      <c r="G124" s="855"/>
      <c r="H124" s="855"/>
      <c r="I124" s="855"/>
      <c r="J124" s="857"/>
      <c r="K124" s="63">
        <v>2</v>
      </c>
    </row>
    <row r="125" spans="1:11" ht="11.25">
      <c r="A125" s="63" t="s">
        <v>328</v>
      </c>
      <c r="B125" s="717"/>
      <c r="C125" s="696" t="s">
        <v>607</v>
      </c>
      <c r="D125" s="696"/>
      <c r="E125" s="696"/>
      <c r="F125" s="696"/>
      <c r="G125" s="696"/>
      <c r="H125" s="696"/>
      <c r="I125" s="696"/>
      <c r="J125" s="698"/>
      <c r="K125" s="84">
        <v>2</v>
      </c>
    </row>
    <row r="126" spans="1:11" ht="11.25">
      <c r="A126" s="63" t="s">
        <v>329</v>
      </c>
      <c r="B126" s="717"/>
      <c r="C126" s="782" t="s">
        <v>608</v>
      </c>
      <c r="D126" s="779"/>
      <c r="E126" s="779"/>
      <c r="F126" s="779"/>
      <c r="G126" s="779"/>
      <c r="H126" s="779"/>
      <c r="I126" s="779"/>
      <c r="J126" s="780"/>
      <c r="K126" s="63">
        <v>2</v>
      </c>
    </row>
    <row r="127" spans="1:11" ht="11.25">
      <c r="A127" s="63" t="s">
        <v>330</v>
      </c>
      <c r="B127" s="717"/>
      <c r="C127" s="782" t="s">
        <v>609</v>
      </c>
      <c r="D127" s="779"/>
      <c r="E127" s="779"/>
      <c r="F127" s="779"/>
      <c r="G127" s="779"/>
      <c r="H127" s="779"/>
      <c r="I127" s="779"/>
      <c r="J127" s="780"/>
      <c r="K127" s="63">
        <v>2</v>
      </c>
    </row>
    <row r="128" spans="1:11" ht="12" thickBot="1">
      <c r="A128" s="63" t="s">
        <v>378</v>
      </c>
      <c r="B128" s="716"/>
      <c r="C128" s="714" t="s">
        <v>610</v>
      </c>
      <c r="D128" s="687"/>
      <c r="E128" s="687"/>
      <c r="F128" s="687"/>
      <c r="G128" s="687"/>
      <c r="H128" s="687"/>
      <c r="I128" s="687"/>
      <c r="J128" s="689"/>
      <c r="K128" s="63">
        <v>2</v>
      </c>
    </row>
    <row r="129" spans="1:11" ht="11.25">
      <c r="A129" s="63" t="s">
        <v>326</v>
      </c>
      <c r="B129" s="704" t="s">
        <v>745</v>
      </c>
      <c r="C129" s="824" t="s">
        <v>605</v>
      </c>
      <c r="D129" s="825"/>
      <c r="E129" s="825"/>
      <c r="F129" s="825"/>
      <c r="G129" s="825"/>
      <c r="H129" s="825"/>
      <c r="I129" s="825"/>
      <c r="J129" s="826"/>
      <c r="K129" s="54">
        <v>2</v>
      </c>
    </row>
    <row r="130" spans="1:11" ht="11.25">
      <c r="A130" s="63" t="s">
        <v>327</v>
      </c>
      <c r="B130" s="717"/>
      <c r="C130" s="855" t="s">
        <v>606</v>
      </c>
      <c r="D130" s="855"/>
      <c r="E130" s="855"/>
      <c r="F130" s="855"/>
      <c r="G130" s="855"/>
      <c r="H130" s="855"/>
      <c r="I130" s="855"/>
      <c r="J130" s="857"/>
      <c r="K130" s="63">
        <v>2</v>
      </c>
    </row>
    <row r="131" spans="1:11" ht="11.25">
      <c r="A131" s="63" t="s">
        <v>328</v>
      </c>
      <c r="B131" s="717"/>
      <c r="C131" s="696" t="s">
        <v>607</v>
      </c>
      <c r="D131" s="696"/>
      <c r="E131" s="696"/>
      <c r="F131" s="696"/>
      <c r="G131" s="696"/>
      <c r="H131" s="696"/>
      <c r="I131" s="696"/>
      <c r="J131" s="698"/>
      <c r="K131" s="84">
        <v>2</v>
      </c>
    </row>
    <row r="132" spans="1:11" ht="11.25">
      <c r="A132" s="63" t="s">
        <v>329</v>
      </c>
      <c r="B132" s="717"/>
      <c r="C132" s="782" t="s">
        <v>608</v>
      </c>
      <c r="D132" s="779"/>
      <c r="E132" s="779"/>
      <c r="F132" s="779"/>
      <c r="G132" s="779"/>
      <c r="H132" s="779"/>
      <c r="I132" s="779"/>
      <c r="J132" s="780"/>
      <c r="K132" s="63">
        <v>2</v>
      </c>
    </row>
    <row r="133" spans="1:11" ht="11.25">
      <c r="A133" s="63" t="s">
        <v>330</v>
      </c>
      <c r="B133" s="717"/>
      <c r="C133" s="782" t="s">
        <v>609</v>
      </c>
      <c r="D133" s="779"/>
      <c r="E133" s="779"/>
      <c r="F133" s="779"/>
      <c r="G133" s="779"/>
      <c r="H133" s="779"/>
      <c r="I133" s="779"/>
      <c r="J133" s="780"/>
      <c r="K133" s="63">
        <v>2</v>
      </c>
    </row>
    <row r="134" spans="1:11" ht="12" thickBot="1">
      <c r="A134" s="63" t="s">
        <v>378</v>
      </c>
      <c r="B134" s="716"/>
      <c r="C134" s="714" t="s">
        <v>610</v>
      </c>
      <c r="D134" s="687"/>
      <c r="E134" s="687"/>
      <c r="F134" s="687"/>
      <c r="G134" s="687"/>
      <c r="H134" s="687"/>
      <c r="I134" s="687"/>
      <c r="J134" s="689"/>
      <c r="K134" s="63">
        <v>2</v>
      </c>
    </row>
    <row r="135" spans="1:11" ht="11.25">
      <c r="A135" s="63" t="s">
        <v>326</v>
      </c>
      <c r="B135" s="704" t="s">
        <v>746</v>
      </c>
      <c r="C135" s="824" t="s">
        <v>605</v>
      </c>
      <c r="D135" s="825"/>
      <c r="E135" s="825"/>
      <c r="F135" s="825"/>
      <c r="G135" s="825"/>
      <c r="H135" s="825"/>
      <c r="I135" s="825"/>
      <c r="J135" s="826"/>
      <c r="K135" s="54">
        <v>2</v>
      </c>
    </row>
    <row r="136" spans="1:11" ht="11.25">
      <c r="A136" s="63" t="s">
        <v>327</v>
      </c>
      <c r="B136" s="717"/>
      <c r="C136" s="855" t="s">
        <v>606</v>
      </c>
      <c r="D136" s="855"/>
      <c r="E136" s="855"/>
      <c r="F136" s="855"/>
      <c r="G136" s="855"/>
      <c r="H136" s="855"/>
      <c r="I136" s="855"/>
      <c r="J136" s="857"/>
      <c r="K136" s="63">
        <v>2</v>
      </c>
    </row>
    <row r="137" spans="1:11" ht="11.25">
      <c r="A137" s="63" t="s">
        <v>328</v>
      </c>
      <c r="B137" s="717"/>
      <c r="C137" s="696" t="s">
        <v>607</v>
      </c>
      <c r="D137" s="696"/>
      <c r="E137" s="696"/>
      <c r="F137" s="696"/>
      <c r="G137" s="696"/>
      <c r="H137" s="696"/>
      <c r="I137" s="696"/>
      <c r="J137" s="698"/>
      <c r="K137" s="84">
        <v>2</v>
      </c>
    </row>
    <row r="138" spans="1:11" ht="11.25">
      <c r="A138" s="63" t="s">
        <v>329</v>
      </c>
      <c r="B138" s="717"/>
      <c r="C138" s="782" t="s">
        <v>608</v>
      </c>
      <c r="D138" s="779"/>
      <c r="E138" s="779"/>
      <c r="F138" s="779"/>
      <c r="G138" s="779"/>
      <c r="H138" s="779"/>
      <c r="I138" s="779"/>
      <c r="J138" s="780"/>
      <c r="K138" s="63">
        <v>2</v>
      </c>
    </row>
    <row r="139" spans="1:11" ht="11.25">
      <c r="A139" s="63" t="s">
        <v>330</v>
      </c>
      <c r="B139" s="717"/>
      <c r="C139" s="782" t="s">
        <v>609</v>
      </c>
      <c r="D139" s="779"/>
      <c r="E139" s="779"/>
      <c r="F139" s="779"/>
      <c r="G139" s="779"/>
      <c r="H139" s="779"/>
      <c r="I139" s="779"/>
      <c r="J139" s="780"/>
      <c r="K139" s="63">
        <v>2</v>
      </c>
    </row>
    <row r="140" spans="1:11" ht="12" thickBot="1">
      <c r="A140" s="63" t="s">
        <v>378</v>
      </c>
      <c r="B140" s="716"/>
      <c r="C140" s="714" t="s">
        <v>610</v>
      </c>
      <c r="D140" s="687"/>
      <c r="E140" s="687"/>
      <c r="F140" s="687"/>
      <c r="G140" s="687"/>
      <c r="H140" s="687"/>
      <c r="I140" s="687"/>
      <c r="J140" s="689"/>
      <c r="K140" s="63">
        <v>2</v>
      </c>
    </row>
    <row r="141" spans="1:11" ht="11.25">
      <c r="A141" s="63" t="s">
        <v>326</v>
      </c>
      <c r="B141" s="704" t="s">
        <v>747</v>
      </c>
      <c r="C141" s="824" t="s">
        <v>605</v>
      </c>
      <c r="D141" s="825"/>
      <c r="E141" s="825"/>
      <c r="F141" s="825"/>
      <c r="G141" s="825"/>
      <c r="H141" s="825"/>
      <c r="I141" s="825"/>
      <c r="J141" s="826"/>
      <c r="K141" s="54">
        <v>2</v>
      </c>
    </row>
    <row r="142" spans="1:11" ht="11.25">
      <c r="A142" s="63" t="s">
        <v>327</v>
      </c>
      <c r="B142" s="717"/>
      <c r="C142" s="855" t="s">
        <v>606</v>
      </c>
      <c r="D142" s="855"/>
      <c r="E142" s="855"/>
      <c r="F142" s="855"/>
      <c r="G142" s="855"/>
      <c r="H142" s="855"/>
      <c r="I142" s="855"/>
      <c r="J142" s="857"/>
      <c r="K142" s="63">
        <v>2</v>
      </c>
    </row>
    <row r="143" spans="1:11" ht="11.25">
      <c r="A143" s="63" t="s">
        <v>328</v>
      </c>
      <c r="B143" s="717"/>
      <c r="C143" s="696" t="s">
        <v>607</v>
      </c>
      <c r="D143" s="696"/>
      <c r="E143" s="696"/>
      <c r="F143" s="696"/>
      <c r="G143" s="696"/>
      <c r="H143" s="696"/>
      <c r="I143" s="696"/>
      <c r="J143" s="698"/>
      <c r="K143" s="84">
        <v>2</v>
      </c>
    </row>
    <row r="144" spans="1:11" ht="11.25">
      <c r="A144" s="63" t="s">
        <v>329</v>
      </c>
      <c r="B144" s="717"/>
      <c r="C144" s="782" t="s">
        <v>608</v>
      </c>
      <c r="D144" s="779"/>
      <c r="E144" s="779"/>
      <c r="F144" s="779"/>
      <c r="G144" s="779"/>
      <c r="H144" s="779"/>
      <c r="I144" s="779"/>
      <c r="J144" s="780"/>
      <c r="K144" s="63">
        <v>2</v>
      </c>
    </row>
    <row r="145" spans="1:11" ht="11.25">
      <c r="A145" s="63" t="s">
        <v>330</v>
      </c>
      <c r="B145" s="717"/>
      <c r="C145" s="782" t="s">
        <v>609</v>
      </c>
      <c r="D145" s="779"/>
      <c r="E145" s="779"/>
      <c r="F145" s="779"/>
      <c r="G145" s="779"/>
      <c r="H145" s="779"/>
      <c r="I145" s="779"/>
      <c r="J145" s="780"/>
      <c r="K145" s="63">
        <v>2</v>
      </c>
    </row>
    <row r="146" spans="1:11" ht="12" thickBot="1">
      <c r="A146" s="63" t="s">
        <v>378</v>
      </c>
      <c r="B146" s="716"/>
      <c r="C146" s="714" t="s">
        <v>610</v>
      </c>
      <c r="D146" s="687"/>
      <c r="E146" s="687"/>
      <c r="F146" s="687"/>
      <c r="G146" s="687"/>
      <c r="H146" s="687"/>
      <c r="I146" s="687"/>
      <c r="J146" s="689"/>
      <c r="K146" s="63">
        <v>2</v>
      </c>
    </row>
    <row r="147" spans="1:11" ht="11.25">
      <c r="A147" s="63" t="s">
        <v>326</v>
      </c>
      <c r="B147" s="704" t="s">
        <v>748</v>
      </c>
      <c r="C147" s="824" t="s">
        <v>605</v>
      </c>
      <c r="D147" s="825"/>
      <c r="E147" s="825"/>
      <c r="F147" s="825"/>
      <c r="G147" s="825"/>
      <c r="H147" s="825"/>
      <c r="I147" s="825"/>
      <c r="J147" s="826"/>
      <c r="K147" s="54">
        <v>2</v>
      </c>
    </row>
    <row r="148" spans="1:11" ht="11.25">
      <c r="A148" s="63" t="s">
        <v>327</v>
      </c>
      <c r="B148" s="717"/>
      <c r="C148" s="855" t="s">
        <v>606</v>
      </c>
      <c r="D148" s="855"/>
      <c r="E148" s="855"/>
      <c r="F148" s="855"/>
      <c r="G148" s="855"/>
      <c r="H148" s="855"/>
      <c r="I148" s="855"/>
      <c r="J148" s="857"/>
      <c r="K148" s="63">
        <v>2</v>
      </c>
    </row>
    <row r="149" spans="1:11" ht="11.25">
      <c r="A149" s="63" t="s">
        <v>328</v>
      </c>
      <c r="B149" s="717"/>
      <c r="C149" s="696" t="s">
        <v>607</v>
      </c>
      <c r="D149" s="696"/>
      <c r="E149" s="696"/>
      <c r="F149" s="696"/>
      <c r="G149" s="696"/>
      <c r="H149" s="696"/>
      <c r="I149" s="696"/>
      <c r="J149" s="698"/>
      <c r="K149" s="84">
        <v>2</v>
      </c>
    </row>
    <row r="150" spans="1:11" ht="11.25">
      <c r="A150" s="63" t="s">
        <v>329</v>
      </c>
      <c r="B150" s="717"/>
      <c r="C150" s="782" t="s">
        <v>608</v>
      </c>
      <c r="D150" s="779"/>
      <c r="E150" s="779"/>
      <c r="F150" s="779"/>
      <c r="G150" s="779"/>
      <c r="H150" s="779"/>
      <c r="I150" s="779"/>
      <c r="J150" s="780"/>
      <c r="K150" s="63">
        <v>2</v>
      </c>
    </row>
    <row r="151" spans="1:11" ht="11.25">
      <c r="A151" s="63" t="s">
        <v>330</v>
      </c>
      <c r="B151" s="717"/>
      <c r="C151" s="782" t="s">
        <v>609</v>
      </c>
      <c r="D151" s="779"/>
      <c r="E151" s="779"/>
      <c r="F151" s="779"/>
      <c r="G151" s="779"/>
      <c r="H151" s="779"/>
      <c r="I151" s="779"/>
      <c r="J151" s="780"/>
      <c r="K151" s="63">
        <v>2</v>
      </c>
    </row>
    <row r="152" spans="1:11" ht="12" thickBot="1">
      <c r="A152" s="63" t="s">
        <v>378</v>
      </c>
      <c r="B152" s="716"/>
      <c r="C152" s="788" t="s">
        <v>610</v>
      </c>
      <c r="D152" s="772"/>
      <c r="E152" s="772"/>
      <c r="F152" s="772"/>
      <c r="G152" s="772"/>
      <c r="H152" s="772"/>
      <c r="I152" s="772"/>
      <c r="J152" s="773"/>
      <c r="K152" s="63">
        <v>2</v>
      </c>
    </row>
    <row r="153" spans="1:11" ht="11.25">
      <c r="A153" s="63" t="s">
        <v>326</v>
      </c>
      <c r="B153" s="704" t="s">
        <v>749</v>
      </c>
      <c r="C153" s="824" t="s">
        <v>605</v>
      </c>
      <c r="D153" s="825"/>
      <c r="E153" s="825"/>
      <c r="F153" s="825"/>
      <c r="G153" s="825"/>
      <c r="H153" s="825"/>
      <c r="I153" s="825"/>
      <c r="J153" s="826"/>
      <c r="K153" s="54">
        <v>2</v>
      </c>
    </row>
    <row r="154" spans="1:11" ht="11.25">
      <c r="A154" s="63" t="s">
        <v>327</v>
      </c>
      <c r="B154" s="717"/>
      <c r="C154" s="855" t="s">
        <v>606</v>
      </c>
      <c r="D154" s="855"/>
      <c r="E154" s="855"/>
      <c r="F154" s="855"/>
      <c r="G154" s="855"/>
      <c r="H154" s="855"/>
      <c r="I154" s="855"/>
      <c r="J154" s="857"/>
      <c r="K154" s="63">
        <v>2</v>
      </c>
    </row>
    <row r="155" spans="1:11" ht="11.25">
      <c r="A155" s="63" t="s">
        <v>328</v>
      </c>
      <c r="B155" s="717"/>
      <c r="C155" s="696" t="s">
        <v>607</v>
      </c>
      <c r="D155" s="696"/>
      <c r="E155" s="696"/>
      <c r="F155" s="696"/>
      <c r="G155" s="696"/>
      <c r="H155" s="696"/>
      <c r="I155" s="696"/>
      <c r="J155" s="698"/>
      <c r="K155" s="84">
        <v>2</v>
      </c>
    </row>
    <row r="156" spans="1:11" ht="11.25">
      <c r="A156" s="63" t="s">
        <v>329</v>
      </c>
      <c r="B156" s="717"/>
      <c r="C156" s="782" t="s">
        <v>608</v>
      </c>
      <c r="D156" s="779"/>
      <c r="E156" s="779"/>
      <c r="F156" s="779"/>
      <c r="G156" s="779"/>
      <c r="H156" s="779"/>
      <c r="I156" s="779"/>
      <c r="J156" s="780"/>
      <c r="K156" s="63">
        <v>2</v>
      </c>
    </row>
    <row r="157" spans="1:11" ht="11.25">
      <c r="A157" s="63" t="s">
        <v>330</v>
      </c>
      <c r="B157" s="717"/>
      <c r="C157" s="782" t="s">
        <v>609</v>
      </c>
      <c r="D157" s="779"/>
      <c r="E157" s="779"/>
      <c r="F157" s="779"/>
      <c r="G157" s="779"/>
      <c r="H157" s="779"/>
      <c r="I157" s="779"/>
      <c r="J157" s="780"/>
      <c r="K157" s="63">
        <v>2</v>
      </c>
    </row>
    <row r="158" spans="1:11" ht="12" thickBot="1">
      <c r="A158" s="63" t="s">
        <v>378</v>
      </c>
      <c r="B158" s="716"/>
      <c r="C158" s="714" t="s">
        <v>610</v>
      </c>
      <c r="D158" s="687"/>
      <c r="E158" s="687"/>
      <c r="F158" s="687"/>
      <c r="G158" s="687"/>
      <c r="H158" s="687"/>
      <c r="I158" s="687"/>
      <c r="J158" s="689"/>
      <c r="K158" s="63">
        <v>2</v>
      </c>
    </row>
    <row r="159" spans="1:11" ht="11.25">
      <c r="A159" s="63" t="s">
        <v>326</v>
      </c>
      <c r="B159" s="704" t="s">
        <v>750</v>
      </c>
      <c r="C159" s="824" t="s">
        <v>605</v>
      </c>
      <c r="D159" s="825"/>
      <c r="E159" s="825"/>
      <c r="F159" s="825"/>
      <c r="G159" s="825"/>
      <c r="H159" s="825"/>
      <c r="I159" s="825"/>
      <c r="J159" s="826"/>
      <c r="K159" s="54">
        <v>2</v>
      </c>
    </row>
    <row r="160" spans="1:11" ht="11.25">
      <c r="A160" s="63" t="s">
        <v>327</v>
      </c>
      <c r="B160" s="717"/>
      <c r="C160" s="855" t="s">
        <v>606</v>
      </c>
      <c r="D160" s="855"/>
      <c r="E160" s="855"/>
      <c r="F160" s="855"/>
      <c r="G160" s="855"/>
      <c r="H160" s="855"/>
      <c r="I160" s="855"/>
      <c r="J160" s="857"/>
      <c r="K160" s="63">
        <v>2</v>
      </c>
    </row>
    <row r="161" spans="1:11" ht="11.25">
      <c r="A161" s="63" t="s">
        <v>328</v>
      </c>
      <c r="B161" s="717"/>
      <c r="C161" s="696" t="s">
        <v>607</v>
      </c>
      <c r="D161" s="696"/>
      <c r="E161" s="696"/>
      <c r="F161" s="696"/>
      <c r="G161" s="696"/>
      <c r="H161" s="696"/>
      <c r="I161" s="696"/>
      <c r="J161" s="698"/>
      <c r="K161" s="84">
        <v>2</v>
      </c>
    </row>
    <row r="162" spans="1:11" ht="11.25">
      <c r="A162" s="63" t="s">
        <v>329</v>
      </c>
      <c r="B162" s="717"/>
      <c r="C162" s="782" t="s">
        <v>608</v>
      </c>
      <c r="D162" s="779"/>
      <c r="E162" s="779"/>
      <c r="F162" s="779"/>
      <c r="G162" s="779"/>
      <c r="H162" s="779"/>
      <c r="I162" s="779"/>
      <c r="J162" s="780"/>
      <c r="K162" s="63">
        <v>2</v>
      </c>
    </row>
    <row r="163" spans="1:11" ht="11.25">
      <c r="A163" s="63" t="s">
        <v>330</v>
      </c>
      <c r="B163" s="717"/>
      <c r="C163" s="782" t="s">
        <v>609</v>
      </c>
      <c r="D163" s="779"/>
      <c r="E163" s="779"/>
      <c r="F163" s="779"/>
      <c r="G163" s="779"/>
      <c r="H163" s="779"/>
      <c r="I163" s="779"/>
      <c r="J163" s="780"/>
      <c r="K163" s="63">
        <v>2</v>
      </c>
    </row>
    <row r="164" spans="1:11" ht="12" thickBot="1">
      <c r="A164" s="63" t="s">
        <v>378</v>
      </c>
      <c r="B164" s="716"/>
      <c r="C164" s="714" t="s">
        <v>610</v>
      </c>
      <c r="D164" s="687"/>
      <c r="E164" s="687"/>
      <c r="F164" s="687"/>
      <c r="G164" s="687"/>
      <c r="H164" s="687"/>
      <c r="I164" s="687"/>
      <c r="J164" s="689"/>
      <c r="K164" s="63">
        <v>2</v>
      </c>
    </row>
    <row r="165" spans="1:11" ht="11.25">
      <c r="A165" s="63" t="s">
        <v>326</v>
      </c>
      <c r="B165" s="704" t="s">
        <v>751</v>
      </c>
      <c r="C165" s="824" t="s">
        <v>605</v>
      </c>
      <c r="D165" s="825"/>
      <c r="E165" s="825"/>
      <c r="F165" s="825"/>
      <c r="G165" s="825"/>
      <c r="H165" s="825"/>
      <c r="I165" s="825"/>
      <c r="J165" s="826"/>
      <c r="K165" s="54">
        <v>2</v>
      </c>
    </row>
    <row r="166" spans="1:11" ht="11.25">
      <c r="A166" s="63" t="s">
        <v>327</v>
      </c>
      <c r="B166" s="717"/>
      <c r="C166" s="855" t="s">
        <v>606</v>
      </c>
      <c r="D166" s="855"/>
      <c r="E166" s="855"/>
      <c r="F166" s="855"/>
      <c r="G166" s="855"/>
      <c r="H166" s="855"/>
      <c r="I166" s="855"/>
      <c r="J166" s="857"/>
      <c r="K166" s="63">
        <v>2</v>
      </c>
    </row>
    <row r="167" spans="1:11" ht="11.25">
      <c r="A167" s="63" t="s">
        <v>328</v>
      </c>
      <c r="B167" s="717"/>
      <c r="C167" s="696" t="s">
        <v>607</v>
      </c>
      <c r="D167" s="696"/>
      <c r="E167" s="696"/>
      <c r="F167" s="696"/>
      <c r="G167" s="696"/>
      <c r="H167" s="696"/>
      <c r="I167" s="696"/>
      <c r="J167" s="698"/>
      <c r="K167" s="84">
        <v>2</v>
      </c>
    </row>
    <row r="168" spans="1:11" ht="11.25">
      <c r="A168" s="63" t="s">
        <v>329</v>
      </c>
      <c r="B168" s="717"/>
      <c r="C168" s="782" t="s">
        <v>608</v>
      </c>
      <c r="D168" s="779"/>
      <c r="E168" s="779"/>
      <c r="F168" s="779"/>
      <c r="G168" s="779"/>
      <c r="H168" s="779"/>
      <c r="I168" s="779"/>
      <c r="J168" s="780"/>
      <c r="K168" s="63">
        <v>2</v>
      </c>
    </row>
    <row r="169" spans="1:11" ht="11.25">
      <c r="A169" s="63" t="s">
        <v>330</v>
      </c>
      <c r="B169" s="717"/>
      <c r="C169" s="782" t="s">
        <v>609</v>
      </c>
      <c r="D169" s="779"/>
      <c r="E169" s="779"/>
      <c r="F169" s="779"/>
      <c r="G169" s="779"/>
      <c r="H169" s="779"/>
      <c r="I169" s="779"/>
      <c r="J169" s="780"/>
      <c r="K169" s="63">
        <v>2</v>
      </c>
    </row>
    <row r="170" spans="1:11" ht="12" thickBot="1">
      <c r="A170" s="63" t="s">
        <v>378</v>
      </c>
      <c r="B170" s="716"/>
      <c r="C170" s="714" t="s">
        <v>610</v>
      </c>
      <c r="D170" s="687"/>
      <c r="E170" s="687"/>
      <c r="F170" s="687"/>
      <c r="G170" s="687"/>
      <c r="H170" s="687"/>
      <c r="I170" s="687"/>
      <c r="J170" s="689"/>
      <c r="K170" s="63">
        <v>2</v>
      </c>
    </row>
    <row r="171" spans="1:11" ht="11.25">
      <c r="A171" s="63" t="s">
        <v>326</v>
      </c>
      <c r="B171" s="704" t="s">
        <v>752</v>
      </c>
      <c r="C171" s="824" t="s">
        <v>605</v>
      </c>
      <c r="D171" s="825"/>
      <c r="E171" s="825"/>
      <c r="F171" s="825"/>
      <c r="G171" s="825"/>
      <c r="H171" s="825"/>
      <c r="I171" s="825"/>
      <c r="J171" s="826"/>
      <c r="K171" s="54">
        <v>2</v>
      </c>
    </row>
    <row r="172" spans="1:11" ht="11.25">
      <c r="A172" s="63" t="s">
        <v>327</v>
      </c>
      <c r="B172" s="717"/>
      <c r="C172" s="855" t="s">
        <v>606</v>
      </c>
      <c r="D172" s="855"/>
      <c r="E172" s="855"/>
      <c r="F172" s="855"/>
      <c r="G172" s="855"/>
      <c r="H172" s="855"/>
      <c r="I172" s="855"/>
      <c r="J172" s="857"/>
      <c r="K172" s="63">
        <v>2</v>
      </c>
    </row>
    <row r="173" spans="1:11" ht="11.25">
      <c r="A173" s="63" t="s">
        <v>328</v>
      </c>
      <c r="B173" s="717"/>
      <c r="C173" s="696" t="s">
        <v>607</v>
      </c>
      <c r="D173" s="696"/>
      <c r="E173" s="696"/>
      <c r="F173" s="696"/>
      <c r="G173" s="696"/>
      <c r="H173" s="696"/>
      <c r="I173" s="696"/>
      <c r="J173" s="698"/>
      <c r="K173" s="84">
        <v>2</v>
      </c>
    </row>
    <row r="174" spans="1:11" ht="11.25">
      <c r="A174" s="63" t="s">
        <v>329</v>
      </c>
      <c r="B174" s="717"/>
      <c r="C174" s="782" t="s">
        <v>608</v>
      </c>
      <c r="D174" s="779"/>
      <c r="E174" s="779"/>
      <c r="F174" s="779"/>
      <c r="G174" s="779"/>
      <c r="H174" s="779"/>
      <c r="I174" s="779"/>
      <c r="J174" s="780"/>
      <c r="K174" s="63">
        <v>2</v>
      </c>
    </row>
    <row r="175" spans="1:11" ht="11.25">
      <c r="A175" s="63" t="s">
        <v>330</v>
      </c>
      <c r="B175" s="717"/>
      <c r="C175" s="782" t="s">
        <v>609</v>
      </c>
      <c r="D175" s="779"/>
      <c r="E175" s="779"/>
      <c r="F175" s="779"/>
      <c r="G175" s="779"/>
      <c r="H175" s="779"/>
      <c r="I175" s="779"/>
      <c r="J175" s="780"/>
      <c r="K175" s="63">
        <v>2</v>
      </c>
    </row>
    <row r="176" spans="1:11" ht="12" thickBot="1">
      <c r="A176" s="63" t="s">
        <v>378</v>
      </c>
      <c r="B176" s="716"/>
      <c r="C176" s="714" t="s">
        <v>610</v>
      </c>
      <c r="D176" s="687"/>
      <c r="E176" s="687"/>
      <c r="F176" s="687"/>
      <c r="G176" s="687"/>
      <c r="H176" s="687"/>
      <c r="I176" s="687"/>
      <c r="J176" s="689"/>
      <c r="K176" s="63">
        <v>2</v>
      </c>
    </row>
    <row r="177" spans="1:11" ht="11.25">
      <c r="A177" s="63" t="s">
        <v>326</v>
      </c>
      <c r="B177" s="704" t="s">
        <v>753</v>
      </c>
      <c r="C177" s="824" t="s">
        <v>605</v>
      </c>
      <c r="D177" s="825"/>
      <c r="E177" s="825"/>
      <c r="F177" s="825"/>
      <c r="G177" s="825"/>
      <c r="H177" s="825"/>
      <c r="I177" s="825"/>
      <c r="J177" s="826"/>
      <c r="K177" s="54">
        <v>2</v>
      </c>
    </row>
    <row r="178" spans="1:11" ht="11.25">
      <c r="A178" s="63" t="s">
        <v>327</v>
      </c>
      <c r="B178" s="717"/>
      <c r="C178" s="855" t="s">
        <v>606</v>
      </c>
      <c r="D178" s="855"/>
      <c r="E178" s="855"/>
      <c r="F178" s="855"/>
      <c r="G178" s="855"/>
      <c r="H178" s="855"/>
      <c r="I178" s="855"/>
      <c r="J178" s="857"/>
      <c r="K178" s="63">
        <v>2</v>
      </c>
    </row>
    <row r="179" spans="1:11" ht="11.25">
      <c r="A179" s="63" t="s">
        <v>328</v>
      </c>
      <c r="B179" s="717"/>
      <c r="C179" s="696" t="s">
        <v>607</v>
      </c>
      <c r="D179" s="696"/>
      <c r="E179" s="696"/>
      <c r="F179" s="696"/>
      <c r="G179" s="696"/>
      <c r="H179" s="696"/>
      <c r="I179" s="696"/>
      <c r="J179" s="698"/>
      <c r="K179" s="84">
        <v>2</v>
      </c>
    </row>
    <row r="180" spans="1:11" ht="11.25">
      <c r="A180" s="63" t="s">
        <v>329</v>
      </c>
      <c r="B180" s="717"/>
      <c r="C180" s="782" t="s">
        <v>608</v>
      </c>
      <c r="D180" s="779"/>
      <c r="E180" s="779"/>
      <c r="F180" s="779"/>
      <c r="G180" s="779"/>
      <c r="H180" s="779"/>
      <c r="I180" s="779"/>
      <c r="J180" s="780"/>
      <c r="K180" s="63">
        <v>2</v>
      </c>
    </row>
    <row r="181" spans="1:11" ht="11.25">
      <c r="A181" s="63" t="s">
        <v>330</v>
      </c>
      <c r="B181" s="717"/>
      <c r="C181" s="782" t="s">
        <v>609</v>
      </c>
      <c r="D181" s="779"/>
      <c r="E181" s="779"/>
      <c r="F181" s="779"/>
      <c r="G181" s="779"/>
      <c r="H181" s="779"/>
      <c r="I181" s="779"/>
      <c r="J181" s="780"/>
      <c r="K181" s="63">
        <v>2</v>
      </c>
    </row>
    <row r="182" spans="1:11" ht="12" thickBot="1">
      <c r="A182" s="63" t="s">
        <v>378</v>
      </c>
      <c r="B182" s="716"/>
      <c r="C182" s="714" t="s">
        <v>610</v>
      </c>
      <c r="D182" s="687"/>
      <c r="E182" s="687"/>
      <c r="F182" s="687"/>
      <c r="G182" s="687"/>
      <c r="H182" s="687"/>
      <c r="I182" s="687"/>
      <c r="J182" s="689"/>
      <c r="K182" s="63">
        <v>2</v>
      </c>
    </row>
    <row r="183" spans="1:11" ht="11.25">
      <c r="A183" s="63" t="s">
        <v>326</v>
      </c>
      <c r="B183" s="704" t="s">
        <v>754</v>
      </c>
      <c r="C183" s="824" t="s">
        <v>605</v>
      </c>
      <c r="D183" s="825"/>
      <c r="E183" s="825"/>
      <c r="F183" s="825"/>
      <c r="G183" s="825"/>
      <c r="H183" s="825"/>
      <c r="I183" s="825"/>
      <c r="J183" s="826"/>
      <c r="K183" s="54">
        <v>2</v>
      </c>
    </row>
    <row r="184" spans="1:11" ht="11.25">
      <c r="A184" s="63" t="s">
        <v>327</v>
      </c>
      <c r="B184" s="717"/>
      <c r="C184" s="855" t="s">
        <v>606</v>
      </c>
      <c r="D184" s="855"/>
      <c r="E184" s="855"/>
      <c r="F184" s="855"/>
      <c r="G184" s="855"/>
      <c r="H184" s="855"/>
      <c r="I184" s="855"/>
      <c r="J184" s="857"/>
      <c r="K184" s="63">
        <v>2</v>
      </c>
    </row>
    <row r="185" spans="1:11" ht="11.25">
      <c r="A185" s="63" t="s">
        <v>328</v>
      </c>
      <c r="B185" s="717"/>
      <c r="C185" s="696" t="s">
        <v>607</v>
      </c>
      <c r="D185" s="696"/>
      <c r="E185" s="696"/>
      <c r="F185" s="696"/>
      <c r="G185" s="696"/>
      <c r="H185" s="696"/>
      <c r="I185" s="696"/>
      <c r="J185" s="698"/>
      <c r="K185" s="84">
        <v>2</v>
      </c>
    </row>
    <row r="186" spans="1:11" ht="11.25">
      <c r="A186" s="63" t="s">
        <v>329</v>
      </c>
      <c r="B186" s="717"/>
      <c r="C186" s="782" t="s">
        <v>608</v>
      </c>
      <c r="D186" s="779"/>
      <c r="E186" s="779"/>
      <c r="F186" s="779"/>
      <c r="G186" s="779"/>
      <c r="H186" s="779"/>
      <c r="I186" s="779"/>
      <c r="J186" s="780"/>
      <c r="K186" s="63">
        <v>2</v>
      </c>
    </row>
    <row r="187" spans="1:11" ht="11.25">
      <c r="A187" s="63" t="s">
        <v>330</v>
      </c>
      <c r="B187" s="717"/>
      <c r="C187" s="782" t="s">
        <v>609</v>
      </c>
      <c r="D187" s="779"/>
      <c r="E187" s="779"/>
      <c r="F187" s="779"/>
      <c r="G187" s="779"/>
      <c r="H187" s="779"/>
      <c r="I187" s="779"/>
      <c r="J187" s="780"/>
      <c r="K187" s="63">
        <v>2</v>
      </c>
    </row>
    <row r="188" spans="1:11" ht="12" thickBot="1">
      <c r="A188" s="63" t="s">
        <v>378</v>
      </c>
      <c r="B188" s="716"/>
      <c r="C188" s="714" t="s">
        <v>610</v>
      </c>
      <c r="D188" s="687"/>
      <c r="E188" s="687"/>
      <c r="F188" s="687"/>
      <c r="G188" s="687"/>
      <c r="H188" s="687"/>
      <c r="I188" s="687"/>
      <c r="J188" s="689"/>
      <c r="K188" s="63">
        <v>2</v>
      </c>
    </row>
    <row r="189" spans="1:11" ht="11.25">
      <c r="A189" s="63" t="s">
        <v>326</v>
      </c>
      <c r="B189" s="704" t="s">
        <v>755</v>
      </c>
      <c r="C189" s="824" t="s">
        <v>605</v>
      </c>
      <c r="D189" s="825"/>
      <c r="E189" s="825"/>
      <c r="F189" s="825"/>
      <c r="G189" s="825"/>
      <c r="H189" s="825"/>
      <c r="I189" s="825"/>
      <c r="J189" s="826"/>
      <c r="K189" s="54">
        <v>2</v>
      </c>
    </row>
    <row r="190" spans="1:11" ht="11.25">
      <c r="A190" s="63" t="s">
        <v>327</v>
      </c>
      <c r="B190" s="717"/>
      <c r="C190" s="855" t="s">
        <v>606</v>
      </c>
      <c r="D190" s="855"/>
      <c r="E190" s="855"/>
      <c r="F190" s="855"/>
      <c r="G190" s="855"/>
      <c r="H190" s="855"/>
      <c r="I190" s="855"/>
      <c r="J190" s="857"/>
      <c r="K190" s="63">
        <v>2</v>
      </c>
    </row>
    <row r="191" spans="1:11" ht="11.25">
      <c r="A191" s="63" t="s">
        <v>328</v>
      </c>
      <c r="B191" s="717"/>
      <c r="C191" s="696" t="s">
        <v>607</v>
      </c>
      <c r="D191" s="696"/>
      <c r="E191" s="696"/>
      <c r="F191" s="696"/>
      <c r="G191" s="696"/>
      <c r="H191" s="696"/>
      <c r="I191" s="696"/>
      <c r="J191" s="698"/>
      <c r="K191" s="84">
        <v>2</v>
      </c>
    </row>
    <row r="192" spans="1:11" ht="11.25">
      <c r="A192" s="63" t="s">
        <v>329</v>
      </c>
      <c r="B192" s="717"/>
      <c r="C192" s="782" t="s">
        <v>608</v>
      </c>
      <c r="D192" s="779"/>
      <c r="E192" s="779"/>
      <c r="F192" s="779"/>
      <c r="G192" s="779"/>
      <c r="H192" s="779"/>
      <c r="I192" s="779"/>
      <c r="J192" s="780"/>
      <c r="K192" s="63">
        <v>2</v>
      </c>
    </row>
    <row r="193" spans="1:11" ht="11.25">
      <c r="A193" s="63" t="s">
        <v>330</v>
      </c>
      <c r="B193" s="717"/>
      <c r="C193" s="782" t="s">
        <v>609</v>
      </c>
      <c r="D193" s="779"/>
      <c r="E193" s="779"/>
      <c r="F193" s="779"/>
      <c r="G193" s="779"/>
      <c r="H193" s="779"/>
      <c r="I193" s="779"/>
      <c r="J193" s="780"/>
      <c r="K193" s="63">
        <v>2</v>
      </c>
    </row>
    <row r="194" spans="1:11" ht="12" thickBot="1">
      <c r="A194" s="63" t="s">
        <v>378</v>
      </c>
      <c r="B194" s="716"/>
      <c r="C194" s="714" t="s">
        <v>610</v>
      </c>
      <c r="D194" s="687"/>
      <c r="E194" s="687"/>
      <c r="F194" s="687"/>
      <c r="G194" s="687"/>
      <c r="H194" s="687"/>
      <c r="I194" s="687"/>
      <c r="J194" s="689"/>
      <c r="K194" s="63">
        <v>2</v>
      </c>
    </row>
    <row r="195" spans="1:11" ht="11.25">
      <c r="A195" s="63" t="s">
        <v>326</v>
      </c>
      <c r="B195" s="704" t="s">
        <v>756</v>
      </c>
      <c r="C195" s="824" t="s">
        <v>605</v>
      </c>
      <c r="D195" s="825"/>
      <c r="E195" s="825"/>
      <c r="F195" s="825"/>
      <c r="G195" s="825"/>
      <c r="H195" s="825"/>
      <c r="I195" s="825"/>
      <c r="J195" s="826"/>
      <c r="K195" s="54">
        <v>2</v>
      </c>
    </row>
    <row r="196" spans="1:11" ht="11.25">
      <c r="A196" s="63" t="s">
        <v>327</v>
      </c>
      <c r="B196" s="717"/>
      <c r="C196" s="855" t="s">
        <v>606</v>
      </c>
      <c r="D196" s="855"/>
      <c r="E196" s="855"/>
      <c r="F196" s="855"/>
      <c r="G196" s="855"/>
      <c r="H196" s="855"/>
      <c r="I196" s="855"/>
      <c r="J196" s="857"/>
      <c r="K196" s="63">
        <v>2</v>
      </c>
    </row>
    <row r="197" spans="1:11" ht="11.25">
      <c r="A197" s="63" t="s">
        <v>328</v>
      </c>
      <c r="B197" s="717"/>
      <c r="C197" s="696" t="s">
        <v>607</v>
      </c>
      <c r="D197" s="696"/>
      <c r="E197" s="696"/>
      <c r="F197" s="696"/>
      <c r="G197" s="696"/>
      <c r="H197" s="696"/>
      <c r="I197" s="696"/>
      <c r="J197" s="698"/>
      <c r="K197" s="84">
        <v>2</v>
      </c>
    </row>
    <row r="198" spans="1:11" ht="11.25">
      <c r="A198" s="63" t="s">
        <v>329</v>
      </c>
      <c r="B198" s="717"/>
      <c r="C198" s="782" t="s">
        <v>608</v>
      </c>
      <c r="D198" s="779"/>
      <c r="E198" s="779"/>
      <c r="F198" s="779"/>
      <c r="G198" s="779"/>
      <c r="H198" s="779"/>
      <c r="I198" s="779"/>
      <c r="J198" s="780"/>
      <c r="K198" s="63">
        <v>2</v>
      </c>
    </row>
    <row r="199" spans="1:11" ht="11.25">
      <c r="A199" s="63" t="s">
        <v>330</v>
      </c>
      <c r="B199" s="717"/>
      <c r="C199" s="782" t="s">
        <v>609</v>
      </c>
      <c r="D199" s="779"/>
      <c r="E199" s="779"/>
      <c r="F199" s="779"/>
      <c r="G199" s="779"/>
      <c r="H199" s="779"/>
      <c r="I199" s="779"/>
      <c r="J199" s="780"/>
      <c r="K199" s="63">
        <v>2</v>
      </c>
    </row>
    <row r="200" spans="1:11" ht="12" thickBot="1">
      <c r="A200" s="63" t="s">
        <v>378</v>
      </c>
      <c r="B200" s="716"/>
      <c r="C200" s="714" t="s">
        <v>610</v>
      </c>
      <c r="D200" s="687"/>
      <c r="E200" s="687"/>
      <c r="F200" s="687"/>
      <c r="G200" s="687"/>
      <c r="H200" s="687"/>
      <c r="I200" s="687"/>
      <c r="J200" s="689"/>
      <c r="K200" s="63">
        <v>2</v>
      </c>
    </row>
    <row r="201" spans="1:11" ht="11.25">
      <c r="A201" s="63" t="s">
        <v>326</v>
      </c>
      <c r="B201" s="704" t="s">
        <v>757</v>
      </c>
      <c r="C201" s="824" t="s">
        <v>605</v>
      </c>
      <c r="D201" s="825"/>
      <c r="E201" s="825"/>
      <c r="F201" s="825"/>
      <c r="G201" s="825"/>
      <c r="H201" s="825"/>
      <c r="I201" s="825"/>
      <c r="J201" s="826"/>
      <c r="K201" s="54">
        <v>2</v>
      </c>
    </row>
    <row r="202" spans="1:11" ht="11.25">
      <c r="A202" s="63" t="s">
        <v>327</v>
      </c>
      <c r="B202" s="717"/>
      <c r="C202" s="855" t="s">
        <v>606</v>
      </c>
      <c r="D202" s="855"/>
      <c r="E202" s="855"/>
      <c r="F202" s="855"/>
      <c r="G202" s="855"/>
      <c r="H202" s="855"/>
      <c r="I202" s="855"/>
      <c r="J202" s="857"/>
      <c r="K202" s="63">
        <v>2</v>
      </c>
    </row>
    <row r="203" spans="1:11" ht="11.25">
      <c r="A203" s="63" t="s">
        <v>328</v>
      </c>
      <c r="B203" s="717"/>
      <c r="C203" s="696" t="s">
        <v>607</v>
      </c>
      <c r="D203" s="696"/>
      <c r="E203" s="696"/>
      <c r="F203" s="696"/>
      <c r="G203" s="696"/>
      <c r="H203" s="696"/>
      <c r="I203" s="696"/>
      <c r="J203" s="698"/>
      <c r="K203" s="84">
        <v>2</v>
      </c>
    </row>
    <row r="204" spans="1:11" ht="11.25">
      <c r="A204" s="63" t="s">
        <v>329</v>
      </c>
      <c r="B204" s="717"/>
      <c r="C204" s="782" t="s">
        <v>608</v>
      </c>
      <c r="D204" s="779"/>
      <c r="E204" s="779"/>
      <c r="F204" s="779"/>
      <c r="G204" s="779"/>
      <c r="H204" s="779"/>
      <c r="I204" s="779"/>
      <c r="J204" s="780"/>
      <c r="K204" s="63">
        <v>2</v>
      </c>
    </row>
    <row r="205" spans="1:11" ht="11.25">
      <c r="A205" s="63" t="s">
        <v>330</v>
      </c>
      <c r="B205" s="717"/>
      <c r="C205" s="782" t="s">
        <v>609</v>
      </c>
      <c r="D205" s="779"/>
      <c r="E205" s="779"/>
      <c r="F205" s="779"/>
      <c r="G205" s="779"/>
      <c r="H205" s="779"/>
      <c r="I205" s="779"/>
      <c r="J205" s="780"/>
      <c r="K205" s="63">
        <v>2</v>
      </c>
    </row>
    <row r="206" spans="1:11" ht="12" thickBot="1">
      <c r="A206" s="63" t="s">
        <v>378</v>
      </c>
      <c r="B206" s="716"/>
      <c r="C206" s="714" t="s">
        <v>610</v>
      </c>
      <c r="D206" s="687"/>
      <c r="E206" s="687"/>
      <c r="F206" s="687"/>
      <c r="G206" s="687"/>
      <c r="H206" s="687"/>
      <c r="I206" s="687"/>
      <c r="J206" s="689"/>
      <c r="K206" s="63">
        <v>2</v>
      </c>
    </row>
    <row r="207" spans="1:11" ht="11.25">
      <c r="A207" s="63" t="s">
        <v>326</v>
      </c>
      <c r="B207" s="704" t="s">
        <v>758</v>
      </c>
      <c r="C207" s="824" t="s">
        <v>605</v>
      </c>
      <c r="D207" s="825"/>
      <c r="E207" s="825"/>
      <c r="F207" s="825"/>
      <c r="G207" s="825"/>
      <c r="H207" s="825"/>
      <c r="I207" s="825"/>
      <c r="J207" s="826"/>
      <c r="K207" s="54">
        <v>2</v>
      </c>
    </row>
    <row r="208" spans="1:11" ht="11.25">
      <c r="A208" s="63" t="s">
        <v>327</v>
      </c>
      <c r="B208" s="717"/>
      <c r="C208" s="855" t="s">
        <v>606</v>
      </c>
      <c r="D208" s="855"/>
      <c r="E208" s="855"/>
      <c r="F208" s="855"/>
      <c r="G208" s="855"/>
      <c r="H208" s="855"/>
      <c r="I208" s="855"/>
      <c r="J208" s="857"/>
      <c r="K208" s="63">
        <v>2</v>
      </c>
    </row>
    <row r="209" spans="1:11" ht="11.25">
      <c r="A209" s="63" t="s">
        <v>328</v>
      </c>
      <c r="B209" s="717"/>
      <c r="C209" s="696" t="s">
        <v>607</v>
      </c>
      <c r="D209" s="696"/>
      <c r="E209" s="696"/>
      <c r="F209" s="696"/>
      <c r="G209" s="696"/>
      <c r="H209" s="696"/>
      <c r="I209" s="696"/>
      <c r="J209" s="698"/>
      <c r="K209" s="84">
        <v>2</v>
      </c>
    </row>
    <row r="210" spans="1:11" ht="11.25">
      <c r="A210" s="63" t="s">
        <v>329</v>
      </c>
      <c r="B210" s="717"/>
      <c r="C210" s="782" t="s">
        <v>608</v>
      </c>
      <c r="D210" s="779"/>
      <c r="E210" s="779"/>
      <c r="F210" s="779"/>
      <c r="G210" s="779"/>
      <c r="H210" s="779"/>
      <c r="I210" s="779"/>
      <c r="J210" s="780"/>
      <c r="K210" s="63">
        <v>2</v>
      </c>
    </row>
    <row r="211" spans="1:11" ht="11.25">
      <c r="A211" s="63" t="s">
        <v>330</v>
      </c>
      <c r="B211" s="717"/>
      <c r="C211" s="782" t="s">
        <v>609</v>
      </c>
      <c r="D211" s="779"/>
      <c r="E211" s="779"/>
      <c r="F211" s="779"/>
      <c r="G211" s="779"/>
      <c r="H211" s="779"/>
      <c r="I211" s="779"/>
      <c r="J211" s="780"/>
      <c r="K211" s="63">
        <v>2</v>
      </c>
    </row>
    <row r="212" spans="1:11" ht="12" thickBot="1">
      <c r="A212" s="63" t="s">
        <v>378</v>
      </c>
      <c r="B212" s="716"/>
      <c r="C212" s="788" t="s">
        <v>610</v>
      </c>
      <c r="D212" s="772"/>
      <c r="E212" s="772"/>
      <c r="F212" s="772"/>
      <c r="G212" s="772"/>
      <c r="H212" s="772"/>
      <c r="I212" s="772"/>
      <c r="J212" s="773"/>
      <c r="K212" s="63">
        <v>2</v>
      </c>
    </row>
    <row r="213" spans="1:11" ht="11.25">
      <c r="A213" s="63" t="s">
        <v>326</v>
      </c>
      <c r="B213" s="704" t="s">
        <v>759</v>
      </c>
      <c r="C213" s="824" t="s">
        <v>605</v>
      </c>
      <c r="D213" s="825"/>
      <c r="E213" s="825"/>
      <c r="F213" s="825"/>
      <c r="G213" s="825"/>
      <c r="H213" s="825"/>
      <c r="I213" s="825"/>
      <c r="J213" s="826"/>
      <c r="K213" s="54">
        <v>2</v>
      </c>
    </row>
    <row r="214" spans="1:11" ht="11.25">
      <c r="A214" s="63" t="s">
        <v>327</v>
      </c>
      <c r="B214" s="717"/>
      <c r="C214" s="855" t="s">
        <v>606</v>
      </c>
      <c r="D214" s="855"/>
      <c r="E214" s="855"/>
      <c r="F214" s="855"/>
      <c r="G214" s="855"/>
      <c r="H214" s="855"/>
      <c r="I214" s="855"/>
      <c r="J214" s="857"/>
      <c r="K214" s="63">
        <v>2</v>
      </c>
    </row>
    <row r="215" spans="1:11" ht="11.25">
      <c r="A215" s="63" t="s">
        <v>328</v>
      </c>
      <c r="B215" s="717"/>
      <c r="C215" s="696" t="s">
        <v>607</v>
      </c>
      <c r="D215" s="696"/>
      <c r="E215" s="696"/>
      <c r="F215" s="696"/>
      <c r="G215" s="696"/>
      <c r="H215" s="696"/>
      <c r="I215" s="696"/>
      <c r="J215" s="698"/>
      <c r="K215" s="84">
        <v>2</v>
      </c>
    </row>
    <row r="216" spans="1:11" ht="11.25">
      <c r="A216" s="63" t="s">
        <v>329</v>
      </c>
      <c r="B216" s="717"/>
      <c r="C216" s="782" t="s">
        <v>608</v>
      </c>
      <c r="D216" s="779"/>
      <c r="E216" s="779"/>
      <c r="F216" s="779"/>
      <c r="G216" s="779"/>
      <c r="H216" s="779"/>
      <c r="I216" s="779"/>
      <c r="J216" s="780"/>
      <c r="K216" s="63">
        <v>2</v>
      </c>
    </row>
    <row r="217" spans="1:11" ht="11.25">
      <c r="A217" s="63" t="s">
        <v>330</v>
      </c>
      <c r="B217" s="717"/>
      <c r="C217" s="782" t="s">
        <v>609</v>
      </c>
      <c r="D217" s="779"/>
      <c r="E217" s="779"/>
      <c r="F217" s="779"/>
      <c r="G217" s="779"/>
      <c r="H217" s="779"/>
      <c r="I217" s="779"/>
      <c r="J217" s="780"/>
      <c r="K217" s="63">
        <v>2</v>
      </c>
    </row>
    <row r="218" spans="1:11" ht="12" thickBot="1">
      <c r="A218" s="63" t="s">
        <v>378</v>
      </c>
      <c r="B218" s="716"/>
      <c r="C218" s="714" t="s">
        <v>610</v>
      </c>
      <c r="D218" s="687"/>
      <c r="E218" s="687"/>
      <c r="F218" s="687"/>
      <c r="G218" s="687"/>
      <c r="H218" s="687"/>
      <c r="I218" s="687"/>
      <c r="J218" s="689"/>
      <c r="K218" s="63">
        <v>2</v>
      </c>
    </row>
    <row r="219" spans="1:11" ht="11.25">
      <c r="A219" s="63" t="s">
        <v>326</v>
      </c>
      <c r="B219" s="704" t="s">
        <v>760</v>
      </c>
      <c r="C219" s="824" t="s">
        <v>605</v>
      </c>
      <c r="D219" s="825"/>
      <c r="E219" s="825"/>
      <c r="F219" s="825"/>
      <c r="G219" s="825"/>
      <c r="H219" s="825"/>
      <c r="I219" s="825"/>
      <c r="J219" s="826"/>
      <c r="K219" s="54">
        <v>2</v>
      </c>
    </row>
    <row r="220" spans="1:11" ht="11.25">
      <c r="A220" s="63" t="s">
        <v>327</v>
      </c>
      <c r="B220" s="717"/>
      <c r="C220" s="855" t="s">
        <v>606</v>
      </c>
      <c r="D220" s="855"/>
      <c r="E220" s="855"/>
      <c r="F220" s="855"/>
      <c r="G220" s="855"/>
      <c r="H220" s="855"/>
      <c r="I220" s="855"/>
      <c r="J220" s="857"/>
      <c r="K220" s="63">
        <v>2</v>
      </c>
    </row>
    <row r="221" spans="1:11" ht="11.25">
      <c r="A221" s="63" t="s">
        <v>328</v>
      </c>
      <c r="B221" s="717"/>
      <c r="C221" s="696" t="s">
        <v>607</v>
      </c>
      <c r="D221" s="696"/>
      <c r="E221" s="696"/>
      <c r="F221" s="696"/>
      <c r="G221" s="696"/>
      <c r="H221" s="696"/>
      <c r="I221" s="696"/>
      <c r="J221" s="698"/>
      <c r="K221" s="84">
        <v>2</v>
      </c>
    </row>
    <row r="222" spans="1:11" ht="11.25">
      <c r="A222" s="63" t="s">
        <v>329</v>
      </c>
      <c r="B222" s="717"/>
      <c r="C222" s="782" t="s">
        <v>608</v>
      </c>
      <c r="D222" s="779"/>
      <c r="E222" s="779"/>
      <c r="F222" s="779"/>
      <c r="G222" s="779"/>
      <c r="H222" s="779"/>
      <c r="I222" s="779"/>
      <c r="J222" s="780"/>
      <c r="K222" s="63">
        <v>2</v>
      </c>
    </row>
    <row r="223" spans="1:11" ht="11.25">
      <c r="A223" s="63" t="s">
        <v>330</v>
      </c>
      <c r="B223" s="717"/>
      <c r="C223" s="782" t="s">
        <v>609</v>
      </c>
      <c r="D223" s="779"/>
      <c r="E223" s="779"/>
      <c r="F223" s="779"/>
      <c r="G223" s="779"/>
      <c r="H223" s="779"/>
      <c r="I223" s="779"/>
      <c r="J223" s="780"/>
      <c r="K223" s="63">
        <v>2</v>
      </c>
    </row>
    <row r="224" spans="1:11" ht="12" thickBot="1">
      <c r="A224" s="63" t="s">
        <v>378</v>
      </c>
      <c r="B224" s="716"/>
      <c r="C224" s="714" t="s">
        <v>610</v>
      </c>
      <c r="D224" s="687"/>
      <c r="E224" s="687"/>
      <c r="F224" s="687"/>
      <c r="G224" s="687"/>
      <c r="H224" s="687"/>
      <c r="I224" s="687"/>
      <c r="J224" s="689"/>
      <c r="K224" s="63">
        <v>2</v>
      </c>
    </row>
    <row r="225" spans="1:11" ht="11.25">
      <c r="A225" s="63" t="s">
        <v>326</v>
      </c>
      <c r="B225" s="704" t="s">
        <v>761</v>
      </c>
      <c r="C225" s="824" t="s">
        <v>605</v>
      </c>
      <c r="D225" s="825"/>
      <c r="E225" s="825"/>
      <c r="F225" s="825"/>
      <c r="G225" s="825"/>
      <c r="H225" s="825"/>
      <c r="I225" s="825"/>
      <c r="J225" s="826"/>
      <c r="K225" s="54">
        <v>2</v>
      </c>
    </row>
    <row r="226" spans="1:11" ht="11.25">
      <c r="A226" s="63" t="s">
        <v>327</v>
      </c>
      <c r="B226" s="717"/>
      <c r="C226" s="855" t="s">
        <v>606</v>
      </c>
      <c r="D226" s="855"/>
      <c r="E226" s="855"/>
      <c r="F226" s="855"/>
      <c r="G226" s="855"/>
      <c r="H226" s="855"/>
      <c r="I226" s="855"/>
      <c r="J226" s="857"/>
      <c r="K226" s="63">
        <v>2</v>
      </c>
    </row>
    <row r="227" spans="1:11" ht="11.25">
      <c r="A227" s="63" t="s">
        <v>328</v>
      </c>
      <c r="B227" s="717"/>
      <c r="C227" s="696" t="s">
        <v>607</v>
      </c>
      <c r="D227" s="696"/>
      <c r="E227" s="696"/>
      <c r="F227" s="696"/>
      <c r="G227" s="696"/>
      <c r="H227" s="696"/>
      <c r="I227" s="696"/>
      <c r="J227" s="698"/>
      <c r="K227" s="84">
        <v>2</v>
      </c>
    </row>
    <row r="228" spans="1:11" ht="11.25">
      <c r="A228" s="63" t="s">
        <v>329</v>
      </c>
      <c r="B228" s="717"/>
      <c r="C228" s="782" t="s">
        <v>608</v>
      </c>
      <c r="D228" s="779"/>
      <c r="E228" s="779"/>
      <c r="F228" s="779"/>
      <c r="G228" s="779"/>
      <c r="H228" s="779"/>
      <c r="I228" s="779"/>
      <c r="J228" s="780"/>
      <c r="K228" s="63">
        <v>2</v>
      </c>
    </row>
    <row r="229" spans="1:11" ht="11.25">
      <c r="A229" s="63" t="s">
        <v>330</v>
      </c>
      <c r="B229" s="717"/>
      <c r="C229" s="782" t="s">
        <v>609</v>
      </c>
      <c r="D229" s="779"/>
      <c r="E229" s="779"/>
      <c r="F229" s="779"/>
      <c r="G229" s="779"/>
      <c r="H229" s="779"/>
      <c r="I229" s="779"/>
      <c r="J229" s="780"/>
      <c r="K229" s="63">
        <v>2</v>
      </c>
    </row>
    <row r="230" spans="1:11" ht="12" thickBot="1">
      <c r="A230" s="63" t="s">
        <v>378</v>
      </c>
      <c r="B230" s="716"/>
      <c r="C230" s="714" t="s">
        <v>610</v>
      </c>
      <c r="D230" s="687"/>
      <c r="E230" s="687"/>
      <c r="F230" s="687"/>
      <c r="G230" s="687"/>
      <c r="H230" s="687"/>
      <c r="I230" s="687"/>
      <c r="J230" s="689"/>
      <c r="K230" s="63">
        <v>2</v>
      </c>
    </row>
    <row r="231" spans="1:11" ht="11.25">
      <c r="A231" s="63" t="s">
        <v>326</v>
      </c>
      <c r="B231" s="704" t="s">
        <v>762</v>
      </c>
      <c r="C231" s="824" t="s">
        <v>605</v>
      </c>
      <c r="D231" s="825"/>
      <c r="E231" s="825"/>
      <c r="F231" s="825"/>
      <c r="G231" s="825"/>
      <c r="H231" s="825"/>
      <c r="I231" s="825"/>
      <c r="J231" s="826"/>
      <c r="K231" s="54">
        <v>2</v>
      </c>
    </row>
    <row r="232" spans="1:11" ht="11.25">
      <c r="A232" s="63" t="s">
        <v>327</v>
      </c>
      <c r="B232" s="717"/>
      <c r="C232" s="855" t="s">
        <v>606</v>
      </c>
      <c r="D232" s="855"/>
      <c r="E232" s="855"/>
      <c r="F232" s="855"/>
      <c r="G232" s="855"/>
      <c r="H232" s="855"/>
      <c r="I232" s="855"/>
      <c r="J232" s="857"/>
      <c r="K232" s="63">
        <v>2</v>
      </c>
    </row>
    <row r="233" spans="1:11" ht="11.25">
      <c r="A233" s="63" t="s">
        <v>328</v>
      </c>
      <c r="B233" s="717"/>
      <c r="C233" s="696" t="s">
        <v>607</v>
      </c>
      <c r="D233" s="696"/>
      <c r="E233" s="696"/>
      <c r="F233" s="696"/>
      <c r="G233" s="696"/>
      <c r="H233" s="696"/>
      <c r="I233" s="696"/>
      <c r="J233" s="698"/>
      <c r="K233" s="84">
        <v>2</v>
      </c>
    </row>
    <row r="234" spans="1:11" ht="11.25">
      <c r="A234" s="63" t="s">
        <v>329</v>
      </c>
      <c r="B234" s="717"/>
      <c r="C234" s="782" t="s">
        <v>608</v>
      </c>
      <c r="D234" s="779"/>
      <c r="E234" s="779"/>
      <c r="F234" s="779"/>
      <c r="G234" s="779"/>
      <c r="H234" s="779"/>
      <c r="I234" s="779"/>
      <c r="J234" s="780"/>
      <c r="K234" s="63">
        <v>2</v>
      </c>
    </row>
    <row r="235" spans="1:11" ht="11.25">
      <c r="A235" s="63" t="s">
        <v>330</v>
      </c>
      <c r="B235" s="717"/>
      <c r="C235" s="782" t="s">
        <v>609</v>
      </c>
      <c r="D235" s="779"/>
      <c r="E235" s="779"/>
      <c r="F235" s="779"/>
      <c r="G235" s="779"/>
      <c r="H235" s="779"/>
      <c r="I235" s="779"/>
      <c r="J235" s="780"/>
      <c r="K235" s="63">
        <v>2</v>
      </c>
    </row>
    <row r="236" spans="1:11" ht="12" thickBot="1">
      <c r="A236" s="63" t="s">
        <v>378</v>
      </c>
      <c r="B236" s="716"/>
      <c r="C236" s="714" t="s">
        <v>610</v>
      </c>
      <c r="D236" s="687"/>
      <c r="E236" s="687"/>
      <c r="F236" s="687"/>
      <c r="G236" s="687"/>
      <c r="H236" s="687"/>
      <c r="I236" s="687"/>
      <c r="J236" s="689"/>
      <c r="K236" s="63">
        <v>2</v>
      </c>
    </row>
    <row r="237" spans="1:11" ht="11.25">
      <c r="A237" s="63" t="s">
        <v>326</v>
      </c>
      <c r="B237" s="704" t="s">
        <v>763</v>
      </c>
      <c r="C237" s="824" t="s">
        <v>605</v>
      </c>
      <c r="D237" s="825"/>
      <c r="E237" s="825"/>
      <c r="F237" s="825"/>
      <c r="G237" s="825"/>
      <c r="H237" s="825"/>
      <c r="I237" s="825"/>
      <c r="J237" s="826"/>
      <c r="K237" s="54">
        <v>2</v>
      </c>
    </row>
    <row r="238" spans="1:11" ht="11.25">
      <c r="A238" s="63" t="s">
        <v>327</v>
      </c>
      <c r="B238" s="717"/>
      <c r="C238" s="855" t="s">
        <v>606</v>
      </c>
      <c r="D238" s="855"/>
      <c r="E238" s="855"/>
      <c r="F238" s="855"/>
      <c r="G238" s="855"/>
      <c r="H238" s="855"/>
      <c r="I238" s="855"/>
      <c r="J238" s="857"/>
      <c r="K238" s="63">
        <v>2</v>
      </c>
    </row>
    <row r="239" spans="1:11" ht="11.25">
      <c r="A239" s="63" t="s">
        <v>328</v>
      </c>
      <c r="B239" s="717"/>
      <c r="C239" s="696" t="s">
        <v>607</v>
      </c>
      <c r="D239" s="696"/>
      <c r="E239" s="696"/>
      <c r="F239" s="696"/>
      <c r="G239" s="696"/>
      <c r="H239" s="696"/>
      <c r="I239" s="696"/>
      <c r="J239" s="698"/>
      <c r="K239" s="84">
        <v>2</v>
      </c>
    </row>
    <row r="240" spans="1:11" ht="11.25">
      <c r="A240" s="63" t="s">
        <v>329</v>
      </c>
      <c r="B240" s="717"/>
      <c r="C240" s="782" t="s">
        <v>608</v>
      </c>
      <c r="D240" s="779"/>
      <c r="E240" s="779"/>
      <c r="F240" s="779"/>
      <c r="G240" s="779"/>
      <c r="H240" s="779"/>
      <c r="I240" s="779"/>
      <c r="J240" s="780"/>
      <c r="K240" s="63">
        <v>2</v>
      </c>
    </row>
    <row r="241" spans="1:11" ht="11.25">
      <c r="A241" s="63" t="s">
        <v>330</v>
      </c>
      <c r="B241" s="717"/>
      <c r="C241" s="782" t="s">
        <v>609</v>
      </c>
      <c r="D241" s="779"/>
      <c r="E241" s="779"/>
      <c r="F241" s="779"/>
      <c r="G241" s="779"/>
      <c r="H241" s="779"/>
      <c r="I241" s="779"/>
      <c r="J241" s="780"/>
      <c r="K241" s="63">
        <v>2</v>
      </c>
    </row>
    <row r="242" spans="1:11" ht="12" thickBot="1">
      <c r="A242" s="63" t="s">
        <v>378</v>
      </c>
      <c r="B242" s="716"/>
      <c r="C242" s="714" t="s">
        <v>610</v>
      </c>
      <c r="D242" s="687"/>
      <c r="E242" s="687"/>
      <c r="F242" s="687"/>
      <c r="G242" s="687"/>
      <c r="H242" s="687"/>
      <c r="I242" s="687"/>
      <c r="J242" s="689"/>
      <c r="K242" s="63">
        <v>2</v>
      </c>
    </row>
    <row r="243" spans="1:11" ht="11.25">
      <c r="A243" s="63" t="s">
        <v>326</v>
      </c>
      <c r="B243" s="704" t="s">
        <v>764</v>
      </c>
      <c r="C243" s="824" t="s">
        <v>605</v>
      </c>
      <c r="D243" s="825"/>
      <c r="E243" s="825"/>
      <c r="F243" s="825"/>
      <c r="G243" s="825"/>
      <c r="H243" s="825"/>
      <c r="I243" s="825"/>
      <c r="J243" s="826"/>
      <c r="K243" s="54">
        <v>2</v>
      </c>
    </row>
    <row r="244" spans="1:11" ht="11.25">
      <c r="A244" s="63" t="s">
        <v>327</v>
      </c>
      <c r="B244" s="717"/>
      <c r="C244" s="855" t="s">
        <v>606</v>
      </c>
      <c r="D244" s="855"/>
      <c r="E244" s="855"/>
      <c r="F244" s="855"/>
      <c r="G244" s="855"/>
      <c r="H244" s="855"/>
      <c r="I244" s="855"/>
      <c r="J244" s="857"/>
      <c r="K244" s="63">
        <v>2</v>
      </c>
    </row>
    <row r="245" spans="1:11" ht="11.25">
      <c r="A245" s="63" t="s">
        <v>328</v>
      </c>
      <c r="B245" s="717"/>
      <c r="C245" s="696" t="s">
        <v>607</v>
      </c>
      <c r="D245" s="696"/>
      <c r="E245" s="696"/>
      <c r="F245" s="696"/>
      <c r="G245" s="696"/>
      <c r="H245" s="696"/>
      <c r="I245" s="696"/>
      <c r="J245" s="698"/>
      <c r="K245" s="84">
        <v>2</v>
      </c>
    </row>
    <row r="246" spans="1:11" ht="11.25">
      <c r="A246" s="63" t="s">
        <v>329</v>
      </c>
      <c r="B246" s="717"/>
      <c r="C246" s="782" t="s">
        <v>608</v>
      </c>
      <c r="D246" s="779"/>
      <c r="E246" s="779"/>
      <c r="F246" s="779"/>
      <c r="G246" s="779"/>
      <c r="H246" s="779"/>
      <c r="I246" s="779"/>
      <c r="J246" s="780"/>
      <c r="K246" s="63">
        <v>2</v>
      </c>
    </row>
    <row r="247" spans="1:11" ht="11.25">
      <c r="A247" s="63" t="s">
        <v>330</v>
      </c>
      <c r="B247" s="717"/>
      <c r="C247" s="782" t="s">
        <v>609</v>
      </c>
      <c r="D247" s="779"/>
      <c r="E247" s="779"/>
      <c r="F247" s="779"/>
      <c r="G247" s="779"/>
      <c r="H247" s="779"/>
      <c r="I247" s="779"/>
      <c r="J247" s="780"/>
      <c r="K247" s="63">
        <v>2</v>
      </c>
    </row>
    <row r="248" spans="1:11" ht="12" thickBot="1">
      <c r="A248" s="63" t="s">
        <v>378</v>
      </c>
      <c r="B248" s="716"/>
      <c r="C248" s="714" t="s">
        <v>610</v>
      </c>
      <c r="D248" s="687"/>
      <c r="E248" s="687"/>
      <c r="F248" s="687"/>
      <c r="G248" s="687"/>
      <c r="H248" s="687"/>
      <c r="I248" s="687"/>
      <c r="J248" s="689"/>
      <c r="K248" s="63">
        <v>2</v>
      </c>
    </row>
    <row r="249" spans="1:11" ht="11.25">
      <c r="A249" s="63" t="s">
        <v>326</v>
      </c>
      <c r="B249" s="704" t="s">
        <v>765</v>
      </c>
      <c r="C249" s="824" t="s">
        <v>605</v>
      </c>
      <c r="D249" s="825"/>
      <c r="E249" s="825"/>
      <c r="F249" s="825"/>
      <c r="G249" s="825"/>
      <c r="H249" s="825"/>
      <c r="I249" s="825"/>
      <c r="J249" s="826"/>
      <c r="K249" s="54">
        <v>2</v>
      </c>
    </row>
    <row r="250" spans="1:11" ht="11.25">
      <c r="A250" s="63" t="s">
        <v>327</v>
      </c>
      <c r="B250" s="717"/>
      <c r="C250" s="855" t="s">
        <v>606</v>
      </c>
      <c r="D250" s="855"/>
      <c r="E250" s="855"/>
      <c r="F250" s="855"/>
      <c r="G250" s="855"/>
      <c r="H250" s="855"/>
      <c r="I250" s="855"/>
      <c r="J250" s="857"/>
      <c r="K250" s="63">
        <v>2</v>
      </c>
    </row>
    <row r="251" spans="1:11" ht="11.25">
      <c r="A251" s="63" t="s">
        <v>328</v>
      </c>
      <c r="B251" s="717"/>
      <c r="C251" s="696" t="s">
        <v>607</v>
      </c>
      <c r="D251" s="696"/>
      <c r="E251" s="696"/>
      <c r="F251" s="696"/>
      <c r="G251" s="696"/>
      <c r="H251" s="696"/>
      <c r="I251" s="696"/>
      <c r="J251" s="698"/>
      <c r="K251" s="84">
        <v>2</v>
      </c>
    </row>
    <row r="252" spans="1:11" ht="11.25">
      <c r="A252" s="63" t="s">
        <v>329</v>
      </c>
      <c r="B252" s="717"/>
      <c r="C252" s="782" t="s">
        <v>608</v>
      </c>
      <c r="D252" s="779"/>
      <c r="E252" s="779"/>
      <c r="F252" s="779"/>
      <c r="G252" s="779"/>
      <c r="H252" s="779"/>
      <c r="I252" s="779"/>
      <c r="J252" s="780"/>
      <c r="K252" s="63">
        <v>2</v>
      </c>
    </row>
    <row r="253" spans="1:11" ht="11.25">
      <c r="A253" s="63" t="s">
        <v>330</v>
      </c>
      <c r="B253" s="717"/>
      <c r="C253" s="782" t="s">
        <v>609</v>
      </c>
      <c r="D253" s="779"/>
      <c r="E253" s="779"/>
      <c r="F253" s="779"/>
      <c r="G253" s="779"/>
      <c r="H253" s="779"/>
      <c r="I253" s="779"/>
      <c r="J253" s="780"/>
      <c r="K253" s="63">
        <v>2</v>
      </c>
    </row>
    <row r="254" spans="1:11" ht="12" thickBot="1">
      <c r="A254" s="63" t="s">
        <v>378</v>
      </c>
      <c r="B254" s="716"/>
      <c r="C254" s="714" t="s">
        <v>610</v>
      </c>
      <c r="D254" s="687"/>
      <c r="E254" s="687"/>
      <c r="F254" s="687"/>
      <c r="G254" s="687"/>
      <c r="H254" s="687"/>
      <c r="I254" s="687"/>
      <c r="J254" s="689"/>
      <c r="K254" s="63">
        <v>2</v>
      </c>
    </row>
    <row r="255" spans="1:11" ht="11.25">
      <c r="A255" s="63" t="s">
        <v>326</v>
      </c>
      <c r="B255" s="704" t="s">
        <v>766</v>
      </c>
      <c r="C255" s="824" t="s">
        <v>605</v>
      </c>
      <c r="D255" s="825"/>
      <c r="E255" s="825"/>
      <c r="F255" s="825"/>
      <c r="G255" s="825"/>
      <c r="H255" s="825"/>
      <c r="I255" s="825"/>
      <c r="J255" s="826"/>
      <c r="K255" s="54">
        <v>2</v>
      </c>
    </row>
    <row r="256" spans="1:11" ht="11.25">
      <c r="A256" s="63" t="s">
        <v>327</v>
      </c>
      <c r="B256" s="717"/>
      <c r="C256" s="855" t="s">
        <v>606</v>
      </c>
      <c r="D256" s="855"/>
      <c r="E256" s="855"/>
      <c r="F256" s="855"/>
      <c r="G256" s="855"/>
      <c r="H256" s="855"/>
      <c r="I256" s="855"/>
      <c r="J256" s="857"/>
      <c r="K256" s="63">
        <v>2</v>
      </c>
    </row>
    <row r="257" spans="1:11" ht="11.25">
      <c r="A257" s="63" t="s">
        <v>328</v>
      </c>
      <c r="B257" s="717"/>
      <c r="C257" s="696" t="s">
        <v>607</v>
      </c>
      <c r="D257" s="696"/>
      <c r="E257" s="696"/>
      <c r="F257" s="696"/>
      <c r="G257" s="696"/>
      <c r="H257" s="696"/>
      <c r="I257" s="696"/>
      <c r="J257" s="698"/>
      <c r="K257" s="84">
        <v>2</v>
      </c>
    </row>
    <row r="258" spans="1:11" ht="11.25">
      <c r="A258" s="63" t="s">
        <v>329</v>
      </c>
      <c r="B258" s="717"/>
      <c r="C258" s="782" t="s">
        <v>608</v>
      </c>
      <c r="D258" s="779"/>
      <c r="E258" s="779"/>
      <c r="F258" s="779"/>
      <c r="G258" s="779"/>
      <c r="H258" s="779"/>
      <c r="I258" s="779"/>
      <c r="J258" s="780"/>
      <c r="K258" s="63">
        <v>2</v>
      </c>
    </row>
    <row r="259" spans="1:11" ht="11.25">
      <c r="A259" s="63" t="s">
        <v>330</v>
      </c>
      <c r="B259" s="717"/>
      <c r="C259" s="782" t="s">
        <v>609</v>
      </c>
      <c r="D259" s="779"/>
      <c r="E259" s="779"/>
      <c r="F259" s="779"/>
      <c r="G259" s="779"/>
      <c r="H259" s="779"/>
      <c r="I259" s="779"/>
      <c r="J259" s="780"/>
      <c r="K259" s="63">
        <v>2</v>
      </c>
    </row>
    <row r="260" spans="1:11" ht="12" thickBot="1">
      <c r="A260" s="63" t="s">
        <v>378</v>
      </c>
      <c r="B260" s="716"/>
      <c r="C260" s="714" t="s">
        <v>610</v>
      </c>
      <c r="D260" s="687"/>
      <c r="E260" s="687"/>
      <c r="F260" s="687"/>
      <c r="G260" s="687"/>
      <c r="H260" s="687"/>
      <c r="I260" s="687"/>
      <c r="J260" s="689"/>
      <c r="K260" s="63">
        <v>2</v>
      </c>
    </row>
    <row r="261" spans="1:11" ht="11.25">
      <c r="A261" s="63" t="s">
        <v>326</v>
      </c>
      <c r="B261" s="704" t="s">
        <v>767</v>
      </c>
      <c r="C261" s="824" t="s">
        <v>605</v>
      </c>
      <c r="D261" s="825"/>
      <c r="E261" s="825"/>
      <c r="F261" s="825"/>
      <c r="G261" s="825"/>
      <c r="H261" s="825"/>
      <c r="I261" s="825"/>
      <c r="J261" s="826"/>
      <c r="K261" s="54">
        <v>2</v>
      </c>
    </row>
    <row r="262" spans="1:11" ht="11.25">
      <c r="A262" s="63" t="s">
        <v>327</v>
      </c>
      <c r="B262" s="717"/>
      <c r="C262" s="855" t="s">
        <v>606</v>
      </c>
      <c r="D262" s="855"/>
      <c r="E262" s="855"/>
      <c r="F262" s="855"/>
      <c r="G262" s="855"/>
      <c r="H262" s="855"/>
      <c r="I262" s="855"/>
      <c r="J262" s="857"/>
      <c r="K262" s="63">
        <v>2</v>
      </c>
    </row>
    <row r="263" spans="1:11" ht="11.25">
      <c r="A263" s="63" t="s">
        <v>328</v>
      </c>
      <c r="B263" s="717"/>
      <c r="C263" s="696" t="s">
        <v>607</v>
      </c>
      <c r="D263" s="696"/>
      <c r="E263" s="696"/>
      <c r="F263" s="696"/>
      <c r="G263" s="696"/>
      <c r="H263" s="696"/>
      <c r="I263" s="696"/>
      <c r="J263" s="698"/>
      <c r="K263" s="84">
        <v>2</v>
      </c>
    </row>
    <row r="264" spans="1:11" ht="11.25">
      <c r="A264" s="63" t="s">
        <v>329</v>
      </c>
      <c r="B264" s="717"/>
      <c r="C264" s="782" t="s">
        <v>608</v>
      </c>
      <c r="D264" s="779"/>
      <c r="E264" s="779"/>
      <c r="F264" s="779"/>
      <c r="G264" s="779"/>
      <c r="H264" s="779"/>
      <c r="I264" s="779"/>
      <c r="J264" s="780"/>
      <c r="K264" s="63">
        <v>2</v>
      </c>
    </row>
    <row r="265" spans="1:11" ht="11.25">
      <c r="A265" s="63" t="s">
        <v>330</v>
      </c>
      <c r="B265" s="717"/>
      <c r="C265" s="782" t="s">
        <v>609</v>
      </c>
      <c r="D265" s="779"/>
      <c r="E265" s="779"/>
      <c r="F265" s="779"/>
      <c r="G265" s="779"/>
      <c r="H265" s="779"/>
      <c r="I265" s="779"/>
      <c r="J265" s="780"/>
      <c r="K265" s="63">
        <v>2</v>
      </c>
    </row>
    <row r="266" spans="1:11" ht="12" thickBot="1">
      <c r="A266" s="63" t="s">
        <v>378</v>
      </c>
      <c r="B266" s="716"/>
      <c r="C266" s="714" t="s">
        <v>610</v>
      </c>
      <c r="D266" s="687"/>
      <c r="E266" s="687"/>
      <c r="F266" s="687"/>
      <c r="G266" s="687"/>
      <c r="H266" s="687"/>
      <c r="I266" s="687"/>
      <c r="J266" s="689"/>
      <c r="K266" s="63">
        <v>2</v>
      </c>
    </row>
    <row r="267" spans="1:11" ht="11.25">
      <c r="A267" s="63" t="s">
        <v>326</v>
      </c>
      <c r="B267" s="704" t="s">
        <v>768</v>
      </c>
      <c r="C267" s="824" t="s">
        <v>605</v>
      </c>
      <c r="D267" s="825"/>
      <c r="E267" s="825"/>
      <c r="F267" s="825"/>
      <c r="G267" s="825"/>
      <c r="H267" s="825"/>
      <c r="I267" s="825"/>
      <c r="J267" s="826"/>
      <c r="K267" s="54">
        <v>2</v>
      </c>
    </row>
    <row r="268" spans="1:11" ht="11.25">
      <c r="A268" s="63" t="s">
        <v>327</v>
      </c>
      <c r="B268" s="717"/>
      <c r="C268" s="855" t="s">
        <v>606</v>
      </c>
      <c r="D268" s="855"/>
      <c r="E268" s="855"/>
      <c r="F268" s="855"/>
      <c r="G268" s="855"/>
      <c r="H268" s="855"/>
      <c r="I268" s="855"/>
      <c r="J268" s="857"/>
      <c r="K268" s="63">
        <v>2</v>
      </c>
    </row>
    <row r="269" spans="1:11" ht="11.25">
      <c r="A269" s="63" t="s">
        <v>328</v>
      </c>
      <c r="B269" s="717"/>
      <c r="C269" s="696" t="s">
        <v>607</v>
      </c>
      <c r="D269" s="696"/>
      <c r="E269" s="696"/>
      <c r="F269" s="696"/>
      <c r="G269" s="696"/>
      <c r="H269" s="696"/>
      <c r="I269" s="696"/>
      <c r="J269" s="698"/>
      <c r="K269" s="84">
        <v>2</v>
      </c>
    </row>
    <row r="270" spans="1:11" ht="11.25">
      <c r="A270" s="63" t="s">
        <v>329</v>
      </c>
      <c r="B270" s="717"/>
      <c r="C270" s="782" t="s">
        <v>608</v>
      </c>
      <c r="D270" s="779"/>
      <c r="E270" s="779"/>
      <c r="F270" s="779"/>
      <c r="G270" s="779"/>
      <c r="H270" s="779"/>
      <c r="I270" s="779"/>
      <c r="J270" s="780"/>
      <c r="K270" s="63">
        <v>2</v>
      </c>
    </row>
    <row r="271" spans="1:11" ht="11.25">
      <c r="A271" s="63" t="s">
        <v>330</v>
      </c>
      <c r="B271" s="717"/>
      <c r="C271" s="782" t="s">
        <v>609</v>
      </c>
      <c r="D271" s="779"/>
      <c r="E271" s="779"/>
      <c r="F271" s="779"/>
      <c r="G271" s="779"/>
      <c r="H271" s="779"/>
      <c r="I271" s="779"/>
      <c r="J271" s="780"/>
      <c r="K271" s="63">
        <v>2</v>
      </c>
    </row>
    <row r="272" spans="1:11" ht="12" thickBot="1">
      <c r="A272" s="63" t="s">
        <v>378</v>
      </c>
      <c r="B272" s="716"/>
      <c r="C272" s="788" t="s">
        <v>610</v>
      </c>
      <c r="D272" s="772"/>
      <c r="E272" s="772"/>
      <c r="F272" s="772"/>
      <c r="G272" s="772"/>
      <c r="H272" s="772"/>
      <c r="I272" s="772"/>
      <c r="J272" s="773"/>
      <c r="K272" s="63">
        <v>2</v>
      </c>
    </row>
    <row r="273" spans="1:11" ht="11.25">
      <c r="A273" s="63" t="s">
        <v>326</v>
      </c>
      <c r="B273" s="704" t="s">
        <v>769</v>
      </c>
      <c r="C273" s="824" t="s">
        <v>605</v>
      </c>
      <c r="D273" s="825"/>
      <c r="E273" s="825"/>
      <c r="F273" s="825"/>
      <c r="G273" s="825"/>
      <c r="H273" s="825"/>
      <c r="I273" s="825"/>
      <c r="J273" s="826"/>
      <c r="K273" s="54">
        <v>2</v>
      </c>
    </row>
    <row r="274" spans="1:11" ht="11.25">
      <c r="A274" s="63" t="s">
        <v>327</v>
      </c>
      <c r="B274" s="717"/>
      <c r="C274" s="855" t="s">
        <v>606</v>
      </c>
      <c r="D274" s="855"/>
      <c r="E274" s="855"/>
      <c r="F274" s="855"/>
      <c r="G274" s="855"/>
      <c r="H274" s="855"/>
      <c r="I274" s="855"/>
      <c r="J274" s="857"/>
      <c r="K274" s="63">
        <v>2</v>
      </c>
    </row>
    <row r="275" spans="1:11" ht="11.25">
      <c r="A275" s="63" t="s">
        <v>328</v>
      </c>
      <c r="B275" s="717"/>
      <c r="C275" s="696" t="s">
        <v>607</v>
      </c>
      <c r="D275" s="696"/>
      <c r="E275" s="696"/>
      <c r="F275" s="696"/>
      <c r="G275" s="696"/>
      <c r="H275" s="696"/>
      <c r="I275" s="696"/>
      <c r="J275" s="698"/>
      <c r="K275" s="84">
        <v>2</v>
      </c>
    </row>
    <row r="276" spans="1:11" ht="11.25">
      <c r="A276" s="63" t="s">
        <v>329</v>
      </c>
      <c r="B276" s="717"/>
      <c r="C276" s="782" t="s">
        <v>608</v>
      </c>
      <c r="D276" s="779"/>
      <c r="E276" s="779"/>
      <c r="F276" s="779"/>
      <c r="G276" s="779"/>
      <c r="H276" s="779"/>
      <c r="I276" s="779"/>
      <c r="J276" s="780"/>
      <c r="K276" s="63">
        <v>2</v>
      </c>
    </row>
    <row r="277" spans="1:11" ht="11.25">
      <c r="A277" s="63" t="s">
        <v>330</v>
      </c>
      <c r="B277" s="717"/>
      <c r="C277" s="782" t="s">
        <v>609</v>
      </c>
      <c r="D277" s="779"/>
      <c r="E277" s="779"/>
      <c r="F277" s="779"/>
      <c r="G277" s="779"/>
      <c r="H277" s="779"/>
      <c r="I277" s="779"/>
      <c r="J277" s="780"/>
      <c r="K277" s="63">
        <v>2</v>
      </c>
    </row>
    <row r="278" spans="1:11" ht="12" thickBot="1">
      <c r="A278" s="63" t="s">
        <v>378</v>
      </c>
      <c r="B278" s="716"/>
      <c r="C278" s="714" t="s">
        <v>610</v>
      </c>
      <c r="D278" s="687"/>
      <c r="E278" s="687"/>
      <c r="F278" s="687"/>
      <c r="G278" s="687"/>
      <c r="H278" s="687"/>
      <c r="I278" s="687"/>
      <c r="J278" s="689"/>
      <c r="K278" s="63">
        <v>2</v>
      </c>
    </row>
    <row r="279" spans="1:11" ht="11.25">
      <c r="A279" s="63" t="s">
        <v>326</v>
      </c>
      <c r="B279" s="704" t="s">
        <v>770</v>
      </c>
      <c r="C279" s="824" t="s">
        <v>605</v>
      </c>
      <c r="D279" s="825"/>
      <c r="E279" s="825"/>
      <c r="F279" s="825"/>
      <c r="G279" s="825"/>
      <c r="H279" s="825"/>
      <c r="I279" s="825"/>
      <c r="J279" s="826"/>
      <c r="K279" s="54">
        <v>2</v>
      </c>
    </row>
    <row r="280" spans="1:11" ht="11.25">
      <c r="A280" s="63" t="s">
        <v>327</v>
      </c>
      <c r="B280" s="717"/>
      <c r="C280" s="855" t="s">
        <v>606</v>
      </c>
      <c r="D280" s="855"/>
      <c r="E280" s="855"/>
      <c r="F280" s="855"/>
      <c r="G280" s="855"/>
      <c r="H280" s="855"/>
      <c r="I280" s="855"/>
      <c r="J280" s="857"/>
      <c r="K280" s="63">
        <v>2</v>
      </c>
    </row>
    <row r="281" spans="1:11" ht="11.25">
      <c r="A281" s="63" t="s">
        <v>328</v>
      </c>
      <c r="B281" s="717"/>
      <c r="C281" s="696" t="s">
        <v>607</v>
      </c>
      <c r="D281" s="696"/>
      <c r="E281" s="696"/>
      <c r="F281" s="696"/>
      <c r="G281" s="696"/>
      <c r="H281" s="696"/>
      <c r="I281" s="696"/>
      <c r="J281" s="698"/>
      <c r="K281" s="84">
        <v>2</v>
      </c>
    </row>
    <row r="282" spans="1:11" ht="11.25">
      <c r="A282" s="63" t="s">
        <v>329</v>
      </c>
      <c r="B282" s="717"/>
      <c r="C282" s="782" t="s">
        <v>608</v>
      </c>
      <c r="D282" s="779"/>
      <c r="E282" s="779"/>
      <c r="F282" s="779"/>
      <c r="G282" s="779"/>
      <c r="H282" s="779"/>
      <c r="I282" s="779"/>
      <c r="J282" s="780"/>
      <c r="K282" s="63">
        <v>2</v>
      </c>
    </row>
    <row r="283" spans="1:11" ht="11.25">
      <c r="A283" s="63" t="s">
        <v>330</v>
      </c>
      <c r="B283" s="717"/>
      <c r="C283" s="782" t="s">
        <v>609</v>
      </c>
      <c r="D283" s="779"/>
      <c r="E283" s="779"/>
      <c r="F283" s="779"/>
      <c r="G283" s="779"/>
      <c r="H283" s="779"/>
      <c r="I283" s="779"/>
      <c r="J283" s="780"/>
      <c r="K283" s="63">
        <v>2</v>
      </c>
    </row>
    <row r="284" spans="1:11" ht="12" thickBot="1">
      <c r="A284" s="63" t="s">
        <v>378</v>
      </c>
      <c r="B284" s="716"/>
      <c r="C284" s="714" t="s">
        <v>610</v>
      </c>
      <c r="D284" s="687"/>
      <c r="E284" s="687"/>
      <c r="F284" s="687"/>
      <c r="G284" s="687"/>
      <c r="H284" s="687"/>
      <c r="I284" s="687"/>
      <c r="J284" s="689"/>
      <c r="K284" s="63">
        <v>2</v>
      </c>
    </row>
    <row r="285" spans="1:11" ht="11.25">
      <c r="A285" s="63" t="s">
        <v>326</v>
      </c>
      <c r="B285" s="704" t="s">
        <v>771</v>
      </c>
      <c r="C285" s="824" t="s">
        <v>605</v>
      </c>
      <c r="D285" s="825"/>
      <c r="E285" s="825"/>
      <c r="F285" s="825"/>
      <c r="G285" s="825"/>
      <c r="H285" s="825"/>
      <c r="I285" s="825"/>
      <c r="J285" s="826"/>
      <c r="K285" s="54">
        <v>2</v>
      </c>
    </row>
    <row r="286" spans="1:11" ht="11.25">
      <c r="A286" s="63" t="s">
        <v>327</v>
      </c>
      <c r="B286" s="717"/>
      <c r="C286" s="855" t="s">
        <v>606</v>
      </c>
      <c r="D286" s="855"/>
      <c r="E286" s="855"/>
      <c r="F286" s="855"/>
      <c r="G286" s="855"/>
      <c r="H286" s="855"/>
      <c r="I286" s="855"/>
      <c r="J286" s="857"/>
      <c r="K286" s="63">
        <v>2</v>
      </c>
    </row>
    <row r="287" spans="1:11" ht="11.25">
      <c r="A287" s="63" t="s">
        <v>328</v>
      </c>
      <c r="B287" s="717"/>
      <c r="C287" s="696" t="s">
        <v>607</v>
      </c>
      <c r="D287" s="696"/>
      <c r="E287" s="696"/>
      <c r="F287" s="696"/>
      <c r="G287" s="696"/>
      <c r="H287" s="696"/>
      <c r="I287" s="696"/>
      <c r="J287" s="698"/>
      <c r="K287" s="84">
        <v>2</v>
      </c>
    </row>
    <row r="288" spans="1:11" ht="11.25">
      <c r="A288" s="63" t="s">
        <v>329</v>
      </c>
      <c r="B288" s="717"/>
      <c r="C288" s="782" t="s">
        <v>608</v>
      </c>
      <c r="D288" s="779"/>
      <c r="E288" s="779"/>
      <c r="F288" s="779"/>
      <c r="G288" s="779"/>
      <c r="H288" s="779"/>
      <c r="I288" s="779"/>
      <c r="J288" s="780"/>
      <c r="K288" s="63">
        <v>2</v>
      </c>
    </row>
    <row r="289" spans="1:11" ht="11.25">
      <c r="A289" s="63" t="s">
        <v>330</v>
      </c>
      <c r="B289" s="717"/>
      <c r="C289" s="782" t="s">
        <v>609</v>
      </c>
      <c r="D289" s="779"/>
      <c r="E289" s="779"/>
      <c r="F289" s="779"/>
      <c r="G289" s="779"/>
      <c r="H289" s="779"/>
      <c r="I289" s="779"/>
      <c r="J289" s="780"/>
      <c r="K289" s="63">
        <v>2</v>
      </c>
    </row>
    <row r="290" spans="1:11" ht="12" thickBot="1">
      <c r="A290" s="63" t="s">
        <v>378</v>
      </c>
      <c r="B290" s="716"/>
      <c r="C290" s="714" t="s">
        <v>610</v>
      </c>
      <c r="D290" s="687"/>
      <c r="E290" s="687"/>
      <c r="F290" s="687"/>
      <c r="G290" s="687"/>
      <c r="H290" s="687"/>
      <c r="I290" s="687"/>
      <c r="J290" s="689"/>
      <c r="K290" s="63">
        <v>2</v>
      </c>
    </row>
    <row r="291" spans="1:11" ht="11.25">
      <c r="A291" s="63" t="s">
        <v>326</v>
      </c>
      <c r="B291" s="704" t="s">
        <v>772</v>
      </c>
      <c r="C291" s="824" t="s">
        <v>605</v>
      </c>
      <c r="D291" s="825"/>
      <c r="E291" s="825"/>
      <c r="F291" s="825"/>
      <c r="G291" s="825"/>
      <c r="H291" s="825"/>
      <c r="I291" s="825"/>
      <c r="J291" s="826"/>
      <c r="K291" s="54">
        <v>2</v>
      </c>
    </row>
    <row r="292" spans="1:11" ht="11.25">
      <c r="A292" s="63" t="s">
        <v>327</v>
      </c>
      <c r="B292" s="717"/>
      <c r="C292" s="855" t="s">
        <v>606</v>
      </c>
      <c r="D292" s="855"/>
      <c r="E292" s="855"/>
      <c r="F292" s="855"/>
      <c r="G292" s="855"/>
      <c r="H292" s="855"/>
      <c r="I292" s="855"/>
      <c r="J292" s="857"/>
      <c r="K292" s="63">
        <v>2</v>
      </c>
    </row>
    <row r="293" spans="1:11" ht="11.25">
      <c r="A293" s="63" t="s">
        <v>328</v>
      </c>
      <c r="B293" s="717"/>
      <c r="C293" s="696" t="s">
        <v>607</v>
      </c>
      <c r="D293" s="696"/>
      <c r="E293" s="696"/>
      <c r="F293" s="696"/>
      <c r="G293" s="696"/>
      <c r="H293" s="696"/>
      <c r="I293" s="696"/>
      <c r="J293" s="698"/>
      <c r="K293" s="84">
        <v>2</v>
      </c>
    </row>
    <row r="294" spans="1:11" ht="11.25">
      <c r="A294" s="63" t="s">
        <v>329</v>
      </c>
      <c r="B294" s="717"/>
      <c r="C294" s="782" t="s">
        <v>608</v>
      </c>
      <c r="D294" s="779"/>
      <c r="E294" s="779"/>
      <c r="F294" s="779"/>
      <c r="G294" s="779"/>
      <c r="H294" s="779"/>
      <c r="I294" s="779"/>
      <c r="J294" s="780"/>
      <c r="K294" s="63">
        <v>2</v>
      </c>
    </row>
    <row r="295" spans="1:11" ht="11.25">
      <c r="A295" s="63" t="s">
        <v>330</v>
      </c>
      <c r="B295" s="717"/>
      <c r="C295" s="782" t="s">
        <v>609</v>
      </c>
      <c r="D295" s="779"/>
      <c r="E295" s="779"/>
      <c r="F295" s="779"/>
      <c r="G295" s="779"/>
      <c r="H295" s="779"/>
      <c r="I295" s="779"/>
      <c r="J295" s="780"/>
      <c r="K295" s="63">
        <v>2</v>
      </c>
    </row>
    <row r="296" spans="1:11" ht="12" thickBot="1">
      <c r="A296" s="63" t="s">
        <v>378</v>
      </c>
      <c r="B296" s="716"/>
      <c r="C296" s="714" t="s">
        <v>610</v>
      </c>
      <c r="D296" s="687"/>
      <c r="E296" s="687"/>
      <c r="F296" s="687"/>
      <c r="G296" s="687"/>
      <c r="H296" s="687"/>
      <c r="I296" s="687"/>
      <c r="J296" s="689"/>
      <c r="K296" s="63">
        <v>2</v>
      </c>
    </row>
    <row r="297" spans="1:11" ht="11.25">
      <c r="A297" s="63" t="s">
        <v>326</v>
      </c>
      <c r="B297" s="704" t="s">
        <v>773</v>
      </c>
      <c r="C297" s="824" t="s">
        <v>605</v>
      </c>
      <c r="D297" s="825"/>
      <c r="E297" s="825"/>
      <c r="F297" s="825"/>
      <c r="G297" s="825"/>
      <c r="H297" s="825"/>
      <c r="I297" s="825"/>
      <c r="J297" s="826"/>
      <c r="K297" s="54">
        <v>2</v>
      </c>
    </row>
    <row r="298" spans="1:11" ht="11.25">
      <c r="A298" s="63" t="s">
        <v>327</v>
      </c>
      <c r="B298" s="717"/>
      <c r="C298" s="855" t="s">
        <v>606</v>
      </c>
      <c r="D298" s="855"/>
      <c r="E298" s="855"/>
      <c r="F298" s="855"/>
      <c r="G298" s="855"/>
      <c r="H298" s="855"/>
      <c r="I298" s="855"/>
      <c r="J298" s="857"/>
      <c r="K298" s="63">
        <v>2</v>
      </c>
    </row>
    <row r="299" spans="1:11" ht="11.25">
      <c r="A299" s="63" t="s">
        <v>328</v>
      </c>
      <c r="B299" s="717"/>
      <c r="C299" s="696" t="s">
        <v>607</v>
      </c>
      <c r="D299" s="696"/>
      <c r="E299" s="696"/>
      <c r="F299" s="696"/>
      <c r="G299" s="696"/>
      <c r="H299" s="696"/>
      <c r="I299" s="696"/>
      <c r="J299" s="698"/>
      <c r="K299" s="84">
        <v>2</v>
      </c>
    </row>
    <row r="300" spans="1:11" ht="11.25">
      <c r="A300" s="63" t="s">
        <v>329</v>
      </c>
      <c r="B300" s="717"/>
      <c r="C300" s="782" t="s">
        <v>608</v>
      </c>
      <c r="D300" s="779"/>
      <c r="E300" s="779"/>
      <c r="F300" s="779"/>
      <c r="G300" s="779"/>
      <c r="H300" s="779"/>
      <c r="I300" s="779"/>
      <c r="J300" s="780"/>
      <c r="K300" s="63">
        <v>2</v>
      </c>
    </row>
    <row r="301" spans="1:11" ht="11.25">
      <c r="A301" s="63" t="s">
        <v>330</v>
      </c>
      <c r="B301" s="717"/>
      <c r="C301" s="782" t="s">
        <v>609</v>
      </c>
      <c r="D301" s="779"/>
      <c r="E301" s="779"/>
      <c r="F301" s="779"/>
      <c r="G301" s="779"/>
      <c r="H301" s="779"/>
      <c r="I301" s="779"/>
      <c r="J301" s="780"/>
      <c r="K301" s="63">
        <v>2</v>
      </c>
    </row>
    <row r="302" spans="1:11" ht="12" thickBot="1">
      <c r="A302" s="63" t="s">
        <v>378</v>
      </c>
      <c r="B302" s="716"/>
      <c r="C302" s="714" t="s">
        <v>610</v>
      </c>
      <c r="D302" s="687"/>
      <c r="E302" s="687"/>
      <c r="F302" s="687"/>
      <c r="G302" s="687"/>
      <c r="H302" s="687"/>
      <c r="I302" s="687"/>
      <c r="J302" s="689"/>
      <c r="K302" s="63">
        <v>2</v>
      </c>
    </row>
    <row r="303" spans="1:11" ht="11.25">
      <c r="A303" s="63" t="s">
        <v>326</v>
      </c>
      <c r="B303" s="704" t="s">
        <v>774</v>
      </c>
      <c r="C303" s="824" t="s">
        <v>605</v>
      </c>
      <c r="D303" s="825"/>
      <c r="E303" s="825"/>
      <c r="F303" s="825"/>
      <c r="G303" s="825"/>
      <c r="H303" s="825"/>
      <c r="I303" s="825"/>
      <c r="J303" s="826"/>
      <c r="K303" s="54">
        <v>2</v>
      </c>
    </row>
    <row r="304" spans="1:11" ht="11.25">
      <c r="A304" s="63" t="s">
        <v>327</v>
      </c>
      <c r="B304" s="717"/>
      <c r="C304" s="855" t="s">
        <v>606</v>
      </c>
      <c r="D304" s="855"/>
      <c r="E304" s="855"/>
      <c r="F304" s="855"/>
      <c r="G304" s="855"/>
      <c r="H304" s="855"/>
      <c r="I304" s="855"/>
      <c r="J304" s="857"/>
      <c r="K304" s="63">
        <v>2</v>
      </c>
    </row>
    <row r="305" spans="1:11" ht="11.25">
      <c r="A305" s="63" t="s">
        <v>328</v>
      </c>
      <c r="B305" s="717"/>
      <c r="C305" s="696" t="s">
        <v>607</v>
      </c>
      <c r="D305" s="696"/>
      <c r="E305" s="696"/>
      <c r="F305" s="696"/>
      <c r="G305" s="696"/>
      <c r="H305" s="696"/>
      <c r="I305" s="696"/>
      <c r="J305" s="698"/>
      <c r="K305" s="84">
        <v>2</v>
      </c>
    </row>
    <row r="306" spans="1:11" ht="11.25">
      <c r="A306" s="63" t="s">
        <v>329</v>
      </c>
      <c r="B306" s="717"/>
      <c r="C306" s="782" t="s">
        <v>608</v>
      </c>
      <c r="D306" s="779"/>
      <c r="E306" s="779"/>
      <c r="F306" s="779"/>
      <c r="G306" s="779"/>
      <c r="H306" s="779"/>
      <c r="I306" s="779"/>
      <c r="J306" s="780"/>
      <c r="K306" s="63">
        <v>2</v>
      </c>
    </row>
    <row r="307" spans="1:11" ht="11.25">
      <c r="A307" s="63" t="s">
        <v>330</v>
      </c>
      <c r="B307" s="717"/>
      <c r="C307" s="782" t="s">
        <v>609</v>
      </c>
      <c r="D307" s="779"/>
      <c r="E307" s="779"/>
      <c r="F307" s="779"/>
      <c r="G307" s="779"/>
      <c r="H307" s="779"/>
      <c r="I307" s="779"/>
      <c r="J307" s="780"/>
      <c r="K307" s="63">
        <v>2</v>
      </c>
    </row>
    <row r="308" spans="1:11" ht="12" thickBot="1">
      <c r="A308" s="63" t="s">
        <v>378</v>
      </c>
      <c r="B308" s="716"/>
      <c r="C308" s="714" t="s">
        <v>610</v>
      </c>
      <c r="D308" s="687"/>
      <c r="E308" s="687"/>
      <c r="F308" s="687"/>
      <c r="G308" s="687"/>
      <c r="H308" s="687"/>
      <c r="I308" s="687"/>
      <c r="J308" s="689"/>
      <c r="K308" s="63">
        <v>2</v>
      </c>
    </row>
    <row r="309" spans="1:11" ht="11.25">
      <c r="A309" s="63" t="s">
        <v>326</v>
      </c>
      <c r="B309" s="704" t="s">
        <v>775</v>
      </c>
      <c r="C309" s="824" t="s">
        <v>605</v>
      </c>
      <c r="D309" s="825"/>
      <c r="E309" s="825"/>
      <c r="F309" s="825"/>
      <c r="G309" s="825"/>
      <c r="H309" s="825"/>
      <c r="I309" s="825"/>
      <c r="J309" s="826"/>
      <c r="K309" s="54">
        <v>2</v>
      </c>
    </row>
    <row r="310" spans="1:11" ht="11.25">
      <c r="A310" s="63" t="s">
        <v>327</v>
      </c>
      <c r="B310" s="717"/>
      <c r="C310" s="855" t="s">
        <v>606</v>
      </c>
      <c r="D310" s="855"/>
      <c r="E310" s="855"/>
      <c r="F310" s="855"/>
      <c r="G310" s="855"/>
      <c r="H310" s="855"/>
      <c r="I310" s="855"/>
      <c r="J310" s="857"/>
      <c r="K310" s="63">
        <v>2</v>
      </c>
    </row>
    <row r="311" spans="1:11" ht="11.25">
      <c r="A311" s="63" t="s">
        <v>328</v>
      </c>
      <c r="B311" s="717"/>
      <c r="C311" s="696" t="s">
        <v>607</v>
      </c>
      <c r="D311" s="696"/>
      <c r="E311" s="696"/>
      <c r="F311" s="696"/>
      <c r="G311" s="696"/>
      <c r="H311" s="696"/>
      <c r="I311" s="696"/>
      <c r="J311" s="698"/>
      <c r="K311" s="84">
        <v>2</v>
      </c>
    </row>
    <row r="312" spans="1:11" ht="11.25">
      <c r="A312" s="63" t="s">
        <v>329</v>
      </c>
      <c r="B312" s="717"/>
      <c r="C312" s="782" t="s">
        <v>608</v>
      </c>
      <c r="D312" s="779"/>
      <c r="E312" s="779"/>
      <c r="F312" s="779"/>
      <c r="G312" s="779"/>
      <c r="H312" s="779"/>
      <c r="I312" s="779"/>
      <c r="J312" s="780"/>
      <c r="K312" s="63">
        <v>2</v>
      </c>
    </row>
    <row r="313" spans="1:11" ht="11.25">
      <c r="A313" s="63" t="s">
        <v>330</v>
      </c>
      <c r="B313" s="717"/>
      <c r="C313" s="782" t="s">
        <v>609</v>
      </c>
      <c r="D313" s="779"/>
      <c r="E313" s="779"/>
      <c r="F313" s="779"/>
      <c r="G313" s="779"/>
      <c r="H313" s="779"/>
      <c r="I313" s="779"/>
      <c r="J313" s="780"/>
      <c r="K313" s="63">
        <v>2</v>
      </c>
    </row>
    <row r="314" spans="1:11" ht="12" thickBot="1">
      <c r="A314" s="63" t="s">
        <v>378</v>
      </c>
      <c r="B314" s="716"/>
      <c r="C314" s="714" t="s">
        <v>610</v>
      </c>
      <c r="D314" s="687"/>
      <c r="E314" s="687"/>
      <c r="F314" s="687"/>
      <c r="G314" s="687"/>
      <c r="H314" s="687"/>
      <c r="I314" s="687"/>
      <c r="J314" s="689"/>
      <c r="K314" s="63">
        <v>2</v>
      </c>
    </row>
    <row r="315" spans="1:11" ht="11.25">
      <c r="A315" s="63" t="s">
        <v>326</v>
      </c>
      <c r="B315" s="704" t="s">
        <v>776</v>
      </c>
      <c r="C315" s="824" t="s">
        <v>605</v>
      </c>
      <c r="D315" s="825"/>
      <c r="E315" s="825"/>
      <c r="F315" s="825"/>
      <c r="G315" s="825"/>
      <c r="H315" s="825"/>
      <c r="I315" s="825"/>
      <c r="J315" s="826"/>
      <c r="K315" s="54">
        <v>2</v>
      </c>
    </row>
    <row r="316" spans="1:11" ht="11.25">
      <c r="A316" s="63" t="s">
        <v>327</v>
      </c>
      <c r="B316" s="717"/>
      <c r="C316" s="855" t="s">
        <v>606</v>
      </c>
      <c r="D316" s="855"/>
      <c r="E316" s="855"/>
      <c r="F316" s="855"/>
      <c r="G316" s="855"/>
      <c r="H316" s="855"/>
      <c r="I316" s="855"/>
      <c r="J316" s="857"/>
      <c r="K316" s="63">
        <v>2</v>
      </c>
    </row>
    <row r="317" spans="1:11" ht="11.25">
      <c r="A317" s="63" t="s">
        <v>328</v>
      </c>
      <c r="B317" s="717"/>
      <c r="C317" s="696" t="s">
        <v>607</v>
      </c>
      <c r="D317" s="696"/>
      <c r="E317" s="696"/>
      <c r="F317" s="696"/>
      <c r="G317" s="696"/>
      <c r="H317" s="696"/>
      <c r="I317" s="696"/>
      <c r="J317" s="698"/>
      <c r="K317" s="84">
        <v>2</v>
      </c>
    </row>
    <row r="318" spans="1:11" ht="11.25">
      <c r="A318" s="63" t="s">
        <v>329</v>
      </c>
      <c r="B318" s="717"/>
      <c r="C318" s="782" t="s">
        <v>608</v>
      </c>
      <c r="D318" s="779"/>
      <c r="E318" s="779"/>
      <c r="F318" s="779"/>
      <c r="G318" s="779"/>
      <c r="H318" s="779"/>
      <c r="I318" s="779"/>
      <c r="J318" s="780"/>
      <c r="K318" s="63">
        <v>2</v>
      </c>
    </row>
    <row r="319" spans="1:11" ht="11.25">
      <c r="A319" s="63" t="s">
        <v>330</v>
      </c>
      <c r="B319" s="717"/>
      <c r="C319" s="782" t="s">
        <v>609</v>
      </c>
      <c r="D319" s="779"/>
      <c r="E319" s="779"/>
      <c r="F319" s="779"/>
      <c r="G319" s="779"/>
      <c r="H319" s="779"/>
      <c r="I319" s="779"/>
      <c r="J319" s="780"/>
      <c r="K319" s="63">
        <v>2</v>
      </c>
    </row>
    <row r="320" spans="1:11" ht="12" thickBot="1">
      <c r="A320" s="63" t="s">
        <v>378</v>
      </c>
      <c r="B320" s="716"/>
      <c r="C320" s="714" t="s">
        <v>610</v>
      </c>
      <c r="D320" s="687"/>
      <c r="E320" s="687"/>
      <c r="F320" s="687"/>
      <c r="G320" s="687"/>
      <c r="H320" s="687"/>
      <c r="I320" s="687"/>
      <c r="J320" s="689"/>
      <c r="K320" s="63">
        <v>2</v>
      </c>
    </row>
    <row r="321" spans="1:11" ht="11.25">
      <c r="A321" s="63" t="s">
        <v>326</v>
      </c>
      <c r="B321" s="704" t="s">
        <v>777</v>
      </c>
      <c r="C321" s="824" t="s">
        <v>605</v>
      </c>
      <c r="D321" s="825"/>
      <c r="E321" s="825"/>
      <c r="F321" s="825"/>
      <c r="G321" s="825"/>
      <c r="H321" s="825"/>
      <c r="I321" s="825"/>
      <c r="J321" s="826"/>
      <c r="K321" s="54">
        <v>2</v>
      </c>
    </row>
    <row r="322" spans="1:11" ht="11.25">
      <c r="A322" s="63" t="s">
        <v>327</v>
      </c>
      <c r="B322" s="717"/>
      <c r="C322" s="855" t="s">
        <v>606</v>
      </c>
      <c r="D322" s="855"/>
      <c r="E322" s="855"/>
      <c r="F322" s="855"/>
      <c r="G322" s="855"/>
      <c r="H322" s="855"/>
      <c r="I322" s="855"/>
      <c r="J322" s="857"/>
      <c r="K322" s="63">
        <v>2</v>
      </c>
    </row>
    <row r="323" spans="1:11" ht="11.25">
      <c r="A323" s="63" t="s">
        <v>328</v>
      </c>
      <c r="B323" s="717"/>
      <c r="C323" s="696" t="s">
        <v>607</v>
      </c>
      <c r="D323" s="696"/>
      <c r="E323" s="696"/>
      <c r="F323" s="696"/>
      <c r="G323" s="696"/>
      <c r="H323" s="696"/>
      <c r="I323" s="696"/>
      <c r="J323" s="698"/>
      <c r="K323" s="84">
        <v>2</v>
      </c>
    </row>
    <row r="324" spans="1:11" ht="11.25">
      <c r="A324" s="63" t="s">
        <v>329</v>
      </c>
      <c r="B324" s="717"/>
      <c r="C324" s="782" t="s">
        <v>608</v>
      </c>
      <c r="D324" s="779"/>
      <c r="E324" s="779"/>
      <c r="F324" s="779"/>
      <c r="G324" s="779"/>
      <c r="H324" s="779"/>
      <c r="I324" s="779"/>
      <c r="J324" s="780"/>
      <c r="K324" s="63">
        <v>2</v>
      </c>
    </row>
    <row r="325" spans="1:11" ht="11.25">
      <c r="A325" s="63" t="s">
        <v>330</v>
      </c>
      <c r="B325" s="717"/>
      <c r="C325" s="782" t="s">
        <v>609</v>
      </c>
      <c r="D325" s="779"/>
      <c r="E325" s="779"/>
      <c r="F325" s="779"/>
      <c r="G325" s="779"/>
      <c r="H325" s="779"/>
      <c r="I325" s="779"/>
      <c r="J325" s="780"/>
      <c r="K325" s="63">
        <v>2</v>
      </c>
    </row>
    <row r="326" spans="1:11" ht="12" thickBot="1">
      <c r="A326" s="63" t="s">
        <v>378</v>
      </c>
      <c r="B326" s="716"/>
      <c r="C326" s="714" t="s">
        <v>610</v>
      </c>
      <c r="D326" s="687"/>
      <c r="E326" s="687"/>
      <c r="F326" s="687"/>
      <c r="G326" s="687"/>
      <c r="H326" s="687"/>
      <c r="I326" s="687"/>
      <c r="J326" s="689"/>
      <c r="K326" s="63">
        <v>2</v>
      </c>
    </row>
    <row r="327" spans="1:11" ht="11.25">
      <c r="A327" s="63" t="s">
        <v>326</v>
      </c>
      <c r="B327" s="704" t="s">
        <v>778</v>
      </c>
      <c r="C327" s="824" t="s">
        <v>605</v>
      </c>
      <c r="D327" s="825"/>
      <c r="E327" s="825"/>
      <c r="F327" s="825"/>
      <c r="G327" s="825"/>
      <c r="H327" s="825"/>
      <c r="I327" s="825"/>
      <c r="J327" s="826"/>
      <c r="K327" s="54">
        <v>2</v>
      </c>
    </row>
    <row r="328" spans="1:11" ht="11.25">
      <c r="A328" s="63" t="s">
        <v>327</v>
      </c>
      <c r="B328" s="717"/>
      <c r="C328" s="855" t="s">
        <v>606</v>
      </c>
      <c r="D328" s="855"/>
      <c r="E328" s="855"/>
      <c r="F328" s="855"/>
      <c r="G328" s="855"/>
      <c r="H328" s="855"/>
      <c r="I328" s="855"/>
      <c r="J328" s="857"/>
      <c r="K328" s="63">
        <v>2</v>
      </c>
    </row>
    <row r="329" spans="1:11" ht="11.25">
      <c r="A329" s="63" t="s">
        <v>328</v>
      </c>
      <c r="B329" s="717"/>
      <c r="C329" s="696" t="s">
        <v>607</v>
      </c>
      <c r="D329" s="696"/>
      <c r="E329" s="696"/>
      <c r="F329" s="696"/>
      <c r="G329" s="696"/>
      <c r="H329" s="696"/>
      <c r="I329" s="696"/>
      <c r="J329" s="698"/>
      <c r="K329" s="84">
        <v>2</v>
      </c>
    </row>
    <row r="330" spans="1:11" ht="11.25">
      <c r="A330" s="63" t="s">
        <v>329</v>
      </c>
      <c r="B330" s="717"/>
      <c r="C330" s="782" t="s">
        <v>608</v>
      </c>
      <c r="D330" s="779"/>
      <c r="E330" s="779"/>
      <c r="F330" s="779"/>
      <c r="G330" s="779"/>
      <c r="H330" s="779"/>
      <c r="I330" s="779"/>
      <c r="J330" s="780"/>
      <c r="K330" s="63">
        <v>2</v>
      </c>
    </row>
    <row r="331" spans="1:11" ht="11.25">
      <c r="A331" s="63" t="s">
        <v>330</v>
      </c>
      <c r="B331" s="717"/>
      <c r="C331" s="782" t="s">
        <v>609</v>
      </c>
      <c r="D331" s="779"/>
      <c r="E331" s="779"/>
      <c r="F331" s="779"/>
      <c r="G331" s="779"/>
      <c r="H331" s="779"/>
      <c r="I331" s="779"/>
      <c r="J331" s="780"/>
      <c r="K331" s="63">
        <v>2</v>
      </c>
    </row>
    <row r="332" spans="1:11" ht="12" thickBot="1">
      <c r="A332" s="63" t="s">
        <v>378</v>
      </c>
      <c r="B332" s="716"/>
      <c r="C332" s="788" t="s">
        <v>610</v>
      </c>
      <c r="D332" s="772"/>
      <c r="E332" s="772"/>
      <c r="F332" s="772"/>
      <c r="G332" s="772"/>
      <c r="H332" s="772"/>
      <c r="I332" s="772"/>
      <c r="J332" s="773"/>
      <c r="K332" s="63">
        <v>2</v>
      </c>
    </row>
    <row r="333" spans="1:11" ht="11.25">
      <c r="A333" s="63" t="s">
        <v>326</v>
      </c>
      <c r="B333" s="704" t="s">
        <v>779</v>
      </c>
      <c r="C333" s="824" t="s">
        <v>605</v>
      </c>
      <c r="D333" s="825"/>
      <c r="E333" s="825"/>
      <c r="F333" s="825"/>
      <c r="G333" s="825"/>
      <c r="H333" s="825"/>
      <c r="I333" s="825"/>
      <c r="J333" s="826"/>
      <c r="K333" s="54">
        <v>2</v>
      </c>
    </row>
    <row r="334" spans="1:11" ht="11.25">
      <c r="A334" s="63" t="s">
        <v>327</v>
      </c>
      <c r="B334" s="717"/>
      <c r="C334" s="855" t="s">
        <v>606</v>
      </c>
      <c r="D334" s="855"/>
      <c r="E334" s="855"/>
      <c r="F334" s="855"/>
      <c r="G334" s="855"/>
      <c r="H334" s="855"/>
      <c r="I334" s="855"/>
      <c r="J334" s="857"/>
      <c r="K334" s="63">
        <v>2</v>
      </c>
    </row>
    <row r="335" spans="1:11" ht="11.25">
      <c r="A335" s="63" t="s">
        <v>328</v>
      </c>
      <c r="B335" s="717"/>
      <c r="C335" s="696" t="s">
        <v>607</v>
      </c>
      <c r="D335" s="696"/>
      <c r="E335" s="696"/>
      <c r="F335" s="696"/>
      <c r="G335" s="696"/>
      <c r="H335" s="696"/>
      <c r="I335" s="696"/>
      <c r="J335" s="698"/>
      <c r="K335" s="84">
        <v>2</v>
      </c>
    </row>
    <row r="336" spans="1:11" ht="11.25">
      <c r="A336" s="63" t="s">
        <v>329</v>
      </c>
      <c r="B336" s="717"/>
      <c r="C336" s="782" t="s">
        <v>608</v>
      </c>
      <c r="D336" s="779"/>
      <c r="E336" s="779"/>
      <c r="F336" s="779"/>
      <c r="G336" s="779"/>
      <c r="H336" s="779"/>
      <c r="I336" s="779"/>
      <c r="J336" s="780"/>
      <c r="K336" s="63">
        <v>2</v>
      </c>
    </row>
    <row r="337" spans="1:11" ht="11.25">
      <c r="A337" s="63" t="s">
        <v>330</v>
      </c>
      <c r="B337" s="717"/>
      <c r="C337" s="782" t="s">
        <v>609</v>
      </c>
      <c r="D337" s="779"/>
      <c r="E337" s="779"/>
      <c r="F337" s="779"/>
      <c r="G337" s="779"/>
      <c r="H337" s="779"/>
      <c r="I337" s="779"/>
      <c r="J337" s="780"/>
      <c r="K337" s="63">
        <v>2</v>
      </c>
    </row>
    <row r="338" spans="1:11" ht="12" thickBot="1">
      <c r="A338" s="63" t="s">
        <v>378</v>
      </c>
      <c r="B338" s="716"/>
      <c r="C338" s="714" t="s">
        <v>610</v>
      </c>
      <c r="D338" s="687"/>
      <c r="E338" s="687"/>
      <c r="F338" s="687"/>
      <c r="G338" s="687"/>
      <c r="H338" s="687"/>
      <c r="I338" s="687"/>
      <c r="J338" s="689"/>
      <c r="K338" s="63">
        <v>2</v>
      </c>
    </row>
    <row r="339" spans="1:11" ht="11.25">
      <c r="A339" s="63" t="s">
        <v>326</v>
      </c>
      <c r="B339" s="704" t="s">
        <v>780</v>
      </c>
      <c r="C339" s="824" t="s">
        <v>605</v>
      </c>
      <c r="D339" s="825"/>
      <c r="E339" s="825"/>
      <c r="F339" s="825"/>
      <c r="G339" s="825"/>
      <c r="H339" s="825"/>
      <c r="I339" s="825"/>
      <c r="J339" s="826"/>
      <c r="K339" s="54">
        <v>2</v>
      </c>
    </row>
    <row r="340" spans="1:11" ht="11.25">
      <c r="A340" s="63" t="s">
        <v>327</v>
      </c>
      <c r="B340" s="717"/>
      <c r="C340" s="855" t="s">
        <v>606</v>
      </c>
      <c r="D340" s="855"/>
      <c r="E340" s="855"/>
      <c r="F340" s="855"/>
      <c r="G340" s="855"/>
      <c r="H340" s="855"/>
      <c r="I340" s="855"/>
      <c r="J340" s="857"/>
      <c r="K340" s="63">
        <v>2</v>
      </c>
    </row>
    <row r="341" spans="1:11" ht="11.25">
      <c r="A341" s="63" t="s">
        <v>328</v>
      </c>
      <c r="B341" s="717"/>
      <c r="C341" s="696" t="s">
        <v>607</v>
      </c>
      <c r="D341" s="696"/>
      <c r="E341" s="696"/>
      <c r="F341" s="696"/>
      <c r="G341" s="696"/>
      <c r="H341" s="696"/>
      <c r="I341" s="696"/>
      <c r="J341" s="698"/>
      <c r="K341" s="84">
        <v>2</v>
      </c>
    </row>
    <row r="342" spans="1:11" ht="11.25">
      <c r="A342" s="63" t="s">
        <v>329</v>
      </c>
      <c r="B342" s="717"/>
      <c r="C342" s="782" t="s">
        <v>608</v>
      </c>
      <c r="D342" s="779"/>
      <c r="E342" s="779"/>
      <c r="F342" s="779"/>
      <c r="G342" s="779"/>
      <c r="H342" s="779"/>
      <c r="I342" s="779"/>
      <c r="J342" s="780"/>
      <c r="K342" s="63">
        <v>2</v>
      </c>
    </row>
    <row r="343" spans="1:11" ht="11.25">
      <c r="A343" s="63" t="s">
        <v>330</v>
      </c>
      <c r="B343" s="717"/>
      <c r="C343" s="782" t="s">
        <v>609</v>
      </c>
      <c r="D343" s="779"/>
      <c r="E343" s="779"/>
      <c r="F343" s="779"/>
      <c r="G343" s="779"/>
      <c r="H343" s="779"/>
      <c r="I343" s="779"/>
      <c r="J343" s="780"/>
      <c r="K343" s="63">
        <v>2</v>
      </c>
    </row>
    <row r="344" spans="1:11" ht="12" thickBot="1">
      <c r="A344" s="63" t="s">
        <v>378</v>
      </c>
      <c r="B344" s="716"/>
      <c r="C344" s="714" t="s">
        <v>610</v>
      </c>
      <c r="D344" s="687"/>
      <c r="E344" s="687"/>
      <c r="F344" s="687"/>
      <c r="G344" s="687"/>
      <c r="H344" s="687"/>
      <c r="I344" s="687"/>
      <c r="J344" s="689"/>
      <c r="K344" s="63">
        <v>2</v>
      </c>
    </row>
    <row r="345" spans="1:11" ht="11.25">
      <c r="A345" s="63" t="s">
        <v>326</v>
      </c>
      <c r="B345" s="704" t="s">
        <v>781</v>
      </c>
      <c r="C345" s="824" t="s">
        <v>605</v>
      </c>
      <c r="D345" s="825"/>
      <c r="E345" s="825"/>
      <c r="F345" s="825"/>
      <c r="G345" s="825"/>
      <c r="H345" s="825"/>
      <c r="I345" s="825"/>
      <c r="J345" s="826"/>
      <c r="K345" s="54">
        <v>2</v>
      </c>
    </row>
    <row r="346" spans="1:11" ht="11.25">
      <c r="A346" s="63" t="s">
        <v>327</v>
      </c>
      <c r="B346" s="717"/>
      <c r="C346" s="855" t="s">
        <v>606</v>
      </c>
      <c r="D346" s="855"/>
      <c r="E346" s="855"/>
      <c r="F346" s="855"/>
      <c r="G346" s="855"/>
      <c r="H346" s="855"/>
      <c r="I346" s="855"/>
      <c r="J346" s="857"/>
      <c r="K346" s="63">
        <v>2</v>
      </c>
    </row>
    <row r="347" spans="1:11" ht="11.25">
      <c r="A347" s="63" t="s">
        <v>328</v>
      </c>
      <c r="B347" s="717"/>
      <c r="C347" s="696" t="s">
        <v>607</v>
      </c>
      <c r="D347" s="696"/>
      <c r="E347" s="696"/>
      <c r="F347" s="696"/>
      <c r="G347" s="696"/>
      <c r="H347" s="696"/>
      <c r="I347" s="696"/>
      <c r="J347" s="698"/>
      <c r="K347" s="84">
        <v>2</v>
      </c>
    </row>
    <row r="348" spans="1:11" ht="11.25">
      <c r="A348" s="63" t="s">
        <v>329</v>
      </c>
      <c r="B348" s="717"/>
      <c r="C348" s="782" t="s">
        <v>608</v>
      </c>
      <c r="D348" s="779"/>
      <c r="E348" s="779"/>
      <c r="F348" s="779"/>
      <c r="G348" s="779"/>
      <c r="H348" s="779"/>
      <c r="I348" s="779"/>
      <c r="J348" s="780"/>
      <c r="K348" s="63">
        <v>2</v>
      </c>
    </row>
    <row r="349" spans="1:11" ht="11.25">
      <c r="A349" s="63" t="s">
        <v>330</v>
      </c>
      <c r="B349" s="717"/>
      <c r="C349" s="782" t="s">
        <v>609</v>
      </c>
      <c r="D349" s="779"/>
      <c r="E349" s="779"/>
      <c r="F349" s="779"/>
      <c r="G349" s="779"/>
      <c r="H349" s="779"/>
      <c r="I349" s="779"/>
      <c r="J349" s="780"/>
      <c r="K349" s="63">
        <v>2</v>
      </c>
    </row>
    <row r="350" spans="1:11" ht="12" thickBot="1">
      <c r="A350" s="63" t="s">
        <v>378</v>
      </c>
      <c r="B350" s="716"/>
      <c r="C350" s="714" t="s">
        <v>610</v>
      </c>
      <c r="D350" s="687"/>
      <c r="E350" s="687"/>
      <c r="F350" s="687"/>
      <c r="G350" s="687"/>
      <c r="H350" s="687"/>
      <c r="I350" s="687"/>
      <c r="J350" s="689"/>
      <c r="K350" s="63">
        <v>2</v>
      </c>
    </row>
    <row r="351" spans="1:11" ht="11.25">
      <c r="A351" s="63" t="s">
        <v>326</v>
      </c>
      <c r="B351" s="704" t="s">
        <v>782</v>
      </c>
      <c r="C351" s="824" t="s">
        <v>605</v>
      </c>
      <c r="D351" s="825"/>
      <c r="E351" s="825"/>
      <c r="F351" s="825"/>
      <c r="G351" s="825"/>
      <c r="H351" s="825"/>
      <c r="I351" s="825"/>
      <c r="J351" s="826"/>
      <c r="K351" s="54">
        <v>2</v>
      </c>
    </row>
    <row r="352" spans="1:11" ht="11.25">
      <c r="A352" s="63" t="s">
        <v>327</v>
      </c>
      <c r="B352" s="717"/>
      <c r="C352" s="855" t="s">
        <v>606</v>
      </c>
      <c r="D352" s="855"/>
      <c r="E352" s="855"/>
      <c r="F352" s="855"/>
      <c r="G352" s="855"/>
      <c r="H352" s="855"/>
      <c r="I352" s="855"/>
      <c r="J352" s="857"/>
      <c r="K352" s="63">
        <v>2</v>
      </c>
    </row>
    <row r="353" spans="1:11" ht="11.25">
      <c r="A353" s="63" t="s">
        <v>328</v>
      </c>
      <c r="B353" s="717"/>
      <c r="C353" s="696" t="s">
        <v>607</v>
      </c>
      <c r="D353" s="696"/>
      <c r="E353" s="696"/>
      <c r="F353" s="696"/>
      <c r="G353" s="696"/>
      <c r="H353" s="696"/>
      <c r="I353" s="696"/>
      <c r="J353" s="698"/>
      <c r="K353" s="84">
        <v>2</v>
      </c>
    </row>
    <row r="354" spans="1:11" ht="11.25">
      <c r="A354" s="63" t="s">
        <v>329</v>
      </c>
      <c r="B354" s="717"/>
      <c r="C354" s="782" t="s">
        <v>608</v>
      </c>
      <c r="D354" s="779"/>
      <c r="E354" s="779"/>
      <c r="F354" s="779"/>
      <c r="G354" s="779"/>
      <c r="H354" s="779"/>
      <c r="I354" s="779"/>
      <c r="J354" s="780"/>
      <c r="K354" s="63">
        <v>2</v>
      </c>
    </row>
    <row r="355" spans="1:11" ht="11.25">
      <c r="A355" s="63" t="s">
        <v>330</v>
      </c>
      <c r="B355" s="717"/>
      <c r="C355" s="782" t="s">
        <v>609</v>
      </c>
      <c r="D355" s="779"/>
      <c r="E355" s="779"/>
      <c r="F355" s="779"/>
      <c r="G355" s="779"/>
      <c r="H355" s="779"/>
      <c r="I355" s="779"/>
      <c r="J355" s="780"/>
      <c r="K355" s="63">
        <v>2</v>
      </c>
    </row>
    <row r="356" spans="1:11" ht="12" thickBot="1">
      <c r="A356" s="63" t="s">
        <v>378</v>
      </c>
      <c r="B356" s="716"/>
      <c r="C356" s="714" t="s">
        <v>610</v>
      </c>
      <c r="D356" s="687"/>
      <c r="E356" s="687"/>
      <c r="F356" s="687"/>
      <c r="G356" s="687"/>
      <c r="H356" s="687"/>
      <c r="I356" s="687"/>
      <c r="J356" s="689"/>
      <c r="K356" s="63">
        <v>2</v>
      </c>
    </row>
    <row r="357" spans="1:11" ht="11.25">
      <c r="A357" s="63" t="s">
        <v>326</v>
      </c>
      <c r="B357" s="704" t="s">
        <v>783</v>
      </c>
      <c r="C357" s="824" t="s">
        <v>605</v>
      </c>
      <c r="D357" s="825"/>
      <c r="E357" s="825"/>
      <c r="F357" s="825"/>
      <c r="G357" s="825"/>
      <c r="H357" s="825"/>
      <c r="I357" s="825"/>
      <c r="J357" s="826"/>
      <c r="K357" s="54">
        <v>2</v>
      </c>
    </row>
    <row r="358" spans="1:11" ht="11.25">
      <c r="A358" s="63" t="s">
        <v>327</v>
      </c>
      <c r="B358" s="717"/>
      <c r="C358" s="855" t="s">
        <v>606</v>
      </c>
      <c r="D358" s="855"/>
      <c r="E358" s="855"/>
      <c r="F358" s="855"/>
      <c r="G358" s="855"/>
      <c r="H358" s="855"/>
      <c r="I358" s="855"/>
      <c r="J358" s="857"/>
      <c r="K358" s="63">
        <v>2</v>
      </c>
    </row>
    <row r="359" spans="1:11" ht="11.25">
      <c r="A359" s="63" t="s">
        <v>328</v>
      </c>
      <c r="B359" s="717"/>
      <c r="C359" s="696" t="s">
        <v>607</v>
      </c>
      <c r="D359" s="696"/>
      <c r="E359" s="696"/>
      <c r="F359" s="696"/>
      <c r="G359" s="696"/>
      <c r="H359" s="696"/>
      <c r="I359" s="696"/>
      <c r="J359" s="698"/>
      <c r="K359" s="84">
        <v>2</v>
      </c>
    </row>
    <row r="360" spans="1:11" ht="11.25">
      <c r="A360" s="63" t="s">
        <v>329</v>
      </c>
      <c r="B360" s="717"/>
      <c r="C360" s="782" t="s">
        <v>608</v>
      </c>
      <c r="D360" s="779"/>
      <c r="E360" s="779"/>
      <c r="F360" s="779"/>
      <c r="G360" s="779"/>
      <c r="H360" s="779"/>
      <c r="I360" s="779"/>
      <c r="J360" s="780"/>
      <c r="K360" s="63">
        <v>2</v>
      </c>
    </row>
    <row r="361" spans="1:11" ht="11.25">
      <c r="A361" s="63" t="s">
        <v>330</v>
      </c>
      <c r="B361" s="717"/>
      <c r="C361" s="782" t="s">
        <v>609</v>
      </c>
      <c r="D361" s="779"/>
      <c r="E361" s="779"/>
      <c r="F361" s="779"/>
      <c r="G361" s="779"/>
      <c r="H361" s="779"/>
      <c r="I361" s="779"/>
      <c r="J361" s="780"/>
      <c r="K361" s="63">
        <v>2</v>
      </c>
    </row>
    <row r="362" spans="1:11" ht="12" thickBot="1">
      <c r="A362" s="63" t="s">
        <v>378</v>
      </c>
      <c r="B362" s="716"/>
      <c r="C362" s="714" t="s">
        <v>610</v>
      </c>
      <c r="D362" s="687"/>
      <c r="E362" s="687"/>
      <c r="F362" s="687"/>
      <c r="G362" s="687"/>
      <c r="H362" s="687"/>
      <c r="I362" s="687"/>
      <c r="J362" s="689"/>
      <c r="K362" s="63">
        <v>2</v>
      </c>
    </row>
    <row r="363" spans="1:11" ht="11.25">
      <c r="A363" s="63" t="s">
        <v>326</v>
      </c>
      <c r="B363" s="704" t="s">
        <v>784</v>
      </c>
      <c r="C363" s="824" t="s">
        <v>605</v>
      </c>
      <c r="D363" s="825"/>
      <c r="E363" s="825"/>
      <c r="F363" s="825"/>
      <c r="G363" s="825"/>
      <c r="H363" s="825"/>
      <c r="I363" s="825"/>
      <c r="J363" s="826"/>
      <c r="K363" s="54">
        <v>2</v>
      </c>
    </row>
    <row r="364" spans="1:11" ht="11.25">
      <c r="A364" s="63" t="s">
        <v>327</v>
      </c>
      <c r="B364" s="717"/>
      <c r="C364" s="855" t="s">
        <v>606</v>
      </c>
      <c r="D364" s="855"/>
      <c r="E364" s="855"/>
      <c r="F364" s="855"/>
      <c r="G364" s="855"/>
      <c r="H364" s="855"/>
      <c r="I364" s="855"/>
      <c r="J364" s="857"/>
      <c r="K364" s="63">
        <v>2</v>
      </c>
    </row>
    <row r="365" spans="1:11" ht="11.25">
      <c r="A365" s="63" t="s">
        <v>328</v>
      </c>
      <c r="B365" s="717"/>
      <c r="C365" s="696" t="s">
        <v>607</v>
      </c>
      <c r="D365" s="696"/>
      <c r="E365" s="696"/>
      <c r="F365" s="696"/>
      <c r="G365" s="696"/>
      <c r="H365" s="696"/>
      <c r="I365" s="696"/>
      <c r="J365" s="698"/>
      <c r="K365" s="84">
        <v>2</v>
      </c>
    </row>
    <row r="366" spans="1:11" ht="11.25">
      <c r="A366" s="63" t="s">
        <v>329</v>
      </c>
      <c r="B366" s="717"/>
      <c r="C366" s="782" t="s">
        <v>608</v>
      </c>
      <c r="D366" s="779"/>
      <c r="E366" s="779"/>
      <c r="F366" s="779"/>
      <c r="G366" s="779"/>
      <c r="H366" s="779"/>
      <c r="I366" s="779"/>
      <c r="J366" s="780"/>
      <c r="K366" s="63">
        <v>2</v>
      </c>
    </row>
    <row r="367" spans="1:11" ht="11.25">
      <c r="A367" s="63" t="s">
        <v>330</v>
      </c>
      <c r="B367" s="717"/>
      <c r="C367" s="782" t="s">
        <v>609</v>
      </c>
      <c r="D367" s="779"/>
      <c r="E367" s="779"/>
      <c r="F367" s="779"/>
      <c r="G367" s="779"/>
      <c r="H367" s="779"/>
      <c r="I367" s="779"/>
      <c r="J367" s="780"/>
      <c r="K367" s="63">
        <v>2</v>
      </c>
    </row>
    <row r="368" spans="1:11" ht="12" thickBot="1">
      <c r="A368" s="63" t="s">
        <v>378</v>
      </c>
      <c r="B368" s="716"/>
      <c r="C368" s="714" t="s">
        <v>610</v>
      </c>
      <c r="D368" s="687"/>
      <c r="E368" s="687"/>
      <c r="F368" s="687"/>
      <c r="G368" s="687"/>
      <c r="H368" s="687"/>
      <c r="I368" s="687"/>
      <c r="J368" s="689"/>
      <c r="K368" s="63">
        <v>2</v>
      </c>
    </row>
    <row r="369" spans="1:11" ht="11.25">
      <c r="A369" s="63" t="s">
        <v>326</v>
      </c>
      <c r="B369" s="704" t="s">
        <v>785</v>
      </c>
      <c r="C369" s="824" t="s">
        <v>605</v>
      </c>
      <c r="D369" s="825"/>
      <c r="E369" s="825"/>
      <c r="F369" s="825"/>
      <c r="G369" s="825"/>
      <c r="H369" s="825"/>
      <c r="I369" s="825"/>
      <c r="J369" s="826"/>
      <c r="K369" s="54">
        <v>2</v>
      </c>
    </row>
    <row r="370" spans="1:11" ht="11.25">
      <c r="A370" s="63" t="s">
        <v>327</v>
      </c>
      <c r="B370" s="717"/>
      <c r="C370" s="855" t="s">
        <v>606</v>
      </c>
      <c r="D370" s="855"/>
      <c r="E370" s="855"/>
      <c r="F370" s="855"/>
      <c r="G370" s="855"/>
      <c r="H370" s="855"/>
      <c r="I370" s="855"/>
      <c r="J370" s="857"/>
      <c r="K370" s="63">
        <v>2</v>
      </c>
    </row>
    <row r="371" spans="1:11" ht="11.25">
      <c r="A371" s="63" t="s">
        <v>328</v>
      </c>
      <c r="B371" s="717"/>
      <c r="C371" s="696" t="s">
        <v>607</v>
      </c>
      <c r="D371" s="696"/>
      <c r="E371" s="696"/>
      <c r="F371" s="696"/>
      <c r="G371" s="696"/>
      <c r="H371" s="696"/>
      <c r="I371" s="696"/>
      <c r="J371" s="698"/>
      <c r="K371" s="84">
        <v>2</v>
      </c>
    </row>
    <row r="372" spans="1:11" ht="11.25">
      <c r="A372" s="63" t="s">
        <v>329</v>
      </c>
      <c r="B372" s="717"/>
      <c r="C372" s="782" t="s">
        <v>608</v>
      </c>
      <c r="D372" s="779"/>
      <c r="E372" s="779"/>
      <c r="F372" s="779"/>
      <c r="G372" s="779"/>
      <c r="H372" s="779"/>
      <c r="I372" s="779"/>
      <c r="J372" s="780"/>
      <c r="K372" s="63">
        <v>2</v>
      </c>
    </row>
    <row r="373" spans="1:11" ht="11.25">
      <c r="A373" s="63" t="s">
        <v>330</v>
      </c>
      <c r="B373" s="717"/>
      <c r="C373" s="782" t="s">
        <v>609</v>
      </c>
      <c r="D373" s="779"/>
      <c r="E373" s="779"/>
      <c r="F373" s="779"/>
      <c r="G373" s="779"/>
      <c r="H373" s="779"/>
      <c r="I373" s="779"/>
      <c r="J373" s="780"/>
      <c r="K373" s="63">
        <v>2</v>
      </c>
    </row>
    <row r="374" spans="1:11" ht="12" thickBot="1">
      <c r="A374" s="63" t="s">
        <v>378</v>
      </c>
      <c r="B374" s="716"/>
      <c r="C374" s="714" t="s">
        <v>610</v>
      </c>
      <c r="D374" s="687"/>
      <c r="E374" s="687"/>
      <c r="F374" s="687"/>
      <c r="G374" s="687"/>
      <c r="H374" s="687"/>
      <c r="I374" s="687"/>
      <c r="J374" s="689"/>
      <c r="K374" s="63">
        <v>2</v>
      </c>
    </row>
    <row r="375" spans="1:11" ht="11.25">
      <c r="A375" s="63" t="s">
        <v>326</v>
      </c>
      <c r="B375" s="704" t="s">
        <v>786</v>
      </c>
      <c r="C375" s="824" t="s">
        <v>605</v>
      </c>
      <c r="D375" s="825"/>
      <c r="E375" s="825"/>
      <c r="F375" s="825"/>
      <c r="G375" s="825"/>
      <c r="H375" s="825"/>
      <c r="I375" s="825"/>
      <c r="J375" s="826"/>
      <c r="K375" s="54">
        <v>2</v>
      </c>
    </row>
    <row r="376" spans="1:11" ht="11.25">
      <c r="A376" s="63" t="s">
        <v>327</v>
      </c>
      <c r="B376" s="717"/>
      <c r="C376" s="855" t="s">
        <v>606</v>
      </c>
      <c r="D376" s="855"/>
      <c r="E376" s="855"/>
      <c r="F376" s="855"/>
      <c r="G376" s="855"/>
      <c r="H376" s="855"/>
      <c r="I376" s="855"/>
      <c r="J376" s="857"/>
      <c r="K376" s="63">
        <v>2</v>
      </c>
    </row>
    <row r="377" spans="1:11" ht="11.25">
      <c r="A377" s="63" t="s">
        <v>328</v>
      </c>
      <c r="B377" s="717"/>
      <c r="C377" s="696" t="s">
        <v>607</v>
      </c>
      <c r="D377" s="696"/>
      <c r="E377" s="696"/>
      <c r="F377" s="696"/>
      <c r="G377" s="696"/>
      <c r="H377" s="696"/>
      <c r="I377" s="696"/>
      <c r="J377" s="698"/>
      <c r="K377" s="84">
        <v>2</v>
      </c>
    </row>
    <row r="378" spans="1:11" ht="11.25">
      <c r="A378" s="63" t="s">
        <v>329</v>
      </c>
      <c r="B378" s="717"/>
      <c r="C378" s="782" t="s">
        <v>608</v>
      </c>
      <c r="D378" s="779"/>
      <c r="E378" s="779"/>
      <c r="F378" s="779"/>
      <c r="G378" s="779"/>
      <c r="H378" s="779"/>
      <c r="I378" s="779"/>
      <c r="J378" s="780"/>
      <c r="K378" s="63">
        <v>2</v>
      </c>
    </row>
    <row r="379" spans="1:11" ht="11.25">
      <c r="A379" s="63" t="s">
        <v>330</v>
      </c>
      <c r="B379" s="717"/>
      <c r="C379" s="782" t="s">
        <v>609</v>
      </c>
      <c r="D379" s="779"/>
      <c r="E379" s="779"/>
      <c r="F379" s="779"/>
      <c r="G379" s="779"/>
      <c r="H379" s="779"/>
      <c r="I379" s="779"/>
      <c r="J379" s="780"/>
      <c r="K379" s="63">
        <v>2</v>
      </c>
    </row>
    <row r="380" spans="1:11" ht="12" thickBot="1">
      <c r="A380" s="63" t="s">
        <v>378</v>
      </c>
      <c r="B380" s="716"/>
      <c r="C380" s="714" t="s">
        <v>610</v>
      </c>
      <c r="D380" s="687"/>
      <c r="E380" s="687"/>
      <c r="F380" s="687"/>
      <c r="G380" s="687"/>
      <c r="H380" s="687"/>
      <c r="I380" s="687"/>
      <c r="J380" s="689"/>
      <c r="K380" s="63">
        <v>2</v>
      </c>
    </row>
    <row r="381" spans="1:11" ht="11.25">
      <c r="A381" s="63" t="s">
        <v>326</v>
      </c>
      <c r="B381" s="704" t="s">
        <v>787</v>
      </c>
      <c r="C381" s="824" t="s">
        <v>605</v>
      </c>
      <c r="D381" s="825"/>
      <c r="E381" s="825"/>
      <c r="F381" s="825"/>
      <c r="G381" s="825"/>
      <c r="H381" s="825"/>
      <c r="I381" s="825"/>
      <c r="J381" s="826"/>
      <c r="K381" s="54">
        <v>2</v>
      </c>
    </row>
    <row r="382" spans="1:11" ht="11.25">
      <c r="A382" s="63" t="s">
        <v>327</v>
      </c>
      <c r="B382" s="717"/>
      <c r="C382" s="855" t="s">
        <v>606</v>
      </c>
      <c r="D382" s="855"/>
      <c r="E382" s="855"/>
      <c r="F382" s="855"/>
      <c r="G382" s="855"/>
      <c r="H382" s="855"/>
      <c r="I382" s="855"/>
      <c r="J382" s="857"/>
      <c r="K382" s="63">
        <v>2</v>
      </c>
    </row>
    <row r="383" spans="1:11" ht="11.25">
      <c r="A383" s="63" t="s">
        <v>328</v>
      </c>
      <c r="B383" s="717"/>
      <c r="C383" s="696" t="s">
        <v>607</v>
      </c>
      <c r="D383" s="696"/>
      <c r="E383" s="696"/>
      <c r="F383" s="696"/>
      <c r="G383" s="696"/>
      <c r="H383" s="696"/>
      <c r="I383" s="696"/>
      <c r="J383" s="698"/>
      <c r="K383" s="84">
        <v>2</v>
      </c>
    </row>
    <row r="384" spans="1:11" ht="11.25">
      <c r="A384" s="63" t="s">
        <v>329</v>
      </c>
      <c r="B384" s="717"/>
      <c r="C384" s="782" t="s">
        <v>608</v>
      </c>
      <c r="D384" s="779"/>
      <c r="E384" s="779"/>
      <c r="F384" s="779"/>
      <c r="G384" s="779"/>
      <c r="H384" s="779"/>
      <c r="I384" s="779"/>
      <c r="J384" s="780"/>
      <c r="K384" s="63">
        <v>2</v>
      </c>
    </row>
    <row r="385" spans="1:11" ht="11.25">
      <c r="A385" s="63" t="s">
        <v>330</v>
      </c>
      <c r="B385" s="717"/>
      <c r="C385" s="782" t="s">
        <v>609</v>
      </c>
      <c r="D385" s="779"/>
      <c r="E385" s="779"/>
      <c r="F385" s="779"/>
      <c r="G385" s="779"/>
      <c r="H385" s="779"/>
      <c r="I385" s="779"/>
      <c r="J385" s="780"/>
      <c r="K385" s="63">
        <v>2</v>
      </c>
    </row>
    <row r="386" spans="1:11" ht="12" thickBot="1">
      <c r="A386" s="63" t="s">
        <v>378</v>
      </c>
      <c r="B386" s="716"/>
      <c r="C386" s="714" t="s">
        <v>610</v>
      </c>
      <c r="D386" s="687"/>
      <c r="E386" s="687"/>
      <c r="F386" s="687"/>
      <c r="G386" s="687"/>
      <c r="H386" s="687"/>
      <c r="I386" s="687"/>
      <c r="J386" s="689"/>
      <c r="K386" s="63">
        <v>2</v>
      </c>
    </row>
    <row r="387" spans="1:11" ht="11.25">
      <c r="A387" s="63" t="s">
        <v>326</v>
      </c>
      <c r="B387" s="704" t="s">
        <v>788</v>
      </c>
      <c r="C387" s="824" t="s">
        <v>605</v>
      </c>
      <c r="D387" s="825"/>
      <c r="E387" s="825"/>
      <c r="F387" s="825"/>
      <c r="G387" s="825"/>
      <c r="H387" s="825"/>
      <c r="I387" s="825"/>
      <c r="J387" s="826"/>
      <c r="K387" s="54">
        <v>2</v>
      </c>
    </row>
    <row r="388" spans="1:11" ht="11.25">
      <c r="A388" s="63" t="s">
        <v>327</v>
      </c>
      <c r="B388" s="717"/>
      <c r="C388" s="855" t="s">
        <v>606</v>
      </c>
      <c r="D388" s="855"/>
      <c r="E388" s="855"/>
      <c r="F388" s="855"/>
      <c r="G388" s="855"/>
      <c r="H388" s="855"/>
      <c r="I388" s="855"/>
      <c r="J388" s="857"/>
      <c r="K388" s="63">
        <v>2</v>
      </c>
    </row>
    <row r="389" spans="1:11" ht="11.25">
      <c r="A389" s="63" t="s">
        <v>328</v>
      </c>
      <c r="B389" s="717"/>
      <c r="C389" s="696" t="s">
        <v>607</v>
      </c>
      <c r="D389" s="696"/>
      <c r="E389" s="696"/>
      <c r="F389" s="696"/>
      <c r="G389" s="696"/>
      <c r="H389" s="696"/>
      <c r="I389" s="696"/>
      <c r="J389" s="698"/>
      <c r="K389" s="84">
        <v>2</v>
      </c>
    </row>
    <row r="390" spans="1:11" ht="11.25">
      <c r="A390" s="63" t="s">
        <v>329</v>
      </c>
      <c r="B390" s="717"/>
      <c r="C390" s="782" t="s">
        <v>608</v>
      </c>
      <c r="D390" s="779"/>
      <c r="E390" s="779"/>
      <c r="F390" s="779"/>
      <c r="G390" s="779"/>
      <c r="H390" s="779"/>
      <c r="I390" s="779"/>
      <c r="J390" s="780"/>
      <c r="K390" s="63">
        <v>2</v>
      </c>
    </row>
    <row r="391" spans="1:11" ht="11.25">
      <c r="A391" s="63" t="s">
        <v>330</v>
      </c>
      <c r="B391" s="717"/>
      <c r="C391" s="782" t="s">
        <v>609</v>
      </c>
      <c r="D391" s="779"/>
      <c r="E391" s="779"/>
      <c r="F391" s="779"/>
      <c r="G391" s="779"/>
      <c r="H391" s="779"/>
      <c r="I391" s="779"/>
      <c r="J391" s="780"/>
      <c r="K391" s="63">
        <v>2</v>
      </c>
    </row>
    <row r="392" spans="1:11" ht="12" thickBot="1">
      <c r="A392" s="63" t="s">
        <v>378</v>
      </c>
      <c r="B392" s="716"/>
      <c r="C392" s="788" t="s">
        <v>610</v>
      </c>
      <c r="D392" s="772"/>
      <c r="E392" s="772"/>
      <c r="F392" s="772"/>
      <c r="G392" s="772"/>
      <c r="H392" s="772"/>
      <c r="I392" s="772"/>
      <c r="J392" s="773"/>
      <c r="K392" s="63">
        <v>2</v>
      </c>
    </row>
    <row r="393" spans="1:11" ht="11.25">
      <c r="A393" s="63" t="s">
        <v>326</v>
      </c>
      <c r="B393" s="704" t="s">
        <v>789</v>
      </c>
      <c r="C393" s="824" t="s">
        <v>605</v>
      </c>
      <c r="D393" s="825"/>
      <c r="E393" s="825"/>
      <c r="F393" s="825"/>
      <c r="G393" s="825"/>
      <c r="H393" s="825"/>
      <c r="I393" s="825"/>
      <c r="J393" s="826"/>
      <c r="K393" s="54">
        <v>2</v>
      </c>
    </row>
    <row r="394" spans="1:11" ht="11.25">
      <c r="A394" s="63" t="s">
        <v>327</v>
      </c>
      <c r="B394" s="717"/>
      <c r="C394" s="855" t="s">
        <v>606</v>
      </c>
      <c r="D394" s="855"/>
      <c r="E394" s="855"/>
      <c r="F394" s="855"/>
      <c r="G394" s="855"/>
      <c r="H394" s="855"/>
      <c r="I394" s="855"/>
      <c r="J394" s="857"/>
      <c r="K394" s="63">
        <v>2</v>
      </c>
    </row>
    <row r="395" spans="1:11" ht="11.25">
      <c r="A395" s="63" t="s">
        <v>328</v>
      </c>
      <c r="B395" s="717"/>
      <c r="C395" s="696" t="s">
        <v>607</v>
      </c>
      <c r="D395" s="696"/>
      <c r="E395" s="696"/>
      <c r="F395" s="696"/>
      <c r="G395" s="696"/>
      <c r="H395" s="696"/>
      <c r="I395" s="696"/>
      <c r="J395" s="698"/>
      <c r="K395" s="84">
        <v>2</v>
      </c>
    </row>
    <row r="396" spans="1:11" ht="11.25">
      <c r="A396" s="63" t="s">
        <v>329</v>
      </c>
      <c r="B396" s="717"/>
      <c r="C396" s="782" t="s">
        <v>608</v>
      </c>
      <c r="D396" s="779"/>
      <c r="E396" s="779"/>
      <c r="F396" s="779"/>
      <c r="G396" s="779"/>
      <c r="H396" s="779"/>
      <c r="I396" s="779"/>
      <c r="J396" s="780"/>
      <c r="K396" s="63">
        <v>2</v>
      </c>
    </row>
    <row r="397" spans="1:11" ht="11.25">
      <c r="A397" s="63" t="s">
        <v>330</v>
      </c>
      <c r="B397" s="717"/>
      <c r="C397" s="782" t="s">
        <v>609</v>
      </c>
      <c r="D397" s="779"/>
      <c r="E397" s="779"/>
      <c r="F397" s="779"/>
      <c r="G397" s="779"/>
      <c r="H397" s="779"/>
      <c r="I397" s="779"/>
      <c r="J397" s="780"/>
      <c r="K397" s="63">
        <v>2</v>
      </c>
    </row>
    <row r="398" spans="1:11" ht="12" thickBot="1">
      <c r="A398" s="63" t="s">
        <v>378</v>
      </c>
      <c r="B398" s="716"/>
      <c r="C398" s="714" t="s">
        <v>610</v>
      </c>
      <c r="D398" s="687"/>
      <c r="E398" s="687"/>
      <c r="F398" s="687"/>
      <c r="G398" s="687"/>
      <c r="H398" s="687"/>
      <c r="I398" s="687"/>
      <c r="J398" s="689"/>
      <c r="K398" s="63">
        <v>2</v>
      </c>
    </row>
    <row r="399" spans="1:11" ht="11.25">
      <c r="A399" s="63" t="s">
        <v>326</v>
      </c>
      <c r="B399" s="704" t="s">
        <v>790</v>
      </c>
      <c r="C399" s="824" t="s">
        <v>605</v>
      </c>
      <c r="D399" s="825"/>
      <c r="E399" s="825"/>
      <c r="F399" s="825"/>
      <c r="G399" s="825"/>
      <c r="H399" s="825"/>
      <c r="I399" s="825"/>
      <c r="J399" s="826"/>
      <c r="K399" s="54">
        <v>2</v>
      </c>
    </row>
    <row r="400" spans="1:11" ht="11.25">
      <c r="A400" s="63" t="s">
        <v>327</v>
      </c>
      <c r="B400" s="717"/>
      <c r="C400" s="855" t="s">
        <v>606</v>
      </c>
      <c r="D400" s="855"/>
      <c r="E400" s="855"/>
      <c r="F400" s="855"/>
      <c r="G400" s="855"/>
      <c r="H400" s="855"/>
      <c r="I400" s="855"/>
      <c r="J400" s="857"/>
      <c r="K400" s="63">
        <v>2</v>
      </c>
    </row>
    <row r="401" spans="1:11" ht="11.25">
      <c r="A401" s="63" t="s">
        <v>328</v>
      </c>
      <c r="B401" s="717"/>
      <c r="C401" s="696" t="s">
        <v>607</v>
      </c>
      <c r="D401" s="696"/>
      <c r="E401" s="696"/>
      <c r="F401" s="696"/>
      <c r="G401" s="696"/>
      <c r="H401" s="696"/>
      <c r="I401" s="696"/>
      <c r="J401" s="698"/>
      <c r="K401" s="84">
        <v>2</v>
      </c>
    </row>
    <row r="402" spans="1:11" ht="11.25">
      <c r="A402" s="63" t="s">
        <v>329</v>
      </c>
      <c r="B402" s="717"/>
      <c r="C402" s="782" t="s">
        <v>608</v>
      </c>
      <c r="D402" s="779"/>
      <c r="E402" s="779"/>
      <c r="F402" s="779"/>
      <c r="G402" s="779"/>
      <c r="H402" s="779"/>
      <c r="I402" s="779"/>
      <c r="J402" s="780"/>
      <c r="K402" s="63">
        <v>2</v>
      </c>
    </row>
    <row r="403" spans="1:11" ht="11.25">
      <c r="A403" s="63" t="s">
        <v>330</v>
      </c>
      <c r="B403" s="717"/>
      <c r="C403" s="782" t="s">
        <v>609</v>
      </c>
      <c r="D403" s="779"/>
      <c r="E403" s="779"/>
      <c r="F403" s="779"/>
      <c r="G403" s="779"/>
      <c r="H403" s="779"/>
      <c r="I403" s="779"/>
      <c r="J403" s="780"/>
      <c r="K403" s="63">
        <v>2</v>
      </c>
    </row>
    <row r="404" spans="1:11" ht="12" thickBot="1">
      <c r="A404" s="63" t="s">
        <v>378</v>
      </c>
      <c r="B404" s="716"/>
      <c r="C404" s="714" t="s">
        <v>610</v>
      </c>
      <c r="D404" s="687"/>
      <c r="E404" s="687"/>
      <c r="F404" s="687"/>
      <c r="G404" s="687"/>
      <c r="H404" s="687"/>
      <c r="I404" s="687"/>
      <c r="J404" s="689"/>
      <c r="K404" s="63">
        <v>2</v>
      </c>
    </row>
    <row r="405" spans="1:11" ht="11.25">
      <c r="A405" s="63" t="s">
        <v>326</v>
      </c>
      <c r="B405" s="704" t="s">
        <v>791</v>
      </c>
      <c r="C405" s="824" t="s">
        <v>605</v>
      </c>
      <c r="D405" s="825"/>
      <c r="E405" s="825"/>
      <c r="F405" s="825"/>
      <c r="G405" s="825"/>
      <c r="H405" s="825"/>
      <c r="I405" s="825"/>
      <c r="J405" s="826"/>
      <c r="K405" s="54">
        <v>2</v>
      </c>
    </row>
    <row r="406" spans="1:11" ht="11.25">
      <c r="A406" s="63" t="s">
        <v>327</v>
      </c>
      <c r="B406" s="717"/>
      <c r="C406" s="855" t="s">
        <v>606</v>
      </c>
      <c r="D406" s="855"/>
      <c r="E406" s="855"/>
      <c r="F406" s="855"/>
      <c r="G406" s="855"/>
      <c r="H406" s="855"/>
      <c r="I406" s="855"/>
      <c r="J406" s="857"/>
      <c r="K406" s="63">
        <v>2</v>
      </c>
    </row>
    <row r="407" spans="1:11" ht="11.25">
      <c r="A407" s="63" t="s">
        <v>328</v>
      </c>
      <c r="B407" s="717"/>
      <c r="C407" s="696" t="s">
        <v>607</v>
      </c>
      <c r="D407" s="696"/>
      <c r="E407" s="696"/>
      <c r="F407" s="696"/>
      <c r="G407" s="696"/>
      <c r="H407" s="696"/>
      <c r="I407" s="696"/>
      <c r="J407" s="698"/>
      <c r="K407" s="84">
        <v>2</v>
      </c>
    </row>
    <row r="408" spans="1:11" ht="11.25">
      <c r="A408" s="63" t="s">
        <v>329</v>
      </c>
      <c r="B408" s="717"/>
      <c r="C408" s="782" t="s">
        <v>608</v>
      </c>
      <c r="D408" s="779"/>
      <c r="E408" s="779"/>
      <c r="F408" s="779"/>
      <c r="G408" s="779"/>
      <c r="H408" s="779"/>
      <c r="I408" s="779"/>
      <c r="J408" s="780"/>
      <c r="K408" s="63">
        <v>2</v>
      </c>
    </row>
    <row r="409" spans="1:11" ht="11.25">
      <c r="A409" s="63" t="s">
        <v>330</v>
      </c>
      <c r="B409" s="717"/>
      <c r="C409" s="782" t="s">
        <v>609</v>
      </c>
      <c r="D409" s="779"/>
      <c r="E409" s="779"/>
      <c r="F409" s="779"/>
      <c r="G409" s="779"/>
      <c r="H409" s="779"/>
      <c r="I409" s="779"/>
      <c r="J409" s="780"/>
      <c r="K409" s="63">
        <v>2</v>
      </c>
    </row>
    <row r="410" spans="1:11" ht="12" thickBot="1">
      <c r="A410" s="63" t="s">
        <v>378</v>
      </c>
      <c r="B410" s="716"/>
      <c r="C410" s="714" t="s">
        <v>610</v>
      </c>
      <c r="D410" s="687"/>
      <c r="E410" s="687"/>
      <c r="F410" s="687"/>
      <c r="G410" s="687"/>
      <c r="H410" s="687"/>
      <c r="I410" s="687"/>
      <c r="J410" s="689"/>
      <c r="K410" s="63">
        <v>2</v>
      </c>
    </row>
    <row r="411" spans="1:11" ht="11.25">
      <c r="A411" s="63" t="s">
        <v>326</v>
      </c>
      <c r="B411" s="704" t="s">
        <v>792</v>
      </c>
      <c r="C411" s="824" t="s">
        <v>605</v>
      </c>
      <c r="D411" s="825"/>
      <c r="E411" s="825"/>
      <c r="F411" s="825"/>
      <c r="G411" s="825"/>
      <c r="H411" s="825"/>
      <c r="I411" s="825"/>
      <c r="J411" s="826"/>
      <c r="K411" s="54">
        <v>2</v>
      </c>
    </row>
    <row r="412" spans="1:11" ht="11.25">
      <c r="A412" s="63" t="s">
        <v>327</v>
      </c>
      <c r="B412" s="717"/>
      <c r="C412" s="855" t="s">
        <v>606</v>
      </c>
      <c r="D412" s="855"/>
      <c r="E412" s="855"/>
      <c r="F412" s="855"/>
      <c r="G412" s="855"/>
      <c r="H412" s="855"/>
      <c r="I412" s="855"/>
      <c r="J412" s="857"/>
      <c r="K412" s="63">
        <v>2</v>
      </c>
    </row>
    <row r="413" spans="1:11" ht="11.25">
      <c r="A413" s="63" t="s">
        <v>328</v>
      </c>
      <c r="B413" s="717"/>
      <c r="C413" s="696" t="s">
        <v>607</v>
      </c>
      <c r="D413" s="696"/>
      <c r="E413" s="696"/>
      <c r="F413" s="696"/>
      <c r="G413" s="696"/>
      <c r="H413" s="696"/>
      <c r="I413" s="696"/>
      <c r="J413" s="698"/>
      <c r="K413" s="84">
        <v>2</v>
      </c>
    </row>
    <row r="414" spans="1:11" ht="11.25">
      <c r="A414" s="63" t="s">
        <v>329</v>
      </c>
      <c r="B414" s="717"/>
      <c r="C414" s="782" t="s">
        <v>608</v>
      </c>
      <c r="D414" s="779"/>
      <c r="E414" s="779"/>
      <c r="F414" s="779"/>
      <c r="G414" s="779"/>
      <c r="H414" s="779"/>
      <c r="I414" s="779"/>
      <c r="J414" s="780"/>
      <c r="K414" s="63">
        <v>2</v>
      </c>
    </row>
    <row r="415" spans="1:11" ht="11.25">
      <c r="A415" s="63" t="s">
        <v>330</v>
      </c>
      <c r="B415" s="717"/>
      <c r="C415" s="782" t="s">
        <v>609</v>
      </c>
      <c r="D415" s="779"/>
      <c r="E415" s="779"/>
      <c r="F415" s="779"/>
      <c r="G415" s="779"/>
      <c r="H415" s="779"/>
      <c r="I415" s="779"/>
      <c r="J415" s="780"/>
      <c r="K415" s="63">
        <v>2</v>
      </c>
    </row>
    <row r="416" spans="1:11" ht="12" thickBot="1">
      <c r="A416" s="63" t="s">
        <v>378</v>
      </c>
      <c r="B416" s="716"/>
      <c r="C416" s="714" t="s">
        <v>610</v>
      </c>
      <c r="D416" s="687"/>
      <c r="E416" s="687"/>
      <c r="F416" s="687"/>
      <c r="G416" s="687"/>
      <c r="H416" s="687"/>
      <c r="I416" s="687"/>
      <c r="J416" s="689"/>
      <c r="K416" s="63">
        <v>2</v>
      </c>
    </row>
    <row r="417" spans="1:11" ht="11.25">
      <c r="A417" s="63" t="s">
        <v>326</v>
      </c>
      <c r="B417" s="704" t="s">
        <v>793</v>
      </c>
      <c r="C417" s="824" t="s">
        <v>605</v>
      </c>
      <c r="D417" s="825"/>
      <c r="E417" s="825"/>
      <c r="F417" s="825"/>
      <c r="G417" s="825"/>
      <c r="H417" s="825"/>
      <c r="I417" s="825"/>
      <c r="J417" s="826"/>
      <c r="K417" s="54">
        <v>2</v>
      </c>
    </row>
    <row r="418" spans="1:11" ht="11.25">
      <c r="A418" s="63" t="s">
        <v>327</v>
      </c>
      <c r="B418" s="717"/>
      <c r="C418" s="855" t="s">
        <v>606</v>
      </c>
      <c r="D418" s="855"/>
      <c r="E418" s="855"/>
      <c r="F418" s="855"/>
      <c r="G418" s="855"/>
      <c r="H418" s="855"/>
      <c r="I418" s="855"/>
      <c r="J418" s="857"/>
      <c r="K418" s="63">
        <v>2</v>
      </c>
    </row>
    <row r="419" spans="1:11" ht="11.25">
      <c r="A419" s="63" t="s">
        <v>328</v>
      </c>
      <c r="B419" s="717"/>
      <c r="C419" s="696" t="s">
        <v>607</v>
      </c>
      <c r="D419" s="696"/>
      <c r="E419" s="696"/>
      <c r="F419" s="696"/>
      <c r="G419" s="696"/>
      <c r="H419" s="696"/>
      <c r="I419" s="696"/>
      <c r="J419" s="698"/>
      <c r="K419" s="84">
        <v>2</v>
      </c>
    </row>
    <row r="420" spans="1:11" ht="11.25">
      <c r="A420" s="63" t="s">
        <v>329</v>
      </c>
      <c r="B420" s="717"/>
      <c r="C420" s="782" t="s">
        <v>608</v>
      </c>
      <c r="D420" s="779"/>
      <c r="E420" s="779"/>
      <c r="F420" s="779"/>
      <c r="G420" s="779"/>
      <c r="H420" s="779"/>
      <c r="I420" s="779"/>
      <c r="J420" s="780"/>
      <c r="K420" s="63">
        <v>2</v>
      </c>
    </row>
    <row r="421" spans="1:11" ht="11.25">
      <c r="A421" s="63" t="s">
        <v>330</v>
      </c>
      <c r="B421" s="717"/>
      <c r="C421" s="782" t="s">
        <v>609</v>
      </c>
      <c r="D421" s="779"/>
      <c r="E421" s="779"/>
      <c r="F421" s="779"/>
      <c r="G421" s="779"/>
      <c r="H421" s="779"/>
      <c r="I421" s="779"/>
      <c r="J421" s="780"/>
      <c r="K421" s="63">
        <v>2</v>
      </c>
    </row>
    <row r="422" spans="1:11" ht="12" thickBot="1">
      <c r="A422" s="63" t="s">
        <v>378</v>
      </c>
      <c r="B422" s="716"/>
      <c r="C422" s="714" t="s">
        <v>610</v>
      </c>
      <c r="D422" s="687"/>
      <c r="E422" s="687"/>
      <c r="F422" s="687"/>
      <c r="G422" s="687"/>
      <c r="H422" s="687"/>
      <c r="I422" s="687"/>
      <c r="J422" s="689"/>
      <c r="K422" s="63">
        <v>2</v>
      </c>
    </row>
    <row r="423" spans="1:11" ht="11.25">
      <c r="A423" s="63" t="s">
        <v>326</v>
      </c>
      <c r="B423" s="704" t="s">
        <v>794</v>
      </c>
      <c r="C423" s="824" t="s">
        <v>605</v>
      </c>
      <c r="D423" s="825"/>
      <c r="E423" s="825"/>
      <c r="F423" s="825"/>
      <c r="G423" s="825"/>
      <c r="H423" s="825"/>
      <c r="I423" s="825"/>
      <c r="J423" s="826"/>
      <c r="K423" s="54">
        <v>2</v>
      </c>
    </row>
    <row r="424" spans="1:11" ht="11.25">
      <c r="A424" s="63" t="s">
        <v>327</v>
      </c>
      <c r="B424" s="717"/>
      <c r="C424" s="855" t="s">
        <v>606</v>
      </c>
      <c r="D424" s="855"/>
      <c r="E424" s="855"/>
      <c r="F424" s="855"/>
      <c r="G424" s="855"/>
      <c r="H424" s="855"/>
      <c r="I424" s="855"/>
      <c r="J424" s="857"/>
      <c r="K424" s="63">
        <v>2</v>
      </c>
    </row>
    <row r="425" spans="1:11" ht="11.25">
      <c r="A425" s="63" t="s">
        <v>328</v>
      </c>
      <c r="B425" s="717"/>
      <c r="C425" s="696" t="s">
        <v>607</v>
      </c>
      <c r="D425" s="696"/>
      <c r="E425" s="696"/>
      <c r="F425" s="696"/>
      <c r="G425" s="696"/>
      <c r="H425" s="696"/>
      <c r="I425" s="696"/>
      <c r="J425" s="698"/>
      <c r="K425" s="84">
        <v>2</v>
      </c>
    </row>
    <row r="426" spans="1:11" ht="11.25">
      <c r="A426" s="63" t="s">
        <v>329</v>
      </c>
      <c r="B426" s="717"/>
      <c r="C426" s="782" t="s">
        <v>608</v>
      </c>
      <c r="D426" s="779"/>
      <c r="E426" s="779"/>
      <c r="F426" s="779"/>
      <c r="G426" s="779"/>
      <c r="H426" s="779"/>
      <c r="I426" s="779"/>
      <c r="J426" s="780"/>
      <c r="K426" s="63">
        <v>2</v>
      </c>
    </row>
    <row r="427" spans="1:11" ht="11.25">
      <c r="A427" s="63" t="s">
        <v>330</v>
      </c>
      <c r="B427" s="717"/>
      <c r="C427" s="782" t="s">
        <v>609</v>
      </c>
      <c r="D427" s="779"/>
      <c r="E427" s="779"/>
      <c r="F427" s="779"/>
      <c r="G427" s="779"/>
      <c r="H427" s="779"/>
      <c r="I427" s="779"/>
      <c r="J427" s="780"/>
      <c r="K427" s="63">
        <v>2</v>
      </c>
    </row>
    <row r="428" spans="1:11" ht="12" thickBot="1">
      <c r="A428" s="63" t="s">
        <v>378</v>
      </c>
      <c r="B428" s="716"/>
      <c r="C428" s="714" t="s">
        <v>610</v>
      </c>
      <c r="D428" s="687"/>
      <c r="E428" s="687"/>
      <c r="F428" s="687"/>
      <c r="G428" s="687"/>
      <c r="H428" s="687"/>
      <c r="I428" s="687"/>
      <c r="J428" s="689"/>
      <c r="K428" s="63">
        <v>2</v>
      </c>
    </row>
    <row r="429" spans="1:11" ht="11.25">
      <c r="A429" s="63" t="s">
        <v>326</v>
      </c>
      <c r="B429" s="704" t="s">
        <v>795</v>
      </c>
      <c r="C429" s="824" t="s">
        <v>605</v>
      </c>
      <c r="D429" s="825"/>
      <c r="E429" s="825"/>
      <c r="F429" s="825"/>
      <c r="G429" s="825"/>
      <c r="H429" s="825"/>
      <c r="I429" s="825"/>
      <c r="J429" s="826"/>
      <c r="K429" s="54">
        <v>2</v>
      </c>
    </row>
    <row r="430" spans="1:11" ht="11.25">
      <c r="A430" s="63" t="s">
        <v>327</v>
      </c>
      <c r="B430" s="717"/>
      <c r="C430" s="855" t="s">
        <v>606</v>
      </c>
      <c r="D430" s="855"/>
      <c r="E430" s="855"/>
      <c r="F430" s="855"/>
      <c r="G430" s="855"/>
      <c r="H430" s="855"/>
      <c r="I430" s="855"/>
      <c r="J430" s="857"/>
      <c r="K430" s="63">
        <v>2</v>
      </c>
    </row>
    <row r="431" spans="1:11" ht="11.25">
      <c r="A431" s="63" t="s">
        <v>328</v>
      </c>
      <c r="B431" s="717"/>
      <c r="C431" s="696" t="s">
        <v>607</v>
      </c>
      <c r="D431" s="696"/>
      <c r="E431" s="696"/>
      <c r="F431" s="696"/>
      <c r="G431" s="696"/>
      <c r="H431" s="696"/>
      <c r="I431" s="696"/>
      <c r="J431" s="698"/>
      <c r="K431" s="84">
        <v>2</v>
      </c>
    </row>
    <row r="432" spans="1:11" ht="11.25">
      <c r="A432" s="63" t="s">
        <v>329</v>
      </c>
      <c r="B432" s="717"/>
      <c r="C432" s="782" t="s">
        <v>608</v>
      </c>
      <c r="D432" s="779"/>
      <c r="E432" s="779"/>
      <c r="F432" s="779"/>
      <c r="G432" s="779"/>
      <c r="H432" s="779"/>
      <c r="I432" s="779"/>
      <c r="J432" s="780"/>
      <c r="K432" s="63">
        <v>2</v>
      </c>
    </row>
    <row r="433" spans="1:11" ht="11.25">
      <c r="A433" s="63" t="s">
        <v>330</v>
      </c>
      <c r="B433" s="717"/>
      <c r="C433" s="782" t="s">
        <v>609</v>
      </c>
      <c r="D433" s="779"/>
      <c r="E433" s="779"/>
      <c r="F433" s="779"/>
      <c r="G433" s="779"/>
      <c r="H433" s="779"/>
      <c r="I433" s="779"/>
      <c r="J433" s="780"/>
      <c r="K433" s="63">
        <v>2</v>
      </c>
    </row>
    <row r="434" spans="1:11" ht="12" thickBot="1">
      <c r="A434" s="63" t="s">
        <v>378</v>
      </c>
      <c r="B434" s="716"/>
      <c r="C434" s="714" t="s">
        <v>610</v>
      </c>
      <c r="D434" s="687"/>
      <c r="E434" s="687"/>
      <c r="F434" s="687"/>
      <c r="G434" s="687"/>
      <c r="H434" s="687"/>
      <c r="I434" s="687"/>
      <c r="J434" s="689"/>
      <c r="K434" s="63">
        <v>2</v>
      </c>
    </row>
    <row r="435" spans="1:11" ht="11.25">
      <c r="A435" s="63" t="s">
        <v>326</v>
      </c>
      <c r="B435" s="704" t="s">
        <v>796</v>
      </c>
      <c r="C435" s="824" t="s">
        <v>605</v>
      </c>
      <c r="D435" s="825"/>
      <c r="E435" s="825"/>
      <c r="F435" s="825"/>
      <c r="G435" s="825"/>
      <c r="H435" s="825"/>
      <c r="I435" s="825"/>
      <c r="J435" s="826"/>
      <c r="K435" s="54">
        <v>2</v>
      </c>
    </row>
    <row r="436" spans="1:11" ht="11.25">
      <c r="A436" s="63" t="s">
        <v>327</v>
      </c>
      <c r="B436" s="717"/>
      <c r="C436" s="855" t="s">
        <v>606</v>
      </c>
      <c r="D436" s="855"/>
      <c r="E436" s="855"/>
      <c r="F436" s="855"/>
      <c r="G436" s="855"/>
      <c r="H436" s="855"/>
      <c r="I436" s="855"/>
      <c r="J436" s="857"/>
      <c r="K436" s="63">
        <v>2</v>
      </c>
    </row>
    <row r="437" spans="1:11" ht="11.25">
      <c r="A437" s="63" t="s">
        <v>328</v>
      </c>
      <c r="B437" s="717"/>
      <c r="C437" s="696" t="s">
        <v>607</v>
      </c>
      <c r="D437" s="696"/>
      <c r="E437" s="696"/>
      <c r="F437" s="696"/>
      <c r="G437" s="696"/>
      <c r="H437" s="696"/>
      <c r="I437" s="696"/>
      <c r="J437" s="698"/>
      <c r="K437" s="84">
        <v>2</v>
      </c>
    </row>
    <row r="438" spans="1:11" ht="11.25">
      <c r="A438" s="63" t="s">
        <v>329</v>
      </c>
      <c r="B438" s="717"/>
      <c r="C438" s="782" t="s">
        <v>608</v>
      </c>
      <c r="D438" s="779"/>
      <c r="E438" s="779"/>
      <c r="F438" s="779"/>
      <c r="G438" s="779"/>
      <c r="H438" s="779"/>
      <c r="I438" s="779"/>
      <c r="J438" s="780"/>
      <c r="K438" s="63">
        <v>2</v>
      </c>
    </row>
    <row r="439" spans="1:11" ht="11.25">
      <c r="A439" s="63" t="s">
        <v>330</v>
      </c>
      <c r="B439" s="717"/>
      <c r="C439" s="782" t="s">
        <v>609</v>
      </c>
      <c r="D439" s="779"/>
      <c r="E439" s="779"/>
      <c r="F439" s="779"/>
      <c r="G439" s="779"/>
      <c r="H439" s="779"/>
      <c r="I439" s="779"/>
      <c r="J439" s="780"/>
      <c r="K439" s="63">
        <v>2</v>
      </c>
    </row>
    <row r="440" spans="1:11" ht="12" thickBot="1">
      <c r="A440" s="63" t="s">
        <v>378</v>
      </c>
      <c r="B440" s="716"/>
      <c r="C440" s="714" t="s">
        <v>610</v>
      </c>
      <c r="D440" s="687"/>
      <c r="E440" s="687"/>
      <c r="F440" s="687"/>
      <c r="G440" s="687"/>
      <c r="H440" s="687"/>
      <c r="I440" s="687"/>
      <c r="J440" s="689"/>
      <c r="K440" s="63">
        <v>2</v>
      </c>
    </row>
    <row r="441" spans="1:11" ht="11.25">
      <c r="A441" s="63" t="s">
        <v>326</v>
      </c>
      <c r="B441" s="704" t="s">
        <v>797</v>
      </c>
      <c r="C441" s="824" t="s">
        <v>605</v>
      </c>
      <c r="D441" s="825"/>
      <c r="E441" s="825"/>
      <c r="F441" s="825"/>
      <c r="G441" s="825"/>
      <c r="H441" s="825"/>
      <c r="I441" s="825"/>
      <c r="J441" s="826"/>
      <c r="K441" s="54">
        <v>2</v>
      </c>
    </row>
    <row r="442" spans="1:11" ht="11.25">
      <c r="A442" s="63" t="s">
        <v>327</v>
      </c>
      <c r="B442" s="717"/>
      <c r="C442" s="855" t="s">
        <v>606</v>
      </c>
      <c r="D442" s="855"/>
      <c r="E442" s="855"/>
      <c r="F442" s="855"/>
      <c r="G442" s="855"/>
      <c r="H442" s="855"/>
      <c r="I442" s="855"/>
      <c r="J442" s="857"/>
      <c r="K442" s="63">
        <v>2</v>
      </c>
    </row>
    <row r="443" spans="1:11" ht="11.25">
      <c r="A443" s="63" t="s">
        <v>328</v>
      </c>
      <c r="B443" s="717"/>
      <c r="C443" s="696" t="s">
        <v>607</v>
      </c>
      <c r="D443" s="696"/>
      <c r="E443" s="696"/>
      <c r="F443" s="696"/>
      <c r="G443" s="696"/>
      <c r="H443" s="696"/>
      <c r="I443" s="696"/>
      <c r="J443" s="698"/>
      <c r="K443" s="84">
        <v>2</v>
      </c>
    </row>
    <row r="444" spans="1:11" ht="11.25">
      <c r="A444" s="63" t="s">
        <v>329</v>
      </c>
      <c r="B444" s="717"/>
      <c r="C444" s="782" t="s">
        <v>608</v>
      </c>
      <c r="D444" s="779"/>
      <c r="E444" s="779"/>
      <c r="F444" s="779"/>
      <c r="G444" s="779"/>
      <c r="H444" s="779"/>
      <c r="I444" s="779"/>
      <c r="J444" s="780"/>
      <c r="K444" s="63">
        <v>2</v>
      </c>
    </row>
    <row r="445" spans="1:11" ht="11.25">
      <c r="A445" s="63" t="s">
        <v>330</v>
      </c>
      <c r="B445" s="717"/>
      <c r="C445" s="782" t="s">
        <v>609</v>
      </c>
      <c r="D445" s="779"/>
      <c r="E445" s="779"/>
      <c r="F445" s="779"/>
      <c r="G445" s="779"/>
      <c r="H445" s="779"/>
      <c r="I445" s="779"/>
      <c r="J445" s="780"/>
      <c r="K445" s="63">
        <v>2</v>
      </c>
    </row>
    <row r="446" spans="1:11" ht="12" thickBot="1">
      <c r="A446" s="63" t="s">
        <v>378</v>
      </c>
      <c r="B446" s="716"/>
      <c r="C446" s="714" t="s">
        <v>610</v>
      </c>
      <c r="D446" s="687"/>
      <c r="E446" s="687"/>
      <c r="F446" s="687"/>
      <c r="G446" s="687"/>
      <c r="H446" s="687"/>
      <c r="I446" s="687"/>
      <c r="J446" s="689"/>
      <c r="K446" s="63">
        <v>2</v>
      </c>
    </row>
    <row r="447" spans="1:11" ht="11.25">
      <c r="A447" s="63" t="s">
        <v>326</v>
      </c>
      <c r="B447" s="704" t="s">
        <v>798</v>
      </c>
      <c r="C447" s="824" t="s">
        <v>605</v>
      </c>
      <c r="D447" s="825"/>
      <c r="E447" s="825"/>
      <c r="F447" s="825"/>
      <c r="G447" s="825"/>
      <c r="H447" s="825"/>
      <c r="I447" s="825"/>
      <c r="J447" s="826"/>
      <c r="K447" s="54">
        <v>2</v>
      </c>
    </row>
    <row r="448" spans="1:11" ht="11.25">
      <c r="A448" s="63" t="s">
        <v>327</v>
      </c>
      <c r="B448" s="717"/>
      <c r="C448" s="855" t="s">
        <v>606</v>
      </c>
      <c r="D448" s="855"/>
      <c r="E448" s="855"/>
      <c r="F448" s="855"/>
      <c r="G448" s="855"/>
      <c r="H448" s="855"/>
      <c r="I448" s="855"/>
      <c r="J448" s="857"/>
      <c r="K448" s="63">
        <v>2</v>
      </c>
    </row>
    <row r="449" spans="1:11" ht="11.25">
      <c r="A449" s="63" t="s">
        <v>328</v>
      </c>
      <c r="B449" s="717"/>
      <c r="C449" s="696" t="s">
        <v>607</v>
      </c>
      <c r="D449" s="696"/>
      <c r="E449" s="696"/>
      <c r="F449" s="696"/>
      <c r="G449" s="696"/>
      <c r="H449" s="696"/>
      <c r="I449" s="696"/>
      <c r="J449" s="698"/>
      <c r="K449" s="84">
        <v>2</v>
      </c>
    </row>
    <row r="450" spans="1:11" ht="11.25">
      <c r="A450" s="63" t="s">
        <v>329</v>
      </c>
      <c r="B450" s="717"/>
      <c r="C450" s="782" t="s">
        <v>608</v>
      </c>
      <c r="D450" s="779"/>
      <c r="E450" s="779"/>
      <c r="F450" s="779"/>
      <c r="G450" s="779"/>
      <c r="H450" s="779"/>
      <c r="I450" s="779"/>
      <c r="J450" s="780"/>
      <c r="K450" s="63">
        <v>2</v>
      </c>
    </row>
    <row r="451" spans="1:11" ht="11.25">
      <c r="A451" s="63" t="s">
        <v>330</v>
      </c>
      <c r="B451" s="717"/>
      <c r="C451" s="782" t="s">
        <v>609</v>
      </c>
      <c r="D451" s="779"/>
      <c r="E451" s="779"/>
      <c r="F451" s="779"/>
      <c r="G451" s="779"/>
      <c r="H451" s="779"/>
      <c r="I451" s="779"/>
      <c r="J451" s="780"/>
      <c r="K451" s="63">
        <v>2</v>
      </c>
    </row>
    <row r="452" spans="1:11" ht="12" thickBot="1">
      <c r="A452" s="63" t="s">
        <v>378</v>
      </c>
      <c r="B452" s="716"/>
      <c r="C452" s="788" t="s">
        <v>610</v>
      </c>
      <c r="D452" s="772"/>
      <c r="E452" s="772"/>
      <c r="F452" s="772"/>
      <c r="G452" s="772"/>
      <c r="H452" s="772"/>
      <c r="I452" s="772"/>
      <c r="J452" s="773"/>
      <c r="K452" s="63">
        <v>2</v>
      </c>
    </row>
    <row r="453" spans="1:11" ht="11.25">
      <c r="A453" s="63" t="s">
        <v>326</v>
      </c>
      <c r="B453" s="704" t="s">
        <v>799</v>
      </c>
      <c r="C453" s="824" t="s">
        <v>605</v>
      </c>
      <c r="D453" s="825"/>
      <c r="E453" s="825"/>
      <c r="F453" s="825"/>
      <c r="G453" s="825"/>
      <c r="H453" s="825"/>
      <c r="I453" s="825"/>
      <c r="J453" s="826"/>
      <c r="K453" s="54">
        <v>2</v>
      </c>
    </row>
    <row r="454" spans="1:11" ht="11.25">
      <c r="A454" s="63" t="s">
        <v>327</v>
      </c>
      <c r="B454" s="717"/>
      <c r="C454" s="855" t="s">
        <v>606</v>
      </c>
      <c r="D454" s="855"/>
      <c r="E454" s="855"/>
      <c r="F454" s="855"/>
      <c r="G454" s="855"/>
      <c r="H454" s="855"/>
      <c r="I454" s="855"/>
      <c r="J454" s="857"/>
      <c r="K454" s="63">
        <v>2</v>
      </c>
    </row>
    <row r="455" spans="1:11" ht="11.25">
      <c r="A455" s="63" t="s">
        <v>328</v>
      </c>
      <c r="B455" s="717"/>
      <c r="C455" s="696" t="s">
        <v>607</v>
      </c>
      <c r="D455" s="696"/>
      <c r="E455" s="696"/>
      <c r="F455" s="696"/>
      <c r="G455" s="696"/>
      <c r="H455" s="696"/>
      <c r="I455" s="696"/>
      <c r="J455" s="698"/>
      <c r="K455" s="84">
        <v>2</v>
      </c>
    </row>
    <row r="456" spans="1:11" ht="11.25">
      <c r="A456" s="63" t="s">
        <v>329</v>
      </c>
      <c r="B456" s="717"/>
      <c r="C456" s="782" t="s">
        <v>608</v>
      </c>
      <c r="D456" s="779"/>
      <c r="E456" s="779"/>
      <c r="F456" s="779"/>
      <c r="G456" s="779"/>
      <c r="H456" s="779"/>
      <c r="I456" s="779"/>
      <c r="J456" s="780"/>
      <c r="K456" s="63">
        <v>2</v>
      </c>
    </row>
    <row r="457" spans="1:11" ht="11.25">
      <c r="A457" s="63" t="s">
        <v>330</v>
      </c>
      <c r="B457" s="717"/>
      <c r="C457" s="782" t="s">
        <v>609</v>
      </c>
      <c r="D457" s="779"/>
      <c r="E457" s="779"/>
      <c r="F457" s="779"/>
      <c r="G457" s="779"/>
      <c r="H457" s="779"/>
      <c r="I457" s="779"/>
      <c r="J457" s="780"/>
      <c r="K457" s="63">
        <v>2</v>
      </c>
    </row>
    <row r="458" spans="1:11" ht="12" thickBot="1">
      <c r="A458" s="63" t="s">
        <v>378</v>
      </c>
      <c r="B458" s="716"/>
      <c r="C458" s="714" t="s">
        <v>610</v>
      </c>
      <c r="D458" s="687"/>
      <c r="E458" s="687"/>
      <c r="F458" s="687"/>
      <c r="G458" s="687"/>
      <c r="H458" s="687"/>
      <c r="I458" s="687"/>
      <c r="J458" s="689"/>
      <c r="K458" s="63">
        <v>2</v>
      </c>
    </row>
    <row r="459" spans="1:11" ht="11.25">
      <c r="A459" s="63" t="s">
        <v>326</v>
      </c>
      <c r="B459" s="704" t="s">
        <v>800</v>
      </c>
      <c r="C459" s="824" t="s">
        <v>605</v>
      </c>
      <c r="D459" s="825"/>
      <c r="E459" s="825"/>
      <c r="F459" s="825"/>
      <c r="G459" s="825"/>
      <c r="H459" s="825"/>
      <c r="I459" s="825"/>
      <c r="J459" s="826"/>
      <c r="K459" s="54">
        <v>2</v>
      </c>
    </row>
    <row r="460" spans="1:11" ht="11.25">
      <c r="A460" s="63" t="s">
        <v>327</v>
      </c>
      <c r="B460" s="717"/>
      <c r="C460" s="855" t="s">
        <v>606</v>
      </c>
      <c r="D460" s="855"/>
      <c r="E460" s="855"/>
      <c r="F460" s="855"/>
      <c r="G460" s="855"/>
      <c r="H460" s="855"/>
      <c r="I460" s="855"/>
      <c r="J460" s="857"/>
      <c r="K460" s="63">
        <v>2</v>
      </c>
    </row>
    <row r="461" spans="1:11" ht="11.25">
      <c r="A461" s="63" t="s">
        <v>328</v>
      </c>
      <c r="B461" s="717"/>
      <c r="C461" s="696" t="s">
        <v>607</v>
      </c>
      <c r="D461" s="696"/>
      <c r="E461" s="696"/>
      <c r="F461" s="696"/>
      <c r="G461" s="696"/>
      <c r="H461" s="696"/>
      <c r="I461" s="696"/>
      <c r="J461" s="698"/>
      <c r="K461" s="84">
        <v>2</v>
      </c>
    </row>
    <row r="462" spans="1:11" ht="11.25">
      <c r="A462" s="63" t="s">
        <v>329</v>
      </c>
      <c r="B462" s="717"/>
      <c r="C462" s="782" t="s">
        <v>608</v>
      </c>
      <c r="D462" s="779"/>
      <c r="E462" s="779"/>
      <c r="F462" s="779"/>
      <c r="G462" s="779"/>
      <c r="H462" s="779"/>
      <c r="I462" s="779"/>
      <c r="J462" s="780"/>
      <c r="K462" s="63">
        <v>2</v>
      </c>
    </row>
    <row r="463" spans="1:11" ht="11.25">
      <c r="A463" s="63" t="s">
        <v>330</v>
      </c>
      <c r="B463" s="717"/>
      <c r="C463" s="782" t="s">
        <v>609</v>
      </c>
      <c r="D463" s="779"/>
      <c r="E463" s="779"/>
      <c r="F463" s="779"/>
      <c r="G463" s="779"/>
      <c r="H463" s="779"/>
      <c r="I463" s="779"/>
      <c r="J463" s="780"/>
      <c r="K463" s="63">
        <v>2</v>
      </c>
    </row>
    <row r="464" spans="1:11" ht="12" thickBot="1">
      <c r="A464" s="63" t="s">
        <v>378</v>
      </c>
      <c r="B464" s="716"/>
      <c r="C464" s="714" t="s">
        <v>610</v>
      </c>
      <c r="D464" s="687"/>
      <c r="E464" s="687"/>
      <c r="F464" s="687"/>
      <c r="G464" s="687"/>
      <c r="H464" s="687"/>
      <c r="I464" s="687"/>
      <c r="J464" s="689"/>
      <c r="K464" s="63">
        <v>2</v>
      </c>
    </row>
    <row r="465" spans="1:11" ht="11.25">
      <c r="A465" s="63" t="s">
        <v>326</v>
      </c>
      <c r="B465" s="704" t="s">
        <v>801</v>
      </c>
      <c r="C465" s="824" t="s">
        <v>605</v>
      </c>
      <c r="D465" s="825"/>
      <c r="E465" s="825"/>
      <c r="F465" s="825"/>
      <c r="G465" s="825"/>
      <c r="H465" s="825"/>
      <c r="I465" s="825"/>
      <c r="J465" s="826"/>
      <c r="K465" s="54">
        <v>2</v>
      </c>
    </row>
    <row r="466" spans="1:11" ht="11.25">
      <c r="A466" s="63" t="s">
        <v>327</v>
      </c>
      <c r="B466" s="717"/>
      <c r="C466" s="855" t="s">
        <v>606</v>
      </c>
      <c r="D466" s="855"/>
      <c r="E466" s="855"/>
      <c r="F466" s="855"/>
      <c r="G466" s="855"/>
      <c r="H466" s="855"/>
      <c r="I466" s="855"/>
      <c r="J466" s="857"/>
      <c r="K466" s="63">
        <v>2</v>
      </c>
    </row>
    <row r="467" spans="1:11" ht="11.25">
      <c r="A467" s="63" t="s">
        <v>328</v>
      </c>
      <c r="B467" s="717"/>
      <c r="C467" s="696" t="s">
        <v>607</v>
      </c>
      <c r="D467" s="696"/>
      <c r="E467" s="696"/>
      <c r="F467" s="696"/>
      <c r="G467" s="696"/>
      <c r="H467" s="696"/>
      <c r="I467" s="696"/>
      <c r="J467" s="698"/>
      <c r="K467" s="84">
        <v>2</v>
      </c>
    </row>
    <row r="468" spans="1:11" ht="11.25">
      <c r="A468" s="63" t="s">
        <v>329</v>
      </c>
      <c r="B468" s="717"/>
      <c r="C468" s="782" t="s">
        <v>608</v>
      </c>
      <c r="D468" s="779"/>
      <c r="E468" s="779"/>
      <c r="F468" s="779"/>
      <c r="G468" s="779"/>
      <c r="H468" s="779"/>
      <c r="I468" s="779"/>
      <c r="J468" s="780"/>
      <c r="K468" s="63">
        <v>2</v>
      </c>
    </row>
    <row r="469" spans="1:11" ht="11.25">
      <c r="A469" s="63" t="s">
        <v>330</v>
      </c>
      <c r="B469" s="717"/>
      <c r="C469" s="782" t="s">
        <v>609</v>
      </c>
      <c r="D469" s="779"/>
      <c r="E469" s="779"/>
      <c r="F469" s="779"/>
      <c r="G469" s="779"/>
      <c r="H469" s="779"/>
      <c r="I469" s="779"/>
      <c r="J469" s="780"/>
      <c r="K469" s="63">
        <v>2</v>
      </c>
    </row>
    <row r="470" spans="1:11" ht="12" thickBot="1">
      <c r="A470" s="63" t="s">
        <v>378</v>
      </c>
      <c r="B470" s="716"/>
      <c r="C470" s="714" t="s">
        <v>610</v>
      </c>
      <c r="D470" s="687"/>
      <c r="E470" s="687"/>
      <c r="F470" s="687"/>
      <c r="G470" s="687"/>
      <c r="H470" s="687"/>
      <c r="I470" s="687"/>
      <c r="J470" s="689"/>
      <c r="K470" s="63">
        <v>2</v>
      </c>
    </row>
    <row r="471" spans="1:11" ht="11.25">
      <c r="A471" s="63" t="s">
        <v>326</v>
      </c>
      <c r="B471" s="704" t="s">
        <v>802</v>
      </c>
      <c r="C471" s="824" t="s">
        <v>605</v>
      </c>
      <c r="D471" s="825"/>
      <c r="E471" s="825"/>
      <c r="F471" s="825"/>
      <c r="G471" s="825"/>
      <c r="H471" s="825"/>
      <c r="I471" s="825"/>
      <c r="J471" s="826"/>
      <c r="K471" s="54">
        <v>2</v>
      </c>
    </row>
    <row r="472" spans="1:11" ht="11.25">
      <c r="A472" s="63" t="s">
        <v>327</v>
      </c>
      <c r="B472" s="717"/>
      <c r="C472" s="855" t="s">
        <v>606</v>
      </c>
      <c r="D472" s="855"/>
      <c r="E472" s="855"/>
      <c r="F472" s="855"/>
      <c r="G472" s="855"/>
      <c r="H472" s="855"/>
      <c r="I472" s="855"/>
      <c r="J472" s="857"/>
      <c r="K472" s="63">
        <v>2</v>
      </c>
    </row>
    <row r="473" spans="1:11" ht="11.25">
      <c r="A473" s="63" t="s">
        <v>328</v>
      </c>
      <c r="B473" s="717"/>
      <c r="C473" s="696" t="s">
        <v>607</v>
      </c>
      <c r="D473" s="696"/>
      <c r="E473" s="696"/>
      <c r="F473" s="696"/>
      <c r="G473" s="696"/>
      <c r="H473" s="696"/>
      <c r="I473" s="696"/>
      <c r="J473" s="698"/>
      <c r="K473" s="84">
        <v>2</v>
      </c>
    </row>
    <row r="474" spans="1:11" ht="11.25">
      <c r="A474" s="63" t="s">
        <v>329</v>
      </c>
      <c r="B474" s="717"/>
      <c r="C474" s="782" t="s">
        <v>608</v>
      </c>
      <c r="D474" s="779"/>
      <c r="E474" s="779"/>
      <c r="F474" s="779"/>
      <c r="G474" s="779"/>
      <c r="H474" s="779"/>
      <c r="I474" s="779"/>
      <c r="J474" s="780"/>
      <c r="K474" s="63">
        <v>2</v>
      </c>
    </row>
    <row r="475" spans="1:11" ht="11.25">
      <c r="A475" s="63" t="s">
        <v>330</v>
      </c>
      <c r="B475" s="717"/>
      <c r="C475" s="782" t="s">
        <v>609</v>
      </c>
      <c r="D475" s="779"/>
      <c r="E475" s="779"/>
      <c r="F475" s="779"/>
      <c r="G475" s="779"/>
      <c r="H475" s="779"/>
      <c r="I475" s="779"/>
      <c r="J475" s="780"/>
      <c r="K475" s="63">
        <v>2</v>
      </c>
    </row>
    <row r="476" spans="1:11" ht="12" thickBot="1">
      <c r="A476" s="63" t="s">
        <v>378</v>
      </c>
      <c r="B476" s="716"/>
      <c r="C476" s="714" t="s">
        <v>610</v>
      </c>
      <c r="D476" s="687"/>
      <c r="E476" s="687"/>
      <c r="F476" s="687"/>
      <c r="G476" s="687"/>
      <c r="H476" s="687"/>
      <c r="I476" s="687"/>
      <c r="J476" s="689"/>
      <c r="K476" s="63">
        <v>2</v>
      </c>
    </row>
    <row r="477" spans="1:11" ht="11.25">
      <c r="A477" s="63" t="s">
        <v>326</v>
      </c>
      <c r="B477" s="704" t="s">
        <v>803</v>
      </c>
      <c r="C477" s="824" t="s">
        <v>605</v>
      </c>
      <c r="D477" s="825"/>
      <c r="E477" s="825"/>
      <c r="F477" s="825"/>
      <c r="G477" s="825"/>
      <c r="H477" s="825"/>
      <c r="I477" s="825"/>
      <c r="J477" s="826"/>
      <c r="K477" s="54">
        <v>2</v>
      </c>
    </row>
    <row r="478" spans="1:11" ht="11.25">
      <c r="A478" s="63" t="s">
        <v>327</v>
      </c>
      <c r="B478" s="717"/>
      <c r="C478" s="855" t="s">
        <v>606</v>
      </c>
      <c r="D478" s="855"/>
      <c r="E478" s="855"/>
      <c r="F478" s="855"/>
      <c r="G478" s="855"/>
      <c r="H478" s="855"/>
      <c r="I478" s="855"/>
      <c r="J478" s="857"/>
      <c r="K478" s="63">
        <v>2</v>
      </c>
    </row>
    <row r="479" spans="1:11" ht="11.25">
      <c r="A479" s="63" t="s">
        <v>328</v>
      </c>
      <c r="B479" s="717"/>
      <c r="C479" s="696" t="s">
        <v>607</v>
      </c>
      <c r="D479" s="696"/>
      <c r="E479" s="696"/>
      <c r="F479" s="696"/>
      <c r="G479" s="696"/>
      <c r="H479" s="696"/>
      <c r="I479" s="696"/>
      <c r="J479" s="698"/>
      <c r="K479" s="84">
        <v>2</v>
      </c>
    </row>
    <row r="480" spans="1:11" ht="11.25">
      <c r="A480" s="63" t="s">
        <v>329</v>
      </c>
      <c r="B480" s="717"/>
      <c r="C480" s="782" t="s">
        <v>608</v>
      </c>
      <c r="D480" s="779"/>
      <c r="E480" s="779"/>
      <c r="F480" s="779"/>
      <c r="G480" s="779"/>
      <c r="H480" s="779"/>
      <c r="I480" s="779"/>
      <c r="J480" s="780"/>
      <c r="K480" s="63">
        <v>2</v>
      </c>
    </row>
    <row r="481" spans="1:11" ht="11.25">
      <c r="A481" s="63" t="s">
        <v>330</v>
      </c>
      <c r="B481" s="717"/>
      <c r="C481" s="782" t="s">
        <v>609</v>
      </c>
      <c r="D481" s="779"/>
      <c r="E481" s="779"/>
      <c r="F481" s="779"/>
      <c r="G481" s="779"/>
      <c r="H481" s="779"/>
      <c r="I481" s="779"/>
      <c r="J481" s="780"/>
      <c r="K481" s="63">
        <v>2</v>
      </c>
    </row>
    <row r="482" spans="1:11" ht="12" thickBot="1">
      <c r="A482" s="63" t="s">
        <v>378</v>
      </c>
      <c r="B482" s="716"/>
      <c r="C482" s="714" t="s">
        <v>610</v>
      </c>
      <c r="D482" s="687"/>
      <c r="E482" s="687"/>
      <c r="F482" s="687"/>
      <c r="G482" s="687"/>
      <c r="H482" s="687"/>
      <c r="I482" s="687"/>
      <c r="J482" s="689"/>
      <c r="K482" s="63">
        <v>2</v>
      </c>
    </row>
    <row r="483" spans="1:11" ht="11.25">
      <c r="A483" s="63" t="s">
        <v>326</v>
      </c>
      <c r="B483" s="704" t="s">
        <v>804</v>
      </c>
      <c r="C483" s="824" t="s">
        <v>605</v>
      </c>
      <c r="D483" s="825"/>
      <c r="E483" s="825"/>
      <c r="F483" s="825"/>
      <c r="G483" s="825"/>
      <c r="H483" s="825"/>
      <c r="I483" s="825"/>
      <c r="J483" s="826"/>
      <c r="K483" s="54">
        <v>2</v>
      </c>
    </row>
    <row r="484" spans="1:11" ht="11.25">
      <c r="A484" s="63" t="s">
        <v>327</v>
      </c>
      <c r="B484" s="717"/>
      <c r="C484" s="855" t="s">
        <v>606</v>
      </c>
      <c r="D484" s="855"/>
      <c r="E484" s="855"/>
      <c r="F484" s="855"/>
      <c r="G484" s="855"/>
      <c r="H484" s="855"/>
      <c r="I484" s="855"/>
      <c r="J484" s="857"/>
      <c r="K484" s="63">
        <v>2</v>
      </c>
    </row>
    <row r="485" spans="1:11" ht="11.25">
      <c r="A485" s="63" t="s">
        <v>328</v>
      </c>
      <c r="B485" s="717"/>
      <c r="C485" s="696" t="s">
        <v>607</v>
      </c>
      <c r="D485" s="696"/>
      <c r="E485" s="696"/>
      <c r="F485" s="696"/>
      <c r="G485" s="696"/>
      <c r="H485" s="696"/>
      <c r="I485" s="696"/>
      <c r="J485" s="698"/>
      <c r="K485" s="84">
        <v>2</v>
      </c>
    </row>
    <row r="486" spans="1:11" ht="11.25">
      <c r="A486" s="63" t="s">
        <v>329</v>
      </c>
      <c r="B486" s="717"/>
      <c r="C486" s="782" t="s">
        <v>608</v>
      </c>
      <c r="D486" s="779"/>
      <c r="E486" s="779"/>
      <c r="F486" s="779"/>
      <c r="G486" s="779"/>
      <c r="H486" s="779"/>
      <c r="I486" s="779"/>
      <c r="J486" s="780"/>
      <c r="K486" s="63">
        <v>2</v>
      </c>
    </row>
    <row r="487" spans="1:11" ht="11.25">
      <c r="A487" s="63" t="s">
        <v>330</v>
      </c>
      <c r="B487" s="717"/>
      <c r="C487" s="782" t="s">
        <v>609</v>
      </c>
      <c r="D487" s="779"/>
      <c r="E487" s="779"/>
      <c r="F487" s="779"/>
      <c r="G487" s="779"/>
      <c r="H487" s="779"/>
      <c r="I487" s="779"/>
      <c r="J487" s="780"/>
      <c r="K487" s="63">
        <v>2</v>
      </c>
    </row>
    <row r="488" spans="1:11" ht="12" thickBot="1">
      <c r="A488" s="63" t="s">
        <v>378</v>
      </c>
      <c r="B488" s="716"/>
      <c r="C488" s="714" t="s">
        <v>610</v>
      </c>
      <c r="D488" s="687"/>
      <c r="E488" s="687"/>
      <c r="F488" s="687"/>
      <c r="G488" s="687"/>
      <c r="H488" s="687"/>
      <c r="I488" s="687"/>
      <c r="J488" s="689"/>
      <c r="K488" s="63">
        <v>2</v>
      </c>
    </row>
    <row r="489" spans="1:11" ht="11.25">
      <c r="A489" s="63" t="s">
        <v>326</v>
      </c>
      <c r="B489" s="704" t="s">
        <v>805</v>
      </c>
      <c r="C489" s="824" t="s">
        <v>605</v>
      </c>
      <c r="D489" s="825"/>
      <c r="E489" s="825"/>
      <c r="F489" s="825"/>
      <c r="G489" s="825"/>
      <c r="H489" s="825"/>
      <c r="I489" s="825"/>
      <c r="J489" s="826"/>
      <c r="K489" s="54">
        <v>2</v>
      </c>
    </row>
    <row r="490" spans="1:11" ht="11.25">
      <c r="A490" s="63" t="s">
        <v>327</v>
      </c>
      <c r="B490" s="717"/>
      <c r="C490" s="855" t="s">
        <v>606</v>
      </c>
      <c r="D490" s="855"/>
      <c r="E490" s="855"/>
      <c r="F490" s="855"/>
      <c r="G490" s="855"/>
      <c r="H490" s="855"/>
      <c r="I490" s="855"/>
      <c r="J490" s="857"/>
      <c r="K490" s="63">
        <v>2</v>
      </c>
    </row>
    <row r="491" spans="1:11" ht="11.25">
      <c r="A491" s="63" t="s">
        <v>328</v>
      </c>
      <c r="B491" s="717"/>
      <c r="C491" s="696" t="s">
        <v>607</v>
      </c>
      <c r="D491" s="696"/>
      <c r="E491" s="696"/>
      <c r="F491" s="696"/>
      <c r="G491" s="696"/>
      <c r="H491" s="696"/>
      <c r="I491" s="696"/>
      <c r="J491" s="698"/>
      <c r="K491" s="84">
        <v>2</v>
      </c>
    </row>
    <row r="492" spans="1:11" ht="11.25">
      <c r="A492" s="63" t="s">
        <v>329</v>
      </c>
      <c r="B492" s="717"/>
      <c r="C492" s="782" t="s">
        <v>608</v>
      </c>
      <c r="D492" s="779"/>
      <c r="E492" s="779"/>
      <c r="F492" s="779"/>
      <c r="G492" s="779"/>
      <c r="H492" s="779"/>
      <c r="I492" s="779"/>
      <c r="J492" s="780"/>
      <c r="K492" s="63">
        <v>2</v>
      </c>
    </row>
    <row r="493" spans="1:11" ht="11.25">
      <c r="A493" s="63" t="s">
        <v>330</v>
      </c>
      <c r="B493" s="717"/>
      <c r="C493" s="782" t="s">
        <v>609</v>
      </c>
      <c r="D493" s="779"/>
      <c r="E493" s="779"/>
      <c r="F493" s="779"/>
      <c r="G493" s="779"/>
      <c r="H493" s="779"/>
      <c r="I493" s="779"/>
      <c r="J493" s="780"/>
      <c r="K493" s="63">
        <v>2</v>
      </c>
    </row>
    <row r="494" spans="1:11" ht="12" thickBot="1">
      <c r="A494" s="63" t="s">
        <v>378</v>
      </c>
      <c r="B494" s="716"/>
      <c r="C494" s="714" t="s">
        <v>610</v>
      </c>
      <c r="D494" s="687"/>
      <c r="E494" s="687"/>
      <c r="F494" s="687"/>
      <c r="G494" s="687"/>
      <c r="H494" s="687"/>
      <c r="I494" s="687"/>
      <c r="J494" s="689"/>
      <c r="K494" s="63">
        <v>2</v>
      </c>
    </row>
    <row r="495" spans="1:11" ht="11.25">
      <c r="A495" s="63" t="s">
        <v>326</v>
      </c>
      <c r="B495" s="704" t="s">
        <v>806</v>
      </c>
      <c r="C495" s="824" t="s">
        <v>605</v>
      </c>
      <c r="D495" s="825"/>
      <c r="E495" s="825"/>
      <c r="F495" s="825"/>
      <c r="G495" s="825"/>
      <c r="H495" s="825"/>
      <c r="I495" s="825"/>
      <c r="J495" s="826"/>
      <c r="K495" s="54">
        <v>2</v>
      </c>
    </row>
    <row r="496" spans="1:11" ht="11.25">
      <c r="A496" s="63" t="s">
        <v>327</v>
      </c>
      <c r="B496" s="717"/>
      <c r="C496" s="855" t="s">
        <v>606</v>
      </c>
      <c r="D496" s="855"/>
      <c r="E496" s="855"/>
      <c r="F496" s="855"/>
      <c r="G496" s="855"/>
      <c r="H496" s="855"/>
      <c r="I496" s="855"/>
      <c r="J496" s="857"/>
      <c r="K496" s="63">
        <v>2</v>
      </c>
    </row>
    <row r="497" spans="1:11" ht="11.25">
      <c r="A497" s="63" t="s">
        <v>328</v>
      </c>
      <c r="B497" s="717"/>
      <c r="C497" s="696" t="s">
        <v>607</v>
      </c>
      <c r="D497" s="696"/>
      <c r="E497" s="696"/>
      <c r="F497" s="696"/>
      <c r="G497" s="696"/>
      <c r="H497" s="696"/>
      <c r="I497" s="696"/>
      <c r="J497" s="698"/>
      <c r="K497" s="84">
        <v>2</v>
      </c>
    </row>
    <row r="498" spans="1:11" ht="11.25">
      <c r="A498" s="63" t="s">
        <v>329</v>
      </c>
      <c r="B498" s="717"/>
      <c r="C498" s="782" t="s">
        <v>608</v>
      </c>
      <c r="D498" s="779"/>
      <c r="E498" s="779"/>
      <c r="F498" s="779"/>
      <c r="G498" s="779"/>
      <c r="H498" s="779"/>
      <c r="I498" s="779"/>
      <c r="J498" s="780"/>
      <c r="K498" s="63">
        <v>2</v>
      </c>
    </row>
    <row r="499" spans="1:11" ht="11.25">
      <c r="A499" s="63" t="s">
        <v>330</v>
      </c>
      <c r="B499" s="717"/>
      <c r="C499" s="782" t="s">
        <v>609</v>
      </c>
      <c r="D499" s="779"/>
      <c r="E499" s="779"/>
      <c r="F499" s="779"/>
      <c r="G499" s="779"/>
      <c r="H499" s="779"/>
      <c r="I499" s="779"/>
      <c r="J499" s="780"/>
      <c r="K499" s="63">
        <v>2</v>
      </c>
    </row>
    <row r="500" spans="1:11" ht="12" thickBot="1">
      <c r="A500" s="63" t="s">
        <v>378</v>
      </c>
      <c r="B500" s="716"/>
      <c r="C500" s="714" t="s">
        <v>610</v>
      </c>
      <c r="D500" s="687"/>
      <c r="E500" s="687"/>
      <c r="F500" s="687"/>
      <c r="G500" s="687"/>
      <c r="H500" s="687"/>
      <c r="I500" s="687"/>
      <c r="J500" s="689"/>
      <c r="K500" s="63">
        <v>2</v>
      </c>
    </row>
    <row r="501" spans="1:11" ht="11.25">
      <c r="A501" s="63" t="s">
        <v>326</v>
      </c>
      <c r="B501" s="704" t="s">
        <v>807</v>
      </c>
      <c r="C501" s="824" t="s">
        <v>605</v>
      </c>
      <c r="D501" s="825"/>
      <c r="E501" s="825"/>
      <c r="F501" s="825"/>
      <c r="G501" s="825"/>
      <c r="H501" s="825"/>
      <c r="I501" s="825"/>
      <c r="J501" s="826"/>
      <c r="K501" s="54">
        <v>2</v>
      </c>
    </row>
    <row r="502" spans="1:11" ht="11.25">
      <c r="A502" s="63" t="s">
        <v>327</v>
      </c>
      <c r="B502" s="717"/>
      <c r="C502" s="855" t="s">
        <v>606</v>
      </c>
      <c r="D502" s="855"/>
      <c r="E502" s="855"/>
      <c r="F502" s="855"/>
      <c r="G502" s="855"/>
      <c r="H502" s="855"/>
      <c r="I502" s="855"/>
      <c r="J502" s="857"/>
      <c r="K502" s="63">
        <v>2</v>
      </c>
    </row>
    <row r="503" spans="1:11" ht="11.25">
      <c r="A503" s="63" t="s">
        <v>328</v>
      </c>
      <c r="B503" s="717"/>
      <c r="C503" s="696" t="s">
        <v>607</v>
      </c>
      <c r="D503" s="696"/>
      <c r="E503" s="696"/>
      <c r="F503" s="696"/>
      <c r="G503" s="696"/>
      <c r="H503" s="696"/>
      <c r="I503" s="696"/>
      <c r="J503" s="698"/>
      <c r="K503" s="84">
        <v>2</v>
      </c>
    </row>
    <row r="504" spans="1:11" ht="11.25">
      <c r="A504" s="63" t="s">
        <v>329</v>
      </c>
      <c r="B504" s="717"/>
      <c r="C504" s="782" t="s">
        <v>608</v>
      </c>
      <c r="D504" s="779"/>
      <c r="E504" s="779"/>
      <c r="F504" s="779"/>
      <c r="G504" s="779"/>
      <c r="H504" s="779"/>
      <c r="I504" s="779"/>
      <c r="J504" s="780"/>
      <c r="K504" s="63">
        <v>2</v>
      </c>
    </row>
    <row r="505" spans="1:11" ht="11.25">
      <c r="A505" s="63" t="s">
        <v>330</v>
      </c>
      <c r="B505" s="717"/>
      <c r="C505" s="782" t="s">
        <v>609</v>
      </c>
      <c r="D505" s="779"/>
      <c r="E505" s="779"/>
      <c r="F505" s="779"/>
      <c r="G505" s="779"/>
      <c r="H505" s="779"/>
      <c r="I505" s="779"/>
      <c r="J505" s="780"/>
      <c r="K505" s="63">
        <v>2</v>
      </c>
    </row>
    <row r="506" spans="1:11" ht="12" thickBot="1">
      <c r="A506" s="63" t="s">
        <v>378</v>
      </c>
      <c r="B506" s="716"/>
      <c r="C506" s="714" t="s">
        <v>610</v>
      </c>
      <c r="D506" s="687"/>
      <c r="E506" s="687"/>
      <c r="F506" s="687"/>
      <c r="G506" s="687"/>
      <c r="H506" s="687"/>
      <c r="I506" s="687"/>
      <c r="J506" s="689"/>
      <c r="K506" s="63">
        <v>2</v>
      </c>
    </row>
    <row r="507" spans="1:11" ht="11.25">
      <c r="A507" s="63" t="s">
        <v>326</v>
      </c>
      <c r="B507" s="704" t="s">
        <v>808</v>
      </c>
      <c r="C507" s="824" t="s">
        <v>605</v>
      </c>
      <c r="D507" s="825"/>
      <c r="E507" s="825"/>
      <c r="F507" s="825"/>
      <c r="G507" s="825"/>
      <c r="H507" s="825"/>
      <c r="I507" s="825"/>
      <c r="J507" s="826"/>
      <c r="K507" s="54">
        <v>2</v>
      </c>
    </row>
    <row r="508" spans="1:11" ht="11.25">
      <c r="A508" s="63" t="s">
        <v>327</v>
      </c>
      <c r="B508" s="717"/>
      <c r="C508" s="855" t="s">
        <v>606</v>
      </c>
      <c r="D508" s="855"/>
      <c r="E508" s="855"/>
      <c r="F508" s="855"/>
      <c r="G508" s="855"/>
      <c r="H508" s="855"/>
      <c r="I508" s="855"/>
      <c r="J508" s="857"/>
      <c r="K508" s="63">
        <v>2</v>
      </c>
    </row>
    <row r="509" spans="1:11" ht="11.25">
      <c r="A509" s="63" t="s">
        <v>328</v>
      </c>
      <c r="B509" s="717"/>
      <c r="C509" s="696" t="s">
        <v>607</v>
      </c>
      <c r="D509" s="696"/>
      <c r="E509" s="696"/>
      <c r="F509" s="696"/>
      <c r="G509" s="696"/>
      <c r="H509" s="696"/>
      <c r="I509" s="696"/>
      <c r="J509" s="698"/>
      <c r="K509" s="84">
        <v>2</v>
      </c>
    </row>
    <row r="510" spans="1:11" ht="11.25">
      <c r="A510" s="63" t="s">
        <v>329</v>
      </c>
      <c r="B510" s="717"/>
      <c r="C510" s="782" t="s">
        <v>608</v>
      </c>
      <c r="D510" s="779"/>
      <c r="E510" s="779"/>
      <c r="F510" s="779"/>
      <c r="G510" s="779"/>
      <c r="H510" s="779"/>
      <c r="I510" s="779"/>
      <c r="J510" s="780"/>
      <c r="K510" s="63">
        <v>2</v>
      </c>
    </row>
    <row r="511" spans="1:11" ht="11.25">
      <c r="A511" s="63" t="s">
        <v>330</v>
      </c>
      <c r="B511" s="717"/>
      <c r="C511" s="782" t="s">
        <v>609</v>
      </c>
      <c r="D511" s="779"/>
      <c r="E511" s="779"/>
      <c r="F511" s="779"/>
      <c r="G511" s="779"/>
      <c r="H511" s="779"/>
      <c r="I511" s="779"/>
      <c r="J511" s="780"/>
      <c r="K511" s="63">
        <v>2</v>
      </c>
    </row>
    <row r="512" spans="1:11" ht="12" thickBot="1">
      <c r="A512" s="63" t="s">
        <v>378</v>
      </c>
      <c r="B512" s="716"/>
      <c r="C512" s="788" t="s">
        <v>610</v>
      </c>
      <c r="D512" s="772"/>
      <c r="E512" s="772"/>
      <c r="F512" s="772"/>
      <c r="G512" s="772"/>
      <c r="H512" s="772"/>
      <c r="I512" s="772"/>
      <c r="J512" s="773"/>
      <c r="K512" s="63">
        <v>2</v>
      </c>
    </row>
    <row r="513" spans="1:11" ht="11.25">
      <c r="A513" s="63" t="s">
        <v>326</v>
      </c>
      <c r="B513" s="704" t="s">
        <v>809</v>
      </c>
      <c r="C513" s="824" t="s">
        <v>605</v>
      </c>
      <c r="D513" s="825"/>
      <c r="E513" s="825"/>
      <c r="F513" s="825"/>
      <c r="G513" s="825"/>
      <c r="H513" s="825"/>
      <c r="I513" s="825"/>
      <c r="J513" s="826"/>
      <c r="K513" s="54">
        <v>2</v>
      </c>
    </row>
    <row r="514" spans="1:11" ht="11.25">
      <c r="A514" s="63" t="s">
        <v>327</v>
      </c>
      <c r="B514" s="717"/>
      <c r="C514" s="855" t="s">
        <v>606</v>
      </c>
      <c r="D514" s="855"/>
      <c r="E514" s="855"/>
      <c r="F514" s="855"/>
      <c r="G514" s="855"/>
      <c r="H514" s="855"/>
      <c r="I514" s="855"/>
      <c r="J514" s="857"/>
      <c r="K514" s="63">
        <v>2</v>
      </c>
    </row>
    <row r="515" spans="1:11" ht="11.25">
      <c r="A515" s="63" t="s">
        <v>328</v>
      </c>
      <c r="B515" s="717"/>
      <c r="C515" s="696" t="s">
        <v>607</v>
      </c>
      <c r="D515" s="696"/>
      <c r="E515" s="696"/>
      <c r="F515" s="696"/>
      <c r="G515" s="696"/>
      <c r="H515" s="696"/>
      <c r="I515" s="696"/>
      <c r="J515" s="698"/>
      <c r="K515" s="84">
        <v>2</v>
      </c>
    </row>
    <row r="516" spans="1:11" ht="11.25">
      <c r="A516" s="63" t="s">
        <v>329</v>
      </c>
      <c r="B516" s="717"/>
      <c r="C516" s="782" t="s">
        <v>608</v>
      </c>
      <c r="D516" s="779"/>
      <c r="E516" s="779"/>
      <c r="F516" s="779"/>
      <c r="G516" s="779"/>
      <c r="H516" s="779"/>
      <c r="I516" s="779"/>
      <c r="J516" s="780"/>
      <c r="K516" s="63">
        <v>2</v>
      </c>
    </row>
    <row r="517" spans="1:11" ht="11.25">
      <c r="A517" s="63" t="s">
        <v>330</v>
      </c>
      <c r="B517" s="717"/>
      <c r="C517" s="782" t="s">
        <v>609</v>
      </c>
      <c r="D517" s="779"/>
      <c r="E517" s="779"/>
      <c r="F517" s="779"/>
      <c r="G517" s="779"/>
      <c r="H517" s="779"/>
      <c r="I517" s="779"/>
      <c r="J517" s="780"/>
      <c r="K517" s="63">
        <v>2</v>
      </c>
    </row>
    <row r="518" spans="1:11" ht="12" thickBot="1">
      <c r="A518" s="63" t="s">
        <v>378</v>
      </c>
      <c r="B518" s="716"/>
      <c r="C518" s="714" t="s">
        <v>610</v>
      </c>
      <c r="D518" s="687"/>
      <c r="E518" s="687"/>
      <c r="F518" s="687"/>
      <c r="G518" s="687"/>
      <c r="H518" s="687"/>
      <c r="I518" s="687"/>
      <c r="J518" s="689"/>
      <c r="K518" s="63">
        <v>2</v>
      </c>
    </row>
    <row r="519" spans="1:11" ht="11.25">
      <c r="A519" s="63" t="s">
        <v>326</v>
      </c>
      <c r="B519" s="704" t="s">
        <v>810</v>
      </c>
      <c r="C519" s="824" t="s">
        <v>605</v>
      </c>
      <c r="D519" s="825"/>
      <c r="E519" s="825"/>
      <c r="F519" s="825"/>
      <c r="G519" s="825"/>
      <c r="H519" s="825"/>
      <c r="I519" s="825"/>
      <c r="J519" s="826"/>
      <c r="K519" s="54">
        <v>2</v>
      </c>
    </row>
    <row r="520" spans="1:11" ht="11.25">
      <c r="A520" s="63" t="s">
        <v>327</v>
      </c>
      <c r="B520" s="717"/>
      <c r="C520" s="855" t="s">
        <v>606</v>
      </c>
      <c r="D520" s="855"/>
      <c r="E520" s="855"/>
      <c r="F520" s="855"/>
      <c r="G520" s="855"/>
      <c r="H520" s="855"/>
      <c r="I520" s="855"/>
      <c r="J520" s="857"/>
      <c r="K520" s="63">
        <v>2</v>
      </c>
    </row>
    <row r="521" spans="1:11" ht="11.25">
      <c r="A521" s="63" t="s">
        <v>328</v>
      </c>
      <c r="B521" s="717"/>
      <c r="C521" s="696" t="s">
        <v>607</v>
      </c>
      <c r="D521" s="696"/>
      <c r="E521" s="696"/>
      <c r="F521" s="696"/>
      <c r="G521" s="696"/>
      <c r="H521" s="696"/>
      <c r="I521" s="696"/>
      <c r="J521" s="698"/>
      <c r="K521" s="84">
        <v>2</v>
      </c>
    </row>
    <row r="522" spans="1:11" ht="11.25">
      <c r="A522" s="63" t="s">
        <v>329</v>
      </c>
      <c r="B522" s="717"/>
      <c r="C522" s="782" t="s">
        <v>608</v>
      </c>
      <c r="D522" s="779"/>
      <c r="E522" s="779"/>
      <c r="F522" s="779"/>
      <c r="G522" s="779"/>
      <c r="H522" s="779"/>
      <c r="I522" s="779"/>
      <c r="J522" s="780"/>
      <c r="K522" s="63">
        <v>2</v>
      </c>
    </row>
    <row r="523" spans="1:11" ht="11.25">
      <c r="A523" s="63" t="s">
        <v>330</v>
      </c>
      <c r="B523" s="717"/>
      <c r="C523" s="782" t="s">
        <v>609</v>
      </c>
      <c r="D523" s="779"/>
      <c r="E523" s="779"/>
      <c r="F523" s="779"/>
      <c r="G523" s="779"/>
      <c r="H523" s="779"/>
      <c r="I523" s="779"/>
      <c r="J523" s="780"/>
      <c r="K523" s="63">
        <v>2</v>
      </c>
    </row>
    <row r="524" spans="1:11" ht="12" thickBot="1">
      <c r="A524" s="63" t="s">
        <v>378</v>
      </c>
      <c r="B524" s="716"/>
      <c r="C524" s="714" t="s">
        <v>610</v>
      </c>
      <c r="D524" s="687"/>
      <c r="E524" s="687"/>
      <c r="F524" s="687"/>
      <c r="G524" s="687"/>
      <c r="H524" s="687"/>
      <c r="I524" s="687"/>
      <c r="J524" s="689"/>
      <c r="K524" s="63">
        <v>2</v>
      </c>
    </row>
    <row r="525" spans="1:11" ht="11.25">
      <c r="A525" s="63" t="s">
        <v>326</v>
      </c>
      <c r="B525" s="704" t="s">
        <v>811</v>
      </c>
      <c r="C525" s="824" t="s">
        <v>605</v>
      </c>
      <c r="D525" s="825"/>
      <c r="E525" s="825"/>
      <c r="F525" s="825"/>
      <c r="G525" s="825"/>
      <c r="H525" s="825"/>
      <c r="I525" s="825"/>
      <c r="J525" s="826"/>
      <c r="K525" s="54">
        <v>2</v>
      </c>
    </row>
    <row r="526" spans="1:11" ht="11.25">
      <c r="A526" s="63" t="s">
        <v>327</v>
      </c>
      <c r="B526" s="717"/>
      <c r="C526" s="855" t="s">
        <v>606</v>
      </c>
      <c r="D526" s="855"/>
      <c r="E526" s="855"/>
      <c r="F526" s="855"/>
      <c r="G526" s="855"/>
      <c r="H526" s="855"/>
      <c r="I526" s="855"/>
      <c r="J526" s="857"/>
      <c r="K526" s="63">
        <v>2</v>
      </c>
    </row>
    <row r="527" spans="1:11" ht="11.25">
      <c r="A527" s="63" t="s">
        <v>328</v>
      </c>
      <c r="B527" s="717"/>
      <c r="C527" s="696" t="s">
        <v>607</v>
      </c>
      <c r="D527" s="696"/>
      <c r="E527" s="696"/>
      <c r="F527" s="696"/>
      <c r="G527" s="696"/>
      <c r="H527" s="696"/>
      <c r="I527" s="696"/>
      <c r="J527" s="698"/>
      <c r="K527" s="84">
        <v>2</v>
      </c>
    </row>
    <row r="528" spans="1:11" ht="11.25">
      <c r="A528" s="63" t="s">
        <v>329</v>
      </c>
      <c r="B528" s="717"/>
      <c r="C528" s="782" t="s">
        <v>608</v>
      </c>
      <c r="D528" s="779"/>
      <c r="E528" s="779"/>
      <c r="F528" s="779"/>
      <c r="G528" s="779"/>
      <c r="H528" s="779"/>
      <c r="I528" s="779"/>
      <c r="J528" s="780"/>
      <c r="K528" s="63">
        <v>2</v>
      </c>
    </row>
    <row r="529" spans="1:11" ht="11.25">
      <c r="A529" s="63" t="s">
        <v>330</v>
      </c>
      <c r="B529" s="717"/>
      <c r="C529" s="782" t="s">
        <v>609</v>
      </c>
      <c r="D529" s="779"/>
      <c r="E529" s="779"/>
      <c r="F529" s="779"/>
      <c r="G529" s="779"/>
      <c r="H529" s="779"/>
      <c r="I529" s="779"/>
      <c r="J529" s="780"/>
      <c r="K529" s="63">
        <v>2</v>
      </c>
    </row>
    <row r="530" spans="1:11" ht="12" thickBot="1">
      <c r="A530" s="63" t="s">
        <v>378</v>
      </c>
      <c r="B530" s="716"/>
      <c r="C530" s="714" t="s">
        <v>610</v>
      </c>
      <c r="D530" s="687"/>
      <c r="E530" s="687"/>
      <c r="F530" s="687"/>
      <c r="G530" s="687"/>
      <c r="H530" s="687"/>
      <c r="I530" s="687"/>
      <c r="J530" s="689"/>
      <c r="K530" s="63">
        <v>2</v>
      </c>
    </row>
    <row r="531" spans="1:11" ht="11.25">
      <c r="A531" s="63" t="s">
        <v>326</v>
      </c>
      <c r="B531" s="704" t="s">
        <v>812</v>
      </c>
      <c r="C531" s="824" t="s">
        <v>605</v>
      </c>
      <c r="D531" s="825"/>
      <c r="E531" s="825"/>
      <c r="F531" s="825"/>
      <c r="G531" s="825"/>
      <c r="H531" s="825"/>
      <c r="I531" s="825"/>
      <c r="J531" s="826"/>
      <c r="K531" s="54">
        <v>2</v>
      </c>
    </row>
    <row r="532" spans="1:11" ht="11.25">
      <c r="A532" s="63" t="s">
        <v>327</v>
      </c>
      <c r="B532" s="717"/>
      <c r="C532" s="855" t="s">
        <v>606</v>
      </c>
      <c r="D532" s="855"/>
      <c r="E532" s="855"/>
      <c r="F532" s="855"/>
      <c r="G532" s="855"/>
      <c r="H532" s="855"/>
      <c r="I532" s="855"/>
      <c r="J532" s="857"/>
      <c r="K532" s="63">
        <v>2</v>
      </c>
    </row>
    <row r="533" spans="1:11" ht="11.25">
      <c r="A533" s="63" t="s">
        <v>328</v>
      </c>
      <c r="B533" s="717"/>
      <c r="C533" s="696" t="s">
        <v>607</v>
      </c>
      <c r="D533" s="696"/>
      <c r="E533" s="696"/>
      <c r="F533" s="696"/>
      <c r="G533" s="696"/>
      <c r="H533" s="696"/>
      <c r="I533" s="696"/>
      <c r="J533" s="698"/>
      <c r="K533" s="84">
        <v>2</v>
      </c>
    </row>
    <row r="534" spans="1:11" ht="11.25">
      <c r="A534" s="63" t="s">
        <v>329</v>
      </c>
      <c r="B534" s="717"/>
      <c r="C534" s="782" t="s">
        <v>608</v>
      </c>
      <c r="D534" s="779"/>
      <c r="E534" s="779"/>
      <c r="F534" s="779"/>
      <c r="G534" s="779"/>
      <c r="H534" s="779"/>
      <c r="I534" s="779"/>
      <c r="J534" s="780"/>
      <c r="K534" s="63">
        <v>2</v>
      </c>
    </row>
    <row r="535" spans="1:11" ht="11.25">
      <c r="A535" s="63" t="s">
        <v>330</v>
      </c>
      <c r="B535" s="717"/>
      <c r="C535" s="782" t="s">
        <v>609</v>
      </c>
      <c r="D535" s="779"/>
      <c r="E535" s="779"/>
      <c r="F535" s="779"/>
      <c r="G535" s="779"/>
      <c r="H535" s="779"/>
      <c r="I535" s="779"/>
      <c r="J535" s="780"/>
      <c r="K535" s="63">
        <v>2</v>
      </c>
    </row>
    <row r="536" spans="1:11" ht="12" thickBot="1">
      <c r="A536" s="63" t="s">
        <v>378</v>
      </c>
      <c r="B536" s="716"/>
      <c r="C536" s="714" t="s">
        <v>610</v>
      </c>
      <c r="D536" s="687"/>
      <c r="E536" s="687"/>
      <c r="F536" s="687"/>
      <c r="G536" s="687"/>
      <c r="H536" s="687"/>
      <c r="I536" s="687"/>
      <c r="J536" s="689"/>
      <c r="K536" s="63">
        <v>2</v>
      </c>
    </row>
    <row r="537" spans="1:11" ht="11.25">
      <c r="A537" s="63" t="s">
        <v>326</v>
      </c>
      <c r="B537" s="704" t="s">
        <v>813</v>
      </c>
      <c r="C537" s="824" t="s">
        <v>605</v>
      </c>
      <c r="D537" s="825"/>
      <c r="E537" s="825"/>
      <c r="F537" s="825"/>
      <c r="G537" s="825"/>
      <c r="H537" s="825"/>
      <c r="I537" s="825"/>
      <c r="J537" s="826"/>
      <c r="K537" s="54">
        <v>2</v>
      </c>
    </row>
    <row r="538" spans="1:11" ht="11.25">
      <c r="A538" s="63" t="s">
        <v>327</v>
      </c>
      <c r="B538" s="717"/>
      <c r="C538" s="855" t="s">
        <v>606</v>
      </c>
      <c r="D538" s="855"/>
      <c r="E538" s="855"/>
      <c r="F538" s="855"/>
      <c r="G538" s="855"/>
      <c r="H538" s="855"/>
      <c r="I538" s="855"/>
      <c r="J538" s="857"/>
      <c r="K538" s="63">
        <v>2</v>
      </c>
    </row>
    <row r="539" spans="1:11" ht="11.25">
      <c r="A539" s="63" t="s">
        <v>328</v>
      </c>
      <c r="B539" s="717"/>
      <c r="C539" s="696" t="s">
        <v>607</v>
      </c>
      <c r="D539" s="696"/>
      <c r="E539" s="696"/>
      <c r="F539" s="696"/>
      <c r="G539" s="696"/>
      <c r="H539" s="696"/>
      <c r="I539" s="696"/>
      <c r="J539" s="698"/>
      <c r="K539" s="84">
        <v>2</v>
      </c>
    </row>
    <row r="540" spans="1:11" ht="11.25">
      <c r="A540" s="63" t="s">
        <v>329</v>
      </c>
      <c r="B540" s="717"/>
      <c r="C540" s="782" t="s">
        <v>608</v>
      </c>
      <c r="D540" s="779"/>
      <c r="E540" s="779"/>
      <c r="F540" s="779"/>
      <c r="G540" s="779"/>
      <c r="H540" s="779"/>
      <c r="I540" s="779"/>
      <c r="J540" s="780"/>
      <c r="K540" s="63">
        <v>2</v>
      </c>
    </row>
    <row r="541" spans="1:11" ht="11.25">
      <c r="A541" s="63" t="s">
        <v>330</v>
      </c>
      <c r="B541" s="717"/>
      <c r="C541" s="782" t="s">
        <v>609</v>
      </c>
      <c r="D541" s="779"/>
      <c r="E541" s="779"/>
      <c r="F541" s="779"/>
      <c r="G541" s="779"/>
      <c r="H541" s="779"/>
      <c r="I541" s="779"/>
      <c r="J541" s="780"/>
      <c r="K541" s="63">
        <v>2</v>
      </c>
    </row>
    <row r="542" spans="1:11" ht="12" thickBot="1">
      <c r="A542" s="63" t="s">
        <v>378</v>
      </c>
      <c r="B542" s="716"/>
      <c r="C542" s="714" t="s">
        <v>610</v>
      </c>
      <c r="D542" s="687"/>
      <c r="E542" s="687"/>
      <c r="F542" s="687"/>
      <c r="G542" s="687"/>
      <c r="H542" s="687"/>
      <c r="I542" s="687"/>
      <c r="J542" s="689"/>
      <c r="K542" s="63">
        <v>2</v>
      </c>
    </row>
    <row r="543" spans="1:11" ht="11.25">
      <c r="A543" s="63" t="s">
        <v>326</v>
      </c>
      <c r="B543" s="704" t="s">
        <v>814</v>
      </c>
      <c r="C543" s="824" t="s">
        <v>605</v>
      </c>
      <c r="D543" s="825"/>
      <c r="E543" s="825"/>
      <c r="F543" s="825"/>
      <c r="G543" s="825"/>
      <c r="H543" s="825"/>
      <c r="I543" s="825"/>
      <c r="J543" s="826"/>
      <c r="K543" s="54">
        <v>2</v>
      </c>
    </row>
    <row r="544" spans="1:11" ht="11.25">
      <c r="A544" s="63" t="s">
        <v>327</v>
      </c>
      <c r="B544" s="717"/>
      <c r="C544" s="855" t="s">
        <v>606</v>
      </c>
      <c r="D544" s="855"/>
      <c r="E544" s="855"/>
      <c r="F544" s="855"/>
      <c r="G544" s="855"/>
      <c r="H544" s="855"/>
      <c r="I544" s="855"/>
      <c r="J544" s="857"/>
      <c r="K544" s="63">
        <v>2</v>
      </c>
    </row>
    <row r="545" spans="1:11" ht="11.25">
      <c r="A545" s="63" t="s">
        <v>328</v>
      </c>
      <c r="B545" s="717"/>
      <c r="C545" s="696" t="s">
        <v>607</v>
      </c>
      <c r="D545" s="696"/>
      <c r="E545" s="696"/>
      <c r="F545" s="696"/>
      <c r="G545" s="696"/>
      <c r="H545" s="696"/>
      <c r="I545" s="696"/>
      <c r="J545" s="698"/>
      <c r="K545" s="84">
        <v>2</v>
      </c>
    </row>
    <row r="546" spans="1:11" ht="11.25">
      <c r="A546" s="63" t="s">
        <v>329</v>
      </c>
      <c r="B546" s="717"/>
      <c r="C546" s="782" t="s">
        <v>608</v>
      </c>
      <c r="D546" s="779"/>
      <c r="E546" s="779"/>
      <c r="F546" s="779"/>
      <c r="G546" s="779"/>
      <c r="H546" s="779"/>
      <c r="I546" s="779"/>
      <c r="J546" s="780"/>
      <c r="K546" s="63">
        <v>2</v>
      </c>
    </row>
    <row r="547" spans="1:11" ht="11.25">
      <c r="A547" s="63" t="s">
        <v>330</v>
      </c>
      <c r="B547" s="717"/>
      <c r="C547" s="782" t="s">
        <v>609</v>
      </c>
      <c r="D547" s="779"/>
      <c r="E547" s="779"/>
      <c r="F547" s="779"/>
      <c r="G547" s="779"/>
      <c r="H547" s="779"/>
      <c r="I547" s="779"/>
      <c r="J547" s="780"/>
      <c r="K547" s="63">
        <v>2</v>
      </c>
    </row>
    <row r="548" spans="1:11" ht="12" thickBot="1">
      <c r="A548" s="63" t="s">
        <v>378</v>
      </c>
      <c r="B548" s="716"/>
      <c r="C548" s="714" t="s">
        <v>610</v>
      </c>
      <c r="D548" s="687"/>
      <c r="E548" s="687"/>
      <c r="F548" s="687"/>
      <c r="G548" s="687"/>
      <c r="H548" s="687"/>
      <c r="I548" s="687"/>
      <c r="J548" s="689"/>
      <c r="K548" s="63">
        <v>2</v>
      </c>
    </row>
    <row r="549" spans="1:11" ht="11.25">
      <c r="A549" s="63" t="s">
        <v>326</v>
      </c>
      <c r="B549" s="704" t="s">
        <v>815</v>
      </c>
      <c r="C549" s="824" t="s">
        <v>605</v>
      </c>
      <c r="D549" s="825"/>
      <c r="E549" s="825"/>
      <c r="F549" s="825"/>
      <c r="G549" s="825"/>
      <c r="H549" s="825"/>
      <c r="I549" s="825"/>
      <c r="J549" s="826"/>
      <c r="K549" s="54">
        <v>2</v>
      </c>
    </row>
    <row r="550" spans="1:11" ht="11.25">
      <c r="A550" s="63" t="s">
        <v>327</v>
      </c>
      <c r="B550" s="717"/>
      <c r="C550" s="855" t="s">
        <v>606</v>
      </c>
      <c r="D550" s="855"/>
      <c r="E550" s="855"/>
      <c r="F550" s="855"/>
      <c r="G550" s="855"/>
      <c r="H550" s="855"/>
      <c r="I550" s="855"/>
      <c r="J550" s="857"/>
      <c r="K550" s="63">
        <v>2</v>
      </c>
    </row>
    <row r="551" spans="1:11" ht="11.25">
      <c r="A551" s="63" t="s">
        <v>328</v>
      </c>
      <c r="B551" s="717"/>
      <c r="C551" s="696" t="s">
        <v>607</v>
      </c>
      <c r="D551" s="696"/>
      <c r="E551" s="696"/>
      <c r="F551" s="696"/>
      <c r="G551" s="696"/>
      <c r="H551" s="696"/>
      <c r="I551" s="696"/>
      <c r="J551" s="698"/>
      <c r="K551" s="84">
        <v>2</v>
      </c>
    </row>
    <row r="552" spans="1:11" ht="11.25">
      <c r="A552" s="63" t="s">
        <v>329</v>
      </c>
      <c r="B552" s="717"/>
      <c r="C552" s="782" t="s">
        <v>608</v>
      </c>
      <c r="D552" s="779"/>
      <c r="E552" s="779"/>
      <c r="F552" s="779"/>
      <c r="G552" s="779"/>
      <c r="H552" s="779"/>
      <c r="I552" s="779"/>
      <c r="J552" s="780"/>
      <c r="K552" s="63">
        <v>2</v>
      </c>
    </row>
    <row r="553" spans="1:11" ht="11.25">
      <c r="A553" s="63" t="s">
        <v>330</v>
      </c>
      <c r="B553" s="717"/>
      <c r="C553" s="782" t="s">
        <v>609</v>
      </c>
      <c r="D553" s="779"/>
      <c r="E553" s="779"/>
      <c r="F553" s="779"/>
      <c r="G553" s="779"/>
      <c r="H553" s="779"/>
      <c r="I553" s="779"/>
      <c r="J553" s="780"/>
      <c r="K553" s="63">
        <v>2</v>
      </c>
    </row>
    <row r="554" spans="1:11" ht="12" thickBot="1">
      <c r="A554" s="63" t="s">
        <v>378</v>
      </c>
      <c r="B554" s="716"/>
      <c r="C554" s="714" t="s">
        <v>610</v>
      </c>
      <c r="D554" s="687"/>
      <c r="E554" s="687"/>
      <c r="F554" s="687"/>
      <c r="G554" s="687"/>
      <c r="H554" s="687"/>
      <c r="I554" s="687"/>
      <c r="J554" s="689"/>
      <c r="K554" s="63">
        <v>2</v>
      </c>
    </row>
    <row r="555" spans="1:11" ht="11.25">
      <c r="A555" s="63" t="s">
        <v>326</v>
      </c>
      <c r="B555" s="704" t="s">
        <v>816</v>
      </c>
      <c r="C555" s="824" t="s">
        <v>605</v>
      </c>
      <c r="D555" s="825"/>
      <c r="E555" s="825"/>
      <c r="F555" s="825"/>
      <c r="G555" s="825"/>
      <c r="H555" s="825"/>
      <c r="I555" s="825"/>
      <c r="J555" s="826"/>
      <c r="K555" s="54">
        <v>2</v>
      </c>
    </row>
    <row r="556" spans="1:11" ht="11.25">
      <c r="A556" s="63" t="s">
        <v>327</v>
      </c>
      <c r="B556" s="717"/>
      <c r="C556" s="855" t="s">
        <v>606</v>
      </c>
      <c r="D556" s="855"/>
      <c r="E556" s="855"/>
      <c r="F556" s="855"/>
      <c r="G556" s="855"/>
      <c r="H556" s="855"/>
      <c r="I556" s="855"/>
      <c r="J556" s="857"/>
      <c r="K556" s="63">
        <v>2</v>
      </c>
    </row>
    <row r="557" spans="1:11" ht="11.25">
      <c r="A557" s="63" t="s">
        <v>328</v>
      </c>
      <c r="B557" s="717"/>
      <c r="C557" s="696" t="s">
        <v>607</v>
      </c>
      <c r="D557" s="696"/>
      <c r="E557" s="696"/>
      <c r="F557" s="696"/>
      <c r="G557" s="696"/>
      <c r="H557" s="696"/>
      <c r="I557" s="696"/>
      <c r="J557" s="698"/>
      <c r="K557" s="84">
        <v>2</v>
      </c>
    </row>
    <row r="558" spans="1:11" ht="11.25">
      <c r="A558" s="63" t="s">
        <v>329</v>
      </c>
      <c r="B558" s="717"/>
      <c r="C558" s="782" t="s">
        <v>608</v>
      </c>
      <c r="D558" s="779"/>
      <c r="E558" s="779"/>
      <c r="F558" s="779"/>
      <c r="G558" s="779"/>
      <c r="H558" s="779"/>
      <c r="I558" s="779"/>
      <c r="J558" s="780"/>
      <c r="K558" s="63">
        <v>2</v>
      </c>
    </row>
    <row r="559" spans="1:11" ht="11.25">
      <c r="A559" s="63" t="s">
        <v>330</v>
      </c>
      <c r="B559" s="717"/>
      <c r="C559" s="782" t="s">
        <v>609</v>
      </c>
      <c r="D559" s="779"/>
      <c r="E559" s="779"/>
      <c r="F559" s="779"/>
      <c r="G559" s="779"/>
      <c r="H559" s="779"/>
      <c r="I559" s="779"/>
      <c r="J559" s="780"/>
      <c r="K559" s="63">
        <v>2</v>
      </c>
    </row>
    <row r="560" spans="1:11" ht="12" thickBot="1">
      <c r="A560" s="63" t="s">
        <v>378</v>
      </c>
      <c r="B560" s="716"/>
      <c r="C560" s="714" t="s">
        <v>610</v>
      </c>
      <c r="D560" s="687"/>
      <c r="E560" s="687"/>
      <c r="F560" s="687"/>
      <c r="G560" s="687"/>
      <c r="H560" s="687"/>
      <c r="I560" s="687"/>
      <c r="J560" s="689"/>
      <c r="K560" s="63">
        <v>2</v>
      </c>
    </row>
    <row r="561" spans="1:11" ht="11.25">
      <c r="A561" s="63" t="s">
        <v>326</v>
      </c>
      <c r="B561" s="704" t="s">
        <v>817</v>
      </c>
      <c r="C561" s="824" t="s">
        <v>605</v>
      </c>
      <c r="D561" s="825"/>
      <c r="E561" s="825"/>
      <c r="F561" s="825"/>
      <c r="G561" s="825"/>
      <c r="H561" s="825"/>
      <c r="I561" s="825"/>
      <c r="J561" s="826"/>
      <c r="K561" s="54">
        <v>2</v>
      </c>
    </row>
    <row r="562" spans="1:11" ht="11.25">
      <c r="A562" s="63" t="s">
        <v>327</v>
      </c>
      <c r="B562" s="717"/>
      <c r="C562" s="855" t="s">
        <v>606</v>
      </c>
      <c r="D562" s="855"/>
      <c r="E562" s="855"/>
      <c r="F562" s="855"/>
      <c r="G562" s="855"/>
      <c r="H562" s="855"/>
      <c r="I562" s="855"/>
      <c r="J562" s="857"/>
      <c r="K562" s="63">
        <v>2</v>
      </c>
    </row>
    <row r="563" spans="1:11" ht="11.25">
      <c r="A563" s="63" t="s">
        <v>328</v>
      </c>
      <c r="B563" s="717"/>
      <c r="C563" s="696" t="s">
        <v>607</v>
      </c>
      <c r="D563" s="696"/>
      <c r="E563" s="696"/>
      <c r="F563" s="696"/>
      <c r="G563" s="696"/>
      <c r="H563" s="696"/>
      <c r="I563" s="696"/>
      <c r="J563" s="698"/>
      <c r="K563" s="84">
        <v>2</v>
      </c>
    </row>
    <row r="564" spans="1:11" ht="11.25">
      <c r="A564" s="63" t="s">
        <v>329</v>
      </c>
      <c r="B564" s="717"/>
      <c r="C564" s="782" t="s">
        <v>608</v>
      </c>
      <c r="D564" s="779"/>
      <c r="E564" s="779"/>
      <c r="F564" s="779"/>
      <c r="G564" s="779"/>
      <c r="H564" s="779"/>
      <c r="I564" s="779"/>
      <c r="J564" s="780"/>
      <c r="K564" s="63">
        <v>2</v>
      </c>
    </row>
    <row r="565" spans="1:11" ht="11.25">
      <c r="A565" s="63" t="s">
        <v>330</v>
      </c>
      <c r="B565" s="717"/>
      <c r="C565" s="782" t="s">
        <v>609</v>
      </c>
      <c r="D565" s="779"/>
      <c r="E565" s="779"/>
      <c r="F565" s="779"/>
      <c r="G565" s="779"/>
      <c r="H565" s="779"/>
      <c r="I565" s="779"/>
      <c r="J565" s="780"/>
      <c r="K565" s="63">
        <v>2</v>
      </c>
    </row>
    <row r="566" spans="1:11" ht="12" thickBot="1">
      <c r="A566" s="63" t="s">
        <v>378</v>
      </c>
      <c r="B566" s="716"/>
      <c r="C566" s="714" t="s">
        <v>610</v>
      </c>
      <c r="D566" s="687"/>
      <c r="E566" s="687"/>
      <c r="F566" s="687"/>
      <c r="G566" s="687"/>
      <c r="H566" s="687"/>
      <c r="I566" s="687"/>
      <c r="J566" s="689"/>
      <c r="K566" s="63">
        <v>2</v>
      </c>
    </row>
    <row r="567" spans="1:11" ht="11.25">
      <c r="A567" s="63" t="s">
        <v>326</v>
      </c>
      <c r="B567" s="704" t="s">
        <v>818</v>
      </c>
      <c r="C567" s="824" t="s">
        <v>605</v>
      </c>
      <c r="D567" s="825"/>
      <c r="E567" s="825"/>
      <c r="F567" s="825"/>
      <c r="G567" s="825"/>
      <c r="H567" s="825"/>
      <c r="I567" s="825"/>
      <c r="J567" s="826"/>
      <c r="K567" s="54">
        <v>2</v>
      </c>
    </row>
    <row r="568" spans="1:11" ht="11.25">
      <c r="A568" s="63" t="s">
        <v>327</v>
      </c>
      <c r="B568" s="717"/>
      <c r="C568" s="855" t="s">
        <v>606</v>
      </c>
      <c r="D568" s="855"/>
      <c r="E568" s="855"/>
      <c r="F568" s="855"/>
      <c r="G568" s="855"/>
      <c r="H568" s="855"/>
      <c r="I568" s="855"/>
      <c r="J568" s="857"/>
      <c r="K568" s="63">
        <v>2</v>
      </c>
    </row>
    <row r="569" spans="1:11" ht="11.25">
      <c r="A569" s="63" t="s">
        <v>328</v>
      </c>
      <c r="B569" s="717"/>
      <c r="C569" s="696" t="s">
        <v>607</v>
      </c>
      <c r="D569" s="696"/>
      <c r="E569" s="696"/>
      <c r="F569" s="696"/>
      <c r="G569" s="696"/>
      <c r="H569" s="696"/>
      <c r="I569" s="696"/>
      <c r="J569" s="698"/>
      <c r="K569" s="84">
        <v>2</v>
      </c>
    </row>
    <row r="570" spans="1:11" ht="11.25">
      <c r="A570" s="63" t="s">
        <v>329</v>
      </c>
      <c r="B570" s="717"/>
      <c r="C570" s="782" t="s">
        <v>608</v>
      </c>
      <c r="D570" s="779"/>
      <c r="E570" s="779"/>
      <c r="F570" s="779"/>
      <c r="G570" s="779"/>
      <c r="H570" s="779"/>
      <c r="I570" s="779"/>
      <c r="J570" s="780"/>
      <c r="K570" s="63">
        <v>2</v>
      </c>
    </row>
    <row r="571" spans="1:11" ht="11.25">
      <c r="A571" s="63" t="s">
        <v>330</v>
      </c>
      <c r="B571" s="717"/>
      <c r="C571" s="782" t="s">
        <v>609</v>
      </c>
      <c r="D571" s="779"/>
      <c r="E571" s="779"/>
      <c r="F571" s="779"/>
      <c r="G571" s="779"/>
      <c r="H571" s="779"/>
      <c r="I571" s="779"/>
      <c r="J571" s="780"/>
      <c r="K571" s="63">
        <v>2</v>
      </c>
    </row>
    <row r="572" spans="1:11" ht="12" thickBot="1">
      <c r="A572" s="63" t="s">
        <v>378</v>
      </c>
      <c r="B572" s="716"/>
      <c r="C572" s="788" t="s">
        <v>610</v>
      </c>
      <c r="D572" s="772"/>
      <c r="E572" s="772"/>
      <c r="F572" s="772"/>
      <c r="G572" s="772"/>
      <c r="H572" s="772"/>
      <c r="I572" s="772"/>
      <c r="J572" s="773"/>
      <c r="K572" s="63">
        <v>2</v>
      </c>
    </row>
    <row r="573" spans="1:11" ht="11.25">
      <c r="A573" s="63" t="s">
        <v>326</v>
      </c>
      <c r="B573" s="704" t="s">
        <v>819</v>
      </c>
      <c r="C573" s="824" t="s">
        <v>605</v>
      </c>
      <c r="D573" s="825"/>
      <c r="E573" s="825"/>
      <c r="F573" s="825"/>
      <c r="G573" s="825"/>
      <c r="H573" s="825"/>
      <c r="I573" s="825"/>
      <c r="J573" s="826"/>
      <c r="K573" s="54">
        <v>2</v>
      </c>
    </row>
    <row r="574" spans="1:11" ht="11.25">
      <c r="A574" s="63" t="s">
        <v>327</v>
      </c>
      <c r="B574" s="717"/>
      <c r="C574" s="855" t="s">
        <v>606</v>
      </c>
      <c r="D574" s="855"/>
      <c r="E574" s="855"/>
      <c r="F574" s="855"/>
      <c r="G574" s="855"/>
      <c r="H574" s="855"/>
      <c r="I574" s="855"/>
      <c r="J574" s="857"/>
      <c r="K574" s="63">
        <v>2</v>
      </c>
    </row>
    <row r="575" spans="1:11" ht="11.25">
      <c r="A575" s="63" t="s">
        <v>328</v>
      </c>
      <c r="B575" s="717"/>
      <c r="C575" s="696" t="s">
        <v>607</v>
      </c>
      <c r="D575" s="696"/>
      <c r="E575" s="696"/>
      <c r="F575" s="696"/>
      <c r="G575" s="696"/>
      <c r="H575" s="696"/>
      <c r="I575" s="696"/>
      <c r="J575" s="698"/>
      <c r="K575" s="84">
        <v>2</v>
      </c>
    </row>
    <row r="576" spans="1:11" ht="11.25">
      <c r="A576" s="63" t="s">
        <v>329</v>
      </c>
      <c r="B576" s="717"/>
      <c r="C576" s="782" t="s">
        <v>608</v>
      </c>
      <c r="D576" s="779"/>
      <c r="E576" s="779"/>
      <c r="F576" s="779"/>
      <c r="G576" s="779"/>
      <c r="H576" s="779"/>
      <c r="I576" s="779"/>
      <c r="J576" s="780"/>
      <c r="K576" s="63">
        <v>2</v>
      </c>
    </row>
    <row r="577" spans="1:11" ht="11.25">
      <c r="A577" s="63" t="s">
        <v>330</v>
      </c>
      <c r="B577" s="717"/>
      <c r="C577" s="782" t="s">
        <v>609</v>
      </c>
      <c r="D577" s="779"/>
      <c r="E577" s="779"/>
      <c r="F577" s="779"/>
      <c r="G577" s="779"/>
      <c r="H577" s="779"/>
      <c r="I577" s="779"/>
      <c r="J577" s="780"/>
      <c r="K577" s="63">
        <v>2</v>
      </c>
    </row>
    <row r="578" spans="1:11" ht="12" thickBot="1">
      <c r="A578" s="63" t="s">
        <v>378</v>
      </c>
      <c r="B578" s="716"/>
      <c r="C578" s="714" t="s">
        <v>610</v>
      </c>
      <c r="D578" s="687"/>
      <c r="E578" s="687"/>
      <c r="F578" s="687"/>
      <c r="G578" s="687"/>
      <c r="H578" s="687"/>
      <c r="I578" s="687"/>
      <c r="J578" s="689"/>
      <c r="K578" s="63">
        <v>2</v>
      </c>
    </row>
    <row r="579" spans="1:11" ht="11.25">
      <c r="A579" s="63" t="s">
        <v>326</v>
      </c>
      <c r="B579" s="704" t="s">
        <v>820</v>
      </c>
      <c r="C579" s="824" t="s">
        <v>605</v>
      </c>
      <c r="D579" s="825"/>
      <c r="E579" s="825"/>
      <c r="F579" s="825"/>
      <c r="G579" s="825"/>
      <c r="H579" s="825"/>
      <c r="I579" s="825"/>
      <c r="J579" s="826"/>
      <c r="K579" s="54">
        <v>2</v>
      </c>
    </row>
    <row r="580" spans="1:11" ht="11.25">
      <c r="A580" s="63" t="s">
        <v>327</v>
      </c>
      <c r="B580" s="717"/>
      <c r="C580" s="855" t="s">
        <v>606</v>
      </c>
      <c r="D580" s="855"/>
      <c r="E580" s="855"/>
      <c r="F580" s="855"/>
      <c r="G580" s="855"/>
      <c r="H580" s="855"/>
      <c r="I580" s="855"/>
      <c r="J580" s="857"/>
      <c r="K580" s="63">
        <v>2</v>
      </c>
    </row>
    <row r="581" spans="1:11" ht="11.25">
      <c r="A581" s="63" t="s">
        <v>328</v>
      </c>
      <c r="B581" s="717"/>
      <c r="C581" s="696" t="s">
        <v>607</v>
      </c>
      <c r="D581" s="696"/>
      <c r="E581" s="696"/>
      <c r="F581" s="696"/>
      <c r="G581" s="696"/>
      <c r="H581" s="696"/>
      <c r="I581" s="696"/>
      <c r="J581" s="698"/>
      <c r="K581" s="84">
        <v>2</v>
      </c>
    </row>
    <row r="582" spans="1:11" ht="11.25">
      <c r="A582" s="63" t="s">
        <v>329</v>
      </c>
      <c r="B582" s="717"/>
      <c r="C582" s="782" t="s">
        <v>608</v>
      </c>
      <c r="D582" s="779"/>
      <c r="E582" s="779"/>
      <c r="F582" s="779"/>
      <c r="G582" s="779"/>
      <c r="H582" s="779"/>
      <c r="I582" s="779"/>
      <c r="J582" s="780"/>
      <c r="K582" s="63">
        <v>2</v>
      </c>
    </row>
    <row r="583" spans="1:11" ht="11.25">
      <c r="A583" s="63" t="s">
        <v>330</v>
      </c>
      <c r="B583" s="717"/>
      <c r="C583" s="782" t="s">
        <v>609</v>
      </c>
      <c r="D583" s="779"/>
      <c r="E583" s="779"/>
      <c r="F583" s="779"/>
      <c r="G583" s="779"/>
      <c r="H583" s="779"/>
      <c r="I583" s="779"/>
      <c r="J583" s="780"/>
      <c r="K583" s="63">
        <v>2</v>
      </c>
    </row>
    <row r="584" spans="1:11" ht="12" thickBot="1">
      <c r="A584" s="63" t="s">
        <v>378</v>
      </c>
      <c r="B584" s="716"/>
      <c r="C584" s="714" t="s">
        <v>610</v>
      </c>
      <c r="D584" s="687"/>
      <c r="E584" s="687"/>
      <c r="F584" s="687"/>
      <c r="G584" s="687"/>
      <c r="H584" s="687"/>
      <c r="I584" s="687"/>
      <c r="J584" s="689"/>
      <c r="K584" s="63">
        <v>2</v>
      </c>
    </row>
    <row r="585" spans="1:11" ht="11.25">
      <c r="A585" s="63" t="s">
        <v>326</v>
      </c>
      <c r="B585" s="704" t="s">
        <v>821</v>
      </c>
      <c r="C585" s="824" t="s">
        <v>605</v>
      </c>
      <c r="D585" s="825"/>
      <c r="E585" s="825"/>
      <c r="F585" s="825"/>
      <c r="G585" s="825"/>
      <c r="H585" s="825"/>
      <c r="I585" s="825"/>
      <c r="J585" s="826"/>
      <c r="K585" s="54">
        <v>2</v>
      </c>
    </row>
    <row r="586" spans="1:11" ht="11.25">
      <c r="A586" s="63" t="s">
        <v>327</v>
      </c>
      <c r="B586" s="717"/>
      <c r="C586" s="855" t="s">
        <v>606</v>
      </c>
      <c r="D586" s="855"/>
      <c r="E586" s="855"/>
      <c r="F586" s="855"/>
      <c r="G586" s="855"/>
      <c r="H586" s="855"/>
      <c r="I586" s="855"/>
      <c r="J586" s="857"/>
      <c r="K586" s="63">
        <v>2</v>
      </c>
    </row>
    <row r="587" spans="1:11" ht="11.25">
      <c r="A587" s="63" t="s">
        <v>328</v>
      </c>
      <c r="B587" s="717"/>
      <c r="C587" s="696" t="s">
        <v>607</v>
      </c>
      <c r="D587" s="696"/>
      <c r="E587" s="696"/>
      <c r="F587" s="696"/>
      <c r="G587" s="696"/>
      <c r="H587" s="696"/>
      <c r="I587" s="696"/>
      <c r="J587" s="698"/>
      <c r="K587" s="84">
        <v>2</v>
      </c>
    </row>
    <row r="588" spans="1:11" ht="11.25">
      <c r="A588" s="63" t="s">
        <v>329</v>
      </c>
      <c r="B588" s="717"/>
      <c r="C588" s="782" t="s">
        <v>608</v>
      </c>
      <c r="D588" s="779"/>
      <c r="E588" s="779"/>
      <c r="F588" s="779"/>
      <c r="G588" s="779"/>
      <c r="H588" s="779"/>
      <c r="I588" s="779"/>
      <c r="J588" s="780"/>
      <c r="K588" s="63">
        <v>2</v>
      </c>
    </row>
    <row r="589" spans="1:11" ht="11.25">
      <c r="A589" s="63" t="s">
        <v>330</v>
      </c>
      <c r="B589" s="717"/>
      <c r="C589" s="782" t="s">
        <v>609</v>
      </c>
      <c r="D589" s="779"/>
      <c r="E589" s="779"/>
      <c r="F589" s="779"/>
      <c r="G589" s="779"/>
      <c r="H589" s="779"/>
      <c r="I589" s="779"/>
      <c r="J589" s="780"/>
      <c r="K589" s="63">
        <v>2</v>
      </c>
    </row>
    <row r="590" spans="1:11" ht="12" thickBot="1">
      <c r="A590" s="63" t="s">
        <v>378</v>
      </c>
      <c r="B590" s="716"/>
      <c r="C590" s="714" t="s">
        <v>610</v>
      </c>
      <c r="D590" s="687"/>
      <c r="E590" s="687"/>
      <c r="F590" s="687"/>
      <c r="G590" s="687"/>
      <c r="H590" s="687"/>
      <c r="I590" s="687"/>
      <c r="J590" s="689"/>
      <c r="K590" s="63">
        <v>2</v>
      </c>
    </row>
    <row r="591" spans="1:11" ht="11.25">
      <c r="A591" s="63" t="s">
        <v>326</v>
      </c>
      <c r="B591" s="704" t="s">
        <v>822</v>
      </c>
      <c r="C591" s="824" t="s">
        <v>605</v>
      </c>
      <c r="D591" s="825"/>
      <c r="E591" s="825"/>
      <c r="F591" s="825"/>
      <c r="G591" s="825"/>
      <c r="H591" s="825"/>
      <c r="I591" s="825"/>
      <c r="J591" s="826"/>
      <c r="K591" s="54">
        <v>2</v>
      </c>
    </row>
    <row r="592" spans="1:11" ht="11.25">
      <c r="A592" s="63" t="s">
        <v>327</v>
      </c>
      <c r="B592" s="717"/>
      <c r="C592" s="855" t="s">
        <v>606</v>
      </c>
      <c r="D592" s="855"/>
      <c r="E592" s="855"/>
      <c r="F592" s="855"/>
      <c r="G592" s="855"/>
      <c r="H592" s="855"/>
      <c r="I592" s="855"/>
      <c r="J592" s="857"/>
      <c r="K592" s="63">
        <v>2</v>
      </c>
    </row>
    <row r="593" spans="1:11" ht="11.25">
      <c r="A593" s="63" t="s">
        <v>328</v>
      </c>
      <c r="B593" s="717"/>
      <c r="C593" s="696" t="s">
        <v>607</v>
      </c>
      <c r="D593" s="696"/>
      <c r="E593" s="696"/>
      <c r="F593" s="696"/>
      <c r="G593" s="696"/>
      <c r="H593" s="696"/>
      <c r="I593" s="696"/>
      <c r="J593" s="698"/>
      <c r="K593" s="84">
        <v>2</v>
      </c>
    </row>
    <row r="594" spans="1:11" ht="11.25">
      <c r="A594" s="63" t="s">
        <v>329</v>
      </c>
      <c r="B594" s="717"/>
      <c r="C594" s="782" t="s">
        <v>608</v>
      </c>
      <c r="D594" s="779"/>
      <c r="E594" s="779"/>
      <c r="F594" s="779"/>
      <c r="G594" s="779"/>
      <c r="H594" s="779"/>
      <c r="I594" s="779"/>
      <c r="J594" s="780"/>
      <c r="K594" s="63">
        <v>2</v>
      </c>
    </row>
    <row r="595" spans="1:11" ht="11.25">
      <c r="A595" s="63" t="s">
        <v>330</v>
      </c>
      <c r="B595" s="717"/>
      <c r="C595" s="782" t="s">
        <v>609</v>
      </c>
      <c r="D595" s="779"/>
      <c r="E595" s="779"/>
      <c r="F595" s="779"/>
      <c r="G595" s="779"/>
      <c r="H595" s="779"/>
      <c r="I595" s="779"/>
      <c r="J595" s="780"/>
      <c r="K595" s="63">
        <v>2</v>
      </c>
    </row>
    <row r="596" spans="1:11" ht="12" thickBot="1">
      <c r="A596" s="63" t="s">
        <v>378</v>
      </c>
      <c r="B596" s="716"/>
      <c r="C596" s="714" t="s">
        <v>610</v>
      </c>
      <c r="D596" s="687"/>
      <c r="E596" s="687"/>
      <c r="F596" s="687"/>
      <c r="G596" s="687"/>
      <c r="H596" s="687"/>
      <c r="I596" s="687"/>
      <c r="J596" s="689"/>
      <c r="K596" s="63">
        <v>2</v>
      </c>
    </row>
    <row r="597" spans="1:11" ht="11.25">
      <c r="A597" s="63" t="s">
        <v>326</v>
      </c>
      <c r="B597" s="704" t="s">
        <v>823</v>
      </c>
      <c r="C597" s="824" t="s">
        <v>605</v>
      </c>
      <c r="D597" s="825"/>
      <c r="E597" s="825"/>
      <c r="F597" s="825"/>
      <c r="G597" s="825"/>
      <c r="H597" s="825"/>
      <c r="I597" s="825"/>
      <c r="J597" s="826"/>
      <c r="K597" s="54">
        <v>2</v>
      </c>
    </row>
    <row r="598" spans="1:11" ht="11.25">
      <c r="A598" s="63" t="s">
        <v>327</v>
      </c>
      <c r="B598" s="717"/>
      <c r="C598" s="855" t="s">
        <v>606</v>
      </c>
      <c r="D598" s="855"/>
      <c r="E598" s="855"/>
      <c r="F598" s="855"/>
      <c r="G598" s="855"/>
      <c r="H598" s="855"/>
      <c r="I598" s="855"/>
      <c r="J598" s="857"/>
      <c r="K598" s="63">
        <v>2</v>
      </c>
    </row>
    <row r="599" spans="1:11" ht="11.25">
      <c r="A599" s="63" t="s">
        <v>328</v>
      </c>
      <c r="B599" s="717"/>
      <c r="C599" s="696" t="s">
        <v>607</v>
      </c>
      <c r="D599" s="696"/>
      <c r="E599" s="696"/>
      <c r="F599" s="696"/>
      <c r="G599" s="696"/>
      <c r="H599" s="696"/>
      <c r="I599" s="696"/>
      <c r="J599" s="698"/>
      <c r="K599" s="84">
        <v>2</v>
      </c>
    </row>
    <row r="600" spans="1:11" ht="11.25">
      <c r="A600" s="63" t="s">
        <v>329</v>
      </c>
      <c r="B600" s="717"/>
      <c r="C600" s="782" t="s">
        <v>608</v>
      </c>
      <c r="D600" s="779"/>
      <c r="E600" s="779"/>
      <c r="F600" s="779"/>
      <c r="G600" s="779"/>
      <c r="H600" s="779"/>
      <c r="I600" s="779"/>
      <c r="J600" s="780"/>
      <c r="K600" s="63">
        <v>2</v>
      </c>
    </row>
    <row r="601" spans="1:11" ht="11.25">
      <c r="A601" s="63" t="s">
        <v>330</v>
      </c>
      <c r="B601" s="717"/>
      <c r="C601" s="782" t="s">
        <v>609</v>
      </c>
      <c r="D601" s="779"/>
      <c r="E601" s="779"/>
      <c r="F601" s="779"/>
      <c r="G601" s="779"/>
      <c r="H601" s="779"/>
      <c r="I601" s="779"/>
      <c r="J601" s="780"/>
      <c r="K601" s="63">
        <v>2</v>
      </c>
    </row>
    <row r="602" spans="1:11" ht="12" thickBot="1">
      <c r="A602" s="63" t="s">
        <v>378</v>
      </c>
      <c r="B602" s="716"/>
      <c r="C602" s="714" t="s">
        <v>610</v>
      </c>
      <c r="D602" s="687"/>
      <c r="E602" s="687"/>
      <c r="F602" s="687"/>
      <c r="G602" s="687"/>
      <c r="H602" s="687"/>
      <c r="I602" s="687"/>
      <c r="J602" s="689"/>
      <c r="K602" s="63">
        <v>2</v>
      </c>
    </row>
    <row r="603" spans="1:11" ht="11.25">
      <c r="A603" s="63" t="s">
        <v>326</v>
      </c>
      <c r="B603" s="704" t="s">
        <v>824</v>
      </c>
      <c r="C603" s="824" t="s">
        <v>605</v>
      </c>
      <c r="D603" s="825"/>
      <c r="E603" s="825"/>
      <c r="F603" s="825"/>
      <c r="G603" s="825"/>
      <c r="H603" s="825"/>
      <c r="I603" s="825"/>
      <c r="J603" s="826"/>
      <c r="K603" s="54">
        <v>2</v>
      </c>
    </row>
    <row r="604" spans="1:11" ht="11.25">
      <c r="A604" s="63" t="s">
        <v>327</v>
      </c>
      <c r="B604" s="717"/>
      <c r="C604" s="855" t="s">
        <v>606</v>
      </c>
      <c r="D604" s="855"/>
      <c r="E604" s="855"/>
      <c r="F604" s="855"/>
      <c r="G604" s="855"/>
      <c r="H604" s="855"/>
      <c r="I604" s="855"/>
      <c r="J604" s="857"/>
      <c r="K604" s="63">
        <v>2</v>
      </c>
    </row>
    <row r="605" spans="1:11" ht="11.25">
      <c r="A605" s="63" t="s">
        <v>328</v>
      </c>
      <c r="B605" s="717"/>
      <c r="C605" s="696" t="s">
        <v>607</v>
      </c>
      <c r="D605" s="696"/>
      <c r="E605" s="696"/>
      <c r="F605" s="696"/>
      <c r="G605" s="696"/>
      <c r="H605" s="696"/>
      <c r="I605" s="696"/>
      <c r="J605" s="698"/>
      <c r="K605" s="84">
        <v>2</v>
      </c>
    </row>
    <row r="606" spans="1:11" ht="11.25">
      <c r="A606" s="63" t="s">
        <v>329</v>
      </c>
      <c r="B606" s="717"/>
      <c r="C606" s="782" t="s">
        <v>608</v>
      </c>
      <c r="D606" s="779"/>
      <c r="E606" s="779"/>
      <c r="F606" s="779"/>
      <c r="G606" s="779"/>
      <c r="H606" s="779"/>
      <c r="I606" s="779"/>
      <c r="J606" s="780"/>
      <c r="K606" s="63">
        <v>2</v>
      </c>
    </row>
    <row r="607" spans="1:11" ht="11.25">
      <c r="A607" s="63" t="s">
        <v>330</v>
      </c>
      <c r="B607" s="717"/>
      <c r="C607" s="782" t="s">
        <v>609</v>
      </c>
      <c r="D607" s="779"/>
      <c r="E607" s="779"/>
      <c r="F607" s="779"/>
      <c r="G607" s="779"/>
      <c r="H607" s="779"/>
      <c r="I607" s="779"/>
      <c r="J607" s="780"/>
      <c r="K607" s="63">
        <v>2</v>
      </c>
    </row>
    <row r="608" spans="1:11" ht="12" thickBot="1">
      <c r="A608" s="63" t="s">
        <v>378</v>
      </c>
      <c r="B608" s="716"/>
      <c r="C608" s="714" t="s">
        <v>610</v>
      </c>
      <c r="D608" s="687"/>
      <c r="E608" s="687"/>
      <c r="F608" s="687"/>
      <c r="G608" s="687"/>
      <c r="H608" s="687"/>
      <c r="I608" s="687"/>
      <c r="J608" s="689"/>
      <c r="K608" s="63">
        <v>2</v>
      </c>
    </row>
    <row r="609" spans="1:11" ht="11.25">
      <c r="A609" s="63" t="s">
        <v>326</v>
      </c>
      <c r="B609" s="704" t="s">
        <v>825</v>
      </c>
      <c r="C609" s="824" t="s">
        <v>605</v>
      </c>
      <c r="D609" s="825"/>
      <c r="E609" s="825"/>
      <c r="F609" s="825"/>
      <c r="G609" s="825"/>
      <c r="H609" s="825"/>
      <c r="I609" s="825"/>
      <c r="J609" s="826"/>
      <c r="K609" s="54">
        <v>2</v>
      </c>
    </row>
    <row r="610" spans="1:11" ht="11.25">
      <c r="A610" s="63" t="s">
        <v>327</v>
      </c>
      <c r="B610" s="717"/>
      <c r="C610" s="855" t="s">
        <v>606</v>
      </c>
      <c r="D610" s="855"/>
      <c r="E610" s="855"/>
      <c r="F610" s="855"/>
      <c r="G610" s="855"/>
      <c r="H610" s="855"/>
      <c r="I610" s="855"/>
      <c r="J610" s="857"/>
      <c r="K610" s="63">
        <v>2</v>
      </c>
    </row>
    <row r="611" spans="1:11" ht="11.25">
      <c r="A611" s="63" t="s">
        <v>328</v>
      </c>
      <c r="B611" s="717"/>
      <c r="C611" s="696" t="s">
        <v>607</v>
      </c>
      <c r="D611" s="696"/>
      <c r="E611" s="696"/>
      <c r="F611" s="696"/>
      <c r="G611" s="696"/>
      <c r="H611" s="696"/>
      <c r="I611" s="696"/>
      <c r="J611" s="698"/>
      <c r="K611" s="84">
        <v>2</v>
      </c>
    </row>
    <row r="612" spans="1:11" ht="11.25">
      <c r="A612" s="63" t="s">
        <v>329</v>
      </c>
      <c r="B612" s="717"/>
      <c r="C612" s="782" t="s">
        <v>608</v>
      </c>
      <c r="D612" s="779"/>
      <c r="E612" s="779"/>
      <c r="F612" s="779"/>
      <c r="G612" s="779"/>
      <c r="H612" s="779"/>
      <c r="I612" s="779"/>
      <c r="J612" s="780"/>
      <c r="K612" s="63">
        <v>2</v>
      </c>
    </row>
    <row r="613" spans="1:11" ht="11.25">
      <c r="A613" s="63" t="s">
        <v>330</v>
      </c>
      <c r="B613" s="717"/>
      <c r="C613" s="782" t="s">
        <v>609</v>
      </c>
      <c r="D613" s="779"/>
      <c r="E613" s="779"/>
      <c r="F613" s="779"/>
      <c r="G613" s="779"/>
      <c r="H613" s="779"/>
      <c r="I613" s="779"/>
      <c r="J613" s="780"/>
      <c r="K613" s="63">
        <v>2</v>
      </c>
    </row>
    <row r="614" spans="1:11" ht="12" thickBot="1">
      <c r="A614" s="63" t="s">
        <v>378</v>
      </c>
      <c r="B614" s="716"/>
      <c r="C614" s="714" t="s">
        <v>610</v>
      </c>
      <c r="D614" s="687"/>
      <c r="E614" s="687"/>
      <c r="F614" s="687"/>
      <c r="G614" s="687"/>
      <c r="H614" s="687"/>
      <c r="I614" s="687"/>
      <c r="J614" s="689"/>
      <c r="K614" s="63">
        <v>2</v>
      </c>
    </row>
    <row r="615" spans="1:11" ht="11.25">
      <c r="A615" s="63" t="s">
        <v>326</v>
      </c>
      <c r="B615" s="704" t="s">
        <v>826</v>
      </c>
      <c r="C615" s="824" t="s">
        <v>605</v>
      </c>
      <c r="D615" s="825"/>
      <c r="E615" s="825"/>
      <c r="F615" s="825"/>
      <c r="G615" s="825"/>
      <c r="H615" s="825"/>
      <c r="I615" s="825"/>
      <c r="J615" s="826"/>
      <c r="K615" s="54">
        <v>2</v>
      </c>
    </row>
    <row r="616" spans="1:11" ht="11.25">
      <c r="A616" s="63" t="s">
        <v>327</v>
      </c>
      <c r="B616" s="717"/>
      <c r="C616" s="855" t="s">
        <v>606</v>
      </c>
      <c r="D616" s="855"/>
      <c r="E616" s="855"/>
      <c r="F616" s="855"/>
      <c r="G616" s="855"/>
      <c r="H616" s="855"/>
      <c r="I616" s="855"/>
      <c r="J616" s="857"/>
      <c r="K616" s="63">
        <v>2</v>
      </c>
    </row>
    <row r="617" spans="1:11" ht="11.25">
      <c r="A617" s="63" t="s">
        <v>328</v>
      </c>
      <c r="B617" s="717"/>
      <c r="C617" s="696" t="s">
        <v>607</v>
      </c>
      <c r="D617" s="696"/>
      <c r="E617" s="696"/>
      <c r="F617" s="696"/>
      <c r="G617" s="696"/>
      <c r="H617" s="696"/>
      <c r="I617" s="696"/>
      <c r="J617" s="698"/>
      <c r="K617" s="84">
        <v>2</v>
      </c>
    </row>
    <row r="618" spans="1:11" ht="11.25">
      <c r="A618" s="63" t="s">
        <v>329</v>
      </c>
      <c r="B618" s="717"/>
      <c r="C618" s="782" t="s">
        <v>608</v>
      </c>
      <c r="D618" s="779"/>
      <c r="E618" s="779"/>
      <c r="F618" s="779"/>
      <c r="G618" s="779"/>
      <c r="H618" s="779"/>
      <c r="I618" s="779"/>
      <c r="J618" s="780"/>
      <c r="K618" s="63">
        <v>2</v>
      </c>
    </row>
    <row r="619" spans="1:11" ht="11.25">
      <c r="A619" s="63" t="s">
        <v>330</v>
      </c>
      <c r="B619" s="717"/>
      <c r="C619" s="782" t="s">
        <v>609</v>
      </c>
      <c r="D619" s="779"/>
      <c r="E619" s="779"/>
      <c r="F619" s="779"/>
      <c r="G619" s="779"/>
      <c r="H619" s="779"/>
      <c r="I619" s="779"/>
      <c r="J619" s="780"/>
      <c r="K619" s="63">
        <v>2</v>
      </c>
    </row>
    <row r="620" spans="1:11" ht="12" thickBot="1">
      <c r="A620" s="63" t="s">
        <v>378</v>
      </c>
      <c r="B620" s="716"/>
      <c r="C620" s="714" t="s">
        <v>610</v>
      </c>
      <c r="D620" s="687"/>
      <c r="E620" s="687"/>
      <c r="F620" s="687"/>
      <c r="G620" s="687"/>
      <c r="H620" s="687"/>
      <c r="I620" s="687"/>
      <c r="J620" s="689"/>
      <c r="K620" s="63">
        <v>2</v>
      </c>
    </row>
    <row r="621" spans="1:11" ht="11.25">
      <c r="A621" s="63" t="s">
        <v>326</v>
      </c>
      <c r="B621" s="704" t="s">
        <v>827</v>
      </c>
      <c r="C621" s="824" t="s">
        <v>605</v>
      </c>
      <c r="D621" s="825"/>
      <c r="E621" s="825"/>
      <c r="F621" s="825"/>
      <c r="G621" s="825"/>
      <c r="H621" s="825"/>
      <c r="I621" s="825"/>
      <c r="J621" s="826"/>
      <c r="K621" s="54">
        <v>2</v>
      </c>
    </row>
    <row r="622" spans="1:11" ht="11.25">
      <c r="A622" s="63" t="s">
        <v>327</v>
      </c>
      <c r="B622" s="717"/>
      <c r="C622" s="855" t="s">
        <v>606</v>
      </c>
      <c r="D622" s="855"/>
      <c r="E622" s="855"/>
      <c r="F622" s="855"/>
      <c r="G622" s="855"/>
      <c r="H622" s="855"/>
      <c r="I622" s="855"/>
      <c r="J622" s="857"/>
      <c r="K622" s="63">
        <v>2</v>
      </c>
    </row>
    <row r="623" spans="1:11" ht="11.25">
      <c r="A623" s="63" t="s">
        <v>328</v>
      </c>
      <c r="B623" s="717"/>
      <c r="C623" s="696" t="s">
        <v>607</v>
      </c>
      <c r="D623" s="696"/>
      <c r="E623" s="696"/>
      <c r="F623" s="696"/>
      <c r="G623" s="696"/>
      <c r="H623" s="696"/>
      <c r="I623" s="696"/>
      <c r="J623" s="698"/>
      <c r="K623" s="84">
        <v>2</v>
      </c>
    </row>
    <row r="624" spans="1:11" ht="11.25">
      <c r="A624" s="63" t="s">
        <v>329</v>
      </c>
      <c r="B624" s="717"/>
      <c r="C624" s="782" t="s">
        <v>608</v>
      </c>
      <c r="D624" s="779"/>
      <c r="E624" s="779"/>
      <c r="F624" s="779"/>
      <c r="G624" s="779"/>
      <c r="H624" s="779"/>
      <c r="I624" s="779"/>
      <c r="J624" s="780"/>
      <c r="K624" s="63">
        <v>2</v>
      </c>
    </row>
    <row r="625" spans="1:11" ht="11.25">
      <c r="A625" s="63" t="s">
        <v>330</v>
      </c>
      <c r="B625" s="717"/>
      <c r="C625" s="782" t="s">
        <v>609</v>
      </c>
      <c r="D625" s="779"/>
      <c r="E625" s="779"/>
      <c r="F625" s="779"/>
      <c r="G625" s="779"/>
      <c r="H625" s="779"/>
      <c r="I625" s="779"/>
      <c r="J625" s="780"/>
      <c r="K625" s="63">
        <v>2</v>
      </c>
    </row>
    <row r="626" spans="1:11" ht="12" thickBot="1">
      <c r="A626" s="63" t="s">
        <v>378</v>
      </c>
      <c r="B626" s="716"/>
      <c r="C626" s="714" t="s">
        <v>610</v>
      </c>
      <c r="D626" s="687"/>
      <c r="E626" s="687"/>
      <c r="F626" s="687"/>
      <c r="G626" s="687"/>
      <c r="H626" s="687"/>
      <c r="I626" s="687"/>
      <c r="J626" s="689"/>
      <c r="K626" s="63">
        <v>2</v>
      </c>
    </row>
    <row r="627" spans="1:11" ht="11.25">
      <c r="A627" s="63" t="s">
        <v>326</v>
      </c>
      <c r="B627" s="704" t="s">
        <v>828</v>
      </c>
      <c r="C627" s="824" t="s">
        <v>605</v>
      </c>
      <c r="D627" s="825"/>
      <c r="E627" s="825"/>
      <c r="F627" s="825"/>
      <c r="G627" s="825"/>
      <c r="H627" s="825"/>
      <c r="I627" s="825"/>
      <c r="J627" s="826"/>
      <c r="K627" s="54">
        <v>2</v>
      </c>
    </row>
    <row r="628" spans="1:11" ht="11.25">
      <c r="A628" s="63" t="s">
        <v>327</v>
      </c>
      <c r="B628" s="717"/>
      <c r="C628" s="855" t="s">
        <v>606</v>
      </c>
      <c r="D628" s="855"/>
      <c r="E628" s="855"/>
      <c r="F628" s="855"/>
      <c r="G628" s="855"/>
      <c r="H628" s="855"/>
      <c r="I628" s="855"/>
      <c r="J628" s="857"/>
      <c r="K628" s="63">
        <v>2</v>
      </c>
    </row>
    <row r="629" spans="1:11" ht="11.25">
      <c r="A629" s="63" t="s">
        <v>328</v>
      </c>
      <c r="B629" s="717"/>
      <c r="C629" s="696" t="s">
        <v>607</v>
      </c>
      <c r="D629" s="696"/>
      <c r="E629" s="696"/>
      <c r="F629" s="696"/>
      <c r="G629" s="696"/>
      <c r="H629" s="696"/>
      <c r="I629" s="696"/>
      <c r="J629" s="698"/>
      <c r="K629" s="84">
        <v>2</v>
      </c>
    </row>
    <row r="630" spans="1:11" ht="11.25">
      <c r="A630" s="63" t="s">
        <v>329</v>
      </c>
      <c r="B630" s="717"/>
      <c r="C630" s="782" t="s">
        <v>608</v>
      </c>
      <c r="D630" s="779"/>
      <c r="E630" s="779"/>
      <c r="F630" s="779"/>
      <c r="G630" s="779"/>
      <c r="H630" s="779"/>
      <c r="I630" s="779"/>
      <c r="J630" s="780"/>
      <c r="K630" s="63">
        <v>2</v>
      </c>
    </row>
    <row r="631" spans="1:11" ht="11.25">
      <c r="A631" s="63" t="s">
        <v>330</v>
      </c>
      <c r="B631" s="717"/>
      <c r="C631" s="782" t="s">
        <v>609</v>
      </c>
      <c r="D631" s="779"/>
      <c r="E631" s="779"/>
      <c r="F631" s="779"/>
      <c r="G631" s="779"/>
      <c r="H631" s="779"/>
      <c r="I631" s="779"/>
      <c r="J631" s="780"/>
      <c r="K631" s="63">
        <v>2</v>
      </c>
    </row>
    <row r="632" spans="1:11" ht="12" thickBot="1">
      <c r="A632" s="63" t="s">
        <v>378</v>
      </c>
      <c r="B632" s="716"/>
      <c r="C632" s="788" t="s">
        <v>610</v>
      </c>
      <c r="D632" s="772"/>
      <c r="E632" s="772"/>
      <c r="F632" s="772"/>
      <c r="G632" s="772"/>
      <c r="H632" s="772"/>
      <c r="I632" s="772"/>
      <c r="J632" s="773"/>
      <c r="K632" s="63">
        <v>2</v>
      </c>
    </row>
    <row r="633" spans="1:11" ht="11.25">
      <c r="A633" s="63" t="s">
        <v>326</v>
      </c>
      <c r="B633" s="704" t="s">
        <v>829</v>
      </c>
      <c r="C633" s="824" t="s">
        <v>605</v>
      </c>
      <c r="D633" s="825"/>
      <c r="E633" s="825"/>
      <c r="F633" s="825"/>
      <c r="G633" s="825"/>
      <c r="H633" s="825"/>
      <c r="I633" s="825"/>
      <c r="J633" s="826"/>
      <c r="K633" s="54">
        <v>2</v>
      </c>
    </row>
    <row r="634" spans="1:11" ht="11.25">
      <c r="A634" s="63" t="s">
        <v>327</v>
      </c>
      <c r="B634" s="717"/>
      <c r="C634" s="855" t="s">
        <v>606</v>
      </c>
      <c r="D634" s="855"/>
      <c r="E634" s="855"/>
      <c r="F634" s="855"/>
      <c r="G634" s="855"/>
      <c r="H634" s="855"/>
      <c r="I634" s="855"/>
      <c r="J634" s="857"/>
      <c r="K634" s="63">
        <v>2</v>
      </c>
    </row>
    <row r="635" spans="1:11" ht="11.25">
      <c r="A635" s="63" t="s">
        <v>328</v>
      </c>
      <c r="B635" s="717"/>
      <c r="C635" s="696" t="s">
        <v>607</v>
      </c>
      <c r="D635" s="696"/>
      <c r="E635" s="696"/>
      <c r="F635" s="696"/>
      <c r="G635" s="696"/>
      <c r="H635" s="696"/>
      <c r="I635" s="696"/>
      <c r="J635" s="698"/>
      <c r="K635" s="84">
        <v>2</v>
      </c>
    </row>
    <row r="636" spans="1:11" ht="11.25">
      <c r="A636" s="63" t="s">
        <v>329</v>
      </c>
      <c r="B636" s="717"/>
      <c r="C636" s="782" t="s">
        <v>608</v>
      </c>
      <c r="D636" s="779"/>
      <c r="E636" s="779"/>
      <c r="F636" s="779"/>
      <c r="G636" s="779"/>
      <c r="H636" s="779"/>
      <c r="I636" s="779"/>
      <c r="J636" s="780"/>
      <c r="K636" s="63">
        <v>2</v>
      </c>
    </row>
    <row r="637" spans="1:11" ht="11.25">
      <c r="A637" s="63" t="s">
        <v>330</v>
      </c>
      <c r="B637" s="717"/>
      <c r="C637" s="782" t="s">
        <v>609</v>
      </c>
      <c r="D637" s="779"/>
      <c r="E637" s="779"/>
      <c r="F637" s="779"/>
      <c r="G637" s="779"/>
      <c r="H637" s="779"/>
      <c r="I637" s="779"/>
      <c r="J637" s="780"/>
      <c r="K637" s="63">
        <v>2</v>
      </c>
    </row>
    <row r="638" spans="1:11" ht="12" thickBot="1">
      <c r="A638" s="63" t="s">
        <v>378</v>
      </c>
      <c r="B638" s="716"/>
      <c r="C638" s="714" t="s">
        <v>610</v>
      </c>
      <c r="D638" s="687"/>
      <c r="E638" s="687"/>
      <c r="F638" s="687"/>
      <c r="G638" s="687"/>
      <c r="H638" s="687"/>
      <c r="I638" s="687"/>
      <c r="J638" s="689"/>
      <c r="K638" s="63">
        <v>2</v>
      </c>
    </row>
    <row r="639" spans="1:11" ht="11.25">
      <c r="A639" s="63" t="s">
        <v>326</v>
      </c>
      <c r="B639" s="704" t="s">
        <v>830</v>
      </c>
      <c r="C639" s="824" t="s">
        <v>605</v>
      </c>
      <c r="D639" s="825"/>
      <c r="E639" s="825"/>
      <c r="F639" s="825"/>
      <c r="G639" s="825"/>
      <c r="H639" s="825"/>
      <c r="I639" s="825"/>
      <c r="J639" s="826"/>
      <c r="K639" s="54">
        <v>2</v>
      </c>
    </row>
    <row r="640" spans="1:11" ht="11.25">
      <c r="A640" s="63" t="s">
        <v>327</v>
      </c>
      <c r="B640" s="717"/>
      <c r="C640" s="855" t="s">
        <v>606</v>
      </c>
      <c r="D640" s="855"/>
      <c r="E640" s="855"/>
      <c r="F640" s="855"/>
      <c r="G640" s="855"/>
      <c r="H640" s="855"/>
      <c r="I640" s="855"/>
      <c r="J640" s="857"/>
      <c r="K640" s="63">
        <v>2</v>
      </c>
    </row>
    <row r="641" spans="1:11" ht="11.25">
      <c r="A641" s="63" t="s">
        <v>328</v>
      </c>
      <c r="B641" s="717"/>
      <c r="C641" s="696" t="s">
        <v>607</v>
      </c>
      <c r="D641" s="696"/>
      <c r="E641" s="696"/>
      <c r="F641" s="696"/>
      <c r="G641" s="696"/>
      <c r="H641" s="696"/>
      <c r="I641" s="696"/>
      <c r="J641" s="698"/>
      <c r="K641" s="84">
        <v>2</v>
      </c>
    </row>
    <row r="642" spans="1:11" ht="11.25">
      <c r="A642" s="63" t="s">
        <v>329</v>
      </c>
      <c r="B642" s="717"/>
      <c r="C642" s="782" t="s">
        <v>608</v>
      </c>
      <c r="D642" s="779"/>
      <c r="E642" s="779"/>
      <c r="F642" s="779"/>
      <c r="G642" s="779"/>
      <c r="H642" s="779"/>
      <c r="I642" s="779"/>
      <c r="J642" s="780"/>
      <c r="K642" s="63">
        <v>2</v>
      </c>
    </row>
    <row r="643" spans="1:11" ht="11.25">
      <c r="A643" s="63" t="s">
        <v>330</v>
      </c>
      <c r="B643" s="717"/>
      <c r="C643" s="782" t="s">
        <v>609</v>
      </c>
      <c r="D643" s="779"/>
      <c r="E643" s="779"/>
      <c r="F643" s="779"/>
      <c r="G643" s="779"/>
      <c r="H643" s="779"/>
      <c r="I643" s="779"/>
      <c r="J643" s="780"/>
      <c r="K643" s="63">
        <v>2</v>
      </c>
    </row>
    <row r="644" spans="1:11" ht="12" thickBot="1">
      <c r="A644" s="63" t="s">
        <v>378</v>
      </c>
      <c r="B644" s="716"/>
      <c r="C644" s="714" t="s">
        <v>610</v>
      </c>
      <c r="D644" s="687"/>
      <c r="E644" s="687"/>
      <c r="F644" s="687"/>
      <c r="G644" s="687"/>
      <c r="H644" s="687"/>
      <c r="I644" s="687"/>
      <c r="J644" s="689"/>
      <c r="K644" s="63">
        <v>2</v>
      </c>
    </row>
    <row r="645" spans="1:11" ht="11.25">
      <c r="A645" s="63" t="s">
        <v>326</v>
      </c>
      <c r="B645" s="704" t="s">
        <v>831</v>
      </c>
      <c r="C645" s="824" t="s">
        <v>605</v>
      </c>
      <c r="D645" s="825"/>
      <c r="E645" s="825"/>
      <c r="F645" s="825"/>
      <c r="G645" s="825"/>
      <c r="H645" s="825"/>
      <c r="I645" s="825"/>
      <c r="J645" s="826"/>
      <c r="K645" s="54">
        <v>2</v>
      </c>
    </row>
    <row r="646" spans="1:11" ht="11.25">
      <c r="A646" s="63" t="s">
        <v>327</v>
      </c>
      <c r="B646" s="717"/>
      <c r="C646" s="855" t="s">
        <v>606</v>
      </c>
      <c r="D646" s="855"/>
      <c r="E646" s="855"/>
      <c r="F646" s="855"/>
      <c r="G646" s="855"/>
      <c r="H646" s="855"/>
      <c r="I646" s="855"/>
      <c r="J646" s="857"/>
      <c r="K646" s="63">
        <v>2</v>
      </c>
    </row>
    <row r="647" spans="1:11" ht="11.25">
      <c r="A647" s="63" t="s">
        <v>328</v>
      </c>
      <c r="B647" s="717"/>
      <c r="C647" s="696" t="s">
        <v>607</v>
      </c>
      <c r="D647" s="696"/>
      <c r="E647" s="696"/>
      <c r="F647" s="696"/>
      <c r="G647" s="696"/>
      <c r="H647" s="696"/>
      <c r="I647" s="696"/>
      <c r="J647" s="698"/>
      <c r="K647" s="84">
        <v>2</v>
      </c>
    </row>
    <row r="648" spans="1:11" ht="11.25">
      <c r="A648" s="63" t="s">
        <v>329</v>
      </c>
      <c r="B648" s="717"/>
      <c r="C648" s="782" t="s">
        <v>608</v>
      </c>
      <c r="D648" s="779"/>
      <c r="E648" s="779"/>
      <c r="F648" s="779"/>
      <c r="G648" s="779"/>
      <c r="H648" s="779"/>
      <c r="I648" s="779"/>
      <c r="J648" s="780"/>
      <c r="K648" s="63">
        <v>2</v>
      </c>
    </row>
    <row r="649" spans="1:11" ht="11.25">
      <c r="A649" s="63" t="s">
        <v>330</v>
      </c>
      <c r="B649" s="717"/>
      <c r="C649" s="782" t="s">
        <v>609</v>
      </c>
      <c r="D649" s="779"/>
      <c r="E649" s="779"/>
      <c r="F649" s="779"/>
      <c r="G649" s="779"/>
      <c r="H649" s="779"/>
      <c r="I649" s="779"/>
      <c r="J649" s="780"/>
      <c r="K649" s="63">
        <v>2</v>
      </c>
    </row>
    <row r="650" spans="1:11" ht="12" thickBot="1">
      <c r="A650" s="63" t="s">
        <v>378</v>
      </c>
      <c r="B650" s="716"/>
      <c r="C650" s="714" t="s">
        <v>610</v>
      </c>
      <c r="D650" s="687"/>
      <c r="E650" s="687"/>
      <c r="F650" s="687"/>
      <c r="G650" s="687"/>
      <c r="H650" s="687"/>
      <c r="I650" s="687"/>
      <c r="J650" s="689"/>
      <c r="K650" s="63">
        <v>2</v>
      </c>
    </row>
    <row r="651" spans="1:11" ht="11.25">
      <c r="A651" s="63" t="s">
        <v>326</v>
      </c>
      <c r="B651" s="704" t="s">
        <v>832</v>
      </c>
      <c r="C651" s="824" t="s">
        <v>605</v>
      </c>
      <c r="D651" s="825"/>
      <c r="E651" s="825"/>
      <c r="F651" s="825"/>
      <c r="G651" s="825"/>
      <c r="H651" s="825"/>
      <c r="I651" s="825"/>
      <c r="J651" s="826"/>
      <c r="K651" s="54">
        <v>2</v>
      </c>
    </row>
    <row r="652" spans="1:11" ht="11.25">
      <c r="A652" s="63" t="s">
        <v>327</v>
      </c>
      <c r="B652" s="717"/>
      <c r="C652" s="855" t="s">
        <v>606</v>
      </c>
      <c r="D652" s="855"/>
      <c r="E652" s="855"/>
      <c r="F652" s="855"/>
      <c r="G652" s="855"/>
      <c r="H652" s="855"/>
      <c r="I652" s="855"/>
      <c r="J652" s="857"/>
      <c r="K652" s="63">
        <v>2</v>
      </c>
    </row>
    <row r="653" spans="1:11" ht="11.25">
      <c r="A653" s="63" t="s">
        <v>328</v>
      </c>
      <c r="B653" s="717"/>
      <c r="C653" s="696" t="s">
        <v>607</v>
      </c>
      <c r="D653" s="696"/>
      <c r="E653" s="696"/>
      <c r="F653" s="696"/>
      <c r="G653" s="696"/>
      <c r="H653" s="696"/>
      <c r="I653" s="696"/>
      <c r="J653" s="698"/>
      <c r="K653" s="84">
        <v>2</v>
      </c>
    </row>
    <row r="654" spans="1:11" ht="11.25">
      <c r="A654" s="63" t="s">
        <v>329</v>
      </c>
      <c r="B654" s="717"/>
      <c r="C654" s="782" t="s">
        <v>608</v>
      </c>
      <c r="D654" s="779"/>
      <c r="E654" s="779"/>
      <c r="F654" s="779"/>
      <c r="G654" s="779"/>
      <c r="H654" s="779"/>
      <c r="I654" s="779"/>
      <c r="J654" s="780"/>
      <c r="K654" s="63">
        <v>2</v>
      </c>
    </row>
    <row r="655" spans="1:11" ht="11.25">
      <c r="A655" s="63" t="s">
        <v>330</v>
      </c>
      <c r="B655" s="717"/>
      <c r="C655" s="782" t="s">
        <v>609</v>
      </c>
      <c r="D655" s="779"/>
      <c r="E655" s="779"/>
      <c r="F655" s="779"/>
      <c r="G655" s="779"/>
      <c r="H655" s="779"/>
      <c r="I655" s="779"/>
      <c r="J655" s="780"/>
      <c r="K655" s="63">
        <v>2</v>
      </c>
    </row>
    <row r="656" spans="1:11" ht="12" thickBot="1">
      <c r="A656" s="63" t="s">
        <v>378</v>
      </c>
      <c r="B656" s="716"/>
      <c r="C656" s="714" t="s">
        <v>610</v>
      </c>
      <c r="D656" s="687"/>
      <c r="E656" s="687"/>
      <c r="F656" s="687"/>
      <c r="G656" s="687"/>
      <c r="H656" s="687"/>
      <c r="I656" s="687"/>
      <c r="J656" s="689"/>
      <c r="K656" s="63">
        <v>2</v>
      </c>
    </row>
    <row r="657" spans="1:11" ht="11.25">
      <c r="A657" s="63" t="s">
        <v>326</v>
      </c>
      <c r="B657" s="704" t="s">
        <v>833</v>
      </c>
      <c r="C657" s="824" t="s">
        <v>605</v>
      </c>
      <c r="D657" s="825"/>
      <c r="E657" s="825"/>
      <c r="F657" s="825"/>
      <c r="G657" s="825"/>
      <c r="H657" s="825"/>
      <c r="I657" s="825"/>
      <c r="J657" s="826"/>
      <c r="K657" s="54">
        <v>2</v>
      </c>
    </row>
    <row r="658" spans="1:11" ht="11.25">
      <c r="A658" s="63" t="s">
        <v>327</v>
      </c>
      <c r="B658" s="717"/>
      <c r="C658" s="855" t="s">
        <v>606</v>
      </c>
      <c r="D658" s="855"/>
      <c r="E658" s="855"/>
      <c r="F658" s="855"/>
      <c r="G658" s="855"/>
      <c r="H658" s="855"/>
      <c r="I658" s="855"/>
      <c r="J658" s="857"/>
      <c r="K658" s="63">
        <v>2</v>
      </c>
    </row>
    <row r="659" spans="1:11" ht="11.25">
      <c r="A659" s="63" t="s">
        <v>328</v>
      </c>
      <c r="B659" s="717"/>
      <c r="C659" s="696" t="s">
        <v>607</v>
      </c>
      <c r="D659" s="696"/>
      <c r="E659" s="696"/>
      <c r="F659" s="696"/>
      <c r="G659" s="696"/>
      <c r="H659" s="696"/>
      <c r="I659" s="696"/>
      <c r="J659" s="698"/>
      <c r="K659" s="84">
        <v>2</v>
      </c>
    </row>
    <row r="660" spans="1:11" ht="11.25">
      <c r="A660" s="63" t="s">
        <v>329</v>
      </c>
      <c r="B660" s="717"/>
      <c r="C660" s="782" t="s">
        <v>608</v>
      </c>
      <c r="D660" s="779"/>
      <c r="E660" s="779"/>
      <c r="F660" s="779"/>
      <c r="G660" s="779"/>
      <c r="H660" s="779"/>
      <c r="I660" s="779"/>
      <c r="J660" s="780"/>
      <c r="K660" s="63">
        <v>2</v>
      </c>
    </row>
    <row r="661" spans="1:11" ht="11.25">
      <c r="A661" s="63" t="s">
        <v>330</v>
      </c>
      <c r="B661" s="717"/>
      <c r="C661" s="782" t="s">
        <v>609</v>
      </c>
      <c r="D661" s="779"/>
      <c r="E661" s="779"/>
      <c r="F661" s="779"/>
      <c r="G661" s="779"/>
      <c r="H661" s="779"/>
      <c r="I661" s="779"/>
      <c r="J661" s="780"/>
      <c r="K661" s="63">
        <v>2</v>
      </c>
    </row>
    <row r="662" spans="1:11" ht="12" thickBot="1">
      <c r="A662" s="63" t="s">
        <v>378</v>
      </c>
      <c r="B662" s="716"/>
      <c r="C662" s="714" t="s">
        <v>610</v>
      </c>
      <c r="D662" s="687"/>
      <c r="E662" s="687"/>
      <c r="F662" s="687"/>
      <c r="G662" s="687"/>
      <c r="H662" s="687"/>
      <c r="I662" s="687"/>
      <c r="J662" s="689"/>
      <c r="K662" s="63">
        <v>2</v>
      </c>
    </row>
    <row r="663" spans="1:11" ht="11.25">
      <c r="A663" s="63" t="s">
        <v>326</v>
      </c>
      <c r="B663" s="704" t="s">
        <v>834</v>
      </c>
      <c r="C663" s="824" t="s">
        <v>605</v>
      </c>
      <c r="D663" s="825"/>
      <c r="E663" s="825"/>
      <c r="F663" s="825"/>
      <c r="G663" s="825"/>
      <c r="H663" s="825"/>
      <c r="I663" s="825"/>
      <c r="J663" s="826"/>
      <c r="K663" s="54">
        <v>2</v>
      </c>
    </row>
    <row r="664" spans="1:11" ht="11.25">
      <c r="A664" s="63" t="s">
        <v>327</v>
      </c>
      <c r="B664" s="717"/>
      <c r="C664" s="855" t="s">
        <v>606</v>
      </c>
      <c r="D664" s="855"/>
      <c r="E664" s="855"/>
      <c r="F664" s="855"/>
      <c r="G664" s="855"/>
      <c r="H664" s="855"/>
      <c r="I664" s="855"/>
      <c r="J664" s="857"/>
      <c r="K664" s="63">
        <v>2</v>
      </c>
    </row>
    <row r="665" spans="1:11" ht="11.25">
      <c r="A665" s="63" t="s">
        <v>328</v>
      </c>
      <c r="B665" s="717"/>
      <c r="C665" s="696" t="s">
        <v>607</v>
      </c>
      <c r="D665" s="696"/>
      <c r="E665" s="696"/>
      <c r="F665" s="696"/>
      <c r="G665" s="696"/>
      <c r="H665" s="696"/>
      <c r="I665" s="696"/>
      <c r="J665" s="698"/>
      <c r="K665" s="84">
        <v>2</v>
      </c>
    </row>
    <row r="666" spans="1:11" ht="11.25">
      <c r="A666" s="63" t="s">
        <v>329</v>
      </c>
      <c r="B666" s="717"/>
      <c r="C666" s="782" t="s">
        <v>608</v>
      </c>
      <c r="D666" s="779"/>
      <c r="E666" s="779"/>
      <c r="F666" s="779"/>
      <c r="G666" s="779"/>
      <c r="H666" s="779"/>
      <c r="I666" s="779"/>
      <c r="J666" s="780"/>
      <c r="K666" s="63">
        <v>2</v>
      </c>
    </row>
    <row r="667" spans="1:11" ht="11.25">
      <c r="A667" s="63" t="s">
        <v>330</v>
      </c>
      <c r="B667" s="717"/>
      <c r="C667" s="782" t="s">
        <v>609</v>
      </c>
      <c r="D667" s="779"/>
      <c r="E667" s="779"/>
      <c r="F667" s="779"/>
      <c r="G667" s="779"/>
      <c r="H667" s="779"/>
      <c r="I667" s="779"/>
      <c r="J667" s="780"/>
      <c r="K667" s="63">
        <v>2</v>
      </c>
    </row>
    <row r="668" spans="1:11" ht="12" thickBot="1">
      <c r="A668" s="63" t="s">
        <v>378</v>
      </c>
      <c r="B668" s="716"/>
      <c r="C668" s="714" t="s">
        <v>610</v>
      </c>
      <c r="D668" s="687"/>
      <c r="E668" s="687"/>
      <c r="F668" s="687"/>
      <c r="G668" s="687"/>
      <c r="H668" s="687"/>
      <c r="I668" s="687"/>
      <c r="J668" s="689"/>
      <c r="K668" s="63">
        <v>2</v>
      </c>
    </row>
    <row r="669" spans="1:11" ht="11.25">
      <c r="A669" s="63" t="s">
        <v>326</v>
      </c>
      <c r="B669" s="704" t="s">
        <v>835</v>
      </c>
      <c r="C669" s="824" t="s">
        <v>605</v>
      </c>
      <c r="D669" s="825"/>
      <c r="E669" s="825"/>
      <c r="F669" s="825"/>
      <c r="G669" s="825"/>
      <c r="H669" s="825"/>
      <c r="I669" s="825"/>
      <c r="J669" s="826"/>
      <c r="K669" s="54">
        <v>2</v>
      </c>
    </row>
    <row r="670" spans="1:11" ht="11.25">
      <c r="A670" s="63" t="s">
        <v>327</v>
      </c>
      <c r="B670" s="717"/>
      <c r="C670" s="855" t="s">
        <v>606</v>
      </c>
      <c r="D670" s="855"/>
      <c r="E670" s="855"/>
      <c r="F670" s="855"/>
      <c r="G670" s="855"/>
      <c r="H670" s="855"/>
      <c r="I670" s="855"/>
      <c r="J670" s="857"/>
      <c r="K670" s="63">
        <v>2</v>
      </c>
    </row>
    <row r="671" spans="1:11" ht="11.25">
      <c r="A671" s="63" t="s">
        <v>328</v>
      </c>
      <c r="B671" s="717"/>
      <c r="C671" s="696" t="s">
        <v>607</v>
      </c>
      <c r="D671" s="696"/>
      <c r="E671" s="696"/>
      <c r="F671" s="696"/>
      <c r="G671" s="696"/>
      <c r="H671" s="696"/>
      <c r="I671" s="696"/>
      <c r="J671" s="698"/>
      <c r="K671" s="84">
        <v>2</v>
      </c>
    </row>
    <row r="672" spans="1:11" ht="11.25">
      <c r="A672" s="63" t="s">
        <v>329</v>
      </c>
      <c r="B672" s="717"/>
      <c r="C672" s="782" t="s">
        <v>608</v>
      </c>
      <c r="D672" s="779"/>
      <c r="E672" s="779"/>
      <c r="F672" s="779"/>
      <c r="G672" s="779"/>
      <c r="H672" s="779"/>
      <c r="I672" s="779"/>
      <c r="J672" s="780"/>
      <c r="K672" s="63">
        <v>2</v>
      </c>
    </row>
    <row r="673" spans="1:12" ht="11.25">
      <c r="A673" s="63" t="s">
        <v>330</v>
      </c>
      <c r="B673" s="717"/>
      <c r="C673" s="782" t="s">
        <v>609</v>
      </c>
      <c r="D673" s="779"/>
      <c r="E673" s="779"/>
      <c r="F673" s="779"/>
      <c r="G673" s="779"/>
      <c r="H673" s="779"/>
      <c r="I673" s="779"/>
      <c r="J673" s="780"/>
      <c r="K673" s="63">
        <v>2</v>
      </c>
    </row>
    <row r="674" spans="1:12" ht="12" thickBot="1">
      <c r="A674" s="63" t="s">
        <v>378</v>
      </c>
      <c r="B674" s="716"/>
      <c r="C674" s="714" t="s">
        <v>610</v>
      </c>
      <c r="D674" s="687"/>
      <c r="E674" s="687"/>
      <c r="F674" s="687"/>
      <c r="G674" s="687"/>
      <c r="H674" s="687"/>
      <c r="I674" s="687"/>
      <c r="J674" s="689"/>
      <c r="K674" s="63">
        <v>2</v>
      </c>
    </row>
    <row r="675" spans="1:12" ht="11.25">
      <c r="A675" s="63" t="s">
        <v>326</v>
      </c>
      <c r="B675" s="704" t="s">
        <v>836</v>
      </c>
      <c r="C675" s="824" t="s">
        <v>605</v>
      </c>
      <c r="D675" s="825"/>
      <c r="E675" s="825"/>
      <c r="F675" s="825"/>
      <c r="G675" s="825"/>
      <c r="H675" s="825"/>
      <c r="I675" s="825"/>
      <c r="J675" s="826"/>
      <c r="K675" s="54">
        <v>2</v>
      </c>
    </row>
    <row r="676" spans="1:12" ht="11.25">
      <c r="A676" s="63" t="s">
        <v>327</v>
      </c>
      <c r="B676" s="717"/>
      <c r="C676" s="855" t="s">
        <v>606</v>
      </c>
      <c r="D676" s="855"/>
      <c r="E676" s="855"/>
      <c r="F676" s="855"/>
      <c r="G676" s="855"/>
      <c r="H676" s="855"/>
      <c r="I676" s="855"/>
      <c r="J676" s="857"/>
      <c r="K676" s="63">
        <v>2</v>
      </c>
    </row>
    <row r="677" spans="1:12" ht="11.25">
      <c r="A677" s="63" t="s">
        <v>328</v>
      </c>
      <c r="B677" s="717"/>
      <c r="C677" s="696" t="s">
        <v>607</v>
      </c>
      <c r="D677" s="696"/>
      <c r="E677" s="696"/>
      <c r="F677" s="696"/>
      <c r="G677" s="696"/>
      <c r="H677" s="696"/>
      <c r="I677" s="696"/>
      <c r="J677" s="698"/>
      <c r="K677" s="84">
        <v>2</v>
      </c>
    </row>
    <row r="678" spans="1:12" ht="11.25">
      <c r="A678" s="63" t="s">
        <v>329</v>
      </c>
      <c r="B678" s="717"/>
      <c r="C678" s="782" t="s">
        <v>608</v>
      </c>
      <c r="D678" s="779"/>
      <c r="E678" s="779"/>
      <c r="F678" s="779"/>
      <c r="G678" s="779"/>
      <c r="H678" s="779"/>
      <c r="I678" s="779"/>
      <c r="J678" s="780"/>
      <c r="K678" s="63">
        <v>2</v>
      </c>
    </row>
    <row r="679" spans="1:12" ht="11.25">
      <c r="A679" s="63" t="s">
        <v>330</v>
      </c>
      <c r="B679" s="717"/>
      <c r="C679" s="782" t="s">
        <v>609</v>
      </c>
      <c r="D679" s="779"/>
      <c r="E679" s="779"/>
      <c r="F679" s="779"/>
      <c r="G679" s="779"/>
      <c r="H679" s="779"/>
      <c r="I679" s="779"/>
      <c r="J679" s="780"/>
      <c r="K679" s="63">
        <v>2</v>
      </c>
    </row>
    <row r="680" spans="1:12" ht="12" thickBot="1">
      <c r="A680" s="63" t="s">
        <v>378</v>
      </c>
      <c r="B680" s="716"/>
      <c r="C680" s="714" t="s">
        <v>610</v>
      </c>
      <c r="D680" s="687"/>
      <c r="E680" s="687"/>
      <c r="F680" s="687"/>
      <c r="G680" s="687"/>
      <c r="H680" s="687"/>
      <c r="I680" s="687"/>
      <c r="J680" s="689"/>
      <c r="K680" s="63">
        <v>2</v>
      </c>
    </row>
    <row r="681" spans="1:12" ht="11.25">
      <c r="A681" s="63" t="s">
        <v>326</v>
      </c>
      <c r="B681" s="704" t="s">
        <v>837</v>
      </c>
      <c r="C681" s="824" t="s">
        <v>605</v>
      </c>
      <c r="D681" s="825"/>
      <c r="E681" s="825"/>
      <c r="F681" s="825"/>
      <c r="G681" s="825"/>
      <c r="H681" s="825"/>
      <c r="I681" s="825"/>
      <c r="J681" s="826"/>
      <c r="K681" s="54">
        <v>2</v>
      </c>
    </row>
    <row r="682" spans="1:12" ht="11.25">
      <c r="A682" s="63" t="s">
        <v>327</v>
      </c>
      <c r="B682" s="717"/>
      <c r="C682" s="855" t="s">
        <v>606</v>
      </c>
      <c r="D682" s="855"/>
      <c r="E682" s="855"/>
      <c r="F682" s="855"/>
      <c r="G682" s="855"/>
      <c r="H682" s="855"/>
      <c r="I682" s="855"/>
      <c r="J682" s="857"/>
      <c r="K682" s="63">
        <v>2</v>
      </c>
    </row>
    <row r="683" spans="1:12" ht="11.25">
      <c r="A683" s="63" t="s">
        <v>328</v>
      </c>
      <c r="B683" s="717"/>
      <c r="C683" s="696" t="s">
        <v>607</v>
      </c>
      <c r="D683" s="696"/>
      <c r="E683" s="696"/>
      <c r="F683" s="696"/>
      <c r="G683" s="696"/>
      <c r="H683" s="696"/>
      <c r="I683" s="696"/>
      <c r="J683" s="698"/>
      <c r="K683" s="84">
        <v>2</v>
      </c>
    </row>
    <row r="684" spans="1:12" ht="11.25">
      <c r="A684" s="63" t="s">
        <v>329</v>
      </c>
      <c r="B684" s="717"/>
      <c r="C684" s="782" t="s">
        <v>608</v>
      </c>
      <c r="D684" s="779"/>
      <c r="E684" s="779"/>
      <c r="F684" s="779"/>
      <c r="G684" s="779"/>
      <c r="H684" s="779"/>
      <c r="I684" s="779"/>
      <c r="J684" s="780"/>
      <c r="K684" s="63">
        <v>2</v>
      </c>
    </row>
    <row r="685" spans="1:12" ht="11.25">
      <c r="A685" s="63" t="s">
        <v>330</v>
      </c>
      <c r="B685" s="717"/>
      <c r="C685" s="782" t="s">
        <v>609</v>
      </c>
      <c r="D685" s="779"/>
      <c r="E685" s="779"/>
      <c r="F685" s="779"/>
      <c r="G685" s="779"/>
      <c r="H685" s="779"/>
      <c r="I685" s="779"/>
      <c r="J685" s="780"/>
      <c r="K685" s="63">
        <v>2</v>
      </c>
    </row>
    <row r="686" spans="1:12" ht="12" thickBot="1">
      <c r="A686" s="63" t="s">
        <v>378</v>
      </c>
      <c r="B686" s="716"/>
      <c r="C686" s="714" t="s">
        <v>610</v>
      </c>
      <c r="D686" s="687"/>
      <c r="E686" s="687"/>
      <c r="F686" s="687"/>
      <c r="G686" s="687"/>
      <c r="H686" s="687"/>
      <c r="I686" s="687"/>
      <c r="J686" s="689"/>
      <c r="K686" s="63">
        <v>2</v>
      </c>
    </row>
    <row r="687" spans="1:12" s="61" customFormat="1" ht="15" customHeight="1">
      <c r="A687" s="54" t="s">
        <v>378</v>
      </c>
      <c r="B687" s="704" t="s">
        <v>452</v>
      </c>
      <c r="C687" s="890" t="s">
        <v>205</v>
      </c>
      <c r="D687" s="891"/>
      <c r="E687" s="891"/>
      <c r="F687" s="891"/>
      <c r="G687" s="891"/>
      <c r="H687" s="891"/>
      <c r="I687" s="891"/>
      <c r="J687" s="892"/>
      <c r="K687" s="54">
        <v>2</v>
      </c>
      <c r="L687" s="51"/>
    </row>
    <row r="688" spans="1:12" s="61" customFormat="1" ht="15" customHeight="1" thickBot="1">
      <c r="A688" s="55" t="s">
        <v>557</v>
      </c>
      <c r="B688" s="716"/>
      <c r="C688" s="979" t="s">
        <v>205</v>
      </c>
      <c r="D688" s="980"/>
      <c r="E688" s="980"/>
      <c r="F688" s="980"/>
      <c r="G688" s="980"/>
      <c r="H688" s="980"/>
      <c r="I688" s="980"/>
      <c r="J688" s="981"/>
      <c r="K688" s="55">
        <v>2</v>
      </c>
      <c r="L688" s="51"/>
    </row>
    <row r="689" spans="1:12" s="61" customFormat="1" ht="15" customHeight="1">
      <c r="A689" s="54" t="s">
        <v>611</v>
      </c>
      <c r="B689" s="54" t="s">
        <v>446</v>
      </c>
      <c r="C689" s="776" t="s">
        <v>206</v>
      </c>
      <c r="D689" s="776"/>
      <c r="E689" s="776"/>
      <c r="F689" s="776"/>
      <c r="G689" s="776"/>
      <c r="H689" s="776"/>
      <c r="I689" s="776"/>
      <c r="J689" s="777"/>
      <c r="K689" s="54">
        <v>2</v>
      </c>
      <c r="L689" s="51"/>
    </row>
    <row r="690" spans="1:12" s="61" customFormat="1" ht="15" customHeight="1" thickBot="1">
      <c r="A690" s="55">
        <v>55</v>
      </c>
      <c r="B690" s="64" t="s">
        <v>447</v>
      </c>
      <c r="C690" s="727" t="s">
        <v>207</v>
      </c>
      <c r="D690" s="727"/>
      <c r="E690" s="727"/>
      <c r="F690" s="727"/>
      <c r="G690" s="727"/>
      <c r="H690" s="727"/>
      <c r="I690" s="727"/>
      <c r="J690" s="778"/>
      <c r="K690" s="55">
        <v>1</v>
      </c>
      <c r="L690" s="51"/>
    </row>
    <row r="691" spans="1:12" ht="11.25">
      <c r="L691" s="61"/>
    </row>
    <row r="692" spans="1:12" ht="11.25">
      <c r="L692" s="61"/>
    </row>
    <row r="693" spans="1:12" ht="11.25">
      <c r="L693" s="61"/>
    </row>
    <row r="694" spans="1:12" ht="11.25">
      <c r="L694" s="61"/>
    </row>
  </sheetData>
  <mergeCells count="832">
    <mergeCell ref="C690:J690"/>
    <mergeCell ref="B687:B688"/>
    <mergeCell ref="C687:J687"/>
    <mergeCell ref="C688:J688"/>
    <mergeCell ref="C689:J689"/>
    <mergeCell ref="B681:B686"/>
    <mergeCell ref="C681:J681"/>
    <mergeCell ref="C682:J682"/>
    <mergeCell ref="C683:J683"/>
    <mergeCell ref="C684:J684"/>
    <mergeCell ref="C685:J685"/>
    <mergeCell ref="C686:J686"/>
    <mergeCell ref="B675:B680"/>
    <mergeCell ref="C675:J675"/>
    <mergeCell ref="C676:J676"/>
    <mergeCell ref="C677:J677"/>
    <mergeCell ref="C678:J678"/>
    <mergeCell ref="C679:J679"/>
    <mergeCell ref="C680:J680"/>
    <mergeCell ref="B663:B668"/>
    <mergeCell ref="C663:J663"/>
    <mergeCell ref="C664:J664"/>
    <mergeCell ref="C665:J665"/>
    <mergeCell ref="C666:J666"/>
    <mergeCell ref="C667:J667"/>
    <mergeCell ref="C668:J668"/>
    <mergeCell ref="B669:B674"/>
    <mergeCell ref="C669:J669"/>
    <mergeCell ref="C670:J670"/>
    <mergeCell ref="C671:J671"/>
    <mergeCell ref="C672:J672"/>
    <mergeCell ref="C673:J673"/>
    <mergeCell ref="C674:J674"/>
    <mergeCell ref="B651:B656"/>
    <mergeCell ref="C651:J651"/>
    <mergeCell ref="C652:J652"/>
    <mergeCell ref="C653:J653"/>
    <mergeCell ref="C654:J654"/>
    <mergeCell ref="C655:J655"/>
    <mergeCell ref="C656:J656"/>
    <mergeCell ref="B657:B662"/>
    <mergeCell ref="C657:J657"/>
    <mergeCell ref="C658:J658"/>
    <mergeCell ref="C659:J659"/>
    <mergeCell ref="C660:J660"/>
    <mergeCell ref="C661:J661"/>
    <mergeCell ref="C662:J662"/>
    <mergeCell ref="B639:B644"/>
    <mergeCell ref="C639:J639"/>
    <mergeCell ref="C640:J640"/>
    <mergeCell ref="C641:J641"/>
    <mergeCell ref="C642:J642"/>
    <mergeCell ref="C643:J643"/>
    <mergeCell ref="C644:J644"/>
    <mergeCell ref="B645:B650"/>
    <mergeCell ref="C645:J645"/>
    <mergeCell ref="C646:J646"/>
    <mergeCell ref="C647:J647"/>
    <mergeCell ref="C648:J648"/>
    <mergeCell ref="C649:J649"/>
    <mergeCell ref="C650:J650"/>
    <mergeCell ref="B627:B632"/>
    <mergeCell ref="C627:J627"/>
    <mergeCell ref="C628:J628"/>
    <mergeCell ref="C629:J629"/>
    <mergeCell ref="C630:J630"/>
    <mergeCell ref="C631:J631"/>
    <mergeCell ref="C632:J632"/>
    <mergeCell ref="B633:B638"/>
    <mergeCell ref="C633:J633"/>
    <mergeCell ref="C634:J634"/>
    <mergeCell ref="C635:J635"/>
    <mergeCell ref="C636:J636"/>
    <mergeCell ref="C637:J637"/>
    <mergeCell ref="C638:J638"/>
    <mergeCell ref="B615:B620"/>
    <mergeCell ref="C615:J615"/>
    <mergeCell ref="C616:J616"/>
    <mergeCell ref="C617:J617"/>
    <mergeCell ref="C618:J618"/>
    <mergeCell ref="C619:J619"/>
    <mergeCell ref="C620:J620"/>
    <mergeCell ref="B621:B626"/>
    <mergeCell ref="C621:J621"/>
    <mergeCell ref="C622:J622"/>
    <mergeCell ref="C623:J623"/>
    <mergeCell ref="C624:J624"/>
    <mergeCell ref="C625:J625"/>
    <mergeCell ref="C626:J626"/>
    <mergeCell ref="B603:B608"/>
    <mergeCell ref="C603:J603"/>
    <mergeCell ref="C604:J604"/>
    <mergeCell ref="C605:J605"/>
    <mergeCell ref="C606:J606"/>
    <mergeCell ref="C607:J607"/>
    <mergeCell ref="C608:J608"/>
    <mergeCell ref="B609:B614"/>
    <mergeCell ref="C609:J609"/>
    <mergeCell ref="C610:J610"/>
    <mergeCell ref="C611:J611"/>
    <mergeCell ref="C612:J612"/>
    <mergeCell ref="C613:J613"/>
    <mergeCell ref="C614:J614"/>
    <mergeCell ref="B591:B596"/>
    <mergeCell ref="C591:J591"/>
    <mergeCell ref="C592:J592"/>
    <mergeCell ref="C593:J593"/>
    <mergeCell ref="C594:J594"/>
    <mergeCell ref="C595:J595"/>
    <mergeCell ref="C596:J596"/>
    <mergeCell ref="B597:B602"/>
    <mergeCell ref="C597:J597"/>
    <mergeCell ref="C598:J598"/>
    <mergeCell ref="C599:J599"/>
    <mergeCell ref="C600:J600"/>
    <mergeCell ref="C601:J601"/>
    <mergeCell ref="C602:J602"/>
    <mergeCell ref="B579:B584"/>
    <mergeCell ref="C579:J579"/>
    <mergeCell ref="C580:J580"/>
    <mergeCell ref="C581:J581"/>
    <mergeCell ref="C582:J582"/>
    <mergeCell ref="C583:J583"/>
    <mergeCell ref="C584:J584"/>
    <mergeCell ref="B585:B590"/>
    <mergeCell ref="C585:J585"/>
    <mergeCell ref="C586:J586"/>
    <mergeCell ref="C587:J587"/>
    <mergeCell ref="C588:J588"/>
    <mergeCell ref="C589:J589"/>
    <mergeCell ref="C590:J590"/>
    <mergeCell ref="B567:B572"/>
    <mergeCell ref="C567:J567"/>
    <mergeCell ref="C568:J568"/>
    <mergeCell ref="C569:J569"/>
    <mergeCell ref="C570:J570"/>
    <mergeCell ref="C571:J571"/>
    <mergeCell ref="C572:J572"/>
    <mergeCell ref="B573:B578"/>
    <mergeCell ref="C573:J573"/>
    <mergeCell ref="C574:J574"/>
    <mergeCell ref="C575:J575"/>
    <mergeCell ref="C576:J576"/>
    <mergeCell ref="C577:J577"/>
    <mergeCell ref="C578:J578"/>
    <mergeCell ref="B555:B560"/>
    <mergeCell ref="C555:J555"/>
    <mergeCell ref="C556:J556"/>
    <mergeCell ref="C557:J557"/>
    <mergeCell ref="C558:J558"/>
    <mergeCell ref="C559:J559"/>
    <mergeCell ref="C560:J560"/>
    <mergeCell ref="B561:B566"/>
    <mergeCell ref="C561:J561"/>
    <mergeCell ref="C562:J562"/>
    <mergeCell ref="C563:J563"/>
    <mergeCell ref="C564:J564"/>
    <mergeCell ref="C565:J565"/>
    <mergeCell ref="C566:J566"/>
    <mergeCell ref="B543:B548"/>
    <mergeCell ref="C543:J543"/>
    <mergeCell ref="C544:J544"/>
    <mergeCell ref="C545:J545"/>
    <mergeCell ref="C546:J546"/>
    <mergeCell ref="C547:J547"/>
    <mergeCell ref="C548:J548"/>
    <mergeCell ref="B549:B554"/>
    <mergeCell ref="C549:J549"/>
    <mergeCell ref="C550:J550"/>
    <mergeCell ref="C551:J551"/>
    <mergeCell ref="C552:J552"/>
    <mergeCell ref="C553:J553"/>
    <mergeCell ref="C554:J554"/>
    <mergeCell ref="B531:B536"/>
    <mergeCell ref="C531:J531"/>
    <mergeCell ref="C532:J532"/>
    <mergeCell ref="C533:J533"/>
    <mergeCell ref="C534:J534"/>
    <mergeCell ref="C535:J535"/>
    <mergeCell ref="C536:J536"/>
    <mergeCell ref="B537:B542"/>
    <mergeCell ref="C537:J537"/>
    <mergeCell ref="C538:J538"/>
    <mergeCell ref="C539:J539"/>
    <mergeCell ref="C540:J540"/>
    <mergeCell ref="C541:J541"/>
    <mergeCell ref="C542:J542"/>
    <mergeCell ref="B519:B524"/>
    <mergeCell ref="C519:J519"/>
    <mergeCell ref="C520:J520"/>
    <mergeCell ref="C521:J521"/>
    <mergeCell ref="C522:J522"/>
    <mergeCell ref="C523:J523"/>
    <mergeCell ref="C524:J524"/>
    <mergeCell ref="B525:B530"/>
    <mergeCell ref="C525:J525"/>
    <mergeCell ref="C526:J526"/>
    <mergeCell ref="C527:J527"/>
    <mergeCell ref="C528:J528"/>
    <mergeCell ref="C529:J529"/>
    <mergeCell ref="C530:J530"/>
    <mergeCell ref="B507:B512"/>
    <mergeCell ref="C507:J507"/>
    <mergeCell ref="C508:J508"/>
    <mergeCell ref="C509:J509"/>
    <mergeCell ref="C510:J510"/>
    <mergeCell ref="C511:J511"/>
    <mergeCell ref="C512:J512"/>
    <mergeCell ref="B513:B518"/>
    <mergeCell ref="C513:J513"/>
    <mergeCell ref="C514:J514"/>
    <mergeCell ref="C515:J515"/>
    <mergeCell ref="C516:J516"/>
    <mergeCell ref="C517:J517"/>
    <mergeCell ref="C518:J518"/>
    <mergeCell ref="B495:B500"/>
    <mergeCell ref="C495:J495"/>
    <mergeCell ref="C496:J496"/>
    <mergeCell ref="C497:J497"/>
    <mergeCell ref="C498:J498"/>
    <mergeCell ref="C499:J499"/>
    <mergeCell ref="C500:J500"/>
    <mergeCell ref="B501:B506"/>
    <mergeCell ref="C501:J501"/>
    <mergeCell ref="C502:J502"/>
    <mergeCell ref="C503:J503"/>
    <mergeCell ref="C504:J504"/>
    <mergeCell ref="C505:J505"/>
    <mergeCell ref="C506:J506"/>
    <mergeCell ref="B483:B488"/>
    <mergeCell ref="C483:J483"/>
    <mergeCell ref="C484:J484"/>
    <mergeCell ref="C485:J485"/>
    <mergeCell ref="C486:J486"/>
    <mergeCell ref="C487:J487"/>
    <mergeCell ref="C488:J488"/>
    <mergeCell ref="B489:B494"/>
    <mergeCell ref="C489:J489"/>
    <mergeCell ref="C490:J490"/>
    <mergeCell ref="C491:J491"/>
    <mergeCell ref="C492:J492"/>
    <mergeCell ref="C493:J493"/>
    <mergeCell ref="C494:J494"/>
    <mergeCell ref="B471:B476"/>
    <mergeCell ref="C471:J471"/>
    <mergeCell ref="C472:J472"/>
    <mergeCell ref="C473:J473"/>
    <mergeCell ref="C474:J474"/>
    <mergeCell ref="C475:J475"/>
    <mergeCell ref="C476:J476"/>
    <mergeCell ref="B477:B482"/>
    <mergeCell ref="C477:J477"/>
    <mergeCell ref="C478:J478"/>
    <mergeCell ref="C479:J479"/>
    <mergeCell ref="C480:J480"/>
    <mergeCell ref="C481:J481"/>
    <mergeCell ref="C482:J482"/>
    <mergeCell ref="B459:B464"/>
    <mergeCell ref="C459:J459"/>
    <mergeCell ref="C460:J460"/>
    <mergeCell ref="C461:J461"/>
    <mergeCell ref="C462:J462"/>
    <mergeCell ref="C463:J463"/>
    <mergeCell ref="C464:J464"/>
    <mergeCell ref="B465:B470"/>
    <mergeCell ref="C465:J465"/>
    <mergeCell ref="C466:J466"/>
    <mergeCell ref="C467:J467"/>
    <mergeCell ref="C468:J468"/>
    <mergeCell ref="C469:J469"/>
    <mergeCell ref="C470:J470"/>
    <mergeCell ref="B447:B452"/>
    <mergeCell ref="C447:J447"/>
    <mergeCell ref="C448:J448"/>
    <mergeCell ref="C449:J449"/>
    <mergeCell ref="C450:J450"/>
    <mergeCell ref="C451:J451"/>
    <mergeCell ref="C452:J452"/>
    <mergeCell ref="B453:B458"/>
    <mergeCell ref="C453:J453"/>
    <mergeCell ref="C454:J454"/>
    <mergeCell ref="C455:J455"/>
    <mergeCell ref="C456:J456"/>
    <mergeCell ref="C457:J457"/>
    <mergeCell ref="C458:J458"/>
    <mergeCell ref="B435:B440"/>
    <mergeCell ref="C435:J435"/>
    <mergeCell ref="C436:J436"/>
    <mergeCell ref="C437:J437"/>
    <mergeCell ref="C438:J438"/>
    <mergeCell ref="C439:J439"/>
    <mergeCell ref="C440:J440"/>
    <mergeCell ref="B441:B446"/>
    <mergeCell ref="C441:J441"/>
    <mergeCell ref="C442:J442"/>
    <mergeCell ref="C443:J443"/>
    <mergeCell ref="C444:J444"/>
    <mergeCell ref="C445:J445"/>
    <mergeCell ref="C446:J446"/>
    <mergeCell ref="B423:B428"/>
    <mergeCell ref="C423:J423"/>
    <mergeCell ref="C424:J424"/>
    <mergeCell ref="C425:J425"/>
    <mergeCell ref="C426:J426"/>
    <mergeCell ref="C427:J427"/>
    <mergeCell ref="C428:J428"/>
    <mergeCell ref="B429:B434"/>
    <mergeCell ref="C429:J429"/>
    <mergeCell ref="C430:J430"/>
    <mergeCell ref="C431:J431"/>
    <mergeCell ref="C432:J432"/>
    <mergeCell ref="C433:J433"/>
    <mergeCell ref="C434:J434"/>
    <mergeCell ref="B411:B416"/>
    <mergeCell ref="C411:J411"/>
    <mergeCell ref="C412:J412"/>
    <mergeCell ref="C413:J413"/>
    <mergeCell ref="C414:J414"/>
    <mergeCell ref="C415:J415"/>
    <mergeCell ref="C416:J416"/>
    <mergeCell ref="B417:B422"/>
    <mergeCell ref="C417:J417"/>
    <mergeCell ref="C418:J418"/>
    <mergeCell ref="C419:J419"/>
    <mergeCell ref="C420:J420"/>
    <mergeCell ref="C421:J421"/>
    <mergeCell ref="C422:J422"/>
    <mergeCell ref="B399:B404"/>
    <mergeCell ref="C399:J399"/>
    <mergeCell ref="C400:J400"/>
    <mergeCell ref="C401:J401"/>
    <mergeCell ref="C402:J402"/>
    <mergeCell ref="C403:J403"/>
    <mergeCell ref="C404:J404"/>
    <mergeCell ref="B405:B410"/>
    <mergeCell ref="C405:J405"/>
    <mergeCell ref="C406:J406"/>
    <mergeCell ref="C407:J407"/>
    <mergeCell ref="C408:J408"/>
    <mergeCell ref="C409:J409"/>
    <mergeCell ref="C410:J410"/>
    <mergeCell ref="B387:B392"/>
    <mergeCell ref="C387:J387"/>
    <mergeCell ref="C388:J388"/>
    <mergeCell ref="C389:J389"/>
    <mergeCell ref="C390:J390"/>
    <mergeCell ref="C391:J391"/>
    <mergeCell ref="C392:J392"/>
    <mergeCell ref="B393:B398"/>
    <mergeCell ref="C393:J393"/>
    <mergeCell ref="C394:J394"/>
    <mergeCell ref="C395:J395"/>
    <mergeCell ref="C396:J396"/>
    <mergeCell ref="C397:J397"/>
    <mergeCell ref="C398:J398"/>
    <mergeCell ref="B375:B380"/>
    <mergeCell ref="C375:J375"/>
    <mergeCell ref="C376:J376"/>
    <mergeCell ref="C377:J377"/>
    <mergeCell ref="C378:J378"/>
    <mergeCell ref="C379:J379"/>
    <mergeCell ref="C380:J380"/>
    <mergeCell ref="B381:B386"/>
    <mergeCell ref="C381:J381"/>
    <mergeCell ref="C382:J382"/>
    <mergeCell ref="C383:J383"/>
    <mergeCell ref="C384:J384"/>
    <mergeCell ref="C385:J385"/>
    <mergeCell ref="C386:J386"/>
    <mergeCell ref="B363:B368"/>
    <mergeCell ref="C363:J363"/>
    <mergeCell ref="C364:J364"/>
    <mergeCell ref="C365:J365"/>
    <mergeCell ref="C366:J366"/>
    <mergeCell ref="C367:J367"/>
    <mergeCell ref="C368:J368"/>
    <mergeCell ref="B369:B374"/>
    <mergeCell ref="C369:J369"/>
    <mergeCell ref="C370:J370"/>
    <mergeCell ref="C371:J371"/>
    <mergeCell ref="C372:J372"/>
    <mergeCell ref="C373:J373"/>
    <mergeCell ref="C374:J374"/>
    <mergeCell ref="B351:B356"/>
    <mergeCell ref="C351:J351"/>
    <mergeCell ref="C352:J352"/>
    <mergeCell ref="C353:J353"/>
    <mergeCell ref="C354:J354"/>
    <mergeCell ref="C355:J355"/>
    <mergeCell ref="C356:J356"/>
    <mergeCell ref="B357:B362"/>
    <mergeCell ref="C357:J357"/>
    <mergeCell ref="C358:J358"/>
    <mergeCell ref="C359:J359"/>
    <mergeCell ref="C360:J360"/>
    <mergeCell ref="C361:J361"/>
    <mergeCell ref="C362:J362"/>
    <mergeCell ref="B339:B344"/>
    <mergeCell ref="C339:J339"/>
    <mergeCell ref="C340:J340"/>
    <mergeCell ref="C341:J341"/>
    <mergeCell ref="C342:J342"/>
    <mergeCell ref="C343:J343"/>
    <mergeCell ref="C344:J344"/>
    <mergeCell ref="B345:B350"/>
    <mergeCell ref="C345:J345"/>
    <mergeCell ref="C346:J346"/>
    <mergeCell ref="C347:J347"/>
    <mergeCell ref="C348:J348"/>
    <mergeCell ref="C349:J349"/>
    <mergeCell ref="C350:J350"/>
    <mergeCell ref="B327:B332"/>
    <mergeCell ref="C327:J327"/>
    <mergeCell ref="C328:J328"/>
    <mergeCell ref="C329:J329"/>
    <mergeCell ref="C330:J330"/>
    <mergeCell ref="C331:J331"/>
    <mergeCell ref="C332:J332"/>
    <mergeCell ref="B333:B338"/>
    <mergeCell ref="C333:J333"/>
    <mergeCell ref="C334:J334"/>
    <mergeCell ref="C335:J335"/>
    <mergeCell ref="C336:J336"/>
    <mergeCell ref="C337:J337"/>
    <mergeCell ref="C338:J338"/>
    <mergeCell ref="B315:B320"/>
    <mergeCell ref="C315:J315"/>
    <mergeCell ref="C316:J316"/>
    <mergeCell ref="C317:J317"/>
    <mergeCell ref="C318:J318"/>
    <mergeCell ref="C319:J319"/>
    <mergeCell ref="C320:J320"/>
    <mergeCell ref="B321:B326"/>
    <mergeCell ref="C321:J321"/>
    <mergeCell ref="C322:J322"/>
    <mergeCell ref="C323:J323"/>
    <mergeCell ref="C324:J324"/>
    <mergeCell ref="C325:J325"/>
    <mergeCell ref="C326:J326"/>
    <mergeCell ref="B303:B308"/>
    <mergeCell ref="C303:J303"/>
    <mergeCell ref="C304:J304"/>
    <mergeCell ref="C305:J305"/>
    <mergeCell ref="C306:J306"/>
    <mergeCell ref="C307:J307"/>
    <mergeCell ref="C308:J308"/>
    <mergeCell ref="B309:B314"/>
    <mergeCell ref="C309:J309"/>
    <mergeCell ref="C310:J310"/>
    <mergeCell ref="C311:J311"/>
    <mergeCell ref="C312:J312"/>
    <mergeCell ref="C313:J313"/>
    <mergeCell ref="C314:J314"/>
    <mergeCell ref="B291:B296"/>
    <mergeCell ref="C291:J291"/>
    <mergeCell ref="C292:J292"/>
    <mergeCell ref="C293:J293"/>
    <mergeCell ref="C294:J294"/>
    <mergeCell ref="C295:J295"/>
    <mergeCell ref="C296:J296"/>
    <mergeCell ref="B297:B302"/>
    <mergeCell ref="C297:J297"/>
    <mergeCell ref="C298:J298"/>
    <mergeCell ref="C299:J299"/>
    <mergeCell ref="C300:J300"/>
    <mergeCell ref="C301:J301"/>
    <mergeCell ref="C302:J302"/>
    <mergeCell ref="B279:B284"/>
    <mergeCell ref="C279:J279"/>
    <mergeCell ref="C280:J280"/>
    <mergeCell ref="C281:J281"/>
    <mergeCell ref="C282:J282"/>
    <mergeCell ref="C283:J283"/>
    <mergeCell ref="C284:J284"/>
    <mergeCell ref="B285:B290"/>
    <mergeCell ref="C285:J285"/>
    <mergeCell ref="C286:J286"/>
    <mergeCell ref="C287:J287"/>
    <mergeCell ref="C288:J288"/>
    <mergeCell ref="C289:J289"/>
    <mergeCell ref="C290:J290"/>
    <mergeCell ref="B267:B272"/>
    <mergeCell ref="C267:J267"/>
    <mergeCell ref="C268:J268"/>
    <mergeCell ref="C269:J269"/>
    <mergeCell ref="C270:J270"/>
    <mergeCell ref="C271:J271"/>
    <mergeCell ref="C272:J272"/>
    <mergeCell ref="B273:B278"/>
    <mergeCell ref="C273:J273"/>
    <mergeCell ref="C274:J274"/>
    <mergeCell ref="C275:J275"/>
    <mergeCell ref="C276:J276"/>
    <mergeCell ref="C277:J277"/>
    <mergeCell ref="C278:J278"/>
    <mergeCell ref="B255:B260"/>
    <mergeCell ref="C255:J255"/>
    <mergeCell ref="C256:J256"/>
    <mergeCell ref="C257:J257"/>
    <mergeCell ref="C258:J258"/>
    <mergeCell ref="C259:J259"/>
    <mergeCell ref="C260:J260"/>
    <mergeCell ref="B261:B266"/>
    <mergeCell ref="C261:J261"/>
    <mergeCell ref="C262:J262"/>
    <mergeCell ref="C263:J263"/>
    <mergeCell ref="C264:J264"/>
    <mergeCell ref="C265:J265"/>
    <mergeCell ref="C266:J266"/>
    <mergeCell ref="B243:B248"/>
    <mergeCell ref="C243:J243"/>
    <mergeCell ref="C244:J244"/>
    <mergeCell ref="C245:J245"/>
    <mergeCell ref="C246:J246"/>
    <mergeCell ref="C247:J247"/>
    <mergeCell ref="C248:J248"/>
    <mergeCell ref="B249:B254"/>
    <mergeCell ref="C249:J249"/>
    <mergeCell ref="C250:J250"/>
    <mergeCell ref="C251:J251"/>
    <mergeCell ref="C252:J252"/>
    <mergeCell ref="C253:J253"/>
    <mergeCell ref="C254:J254"/>
    <mergeCell ref="B231:B236"/>
    <mergeCell ref="C231:J231"/>
    <mergeCell ref="C232:J232"/>
    <mergeCell ref="C233:J233"/>
    <mergeCell ref="C234:J234"/>
    <mergeCell ref="C235:J235"/>
    <mergeCell ref="C236:J236"/>
    <mergeCell ref="B237:B242"/>
    <mergeCell ref="C237:J237"/>
    <mergeCell ref="C238:J238"/>
    <mergeCell ref="C239:J239"/>
    <mergeCell ref="C240:J240"/>
    <mergeCell ref="C241:J241"/>
    <mergeCell ref="C242:J242"/>
    <mergeCell ref="B219:B224"/>
    <mergeCell ref="C219:J219"/>
    <mergeCell ref="C220:J220"/>
    <mergeCell ref="C221:J221"/>
    <mergeCell ref="C222:J222"/>
    <mergeCell ref="C223:J223"/>
    <mergeCell ref="C224:J224"/>
    <mergeCell ref="B225:B230"/>
    <mergeCell ref="C225:J225"/>
    <mergeCell ref="C226:J226"/>
    <mergeCell ref="C227:J227"/>
    <mergeCell ref="C228:J228"/>
    <mergeCell ref="C229:J229"/>
    <mergeCell ref="C230:J230"/>
    <mergeCell ref="B207:B212"/>
    <mergeCell ref="C207:J207"/>
    <mergeCell ref="C208:J208"/>
    <mergeCell ref="C209:J209"/>
    <mergeCell ref="C210:J210"/>
    <mergeCell ref="C211:J211"/>
    <mergeCell ref="C212:J212"/>
    <mergeCell ref="B213:B218"/>
    <mergeCell ref="C213:J213"/>
    <mergeCell ref="C214:J214"/>
    <mergeCell ref="C215:J215"/>
    <mergeCell ref="C216:J216"/>
    <mergeCell ref="C217:J217"/>
    <mergeCell ref="C218:J218"/>
    <mergeCell ref="B195:B200"/>
    <mergeCell ref="C195:J195"/>
    <mergeCell ref="C196:J196"/>
    <mergeCell ref="C197:J197"/>
    <mergeCell ref="C198:J198"/>
    <mergeCell ref="C199:J199"/>
    <mergeCell ref="C200:J200"/>
    <mergeCell ref="B201:B206"/>
    <mergeCell ref="C201:J201"/>
    <mergeCell ref="C202:J202"/>
    <mergeCell ref="C203:J203"/>
    <mergeCell ref="C204:J204"/>
    <mergeCell ref="C205:J205"/>
    <mergeCell ref="C206:J206"/>
    <mergeCell ref="B183:B188"/>
    <mergeCell ref="C183:J183"/>
    <mergeCell ref="C184:J184"/>
    <mergeCell ref="C185:J185"/>
    <mergeCell ref="C186:J186"/>
    <mergeCell ref="C187:J187"/>
    <mergeCell ref="C188:J188"/>
    <mergeCell ref="B189:B194"/>
    <mergeCell ref="C189:J189"/>
    <mergeCell ref="C190:J190"/>
    <mergeCell ref="C191:J191"/>
    <mergeCell ref="C192:J192"/>
    <mergeCell ref="C193:J193"/>
    <mergeCell ref="C194:J194"/>
    <mergeCell ref="B171:B176"/>
    <mergeCell ref="C171:J171"/>
    <mergeCell ref="C172:J172"/>
    <mergeCell ref="C173:J173"/>
    <mergeCell ref="C174:J174"/>
    <mergeCell ref="C175:J175"/>
    <mergeCell ref="C176:J176"/>
    <mergeCell ref="B177:B182"/>
    <mergeCell ref="C177:J177"/>
    <mergeCell ref="C178:J178"/>
    <mergeCell ref="C179:J179"/>
    <mergeCell ref="C180:J180"/>
    <mergeCell ref="C181:J181"/>
    <mergeCell ref="C182:J182"/>
    <mergeCell ref="B159:B164"/>
    <mergeCell ref="C159:J159"/>
    <mergeCell ref="C160:J160"/>
    <mergeCell ref="C161:J161"/>
    <mergeCell ref="C162:J162"/>
    <mergeCell ref="C163:J163"/>
    <mergeCell ref="C164:J164"/>
    <mergeCell ref="B165:B170"/>
    <mergeCell ref="C165:J165"/>
    <mergeCell ref="C166:J166"/>
    <mergeCell ref="C167:J167"/>
    <mergeCell ref="C168:J168"/>
    <mergeCell ref="C169:J169"/>
    <mergeCell ref="C170:J170"/>
    <mergeCell ref="B147:B152"/>
    <mergeCell ref="C147:J147"/>
    <mergeCell ref="C148:J148"/>
    <mergeCell ref="C149:J149"/>
    <mergeCell ref="C150:J150"/>
    <mergeCell ref="C151:J151"/>
    <mergeCell ref="C152:J152"/>
    <mergeCell ref="B153:B158"/>
    <mergeCell ref="C153:J153"/>
    <mergeCell ref="C154:J154"/>
    <mergeCell ref="C155:J155"/>
    <mergeCell ref="C156:J156"/>
    <mergeCell ref="C157:J157"/>
    <mergeCell ref="C158:J158"/>
    <mergeCell ref="B135:B140"/>
    <mergeCell ref="C135:J135"/>
    <mergeCell ref="C136:J136"/>
    <mergeCell ref="C137:J137"/>
    <mergeCell ref="C138:J138"/>
    <mergeCell ref="C139:J139"/>
    <mergeCell ref="C140:J140"/>
    <mergeCell ref="B141:B146"/>
    <mergeCell ref="C141:J141"/>
    <mergeCell ref="C142:J142"/>
    <mergeCell ref="C143:J143"/>
    <mergeCell ref="C144:J144"/>
    <mergeCell ref="C145:J145"/>
    <mergeCell ref="C146:J146"/>
    <mergeCell ref="B123:B128"/>
    <mergeCell ref="C123:J123"/>
    <mergeCell ref="C124:J124"/>
    <mergeCell ref="C125:J125"/>
    <mergeCell ref="C126:J126"/>
    <mergeCell ref="C127:J127"/>
    <mergeCell ref="C128:J128"/>
    <mergeCell ref="B129:B134"/>
    <mergeCell ref="C129:J129"/>
    <mergeCell ref="C130:J130"/>
    <mergeCell ref="C131:J131"/>
    <mergeCell ref="C132:J132"/>
    <mergeCell ref="C133:J133"/>
    <mergeCell ref="C134:J134"/>
    <mergeCell ref="B111:B116"/>
    <mergeCell ref="C111:J111"/>
    <mergeCell ref="C112:J112"/>
    <mergeCell ref="C113:J113"/>
    <mergeCell ref="C114:J114"/>
    <mergeCell ref="C115:J115"/>
    <mergeCell ref="C116:J116"/>
    <mergeCell ref="B117:B122"/>
    <mergeCell ref="C117:J117"/>
    <mergeCell ref="C118:J118"/>
    <mergeCell ref="C119:J119"/>
    <mergeCell ref="C120:J120"/>
    <mergeCell ref="C121:J121"/>
    <mergeCell ref="C122:J122"/>
    <mergeCell ref="C58:F58"/>
    <mergeCell ref="G58:J58"/>
    <mergeCell ref="C59:F59"/>
    <mergeCell ref="C62:D62"/>
    <mergeCell ref="C64:J64"/>
    <mergeCell ref="G61:J61"/>
    <mergeCell ref="C54:F54"/>
    <mergeCell ref="C57:F57"/>
    <mergeCell ref="G57:J57"/>
    <mergeCell ref="B105:B110"/>
    <mergeCell ref="C105:J105"/>
    <mergeCell ref="C106:J106"/>
    <mergeCell ref="C107:J107"/>
    <mergeCell ref="C108:J108"/>
    <mergeCell ref="C109:J109"/>
    <mergeCell ref="C110:J110"/>
    <mergeCell ref="C63:J63"/>
    <mergeCell ref="G59:J59"/>
    <mergeCell ref="C74:J74"/>
    <mergeCell ref="C65:J65"/>
    <mergeCell ref="C61:F61"/>
    <mergeCell ref="C99:J99"/>
    <mergeCell ref="C100:J100"/>
    <mergeCell ref="C101:J101"/>
    <mergeCell ref="B99:B104"/>
    <mergeCell ref="C103:J103"/>
    <mergeCell ref="C104:J104"/>
    <mergeCell ref="C102:J102"/>
    <mergeCell ref="B87:B92"/>
    <mergeCell ref="C91:J91"/>
    <mergeCell ref="C88:J88"/>
    <mergeCell ref="C89:J89"/>
    <mergeCell ref="C90:J90"/>
    <mergeCell ref="C35:J35"/>
    <mergeCell ref="C36:J36"/>
    <mergeCell ref="C37:J37"/>
    <mergeCell ref="C41:J41"/>
    <mergeCell ref="C17:F17"/>
    <mergeCell ref="C21:F21"/>
    <mergeCell ref="G21:J21"/>
    <mergeCell ref="C30:F30"/>
    <mergeCell ref="C29:F29"/>
    <mergeCell ref="G29:J29"/>
    <mergeCell ref="C32:F32"/>
    <mergeCell ref="G32:J32"/>
    <mergeCell ref="G30:J30"/>
    <mergeCell ref="C31:F31"/>
    <mergeCell ref="C33:F33"/>
    <mergeCell ref="G33:J33"/>
    <mergeCell ref="C34:H34"/>
    <mergeCell ref="A5:K5"/>
    <mergeCell ref="A1:K1"/>
    <mergeCell ref="K13:K14"/>
    <mergeCell ref="K15:K16"/>
    <mergeCell ref="B13:B14"/>
    <mergeCell ref="B15:B16"/>
    <mergeCell ref="C13:D14"/>
    <mergeCell ref="E13:G13"/>
    <mergeCell ref="C11:J11"/>
    <mergeCell ref="C12:J12"/>
    <mergeCell ref="C15:F15"/>
    <mergeCell ref="G15:J15"/>
    <mergeCell ref="C7:J7"/>
    <mergeCell ref="C8:J8"/>
    <mergeCell ref="C9:J9"/>
    <mergeCell ref="C10:J10"/>
    <mergeCell ref="H13:J13"/>
    <mergeCell ref="K17:K18"/>
    <mergeCell ref="K27:K28"/>
    <mergeCell ref="C27:F27"/>
    <mergeCell ref="G27:J27"/>
    <mergeCell ref="C25:F25"/>
    <mergeCell ref="G25:J25"/>
    <mergeCell ref="C23:F23"/>
    <mergeCell ref="C22:F22"/>
    <mergeCell ref="G22:J22"/>
    <mergeCell ref="G20:J20"/>
    <mergeCell ref="C26:F26"/>
    <mergeCell ref="G26:J26"/>
    <mergeCell ref="G23:J23"/>
    <mergeCell ref="C24:F24"/>
    <mergeCell ref="G24:J24"/>
    <mergeCell ref="G17:H17"/>
    <mergeCell ref="I17:J17"/>
    <mergeCell ref="A27:A28"/>
    <mergeCell ref="A55:A56"/>
    <mergeCell ref="B52:B54"/>
    <mergeCell ref="B55:B56"/>
    <mergeCell ref="B60:B61"/>
    <mergeCell ref="A47:A48"/>
    <mergeCell ref="B29:B31"/>
    <mergeCell ref="B32:B33"/>
    <mergeCell ref="B63:B68"/>
    <mergeCell ref="B57:B59"/>
    <mergeCell ref="B47:B48"/>
    <mergeCell ref="C75:J75"/>
    <mergeCell ref="C69:J70"/>
    <mergeCell ref="B71:B73"/>
    <mergeCell ref="C71:J71"/>
    <mergeCell ref="C72:J72"/>
    <mergeCell ref="B17:B18"/>
    <mergeCell ref="B27:B28"/>
    <mergeCell ref="B21:B23"/>
    <mergeCell ref="B24:B26"/>
    <mergeCell ref="B69:B70"/>
    <mergeCell ref="C53:F53"/>
    <mergeCell ref="G53:J53"/>
    <mergeCell ref="G60:J60"/>
    <mergeCell ref="G51:J51"/>
    <mergeCell ref="C66:J66"/>
    <mergeCell ref="C67:J67"/>
    <mergeCell ref="C68:J68"/>
    <mergeCell ref="C52:F52"/>
    <mergeCell ref="C55:F55"/>
    <mergeCell ref="G55:J55"/>
    <mergeCell ref="C60:F60"/>
    <mergeCell ref="C73:J73"/>
    <mergeCell ref="G31:J31"/>
    <mergeCell ref="C46:J46"/>
    <mergeCell ref="K55:K56"/>
    <mergeCell ref="A39:K39"/>
    <mergeCell ref="C44:J44"/>
    <mergeCell ref="B49:B51"/>
    <mergeCell ref="G52:J52"/>
    <mergeCell ref="C49:F49"/>
    <mergeCell ref="G54:J54"/>
    <mergeCell ref="C50:F50"/>
    <mergeCell ref="G50:J50"/>
    <mergeCell ref="K47:K48"/>
    <mergeCell ref="I47:J47"/>
    <mergeCell ref="C47:F48"/>
    <mergeCell ref="C51:F51"/>
    <mergeCell ref="G49:J49"/>
    <mergeCell ref="G47:H47"/>
    <mergeCell ref="C42:J42"/>
    <mergeCell ref="C43:J43"/>
    <mergeCell ref="C45:J45"/>
    <mergeCell ref="C92:J92"/>
    <mergeCell ref="B93:B98"/>
    <mergeCell ref="C93:J93"/>
    <mergeCell ref="C94:J94"/>
    <mergeCell ref="C95:J95"/>
    <mergeCell ref="C96:J96"/>
    <mergeCell ref="C97:J97"/>
    <mergeCell ref="C98:J98"/>
    <mergeCell ref="C87:J87"/>
    <mergeCell ref="C80:J80"/>
    <mergeCell ref="C81:J81"/>
    <mergeCell ref="C85:J85"/>
    <mergeCell ref="C86:J86"/>
    <mergeCell ref="C82:J82"/>
    <mergeCell ref="C83:J83"/>
    <mergeCell ref="C84:J84"/>
    <mergeCell ref="A77:K77"/>
    <mergeCell ref="C79:J79"/>
  </mergeCells>
  <phoneticPr fontId="2" type="noConversion"/>
  <pageMargins left="0.75" right="0.75" top="0.5" bottom="0.39" header="0.5" footer="0.5"/>
  <pageSetup paperSize="9" orientation="portrait" r:id="rId1"/>
  <headerFooter alignWithMargins="0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2" enableFormatConditionsCalculation="0">
    <tabColor indexed="11"/>
  </sheetPr>
  <dimension ref="A1:S207"/>
  <sheetViews>
    <sheetView tabSelected="1" topLeftCell="A148" workbookViewId="0">
      <selection activeCell="C191" sqref="C191:J193"/>
    </sheetView>
  </sheetViews>
  <sheetFormatPr defaultRowHeight="13.5"/>
  <cols>
    <col min="1" max="1" width="6.44140625" style="156" bestFit="1" customWidth="1"/>
    <col min="2" max="2" width="6.77734375" style="148" customWidth="1"/>
    <col min="3" max="10" width="8" style="148" customWidth="1"/>
    <col min="11" max="11" width="7.44140625" style="181" customWidth="1"/>
    <col min="12" max="12" width="1.6640625" style="148" customWidth="1"/>
    <col min="13" max="13" width="3.6640625" style="156" customWidth="1"/>
    <col min="14" max="14" width="4.21875" style="156" bestFit="1" customWidth="1"/>
    <col min="15" max="15" width="14.88671875" style="176" bestFit="1" customWidth="1"/>
    <col min="16" max="16" width="6.6640625" style="156" bestFit="1" customWidth="1"/>
    <col min="17" max="17" width="5.5546875" style="156" bestFit="1" customWidth="1"/>
    <col min="18" max="18" width="19.21875" style="176" bestFit="1" customWidth="1"/>
    <col min="19" max="19" width="52.6640625" style="176" bestFit="1" customWidth="1"/>
    <col min="20" max="16384" width="8.88671875" style="148"/>
  </cols>
  <sheetData>
    <row r="1" spans="1:11">
      <c r="A1" s="229"/>
      <c r="B1" s="230" t="s">
        <v>1281</v>
      </c>
      <c r="C1" s="230"/>
      <c r="D1" s="230" t="s">
        <v>1282</v>
      </c>
      <c r="E1" s="230"/>
      <c r="F1" s="230"/>
      <c r="G1" s="230"/>
      <c r="H1" s="230"/>
      <c r="I1" s="230"/>
      <c r="J1" s="230"/>
      <c r="K1" s="231"/>
    </row>
    <row r="2" spans="1:11">
      <c r="A2" s="229"/>
      <c r="B2" s="230" t="s">
        <v>1283</v>
      </c>
      <c r="C2" s="230"/>
      <c r="D2" s="230" t="s">
        <v>1284</v>
      </c>
      <c r="E2" s="230"/>
      <c r="F2" s="230"/>
      <c r="G2" s="230"/>
      <c r="H2" s="230"/>
      <c r="I2" s="230"/>
      <c r="J2" s="230"/>
      <c r="K2" s="231"/>
    </row>
    <row r="3" spans="1:11">
      <c r="A3" s="229"/>
      <c r="B3" s="230" t="s">
        <v>1280</v>
      </c>
      <c r="C3" s="230"/>
      <c r="D3" s="230" t="s">
        <v>1285</v>
      </c>
      <c r="E3" s="230"/>
      <c r="F3" s="230"/>
      <c r="G3" s="230"/>
      <c r="H3" s="230"/>
      <c r="I3" s="230"/>
      <c r="J3" s="230"/>
      <c r="K3" s="231"/>
    </row>
    <row r="4" spans="1:11">
      <c r="A4" s="229"/>
      <c r="B4" s="230" t="s">
        <v>1292</v>
      </c>
      <c r="C4" s="230"/>
      <c r="D4" s="230" t="s">
        <v>1293</v>
      </c>
      <c r="E4" s="230"/>
      <c r="F4" s="230"/>
      <c r="G4" s="230"/>
      <c r="H4" s="230"/>
      <c r="I4" s="230"/>
      <c r="J4" s="230"/>
      <c r="K4" s="231"/>
    </row>
    <row r="5" spans="1:11" ht="14.25" thickBot="1"/>
    <row r="6" spans="1:11" ht="14.25" thickBot="1">
      <c r="A6" s="990" t="s">
        <v>174</v>
      </c>
      <c r="B6" s="991"/>
      <c r="C6" s="991"/>
      <c r="D6" s="991"/>
      <c r="E6" s="991"/>
      <c r="F6" s="991"/>
      <c r="G6" s="991"/>
      <c r="H6" s="991"/>
      <c r="I6" s="991"/>
      <c r="J6" s="991"/>
      <c r="K6" s="992"/>
    </row>
    <row r="7" spans="1:11">
      <c r="A7" s="993" t="s">
        <v>44</v>
      </c>
      <c r="B7" s="994"/>
      <c r="C7" s="149" t="s">
        <v>45</v>
      </c>
      <c r="D7" s="150"/>
      <c r="E7" s="151"/>
      <c r="F7" s="151"/>
      <c r="G7" s="151"/>
      <c r="H7" s="151"/>
      <c r="I7" s="174"/>
      <c r="J7" s="175" t="s">
        <v>52</v>
      </c>
      <c r="K7" s="152" t="s">
        <v>46</v>
      </c>
    </row>
    <row r="8" spans="1:11">
      <c r="A8" s="995" t="s">
        <v>50</v>
      </c>
      <c r="B8" s="996"/>
      <c r="C8" s="26"/>
      <c r="D8" s="153"/>
      <c r="E8" s="153"/>
      <c r="F8" s="153"/>
      <c r="G8" s="153"/>
      <c r="H8" s="153"/>
      <c r="I8" s="997" t="s">
        <v>47</v>
      </c>
      <c r="J8" s="998"/>
      <c r="K8" s="29" t="s">
        <v>1287</v>
      </c>
    </row>
    <row r="9" spans="1:11" ht="14.25" thickBot="1">
      <c r="A9" s="232"/>
      <c r="B9" s="233"/>
      <c r="C9" s="234"/>
      <c r="D9" s="234"/>
      <c r="E9" s="234"/>
      <c r="F9" s="234"/>
      <c r="G9" s="234"/>
      <c r="H9" s="234"/>
      <c r="I9" s="235"/>
      <c r="J9" s="236" t="s">
        <v>49</v>
      </c>
      <c r="K9" s="31" t="s">
        <v>1286</v>
      </c>
    </row>
    <row r="10" spans="1:11" ht="14.25" thickBot="1">
      <c r="A10" s="176"/>
      <c r="B10" s="156"/>
      <c r="C10" s="156"/>
      <c r="D10" s="176"/>
      <c r="E10" s="176"/>
      <c r="F10" s="156"/>
      <c r="G10" s="156"/>
      <c r="H10" s="176"/>
      <c r="I10" s="176"/>
      <c r="J10" s="156"/>
      <c r="K10" s="156"/>
    </row>
    <row r="11" spans="1:11">
      <c r="A11" s="999" t="s">
        <v>1294</v>
      </c>
      <c r="B11" s="1000"/>
      <c r="C11" s="1000"/>
      <c r="D11" s="1000"/>
      <c r="E11" s="1000"/>
      <c r="F11" s="1000"/>
      <c r="G11" s="1000"/>
      <c r="H11" s="1000"/>
      <c r="I11" s="1000"/>
      <c r="J11" s="1000"/>
      <c r="K11" s="1001"/>
    </row>
    <row r="12" spans="1:11" ht="14.25" thickBot="1">
      <c r="A12" s="161" t="s">
        <v>0</v>
      </c>
      <c r="B12" s="154" t="s">
        <v>448</v>
      </c>
      <c r="C12" s="154" t="s">
        <v>163</v>
      </c>
      <c r="D12" s="154" t="s">
        <v>164</v>
      </c>
      <c r="E12" s="154" t="s">
        <v>165</v>
      </c>
      <c r="F12" s="154" t="s">
        <v>166</v>
      </c>
      <c r="G12" s="154" t="s">
        <v>167</v>
      </c>
      <c r="H12" s="154" t="s">
        <v>168</v>
      </c>
      <c r="I12" s="154" t="s">
        <v>169</v>
      </c>
      <c r="J12" s="154" t="s">
        <v>170</v>
      </c>
      <c r="K12" s="155" t="s">
        <v>175</v>
      </c>
    </row>
    <row r="13" spans="1:11">
      <c r="A13" s="443">
        <v>0</v>
      </c>
      <c r="B13" s="449" t="s">
        <v>431</v>
      </c>
      <c r="C13" s="799" t="s">
        <v>171</v>
      </c>
      <c r="D13" s="954"/>
      <c r="E13" s="954"/>
      <c r="F13" s="954"/>
      <c r="G13" s="954"/>
      <c r="H13" s="954"/>
      <c r="I13" s="954"/>
      <c r="J13" s="955"/>
      <c r="K13" s="443">
        <v>1</v>
      </c>
    </row>
    <row r="14" spans="1:11">
      <c r="A14" s="444" t="s">
        <v>139</v>
      </c>
      <c r="B14" s="448" t="s">
        <v>432</v>
      </c>
      <c r="C14" s="723" t="s">
        <v>172</v>
      </c>
      <c r="D14" s="786"/>
      <c r="E14" s="786"/>
      <c r="F14" s="786"/>
      <c r="G14" s="786"/>
      <c r="H14" s="786"/>
      <c r="I14" s="786"/>
      <c r="J14" s="787"/>
      <c r="K14" s="444">
        <v>2</v>
      </c>
    </row>
    <row r="15" spans="1:11">
      <c r="A15" s="444" t="s">
        <v>176</v>
      </c>
      <c r="B15" s="448" t="s">
        <v>433</v>
      </c>
      <c r="C15" s="723" t="s">
        <v>420</v>
      </c>
      <c r="D15" s="786"/>
      <c r="E15" s="786"/>
      <c r="F15" s="786"/>
      <c r="G15" s="786"/>
      <c r="H15" s="786"/>
      <c r="I15" s="786"/>
      <c r="J15" s="787"/>
      <c r="K15" s="444">
        <v>2</v>
      </c>
    </row>
    <row r="16" spans="1:11">
      <c r="A16" s="444" t="s">
        <v>1430</v>
      </c>
      <c r="B16" s="448" t="s">
        <v>434</v>
      </c>
      <c r="C16" s="722" t="s">
        <v>1432</v>
      </c>
      <c r="D16" s="722"/>
      <c r="E16" s="722"/>
      <c r="F16" s="722"/>
      <c r="G16" s="722"/>
      <c r="H16" s="722"/>
      <c r="I16" s="722"/>
      <c r="J16" s="725"/>
      <c r="K16" s="84">
        <v>2</v>
      </c>
    </row>
    <row r="17" spans="1:17">
      <c r="A17" s="444" t="s">
        <v>180</v>
      </c>
      <c r="B17" s="448" t="s">
        <v>435</v>
      </c>
      <c r="C17" s="858" t="s">
        <v>179</v>
      </c>
      <c r="D17" s="859"/>
      <c r="E17" s="859"/>
      <c r="F17" s="859"/>
      <c r="G17" s="859"/>
      <c r="H17" s="859"/>
      <c r="I17" s="859"/>
      <c r="J17" s="860"/>
      <c r="K17" s="444">
        <v>2</v>
      </c>
    </row>
    <row r="18" spans="1:17">
      <c r="A18" s="444" t="s">
        <v>298</v>
      </c>
      <c r="B18" s="900" t="s">
        <v>1839</v>
      </c>
      <c r="C18" s="722" t="s">
        <v>1837</v>
      </c>
      <c r="D18" s="722"/>
      <c r="E18" s="722"/>
      <c r="F18" s="722"/>
      <c r="G18" s="722"/>
      <c r="H18" s="722"/>
      <c r="I18" s="722"/>
      <c r="J18" s="725"/>
      <c r="K18" s="84">
        <v>2</v>
      </c>
      <c r="M18" s="450"/>
      <c r="N18" s="450"/>
      <c r="P18" s="450"/>
      <c r="Q18" s="450"/>
    </row>
    <row r="19" spans="1:17">
      <c r="A19" s="446" t="s">
        <v>299</v>
      </c>
      <c r="B19" s="744"/>
      <c r="C19" s="1002" t="s">
        <v>1838</v>
      </c>
      <c r="D19" s="1003"/>
      <c r="E19" s="1003"/>
      <c r="F19" s="1003"/>
      <c r="G19" s="1003"/>
      <c r="H19" s="1003"/>
      <c r="I19" s="1003"/>
      <c r="J19" s="1004"/>
      <c r="K19" s="446">
        <v>2</v>
      </c>
    </row>
    <row r="20" spans="1:17" ht="14.25" thickBot="1">
      <c r="A20" s="445" t="s">
        <v>300</v>
      </c>
      <c r="B20" s="445" t="s">
        <v>1840</v>
      </c>
      <c r="C20" s="728" t="s">
        <v>1841</v>
      </c>
      <c r="D20" s="949"/>
      <c r="E20" s="949"/>
      <c r="F20" s="949"/>
      <c r="G20" s="949"/>
      <c r="H20" s="949"/>
      <c r="I20" s="949"/>
      <c r="J20" s="950"/>
      <c r="K20" s="445">
        <v>2</v>
      </c>
    </row>
    <row r="21" spans="1:17" ht="14.25" thickBot="1">
      <c r="A21" s="445" t="s">
        <v>188</v>
      </c>
      <c r="B21" s="445" t="s">
        <v>1288</v>
      </c>
      <c r="C21" s="967" t="s">
        <v>1289</v>
      </c>
      <c r="D21" s="968"/>
      <c r="E21" s="968"/>
      <c r="F21" s="968"/>
      <c r="G21" s="968"/>
      <c r="H21" s="968"/>
      <c r="I21" s="968"/>
      <c r="J21" s="1005"/>
      <c r="K21" s="55">
        <v>2</v>
      </c>
    </row>
    <row r="22" spans="1:17">
      <c r="A22" s="54" t="s">
        <v>1290</v>
      </c>
      <c r="B22" s="54" t="s">
        <v>446</v>
      </c>
      <c r="C22" s="776" t="s">
        <v>206</v>
      </c>
      <c r="D22" s="776"/>
      <c r="E22" s="776"/>
      <c r="F22" s="776"/>
      <c r="G22" s="776"/>
      <c r="H22" s="776"/>
      <c r="I22" s="776"/>
      <c r="J22" s="777"/>
      <c r="K22" s="54">
        <v>2</v>
      </c>
    </row>
    <row r="23" spans="1:17" ht="14.25" thickBot="1">
      <c r="A23" s="55" t="s">
        <v>1291</v>
      </c>
      <c r="B23" s="64" t="s">
        <v>447</v>
      </c>
      <c r="C23" s="727" t="s">
        <v>207</v>
      </c>
      <c r="D23" s="727"/>
      <c r="E23" s="727"/>
      <c r="F23" s="727"/>
      <c r="G23" s="727"/>
      <c r="H23" s="727"/>
      <c r="I23" s="727"/>
      <c r="J23" s="778"/>
      <c r="K23" s="55">
        <v>1</v>
      </c>
    </row>
    <row r="24" spans="1:17" ht="14.25" thickBot="1">
      <c r="A24" s="176"/>
      <c r="B24" s="156"/>
      <c r="C24" s="156"/>
      <c r="D24" s="176"/>
      <c r="E24" s="176"/>
      <c r="F24" s="156"/>
      <c r="G24" s="156"/>
      <c r="H24" s="176"/>
      <c r="I24" s="176"/>
      <c r="J24" s="156"/>
      <c r="K24" s="156"/>
    </row>
    <row r="25" spans="1:17">
      <c r="A25" s="999" t="s">
        <v>1295</v>
      </c>
      <c r="B25" s="1000"/>
      <c r="C25" s="1000"/>
      <c r="D25" s="1000"/>
      <c r="E25" s="1000"/>
      <c r="F25" s="1000"/>
      <c r="G25" s="1000"/>
      <c r="H25" s="1000"/>
      <c r="I25" s="1000"/>
      <c r="J25" s="1000"/>
      <c r="K25" s="1001"/>
    </row>
    <row r="26" spans="1:17" ht="14.25" thickBot="1">
      <c r="A26" s="161" t="s">
        <v>0</v>
      </c>
      <c r="B26" s="154" t="s">
        <v>448</v>
      </c>
      <c r="C26" s="154" t="s">
        <v>163</v>
      </c>
      <c r="D26" s="154" t="s">
        <v>164</v>
      </c>
      <c r="E26" s="154" t="s">
        <v>165</v>
      </c>
      <c r="F26" s="154" t="s">
        <v>166</v>
      </c>
      <c r="G26" s="154" t="s">
        <v>167</v>
      </c>
      <c r="H26" s="154" t="s">
        <v>168</v>
      </c>
      <c r="I26" s="154" t="s">
        <v>169</v>
      </c>
      <c r="J26" s="154" t="s">
        <v>170</v>
      </c>
      <c r="K26" s="155" t="s">
        <v>175</v>
      </c>
    </row>
    <row r="27" spans="1:17">
      <c r="A27" s="443">
        <v>0</v>
      </c>
      <c r="B27" s="447" t="s">
        <v>431</v>
      </c>
      <c r="C27" s="783" t="s">
        <v>171</v>
      </c>
      <c r="D27" s="784"/>
      <c r="E27" s="784"/>
      <c r="F27" s="784"/>
      <c r="G27" s="784"/>
      <c r="H27" s="784"/>
      <c r="I27" s="784"/>
      <c r="J27" s="785"/>
      <c r="K27" s="443">
        <v>1</v>
      </c>
    </row>
    <row r="28" spans="1:17">
      <c r="A28" s="444" t="s">
        <v>139</v>
      </c>
      <c r="B28" s="448" t="s">
        <v>432</v>
      </c>
      <c r="C28" s="723" t="s">
        <v>172</v>
      </c>
      <c r="D28" s="786"/>
      <c r="E28" s="786"/>
      <c r="F28" s="786"/>
      <c r="G28" s="786"/>
      <c r="H28" s="786"/>
      <c r="I28" s="786"/>
      <c r="J28" s="787"/>
      <c r="K28" s="444">
        <v>2</v>
      </c>
    </row>
    <row r="29" spans="1:17">
      <c r="A29" s="444" t="s">
        <v>176</v>
      </c>
      <c r="B29" s="448" t="s">
        <v>433</v>
      </c>
      <c r="C29" s="723" t="s">
        <v>420</v>
      </c>
      <c r="D29" s="786"/>
      <c r="E29" s="786"/>
      <c r="F29" s="786"/>
      <c r="G29" s="786"/>
      <c r="H29" s="786"/>
      <c r="I29" s="786"/>
      <c r="J29" s="787"/>
      <c r="K29" s="444">
        <v>2</v>
      </c>
    </row>
    <row r="30" spans="1:17">
      <c r="A30" s="444" t="s">
        <v>1430</v>
      </c>
      <c r="B30" s="448" t="s">
        <v>434</v>
      </c>
      <c r="C30" s="722" t="s">
        <v>1432</v>
      </c>
      <c r="D30" s="722"/>
      <c r="E30" s="722"/>
      <c r="F30" s="722"/>
      <c r="G30" s="722"/>
      <c r="H30" s="722"/>
      <c r="I30" s="722"/>
      <c r="J30" s="725"/>
      <c r="K30" s="84">
        <v>2</v>
      </c>
    </row>
    <row r="31" spans="1:17">
      <c r="A31" s="444" t="s">
        <v>180</v>
      </c>
      <c r="B31" s="448" t="s">
        <v>435</v>
      </c>
      <c r="C31" s="858" t="s">
        <v>179</v>
      </c>
      <c r="D31" s="859"/>
      <c r="E31" s="859"/>
      <c r="F31" s="859"/>
      <c r="G31" s="859"/>
      <c r="H31" s="859"/>
      <c r="I31" s="859"/>
      <c r="J31" s="860"/>
      <c r="K31" s="444">
        <v>2</v>
      </c>
    </row>
    <row r="32" spans="1:17">
      <c r="A32" s="444" t="s">
        <v>298</v>
      </c>
      <c r="B32" s="900" t="s">
        <v>436</v>
      </c>
      <c r="C32" s="722" t="s">
        <v>1837</v>
      </c>
      <c r="D32" s="722"/>
      <c r="E32" s="722"/>
      <c r="F32" s="722"/>
      <c r="G32" s="722"/>
      <c r="H32" s="722"/>
      <c r="I32" s="722"/>
      <c r="J32" s="725"/>
      <c r="K32" s="84">
        <v>2</v>
      </c>
    </row>
    <row r="33" spans="1:19" ht="14.25" thickBot="1">
      <c r="A33" s="444" t="s">
        <v>299</v>
      </c>
      <c r="B33" s="716"/>
      <c r="C33" s="723" t="s">
        <v>1838</v>
      </c>
      <c r="D33" s="786"/>
      <c r="E33" s="786"/>
      <c r="F33" s="786"/>
      <c r="G33" s="786"/>
      <c r="H33" s="786"/>
      <c r="I33" s="786"/>
      <c r="J33" s="787"/>
      <c r="K33" s="444">
        <v>2</v>
      </c>
      <c r="M33" s="450"/>
      <c r="N33" s="450"/>
      <c r="P33" s="450"/>
      <c r="Q33" s="450"/>
    </row>
    <row r="34" spans="1:19" ht="14.25" thickBot="1">
      <c r="A34" s="443" t="s">
        <v>300</v>
      </c>
      <c r="B34" s="54" t="s">
        <v>435</v>
      </c>
      <c r="C34" s="907" t="s">
        <v>1296</v>
      </c>
      <c r="D34" s="902"/>
      <c r="E34" s="902"/>
      <c r="F34" s="902"/>
      <c r="G34" s="902"/>
      <c r="H34" s="902"/>
      <c r="I34" s="902"/>
      <c r="J34" s="903"/>
      <c r="K34" s="54">
        <v>2</v>
      </c>
    </row>
    <row r="35" spans="1:19">
      <c r="A35" s="443" t="s">
        <v>1832</v>
      </c>
      <c r="B35" s="704" t="s">
        <v>451</v>
      </c>
      <c r="C35" s="855" t="s">
        <v>150</v>
      </c>
      <c r="D35" s="855"/>
      <c r="E35" s="855"/>
      <c r="F35" s="855"/>
      <c r="G35" s="856" t="s">
        <v>202</v>
      </c>
      <c r="H35" s="855"/>
      <c r="I35" s="855"/>
      <c r="J35" s="857"/>
      <c r="K35" s="54">
        <v>2</v>
      </c>
    </row>
    <row r="36" spans="1:19" ht="14.25" thickBot="1">
      <c r="A36" s="444" t="s">
        <v>1833</v>
      </c>
      <c r="B36" s="716"/>
      <c r="C36" s="853" t="s">
        <v>203</v>
      </c>
      <c r="D36" s="853"/>
      <c r="E36" s="853"/>
      <c r="F36" s="853"/>
      <c r="G36" s="861" t="s">
        <v>204</v>
      </c>
      <c r="H36" s="853"/>
      <c r="I36" s="853"/>
      <c r="J36" s="862"/>
      <c r="K36" s="63">
        <v>2</v>
      </c>
    </row>
    <row r="37" spans="1:19" ht="23.25" thickBot="1">
      <c r="A37" s="278" t="s">
        <v>1834</v>
      </c>
      <c r="B37" s="298" t="s">
        <v>457</v>
      </c>
      <c r="C37" s="299"/>
      <c r="D37" s="300"/>
      <c r="E37" s="300"/>
      <c r="F37" s="300"/>
      <c r="G37" s="301" t="s">
        <v>1436</v>
      </c>
      <c r="H37" s="301" t="s">
        <v>1435</v>
      </c>
      <c r="I37" s="301" t="s">
        <v>1434</v>
      </c>
      <c r="J37" s="302" t="s">
        <v>1433</v>
      </c>
      <c r="K37" s="303"/>
    </row>
    <row r="38" spans="1:19">
      <c r="A38" s="443" t="s">
        <v>1835</v>
      </c>
      <c r="B38" s="54" t="s">
        <v>446</v>
      </c>
      <c r="C38" s="821" t="s">
        <v>206</v>
      </c>
      <c r="D38" s="821"/>
      <c r="E38" s="821"/>
      <c r="F38" s="821"/>
      <c r="G38" s="821"/>
      <c r="H38" s="821"/>
      <c r="I38" s="821"/>
      <c r="J38" s="822"/>
      <c r="K38" s="54">
        <v>2</v>
      </c>
    </row>
    <row r="39" spans="1:19" ht="14.25" thickBot="1">
      <c r="A39" s="445" t="s">
        <v>1836</v>
      </c>
      <c r="B39" s="64" t="s">
        <v>447</v>
      </c>
      <c r="C39" s="727" t="s">
        <v>207</v>
      </c>
      <c r="D39" s="727"/>
      <c r="E39" s="727"/>
      <c r="F39" s="727"/>
      <c r="G39" s="727"/>
      <c r="H39" s="727"/>
      <c r="I39" s="727"/>
      <c r="J39" s="778"/>
      <c r="K39" s="55">
        <v>1</v>
      </c>
    </row>
    <row r="40" spans="1:19" ht="14.25" thickBot="1">
      <c r="A40" s="176"/>
      <c r="B40" s="156"/>
      <c r="C40" s="156"/>
      <c r="D40" s="176"/>
      <c r="E40" s="176"/>
      <c r="F40" s="156"/>
      <c r="G40" s="156"/>
      <c r="H40" s="176"/>
      <c r="I40" s="176"/>
      <c r="J40" s="156"/>
      <c r="K40" s="156"/>
    </row>
    <row r="41" spans="1:19">
      <c r="A41" s="999" t="s">
        <v>1297</v>
      </c>
      <c r="B41" s="1000"/>
      <c r="C41" s="1000"/>
      <c r="D41" s="1000"/>
      <c r="E41" s="1000"/>
      <c r="F41" s="1000"/>
      <c r="G41" s="1000"/>
      <c r="H41" s="1000"/>
      <c r="I41" s="1000"/>
      <c r="J41" s="1000"/>
      <c r="K41" s="1001"/>
    </row>
    <row r="42" spans="1:19" ht="14.25" thickBot="1">
      <c r="A42" s="161" t="s">
        <v>0</v>
      </c>
      <c r="B42" s="154" t="s">
        <v>448</v>
      </c>
      <c r="C42" s="154" t="s">
        <v>163</v>
      </c>
      <c r="D42" s="154" t="s">
        <v>164</v>
      </c>
      <c r="E42" s="154" t="s">
        <v>165</v>
      </c>
      <c r="F42" s="154" t="s">
        <v>166</v>
      </c>
      <c r="G42" s="154" t="s">
        <v>167</v>
      </c>
      <c r="H42" s="154" t="s">
        <v>168</v>
      </c>
      <c r="I42" s="154" t="s">
        <v>169</v>
      </c>
      <c r="J42" s="154" t="s">
        <v>170</v>
      </c>
      <c r="K42" s="155" t="s">
        <v>175</v>
      </c>
    </row>
    <row r="43" spans="1:19">
      <c r="A43" s="443">
        <v>0</v>
      </c>
      <c r="B43" s="447" t="s">
        <v>431</v>
      </c>
      <c r="C43" s="783" t="s">
        <v>171</v>
      </c>
      <c r="D43" s="784"/>
      <c r="E43" s="784"/>
      <c r="F43" s="784"/>
      <c r="G43" s="784"/>
      <c r="H43" s="784"/>
      <c r="I43" s="784"/>
      <c r="J43" s="785"/>
      <c r="K43" s="443">
        <v>1</v>
      </c>
    </row>
    <row r="44" spans="1:19">
      <c r="A44" s="444" t="s">
        <v>139</v>
      </c>
      <c r="B44" s="448" t="s">
        <v>432</v>
      </c>
      <c r="C44" s="723" t="s">
        <v>172</v>
      </c>
      <c r="D44" s="786"/>
      <c r="E44" s="786"/>
      <c r="F44" s="786"/>
      <c r="G44" s="786"/>
      <c r="H44" s="786"/>
      <c r="I44" s="786"/>
      <c r="J44" s="787"/>
      <c r="K44" s="444">
        <v>2</v>
      </c>
    </row>
    <row r="45" spans="1:19">
      <c r="A45" s="444" t="s">
        <v>176</v>
      </c>
      <c r="B45" s="448" t="s">
        <v>433</v>
      </c>
      <c r="C45" s="723" t="s">
        <v>420</v>
      </c>
      <c r="D45" s="786"/>
      <c r="E45" s="786"/>
      <c r="F45" s="786"/>
      <c r="G45" s="786"/>
      <c r="H45" s="786"/>
      <c r="I45" s="786"/>
      <c r="J45" s="787"/>
      <c r="K45" s="444">
        <v>2</v>
      </c>
    </row>
    <row r="46" spans="1:19">
      <c r="A46" s="444" t="s">
        <v>1430</v>
      </c>
      <c r="B46" s="448" t="s">
        <v>434</v>
      </c>
      <c r="C46" s="722" t="s">
        <v>1432</v>
      </c>
      <c r="D46" s="722"/>
      <c r="E46" s="722"/>
      <c r="F46" s="722"/>
      <c r="G46" s="722"/>
      <c r="H46" s="722"/>
      <c r="I46" s="722"/>
      <c r="J46" s="725"/>
      <c r="K46" s="84">
        <v>2</v>
      </c>
    </row>
    <row r="47" spans="1:19">
      <c r="A47" s="444" t="s">
        <v>180</v>
      </c>
      <c r="B47" s="448" t="s">
        <v>435</v>
      </c>
      <c r="C47" s="858" t="s">
        <v>179</v>
      </c>
      <c r="D47" s="859"/>
      <c r="E47" s="859"/>
      <c r="F47" s="859"/>
      <c r="G47" s="859"/>
      <c r="H47" s="859"/>
      <c r="I47" s="859"/>
      <c r="J47" s="860"/>
      <c r="K47" s="444">
        <v>2</v>
      </c>
    </row>
    <row r="48" spans="1:19">
      <c r="A48" s="444" t="s">
        <v>298</v>
      </c>
      <c r="B48" s="900" t="s">
        <v>436</v>
      </c>
      <c r="C48" s="722" t="s">
        <v>1837</v>
      </c>
      <c r="D48" s="722"/>
      <c r="E48" s="722"/>
      <c r="F48" s="722"/>
      <c r="G48" s="722"/>
      <c r="H48" s="722"/>
      <c r="I48" s="722"/>
      <c r="J48" s="725"/>
      <c r="K48" s="84">
        <v>2</v>
      </c>
      <c r="O48" s="156"/>
      <c r="Q48" s="176"/>
      <c r="S48" s="148"/>
    </row>
    <row r="49" spans="1:19" ht="14.25" thickBot="1">
      <c r="A49" s="444" t="s">
        <v>299</v>
      </c>
      <c r="B49" s="716"/>
      <c r="C49" s="723" t="s">
        <v>1838</v>
      </c>
      <c r="D49" s="786"/>
      <c r="E49" s="786"/>
      <c r="F49" s="786"/>
      <c r="G49" s="786"/>
      <c r="H49" s="786"/>
      <c r="I49" s="786"/>
      <c r="J49" s="787"/>
      <c r="K49" s="444">
        <v>2</v>
      </c>
      <c r="M49" s="450"/>
      <c r="N49" s="450"/>
      <c r="O49" s="450"/>
      <c r="P49" s="450"/>
      <c r="Q49" s="176"/>
      <c r="S49" s="148"/>
    </row>
    <row r="50" spans="1:19" ht="14.25" thickBot="1">
      <c r="A50" s="306" t="s">
        <v>1409</v>
      </c>
      <c r="B50" s="58" t="s">
        <v>435</v>
      </c>
      <c r="C50" s="837" t="s">
        <v>1298</v>
      </c>
      <c r="D50" s="838"/>
      <c r="E50" s="838"/>
      <c r="F50" s="838"/>
      <c r="G50" s="838"/>
      <c r="H50" s="838"/>
      <c r="I50" s="838"/>
      <c r="J50" s="839"/>
      <c r="K50" s="58">
        <v>2</v>
      </c>
      <c r="O50" s="156"/>
      <c r="Q50" s="176"/>
      <c r="S50" s="148"/>
    </row>
    <row r="51" spans="1:19">
      <c r="A51" s="306" t="s">
        <v>1063</v>
      </c>
      <c r="B51" s="709" t="s">
        <v>1300</v>
      </c>
      <c r="C51" s="1037" t="s">
        <v>1299</v>
      </c>
      <c r="D51" s="1038"/>
      <c r="E51" s="1038"/>
      <c r="F51" s="1038"/>
      <c r="G51" s="1038"/>
      <c r="H51" s="1038"/>
      <c r="I51" s="1038"/>
      <c r="J51" s="1039"/>
      <c r="K51" s="63">
        <v>2</v>
      </c>
      <c r="O51" s="156"/>
      <c r="Q51" s="176"/>
      <c r="S51" s="148"/>
    </row>
    <row r="52" spans="1:19">
      <c r="A52" s="306" t="s">
        <v>1064</v>
      </c>
      <c r="B52" s="717"/>
      <c r="C52" s="1012" t="s">
        <v>1301</v>
      </c>
      <c r="D52" s="1013"/>
      <c r="E52" s="1013"/>
      <c r="F52" s="1013"/>
      <c r="G52" s="1013"/>
      <c r="H52" s="1013"/>
      <c r="I52" s="1013"/>
      <c r="J52" s="1014"/>
      <c r="K52" s="228">
        <v>2</v>
      </c>
      <c r="O52" s="156"/>
      <c r="Q52" s="176"/>
      <c r="S52" s="148"/>
    </row>
    <row r="53" spans="1:19">
      <c r="A53" s="306" t="s">
        <v>1065</v>
      </c>
      <c r="B53" s="717"/>
      <c r="C53" s="1012" t="s">
        <v>1302</v>
      </c>
      <c r="D53" s="1013"/>
      <c r="E53" s="1013"/>
      <c r="F53" s="1013"/>
      <c r="G53" s="1013"/>
      <c r="H53" s="1013"/>
      <c r="I53" s="1013"/>
      <c r="J53" s="1014"/>
      <c r="K53" s="228">
        <v>2</v>
      </c>
      <c r="O53" s="156"/>
      <c r="Q53" s="176"/>
      <c r="S53" s="148"/>
    </row>
    <row r="54" spans="1:19">
      <c r="A54" s="306" t="s">
        <v>1066</v>
      </c>
      <c r="B54" s="717"/>
      <c r="C54" s="1012" t="s">
        <v>1303</v>
      </c>
      <c r="D54" s="1013"/>
      <c r="E54" s="1013"/>
      <c r="F54" s="1013"/>
      <c r="G54" s="1013"/>
      <c r="H54" s="1013"/>
      <c r="I54" s="1013"/>
      <c r="J54" s="1014"/>
      <c r="K54" s="237">
        <v>2</v>
      </c>
      <c r="O54" s="156"/>
      <c r="Q54" s="176"/>
      <c r="S54" s="148"/>
    </row>
    <row r="55" spans="1:19">
      <c r="A55" s="306" t="s">
        <v>1067</v>
      </c>
      <c r="B55" s="717"/>
      <c r="C55" s="1012" t="s">
        <v>1304</v>
      </c>
      <c r="D55" s="1013"/>
      <c r="E55" s="1013"/>
      <c r="F55" s="1013"/>
      <c r="G55" s="1013"/>
      <c r="H55" s="1013"/>
      <c r="I55" s="1013"/>
      <c r="J55" s="1014"/>
      <c r="K55" s="63">
        <v>2</v>
      </c>
      <c r="O55" s="156"/>
      <c r="Q55" s="176"/>
      <c r="S55" s="148"/>
    </row>
    <row r="56" spans="1:19" ht="14.25" thickBot="1">
      <c r="A56" s="306" t="s">
        <v>1068</v>
      </c>
      <c r="B56" s="716"/>
      <c r="C56" s="1015" t="s">
        <v>1305</v>
      </c>
      <c r="D56" s="1016"/>
      <c r="E56" s="1016"/>
      <c r="F56" s="1016"/>
      <c r="G56" s="1016"/>
      <c r="H56" s="1016"/>
      <c r="I56" s="1016"/>
      <c r="J56" s="1017"/>
      <c r="K56" s="199">
        <v>2</v>
      </c>
      <c r="O56" s="156"/>
      <c r="Q56" s="176"/>
      <c r="S56" s="148"/>
    </row>
    <row r="57" spans="1:19" ht="14.25" thickBot="1">
      <c r="A57" s="306" t="s">
        <v>1069</v>
      </c>
      <c r="B57" s="54" t="s">
        <v>1307</v>
      </c>
      <c r="C57" s="1009" t="s">
        <v>1306</v>
      </c>
      <c r="D57" s="1010"/>
      <c r="E57" s="1010"/>
      <c r="F57" s="1010"/>
      <c r="G57" s="1010"/>
      <c r="H57" s="1010"/>
      <c r="I57" s="1010"/>
      <c r="J57" s="1011"/>
      <c r="K57" s="55">
        <v>2</v>
      </c>
      <c r="O57" s="156"/>
      <c r="Q57" s="176"/>
      <c r="S57" s="148"/>
    </row>
    <row r="58" spans="1:19" ht="14.25" customHeight="1" thickBot="1">
      <c r="A58" s="306" t="s">
        <v>1070</v>
      </c>
      <c r="B58" s="54" t="s">
        <v>1309</v>
      </c>
      <c r="C58" s="1006" t="s">
        <v>1308</v>
      </c>
      <c r="D58" s="1007"/>
      <c r="E58" s="1007"/>
      <c r="F58" s="1007"/>
      <c r="G58" s="1007"/>
      <c r="H58" s="1007"/>
      <c r="I58" s="1007"/>
      <c r="J58" s="1008"/>
      <c r="K58" s="55">
        <v>2</v>
      </c>
      <c r="O58" s="156"/>
      <c r="Q58" s="176"/>
      <c r="S58" s="148"/>
    </row>
    <row r="59" spans="1:19">
      <c r="A59" s="306" t="s">
        <v>1071</v>
      </c>
      <c r="B59" s="708" t="s">
        <v>1311</v>
      </c>
      <c r="C59" s="1024" t="s">
        <v>1310</v>
      </c>
      <c r="D59" s="1025"/>
      <c r="E59" s="1025"/>
      <c r="F59" s="1025"/>
      <c r="G59" s="1025"/>
      <c r="H59" s="1025"/>
      <c r="I59" s="1025"/>
      <c r="J59" s="1026"/>
      <c r="K59" s="708" t="s">
        <v>1852</v>
      </c>
      <c r="O59" s="156"/>
      <c r="Q59" s="176"/>
      <c r="S59" s="148"/>
    </row>
    <row r="60" spans="1:19">
      <c r="A60" s="306" t="s">
        <v>1072</v>
      </c>
      <c r="B60" s="709"/>
      <c r="C60" s="1027"/>
      <c r="D60" s="1028"/>
      <c r="E60" s="1028"/>
      <c r="F60" s="1028"/>
      <c r="G60" s="1028"/>
      <c r="H60" s="1028"/>
      <c r="I60" s="1028"/>
      <c r="J60" s="1029"/>
      <c r="K60" s="717"/>
      <c r="O60" s="156"/>
      <c r="Q60" s="176"/>
      <c r="S60" s="148"/>
    </row>
    <row r="61" spans="1:19">
      <c r="A61" s="306" t="s">
        <v>556</v>
      </c>
      <c r="B61" s="709"/>
      <c r="C61" s="1027"/>
      <c r="D61" s="1028"/>
      <c r="E61" s="1028"/>
      <c r="F61" s="1028"/>
      <c r="G61" s="1028"/>
      <c r="H61" s="1028"/>
      <c r="I61" s="1028"/>
      <c r="J61" s="1029"/>
      <c r="K61" s="717"/>
      <c r="O61" s="156"/>
      <c r="Q61" s="176"/>
      <c r="S61" s="148"/>
    </row>
    <row r="62" spans="1:19" ht="14.25" thickBot="1">
      <c r="A62" s="306" t="s">
        <v>1073</v>
      </c>
      <c r="B62" s="710"/>
      <c r="C62" s="1030"/>
      <c r="D62" s="1031"/>
      <c r="E62" s="1031"/>
      <c r="F62" s="1031"/>
      <c r="G62" s="1031"/>
      <c r="H62" s="1031"/>
      <c r="I62" s="1031"/>
      <c r="J62" s="1032"/>
      <c r="K62" s="716"/>
      <c r="O62" s="156"/>
      <c r="Q62" s="176"/>
      <c r="S62" s="148"/>
    </row>
    <row r="63" spans="1:19">
      <c r="A63" s="278" t="s">
        <v>1445</v>
      </c>
      <c r="B63" s="840" t="s">
        <v>1370</v>
      </c>
      <c r="C63" s="843" t="s">
        <v>1367</v>
      </c>
      <c r="D63" s="844"/>
      <c r="E63" s="844"/>
      <c r="F63" s="844"/>
      <c r="G63" s="844"/>
      <c r="H63" s="844"/>
      <c r="I63" s="844"/>
      <c r="J63" s="845"/>
      <c r="K63" s="278">
        <v>4</v>
      </c>
      <c r="M63" s="1043">
        <v>1</v>
      </c>
      <c r="O63" s="156"/>
      <c r="Q63" s="176"/>
      <c r="S63" s="148"/>
    </row>
    <row r="64" spans="1:19" ht="14.25" thickBot="1">
      <c r="A64" s="304" t="s">
        <v>1446</v>
      </c>
      <c r="B64" s="983"/>
      <c r="C64" s="984" t="s">
        <v>1368</v>
      </c>
      <c r="D64" s="985"/>
      <c r="E64" s="985"/>
      <c r="F64" s="985"/>
      <c r="G64" s="985"/>
      <c r="H64" s="985"/>
      <c r="I64" s="985"/>
      <c r="J64" s="986"/>
      <c r="K64" s="304">
        <v>6</v>
      </c>
      <c r="M64" s="1043"/>
      <c r="O64" s="156"/>
      <c r="Q64" s="176"/>
      <c r="S64" s="148"/>
    </row>
    <row r="65" spans="1:19">
      <c r="A65" s="305" t="s">
        <v>1447</v>
      </c>
      <c r="B65" s="982" t="s">
        <v>1369</v>
      </c>
      <c r="C65" s="987" t="s">
        <v>1367</v>
      </c>
      <c r="D65" s="988"/>
      <c r="E65" s="988"/>
      <c r="F65" s="988"/>
      <c r="G65" s="988"/>
      <c r="H65" s="988"/>
      <c r="I65" s="988"/>
      <c r="J65" s="989"/>
      <c r="K65" s="278">
        <v>4</v>
      </c>
      <c r="M65" s="1043">
        <v>2</v>
      </c>
      <c r="O65" s="156"/>
      <c r="Q65" s="176"/>
      <c r="S65" s="148"/>
    </row>
    <row r="66" spans="1:19" ht="13.5" customHeight="1" thickBot="1">
      <c r="A66" s="304" t="s">
        <v>1448</v>
      </c>
      <c r="B66" s="983"/>
      <c r="C66" s="984" t="s">
        <v>1368</v>
      </c>
      <c r="D66" s="985"/>
      <c r="E66" s="985"/>
      <c r="F66" s="985"/>
      <c r="G66" s="985"/>
      <c r="H66" s="985"/>
      <c r="I66" s="985"/>
      <c r="J66" s="986"/>
      <c r="K66" s="304">
        <v>6</v>
      </c>
      <c r="M66" s="1043"/>
      <c r="O66" s="156"/>
      <c r="Q66" s="176"/>
      <c r="S66" s="148"/>
    </row>
    <row r="67" spans="1:19" ht="13.5" customHeight="1">
      <c r="A67" s="305" t="s">
        <v>1449</v>
      </c>
      <c r="B67" s="982" t="s">
        <v>1371</v>
      </c>
      <c r="C67" s="987" t="s">
        <v>1031</v>
      </c>
      <c r="D67" s="988"/>
      <c r="E67" s="988"/>
      <c r="F67" s="988"/>
      <c r="G67" s="988"/>
      <c r="H67" s="988"/>
      <c r="I67" s="988"/>
      <c r="J67" s="989"/>
      <c r="K67" s="278">
        <v>4</v>
      </c>
      <c r="M67" s="1043">
        <v>3</v>
      </c>
      <c r="O67" s="156"/>
      <c r="Q67" s="176"/>
      <c r="S67" s="148"/>
    </row>
    <row r="68" spans="1:19" ht="14.25" thickBot="1">
      <c r="A68" s="304" t="s">
        <v>1450</v>
      </c>
      <c r="B68" s="983"/>
      <c r="C68" s="984" t="s">
        <v>1368</v>
      </c>
      <c r="D68" s="985"/>
      <c r="E68" s="985"/>
      <c r="F68" s="985"/>
      <c r="G68" s="985"/>
      <c r="H68" s="985"/>
      <c r="I68" s="985"/>
      <c r="J68" s="986"/>
      <c r="K68" s="304">
        <v>6</v>
      </c>
      <c r="M68" s="1043"/>
      <c r="O68" s="156"/>
      <c r="Q68" s="176"/>
      <c r="S68" s="148"/>
    </row>
    <row r="69" spans="1:19">
      <c r="A69" s="305" t="s">
        <v>1451</v>
      </c>
      <c r="B69" s="982" t="s">
        <v>1371</v>
      </c>
      <c r="C69" s="987" t="s">
        <v>1367</v>
      </c>
      <c r="D69" s="988"/>
      <c r="E69" s="988"/>
      <c r="F69" s="988"/>
      <c r="G69" s="988"/>
      <c r="H69" s="988"/>
      <c r="I69" s="988"/>
      <c r="J69" s="989"/>
      <c r="K69" s="278">
        <v>4</v>
      </c>
      <c r="M69" s="1043">
        <v>4</v>
      </c>
      <c r="O69" s="156"/>
      <c r="Q69" s="176"/>
      <c r="S69" s="148"/>
    </row>
    <row r="70" spans="1:19" ht="14.25" thickBot="1">
      <c r="A70" s="304" t="s">
        <v>1452</v>
      </c>
      <c r="B70" s="983"/>
      <c r="C70" s="984" t="s">
        <v>1368</v>
      </c>
      <c r="D70" s="985"/>
      <c r="E70" s="985"/>
      <c r="F70" s="985"/>
      <c r="G70" s="985"/>
      <c r="H70" s="985"/>
      <c r="I70" s="985"/>
      <c r="J70" s="986"/>
      <c r="K70" s="304">
        <v>6</v>
      </c>
      <c r="M70" s="1043"/>
      <c r="O70" s="156"/>
      <c r="Q70" s="176"/>
      <c r="S70" s="148"/>
    </row>
    <row r="71" spans="1:19">
      <c r="A71" s="305" t="s">
        <v>1453</v>
      </c>
      <c r="B71" s="982" t="s">
        <v>1372</v>
      </c>
      <c r="C71" s="987" t="s">
        <v>1367</v>
      </c>
      <c r="D71" s="988"/>
      <c r="E71" s="988"/>
      <c r="F71" s="988"/>
      <c r="G71" s="988"/>
      <c r="H71" s="988"/>
      <c r="I71" s="988"/>
      <c r="J71" s="989"/>
      <c r="K71" s="278">
        <v>4</v>
      </c>
      <c r="M71" s="1043">
        <v>5</v>
      </c>
      <c r="O71" s="156"/>
      <c r="Q71" s="176"/>
      <c r="S71" s="148"/>
    </row>
    <row r="72" spans="1:19" ht="14.25" thickBot="1">
      <c r="A72" s="304" t="s">
        <v>1454</v>
      </c>
      <c r="B72" s="983"/>
      <c r="C72" s="984" t="s">
        <v>1368</v>
      </c>
      <c r="D72" s="985"/>
      <c r="E72" s="985"/>
      <c r="F72" s="985"/>
      <c r="G72" s="985"/>
      <c r="H72" s="985"/>
      <c r="I72" s="985"/>
      <c r="J72" s="986"/>
      <c r="K72" s="304">
        <v>6</v>
      </c>
      <c r="M72" s="1043"/>
      <c r="O72" s="156"/>
      <c r="Q72" s="176"/>
      <c r="S72" s="148"/>
    </row>
    <row r="73" spans="1:19">
      <c r="A73" s="305" t="s">
        <v>1455</v>
      </c>
      <c r="B73" s="1033" t="s">
        <v>33</v>
      </c>
      <c r="C73" s="846" t="s">
        <v>1367</v>
      </c>
      <c r="D73" s="847"/>
      <c r="E73" s="847"/>
      <c r="F73" s="847"/>
      <c r="G73" s="847"/>
      <c r="H73" s="847"/>
      <c r="I73" s="847"/>
      <c r="J73" s="848"/>
      <c r="K73" s="278">
        <v>4</v>
      </c>
      <c r="M73" s="1043">
        <v>6</v>
      </c>
      <c r="O73" s="156"/>
      <c r="Q73" s="176"/>
      <c r="S73" s="148"/>
    </row>
    <row r="74" spans="1:19" ht="14.25" thickBot="1">
      <c r="A74" s="304" t="s">
        <v>1456</v>
      </c>
      <c r="B74" s="983"/>
      <c r="C74" s="984" t="s">
        <v>1368</v>
      </c>
      <c r="D74" s="985"/>
      <c r="E74" s="985"/>
      <c r="F74" s="985"/>
      <c r="G74" s="985"/>
      <c r="H74" s="985"/>
      <c r="I74" s="985"/>
      <c r="J74" s="986"/>
      <c r="K74" s="304">
        <v>6</v>
      </c>
      <c r="M74" s="1043"/>
      <c r="O74" s="156"/>
      <c r="Q74" s="176"/>
      <c r="S74" s="148"/>
    </row>
    <row r="75" spans="1:19">
      <c r="A75" s="305" t="s">
        <v>1457</v>
      </c>
      <c r="B75" s="982" t="s">
        <v>1373</v>
      </c>
      <c r="C75" s="846" t="s">
        <v>1367</v>
      </c>
      <c r="D75" s="847"/>
      <c r="E75" s="847"/>
      <c r="F75" s="847"/>
      <c r="G75" s="847"/>
      <c r="H75" s="847"/>
      <c r="I75" s="847"/>
      <c r="J75" s="848"/>
      <c r="K75" s="278">
        <v>4</v>
      </c>
      <c r="M75" s="1043">
        <v>7</v>
      </c>
      <c r="O75" s="156"/>
      <c r="Q75" s="176"/>
      <c r="S75" s="148"/>
    </row>
    <row r="76" spans="1:19" ht="14.25" thickBot="1">
      <c r="A76" s="304" t="s">
        <v>1458</v>
      </c>
      <c r="B76" s="983"/>
      <c r="C76" s="984" t="s">
        <v>1368</v>
      </c>
      <c r="D76" s="985"/>
      <c r="E76" s="985"/>
      <c r="F76" s="985"/>
      <c r="G76" s="985"/>
      <c r="H76" s="985"/>
      <c r="I76" s="985"/>
      <c r="J76" s="986"/>
      <c r="K76" s="304">
        <v>6</v>
      </c>
      <c r="M76" s="1043"/>
      <c r="O76" s="156"/>
      <c r="Q76" s="176"/>
      <c r="S76" s="148"/>
    </row>
    <row r="77" spans="1:19">
      <c r="A77" s="305" t="s">
        <v>1459</v>
      </c>
      <c r="B77" s="982" t="s">
        <v>1374</v>
      </c>
      <c r="C77" s="987" t="s">
        <v>1367</v>
      </c>
      <c r="D77" s="988"/>
      <c r="E77" s="988"/>
      <c r="F77" s="988"/>
      <c r="G77" s="988"/>
      <c r="H77" s="988"/>
      <c r="I77" s="988"/>
      <c r="J77" s="989"/>
      <c r="K77" s="278">
        <v>4</v>
      </c>
      <c r="M77" s="1043">
        <v>8</v>
      </c>
      <c r="O77" s="156"/>
      <c r="Q77" s="176"/>
      <c r="S77" s="148"/>
    </row>
    <row r="78" spans="1:19" ht="14.25" thickBot="1">
      <c r="A78" s="304" t="s">
        <v>1460</v>
      </c>
      <c r="B78" s="983"/>
      <c r="C78" s="984" t="s">
        <v>1368</v>
      </c>
      <c r="D78" s="985"/>
      <c r="E78" s="985"/>
      <c r="F78" s="985"/>
      <c r="G78" s="985"/>
      <c r="H78" s="985"/>
      <c r="I78" s="985"/>
      <c r="J78" s="986"/>
      <c r="K78" s="304">
        <v>6</v>
      </c>
      <c r="M78" s="1043"/>
      <c r="O78" s="156"/>
      <c r="Q78" s="176"/>
      <c r="S78" s="148"/>
    </row>
    <row r="79" spans="1:19">
      <c r="A79" s="305" t="s">
        <v>1461</v>
      </c>
      <c r="B79" s="982" t="s">
        <v>1375</v>
      </c>
      <c r="C79" s="987" t="s">
        <v>1367</v>
      </c>
      <c r="D79" s="988"/>
      <c r="E79" s="988"/>
      <c r="F79" s="988"/>
      <c r="G79" s="988"/>
      <c r="H79" s="988"/>
      <c r="I79" s="988"/>
      <c r="J79" s="989"/>
      <c r="K79" s="278">
        <v>4</v>
      </c>
      <c r="M79" s="1043">
        <v>9</v>
      </c>
      <c r="O79" s="156"/>
      <c r="Q79" s="176"/>
      <c r="S79" s="148"/>
    </row>
    <row r="80" spans="1:19" ht="14.25" thickBot="1">
      <c r="A80" s="304" t="s">
        <v>1462</v>
      </c>
      <c r="B80" s="983"/>
      <c r="C80" s="984" t="s">
        <v>1368</v>
      </c>
      <c r="D80" s="985"/>
      <c r="E80" s="985"/>
      <c r="F80" s="985"/>
      <c r="G80" s="985"/>
      <c r="H80" s="985"/>
      <c r="I80" s="985"/>
      <c r="J80" s="986"/>
      <c r="K80" s="304">
        <v>6</v>
      </c>
      <c r="M80" s="1043"/>
      <c r="O80" s="156"/>
      <c r="Q80" s="176"/>
      <c r="S80" s="148"/>
    </row>
    <row r="81" spans="1:19">
      <c r="A81" s="305" t="s">
        <v>1463</v>
      </c>
      <c r="B81" s="982" t="s">
        <v>1376</v>
      </c>
      <c r="C81" s="987" t="s">
        <v>1367</v>
      </c>
      <c r="D81" s="988"/>
      <c r="E81" s="988"/>
      <c r="F81" s="988"/>
      <c r="G81" s="988"/>
      <c r="H81" s="988"/>
      <c r="I81" s="988"/>
      <c r="J81" s="989"/>
      <c r="K81" s="278">
        <v>4</v>
      </c>
      <c r="M81" s="1043">
        <v>10</v>
      </c>
      <c r="O81" s="156"/>
      <c r="Q81" s="176"/>
      <c r="S81" s="148"/>
    </row>
    <row r="82" spans="1:19" ht="14.25" thickBot="1">
      <c r="A82" s="304" t="s">
        <v>1464</v>
      </c>
      <c r="B82" s="983"/>
      <c r="C82" s="984" t="s">
        <v>1368</v>
      </c>
      <c r="D82" s="985"/>
      <c r="E82" s="985"/>
      <c r="F82" s="985"/>
      <c r="G82" s="985"/>
      <c r="H82" s="985"/>
      <c r="I82" s="985"/>
      <c r="J82" s="986"/>
      <c r="K82" s="304">
        <v>6</v>
      </c>
      <c r="M82" s="1043"/>
      <c r="O82" s="156"/>
      <c r="Q82" s="176"/>
      <c r="S82" s="148"/>
    </row>
    <row r="83" spans="1:19">
      <c r="A83" s="305" t="s">
        <v>1465</v>
      </c>
      <c r="B83" s="982" t="s">
        <v>1377</v>
      </c>
      <c r="C83" s="846" t="s">
        <v>1367</v>
      </c>
      <c r="D83" s="847"/>
      <c r="E83" s="847"/>
      <c r="F83" s="847"/>
      <c r="G83" s="847"/>
      <c r="H83" s="847"/>
      <c r="I83" s="847"/>
      <c r="J83" s="848"/>
      <c r="K83" s="278">
        <v>4</v>
      </c>
      <c r="M83" s="1043">
        <v>11</v>
      </c>
      <c r="O83" s="156"/>
      <c r="Q83" s="176"/>
      <c r="S83" s="148"/>
    </row>
    <row r="84" spans="1:19" ht="14.25" thickBot="1">
      <c r="A84" s="304" t="s">
        <v>1466</v>
      </c>
      <c r="B84" s="983"/>
      <c r="C84" s="984" t="s">
        <v>1368</v>
      </c>
      <c r="D84" s="985"/>
      <c r="E84" s="985"/>
      <c r="F84" s="985"/>
      <c r="G84" s="985"/>
      <c r="H84" s="985"/>
      <c r="I84" s="985"/>
      <c r="J84" s="986"/>
      <c r="K84" s="304">
        <v>6</v>
      </c>
      <c r="M84" s="1043"/>
      <c r="O84" s="156"/>
      <c r="Q84" s="176"/>
      <c r="S84" s="148"/>
    </row>
    <row r="85" spans="1:19">
      <c r="A85" s="305" t="s">
        <v>1467</v>
      </c>
      <c r="B85" s="982" t="s">
        <v>1</v>
      </c>
      <c r="C85" s="846" t="s">
        <v>1367</v>
      </c>
      <c r="D85" s="847"/>
      <c r="E85" s="847"/>
      <c r="F85" s="847"/>
      <c r="G85" s="847"/>
      <c r="H85" s="847"/>
      <c r="I85" s="847"/>
      <c r="J85" s="848"/>
      <c r="K85" s="278">
        <v>4</v>
      </c>
      <c r="M85" s="1043">
        <v>12</v>
      </c>
      <c r="O85" s="156"/>
      <c r="Q85" s="176"/>
      <c r="S85" s="148"/>
    </row>
    <row r="86" spans="1:19" ht="14.25" thickBot="1">
      <c r="A86" s="304" t="s">
        <v>1468</v>
      </c>
      <c r="B86" s="983"/>
      <c r="C86" s="984" t="s">
        <v>1368</v>
      </c>
      <c r="D86" s="985"/>
      <c r="E86" s="985"/>
      <c r="F86" s="985"/>
      <c r="G86" s="985"/>
      <c r="H86" s="985"/>
      <c r="I86" s="985"/>
      <c r="J86" s="986"/>
      <c r="K86" s="304">
        <v>6</v>
      </c>
      <c r="M86" s="1043"/>
      <c r="O86" s="156"/>
      <c r="Q86" s="176"/>
      <c r="S86" s="148"/>
    </row>
    <row r="87" spans="1:19">
      <c r="A87" s="305" t="s">
        <v>1469</v>
      </c>
      <c r="B87" s="982" t="s">
        <v>1378</v>
      </c>
      <c r="C87" s="987" t="s">
        <v>1367</v>
      </c>
      <c r="D87" s="988"/>
      <c r="E87" s="988"/>
      <c r="F87" s="988"/>
      <c r="G87" s="988"/>
      <c r="H87" s="988"/>
      <c r="I87" s="988"/>
      <c r="J87" s="989"/>
      <c r="K87" s="278">
        <v>4</v>
      </c>
      <c r="M87" s="1043">
        <v>13</v>
      </c>
      <c r="O87" s="156"/>
      <c r="Q87" s="176"/>
      <c r="S87" s="148"/>
    </row>
    <row r="88" spans="1:19" ht="14.25" thickBot="1">
      <c r="A88" s="304" t="s">
        <v>1470</v>
      </c>
      <c r="B88" s="983"/>
      <c r="C88" s="984" t="s">
        <v>1368</v>
      </c>
      <c r="D88" s="985"/>
      <c r="E88" s="985"/>
      <c r="F88" s="985"/>
      <c r="G88" s="985"/>
      <c r="H88" s="985"/>
      <c r="I88" s="985"/>
      <c r="J88" s="986"/>
      <c r="K88" s="304">
        <v>6</v>
      </c>
      <c r="M88" s="1043"/>
      <c r="O88" s="156"/>
      <c r="Q88" s="176"/>
      <c r="S88" s="148"/>
    </row>
    <row r="89" spans="1:19">
      <c r="A89" s="305" t="s">
        <v>1471</v>
      </c>
      <c r="B89" s="982" t="s">
        <v>1379</v>
      </c>
      <c r="C89" s="987" t="s">
        <v>1367</v>
      </c>
      <c r="D89" s="988"/>
      <c r="E89" s="988"/>
      <c r="F89" s="988"/>
      <c r="G89" s="988"/>
      <c r="H89" s="988"/>
      <c r="I89" s="988"/>
      <c r="J89" s="989"/>
      <c r="K89" s="278">
        <v>4</v>
      </c>
      <c r="M89" s="1043">
        <v>14</v>
      </c>
      <c r="O89" s="156"/>
      <c r="Q89" s="176"/>
      <c r="S89" s="148"/>
    </row>
    <row r="90" spans="1:19" ht="14.25" thickBot="1">
      <c r="A90" s="304" t="s">
        <v>1472</v>
      </c>
      <c r="B90" s="983"/>
      <c r="C90" s="984" t="s">
        <v>1368</v>
      </c>
      <c r="D90" s="985"/>
      <c r="E90" s="985"/>
      <c r="F90" s="985"/>
      <c r="G90" s="985"/>
      <c r="H90" s="985"/>
      <c r="I90" s="985"/>
      <c r="J90" s="986"/>
      <c r="K90" s="304">
        <v>6</v>
      </c>
      <c r="M90" s="1043"/>
      <c r="O90" s="156"/>
      <c r="Q90" s="176"/>
      <c r="S90" s="148"/>
    </row>
    <row r="91" spans="1:19">
      <c r="A91" s="305" t="s">
        <v>1473</v>
      </c>
      <c r="B91" s="982" t="s">
        <v>1380</v>
      </c>
      <c r="C91" s="987" t="s">
        <v>1367</v>
      </c>
      <c r="D91" s="988"/>
      <c r="E91" s="988"/>
      <c r="F91" s="988"/>
      <c r="G91" s="988"/>
      <c r="H91" s="988"/>
      <c r="I91" s="988"/>
      <c r="J91" s="989"/>
      <c r="K91" s="278">
        <v>4</v>
      </c>
      <c r="M91" s="1043">
        <v>15</v>
      </c>
      <c r="O91" s="156"/>
      <c r="Q91" s="176"/>
      <c r="S91" s="148"/>
    </row>
    <row r="92" spans="1:19" ht="14.25" thickBot="1">
      <c r="A92" s="304" t="s">
        <v>1474</v>
      </c>
      <c r="B92" s="983"/>
      <c r="C92" s="984" t="s">
        <v>1368</v>
      </c>
      <c r="D92" s="985"/>
      <c r="E92" s="985"/>
      <c r="F92" s="985"/>
      <c r="G92" s="985"/>
      <c r="H92" s="985"/>
      <c r="I92" s="985"/>
      <c r="J92" s="986"/>
      <c r="K92" s="304">
        <v>6</v>
      </c>
      <c r="M92" s="1043"/>
      <c r="O92" s="156"/>
      <c r="Q92" s="176"/>
      <c r="S92" s="148"/>
    </row>
    <row r="93" spans="1:19">
      <c r="A93" s="305" t="s">
        <v>1475</v>
      </c>
      <c r="B93" s="982" t="s">
        <v>1381</v>
      </c>
      <c r="C93" s="846" t="s">
        <v>1367</v>
      </c>
      <c r="D93" s="847"/>
      <c r="E93" s="847"/>
      <c r="F93" s="847"/>
      <c r="G93" s="847"/>
      <c r="H93" s="847"/>
      <c r="I93" s="847"/>
      <c r="J93" s="848"/>
      <c r="K93" s="278">
        <v>4</v>
      </c>
      <c r="M93" s="1043">
        <v>16</v>
      </c>
      <c r="O93" s="156"/>
      <c r="Q93" s="176"/>
      <c r="S93" s="148"/>
    </row>
    <row r="94" spans="1:19" ht="14.25" thickBot="1">
      <c r="A94" s="304" t="s">
        <v>1476</v>
      </c>
      <c r="B94" s="983"/>
      <c r="C94" s="984" t="s">
        <v>1368</v>
      </c>
      <c r="D94" s="985"/>
      <c r="E94" s="985"/>
      <c r="F94" s="985"/>
      <c r="G94" s="985"/>
      <c r="H94" s="985"/>
      <c r="I94" s="985"/>
      <c r="J94" s="986"/>
      <c r="K94" s="304">
        <v>6</v>
      </c>
      <c r="M94" s="1043"/>
      <c r="O94" s="156"/>
      <c r="Q94" s="176"/>
      <c r="S94" s="148"/>
    </row>
    <row r="95" spans="1:19">
      <c r="A95" s="305" t="s">
        <v>1477</v>
      </c>
      <c r="B95" s="982" t="s">
        <v>1382</v>
      </c>
      <c r="C95" s="846" t="s">
        <v>1367</v>
      </c>
      <c r="D95" s="847"/>
      <c r="E95" s="847"/>
      <c r="F95" s="847"/>
      <c r="G95" s="847"/>
      <c r="H95" s="847"/>
      <c r="I95" s="847"/>
      <c r="J95" s="848"/>
      <c r="K95" s="278">
        <v>4</v>
      </c>
      <c r="M95" s="1043">
        <v>17</v>
      </c>
      <c r="O95" s="156"/>
      <c r="Q95" s="176"/>
      <c r="S95" s="148"/>
    </row>
    <row r="96" spans="1:19" ht="14.25" thickBot="1">
      <c r="A96" s="304" t="s">
        <v>1478</v>
      </c>
      <c r="B96" s="983"/>
      <c r="C96" s="984" t="s">
        <v>1368</v>
      </c>
      <c r="D96" s="985"/>
      <c r="E96" s="985"/>
      <c r="F96" s="985"/>
      <c r="G96" s="985"/>
      <c r="H96" s="985"/>
      <c r="I96" s="985"/>
      <c r="J96" s="986"/>
      <c r="K96" s="304">
        <v>6</v>
      </c>
      <c r="M96" s="1043"/>
      <c r="O96" s="156"/>
      <c r="Q96" s="176"/>
      <c r="S96" s="148"/>
    </row>
    <row r="97" spans="1:19">
      <c r="A97" s="305" t="s">
        <v>1479</v>
      </c>
      <c r="B97" s="982" t="s">
        <v>1383</v>
      </c>
      <c r="C97" s="987" t="s">
        <v>1367</v>
      </c>
      <c r="D97" s="988"/>
      <c r="E97" s="988"/>
      <c r="F97" s="988"/>
      <c r="G97" s="988"/>
      <c r="H97" s="988"/>
      <c r="I97" s="988"/>
      <c r="J97" s="989"/>
      <c r="K97" s="278">
        <v>4</v>
      </c>
      <c r="M97" s="1043">
        <v>18</v>
      </c>
      <c r="O97" s="156"/>
      <c r="Q97" s="176"/>
      <c r="S97" s="148"/>
    </row>
    <row r="98" spans="1:19" ht="14.25" thickBot="1">
      <c r="A98" s="304" t="s">
        <v>1480</v>
      </c>
      <c r="B98" s="983"/>
      <c r="C98" s="984" t="s">
        <v>1368</v>
      </c>
      <c r="D98" s="985"/>
      <c r="E98" s="985"/>
      <c r="F98" s="985"/>
      <c r="G98" s="985"/>
      <c r="H98" s="985"/>
      <c r="I98" s="985"/>
      <c r="J98" s="986"/>
      <c r="K98" s="304">
        <v>6</v>
      </c>
      <c r="M98" s="1043"/>
      <c r="O98" s="156"/>
      <c r="Q98" s="176"/>
      <c r="S98" s="148"/>
    </row>
    <row r="99" spans="1:19">
      <c r="A99" s="305" t="s">
        <v>1481</v>
      </c>
      <c r="B99" s="982" t="s">
        <v>1384</v>
      </c>
      <c r="C99" s="987" t="s">
        <v>1367</v>
      </c>
      <c r="D99" s="988"/>
      <c r="E99" s="988"/>
      <c r="F99" s="988"/>
      <c r="G99" s="988"/>
      <c r="H99" s="988"/>
      <c r="I99" s="988"/>
      <c r="J99" s="989"/>
      <c r="K99" s="278">
        <v>4</v>
      </c>
      <c r="M99" s="1043">
        <v>19</v>
      </c>
      <c r="O99" s="156"/>
      <c r="Q99" s="176"/>
      <c r="S99" s="148"/>
    </row>
    <row r="100" spans="1:19" ht="14.25" thickBot="1">
      <c r="A100" s="304" t="s">
        <v>1482</v>
      </c>
      <c r="B100" s="983"/>
      <c r="C100" s="984" t="s">
        <v>1368</v>
      </c>
      <c r="D100" s="985"/>
      <c r="E100" s="985"/>
      <c r="F100" s="985"/>
      <c r="G100" s="985"/>
      <c r="H100" s="985"/>
      <c r="I100" s="985"/>
      <c r="J100" s="986"/>
      <c r="K100" s="304">
        <v>6</v>
      </c>
      <c r="M100" s="1043"/>
      <c r="O100" s="156"/>
      <c r="Q100" s="176"/>
      <c r="S100" s="148"/>
    </row>
    <row r="101" spans="1:19">
      <c r="A101" s="305" t="s">
        <v>1483</v>
      </c>
      <c r="B101" s="982" t="s">
        <v>10</v>
      </c>
      <c r="C101" s="987" t="s">
        <v>1367</v>
      </c>
      <c r="D101" s="988"/>
      <c r="E101" s="988"/>
      <c r="F101" s="988"/>
      <c r="G101" s="988"/>
      <c r="H101" s="988"/>
      <c r="I101" s="988"/>
      <c r="J101" s="989"/>
      <c r="K101" s="278">
        <v>4</v>
      </c>
      <c r="M101" s="1043">
        <v>20</v>
      </c>
      <c r="O101" s="156"/>
      <c r="Q101" s="176"/>
      <c r="S101" s="148"/>
    </row>
    <row r="102" spans="1:19" ht="14.25" thickBot="1">
      <c r="A102" s="304" t="s">
        <v>1484</v>
      </c>
      <c r="B102" s="983"/>
      <c r="C102" s="984" t="s">
        <v>1368</v>
      </c>
      <c r="D102" s="985"/>
      <c r="E102" s="985"/>
      <c r="F102" s="985"/>
      <c r="G102" s="985"/>
      <c r="H102" s="985"/>
      <c r="I102" s="985"/>
      <c r="J102" s="986"/>
      <c r="K102" s="304">
        <v>6</v>
      </c>
      <c r="M102" s="1043"/>
      <c r="O102" s="156"/>
      <c r="Q102" s="176"/>
      <c r="S102" s="148"/>
    </row>
    <row r="103" spans="1:19">
      <c r="A103" s="305" t="s">
        <v>1485</v>
      </c>
      <c r="B103" s="982" t="s">
        <v>1385</v>
      </c>
      <c r="C103" s="846" t="s">
        <v>1367</v>
      </c>
      <c r="D103" s="847"/>
      <c r="E103" s="847"/>
      <c r="F103" s="847"/>
      <c r="G103" s="847"/>
      <c r="H103" s="847"/>
      <c r="I103" s="847"/>
      <c r="J103" s="848"/>
      <c r="K103" s="278">
        <v>4</v>
      </c>
      <c r="M103" s="1043">
        <v>21</v>
      </c>
      <c r="O103" s="156"/>
      <c r="Q103" s="176"/>
      <c r="S103" s="148"/>
    </row>
    <row r="104" spans="1:19" ht="14.25" thickBot="1">
      <c r="A104" s="304" t="s">
        <v>1486</v>
      </c>
      <c r="B104" s="983"/>
      <c r="C104" s="984" t="s">
        <v>1368</v>
      </c>
      <c r="D104" s="985"/>
      <c r="E104" s="985"/>
      <c r="F104" s="985"/>
      <c r="G104" s="985"/>
      <c r="H104" s="985"/>
      <c r="I104" s="985"/>
      <c r="J104" s="986"/>
      <c r="K104" s="304">
        <v>6</v>
      </c>
      <c r="M104" s="1043"/>
      <c r="O104" s="156"/>
      <c r="Q104" s="176"/>
      <c r="S104" s="148"/>
    </row>
    <row r="105" spans="1:19">
      <c r="A105" s="305" t="s">
        <v>1487</v>
      </c>
      <c r="B105" s="982" t="s">
        <v>1386</v>
      </c>
      <c r="C105" s="846" t="s">
        <v>1367</v>
      </c>
      <c r="D105" s="847"/>
      <c r="E105" s="847"/>
      <c r="F105" s="847"/>
      <c r="G105" s="847"/>
      <c r="H105" s="847"/>
      <c r="I105" s="847"/>
      <c r="J105" s="848"/>
      <c r="K105" s="278">
        <v>4</v>
      </c>
      <c r="M105" s="1043">
        <v>22</v>
      </c>
      <c r="O105" s="156"/>
      <c r="Q105" s="176"/>
      <c r="S105" s="148"/>
    </row>
    <row r="106" spans="1:19" ht="14.25" thickBot="1">
      <c r="A106" s="304" t="s">
        <v>1488</v>
      </c>
      <c r="B106" s="983"/>
      <c r="C106" s="984" t="s">
        <v>1368</v>
      </c>
      <c r="D106" s="985"/>
      <c r="E106" s="985"/>
      <c r="F106" s="985"/>
      <c r="G106" s="985"/>
      <c r="H106" s="985"/>
      <c r="I106" s="985"/>
      <c r="J106" s="986"/>
      <c r="K106" s="304">
        <v>6</v>
      </c>
      <c r="M106" s="1043"/>
      <c r="O106" s="156"/>
      <c r="Q106" s="176"/>
      <c r="S106" s="148"/>
    </row>
    <row r="107" spans="1:19">
      <c r="A107" s="305" t="s">
        <v>1489</v>
      </c>
      <c r="B107" s="982" t="s">
        <v>1387</v>
      </c>
      <c r="C107" s="987" t="s">
        <v>1367</v>
      </c>
      <c r="D107" s="988"/>
      <c r="E107" s="988"/>
      <c r="F107" s="988"/>
      <c r="G107" s="988"/>
      <c r="H107" s="988"/>
      <c r="I107" s="988"/>
      <c r="J107" s="989"/>
      <c r="K107" s="278">
        <v>4</v>
      </c>
      <c r="M107" s="1043">
        <v>23</v>
      </c>
      <c r="O107" s="156"/>
      <c r="Q107" s="176"/>
      <c r="S107" s="148"/>
    </row>
    <row r="108" spans="1:19" ht="14.25" thickBot="1">
      <c r="A108" s="304" t="s">
        <v>1490</v>
      </c>
      <c r="B108" s="983"/>
      <c r="C108" s="984" t="s">
        <v>1368</v>
      </c>
      <c r="D108" s="985"/>
      <c r="E108" s="985"/>
      <c r="F108" s="985"/>
      <c r="G108" s="985"/>
      <c r="H108" s="985"/>
      <c r="I108" s="985"/>
      <c r="J108" s="986"/>
      <c r="K108" s="304">
        <v>6</v>
      </c>
      <c r="M108" s="1043"/>
      <c r="O108" s="156"/>
      <c r="Q108" s="176"/>
      <c r="S108" s="148"/>
    </row>
    <row r="109" spans="1:19">
      <c r="A109" s="305" t="s">
        <v>1491</v>
      </c>
      <c r="B109" s="982" t="s">
        <v>1388</v>
      </c>
      <c r="C109" s="987" t="s">
        <v>1367</v>
      </c>
      <c r="D109" s="988"/>
      <c r="E109" s="988"/>
      <c r="F109" s="988"/>
      <c r="G109" s="988"/>
      <c r="H109" s="988"/>
      <c r="I109" s="988"/>
      <c r="J109" s="989"/>
      <c r="K109" s="278">
        <v>4</v>
      </c>
      <c r="M109" s="1043">
        <v>24</v>
      </c>
      <c r="O109" s="156"/>
      <c r="Q109" s="176"/>
      <c r="S109" s="148"/>
    </row>
    <row r="110" spans="1:19" ht="14.25" thickBot="1">
      <c r="A110" s="304" t="s">
        <v>1492</v>
      </c>
      <c r="B110" s="983"/>
      <c r="C110" s="984" t="s">
        <v>1368</v>
      </c>
      <c r="D110" s="985"/>
      <c r="E110" s="985"/>
      <c r="F110" s="985"/>
      <c r="G110" s="985"/>
      <c r="H110" s="985"/>
      <c r="I110" s="985"/>
      <c r="J110" s="986"/>
      <c r="K110" s="304">
        <v>6</v>
      </c>
      <c r="M110" s="1043"/>
      <c r="O110" s="156"/>
      <c r="Q110" s="176"/>
      <c r="S110" s="148"/>
    </row>
    <row r="111" spans="1:19">
      <c r="A111" s="305" t="s">
        <v>1493</v>
      </c>
      <c r="B111" s="982" t="s">
        <v>1389</v>
      </c>
      <c r="C111" s="987" t="s">
        <v>1367</v>
      </c>
      <c r="D111" s="988"/>
      <c r="E111" s="988"/>
      <c r="F111" s="988"/>
      <c r="G111" s="988"/>
      <c r="H111" s="988"/>
      <c r="I111" s="988"/>
      <c r="J111" s="989"/>
      <c r="K111" s="278">
        <v>4</v>
      </c>
      <c r="M111" s="1043">
        <v>25</v>
      </c>
      <c r="O111" s="156"/>
      <c r="Q111" s="176"/>
      <c r="S111" s="148"/>
    </row>
    <row r="112" spans="1:19" ht="14.25" thickBot="1">
      <c r="A112" s="304" t="s">
        <v>1494</v>
      </c>
      <c r="B112" s="983"/>
      <c r="C112" s="984" t="s">
        <v>1368</v>
      </c>
      <c r="D112" s="985"/>
      <c r="E112" s="985"/>
      <c r="F112" s="985"/>
      <c r="G112" s="985"/>
      <c r="H112" s="985"/>
      <c r="I112" s="985"/>
      <c r="J112" s="986"/>
      <c r="K112" s="304">
        <v>6</v>
      </c>
      <c r="M112" s="1043"/>
      <c r="O112" s="156"/>
      <c r="Q112" s="176"/>
      <c r="S112" s="148"/>
    </row>
    <row r="113" spans="1:19">
      <c r="A113" s="305" t="s">
        <v>1495</v>
      </c>
      <c r="B113" s="982" t="s">
        <v>1390</v>
      </c>
      <c r="C113" s="846" t="s">
        <v>1367</v>
      </c>
      <c r="D113" s="847"/>
      <c r="E113" s="847"/>
      <c r="F113" s="847"/>
      <c r="G113" s="847"/>
      <c r="H113" s="847"/>
      <c r="I113" s="847"/>
      <c r="J113" s="848"/>
      <c r="K113" s="278">
        <v>4</v>
      </c>
      <c r="M113" s="1043">
        <v>26</v>
      </c>
      <c r="O113" s="156"/>
      <c r="Q113" s="176"/>
      <c r="S113" s="148"/>
    </row>
    <row r="114" spans="1:19" ht="14.25" thickBot="1">
      <c r="A114" s="304" t="s">
        <v>1496</v>
      </c>
      <c r="B114" s="983"/>
      <c r="C114" s="984" t="s">
        <v>1368</v>
      </c>
      <c r="D114" s="985"/>
      <c r="E114" s="985"/>
      <c r="F114" s="985"/>
      <c r="G114" s="985"/>
      <c r="H114" s="985"/>
      <c r="I114" s="985"/>
      <c r="J114" s="986"/>
      <c r="K114" s="304">
        <v>6</v>
      </c>
      <c r="M114" s="1043"/>
      <c r="O114" s="156"/>
      <c r="Q114" s="176"/>
      <c r="S114" s="148"/>
    </row>
    <row r="115" spans="1:19">
      <c r="A115" s="305" t="s">
        <v>1497</v>
      </c>
      <c r="B115" s="982" t="s">
        <v>1391</v>
      </c>
      <c r="C115" s="846" t="s">
        <v>1367</v>
      </c>
      <c r="D115" s="847"/>
      <c r="E115" s="847"/>
      <c r="F115" s="847"/>
      <c r="G115" s="847"/>
      <c r="H115" s="847"/>
      <c r="I115" s="847"/>
      <c r="J115" s="848"/>
      <c r="K115" s="278">
        <v>4</v>
      </c>
      <c r="M115" s="1043">
        <v>27</v>
      </c>
      <c r="O115" s="156"/>
      <c r="Q115" s="176"/>
      <c r="S115" s="148"/>
    </row>
    <row r="116" spans="1:19" ht="14.25" thickBot="1">
      <c r="A116" s="304" t="s">
        <v>1498</v>
      </c>
      <c r="B116" s="983"/>
      <c r="C116" s="984" t="s">
        <v>1368</v>
      </c>
      <c r="D116" s="985"/>
      <c r="E116" s="985"/>
      <c r="F116" s="985"/>
      <c r="G116" s="985"/>
      <c r="H116" s="985"/>
      <c r="I116" s="985"/>
      <c r="J116" s="986"/>
      <c r="K116" s="304">
        <v>6</v>
      </c>
      <c r="M116" s="1043"/>
      <c r="O116" s="156"/>
      <c r="Q116" s="176"/>
      <c r="S116" s="148"/>
    </row>
    <row r="117" spans="1:19">
      <c r="A117" s="305" t="s">
        <v>1499</v>
      </c>
      <c r="B117" s="982" t="s">
        <v>1392</v>
      </c>
      <c r="C117" s="987" t="s">
        <v>1367</v>
      </c>
      <c r="D117" s="988"/>
      <c r="E117" s="988"/>
      <c r="F117" s="988"/>
      <c r="G117" s="988"/>
      <c r="H117" s="988"/>
      <c r="I117" s="988"/>
      <c r="J117" s="989"/>
      <c r="K117" s="278">
        <v>4</v>
      </c>
      <c r="M117" s="1043">
        <v>28</v>
      </c>
      <c r="O117" s="156"/>
      <c r="Q117" s="176"/>
      <c r="S117" s="148"/>
    </row>
    <row r="118" spans="1:19" ht="14.25" thickBot="1">
      <c r="A118" s="304" t="s">
        <v>1500</v>
      </c>
      <c r="B118" s="983"/>
      <c r="C118" s="984" t="s">
        <v>1368</v>
      </c>
      <c r="D118" s="985"/>
      <c r="E118" s="985"/>
      <c r="F118" s="985"/>
      <c r="G118" s="985"/>
      <c r="H118" s="985"/>
      <c r="I118" s="985"/>
      <c r="J118" s="986"/>
      <c r="K118" s="304">
        <v>6</v>
      </c>
      <c r="M118" s="1043"/>
      <c r="O118" s="156"/>
      <c r="Q118" s="176"/>
      <c r="S118" s="148"/>
    </row>
    <row r="119" spans="1:19">
      <c r="A119" s="305" t="s">
        <v>1501</v>
      </c>
      <c r="B119" s="982" t="s">
        <v>1393</v>
      </c>
      <c r="C119" s="987" t="s">
        <v>1367</v>
      </c>
      <c r="D119" s="988"/>
      <c r="E119" s="988"/>
      <c r="F119" s="988"/>
      <c r="G119" s="988"/>
      <c r="H119" s="988"/>
      <c r="I119" s="988"/>
      <c r="J119" s="989"/>
      <c r="K119" s="278">
        <v>4</v>
      </c>
      <c r="M119" s="1043">
        <v>29</v>
      </c>
      <c r="O119" s="156"/>
      <c r="Q119" s="176"/>
      <c r="S119" s="148"/>
    </row>
    <row r="120" spans="1:19" ht="14.25" thickBot="1">
      <c r="A120" s="304" t="s">
        <v>1502</v>
      </c>
      <c r="B120" s="983"/>
      <c r="C120" s="984" t="s">
        <v>1368</v>
      </c>
      <c r="D120" s="985"/>
      <c r="E120" s="985"/>
      <c r="F120" s="985"/>
      <c r="G120" s="985"/>
      <c r="H120" s="985"/>
      <c r="I120" s="985"/>
      <c r="J120" s="986"/>
      <c r="K120" s="304">
        <v>6</v>
      </c>
      <c r="M120" s="1043"/>
      <c r="O120" s="156"/>
      <c r="Q120" s="176"/>
      <c r="S120" s="148"/>
    </row>
    <row r="121" spans="1:19">
      <c r="A121" s="305" t="s">
        <v>1503</v>
      </c>
      <c r="B121" s="982" t="s">
        <v>1394</v>
      </c>
      <c r="C121" s="987" t="s">
        <v>1367</v>
      </c>
      <c r="D121" s="988"/>
      <c r="E121" s="988"/>
      <c r="F121" s="988"/>
      <c r="G121" s="988"/>
      <c r="H121" s="988"/>
      <c r="I121" s="988"/>
      <c r="J121" s="989"/>
      <c r="K121" s="278">
        <v>4</v>
      </c>
      <c r="M121" s="1043">
        <v>30</v>
      </c>
      <c r="O121" s="156"/>
      <c r="Q121" s="176"/>
      <c r="S121" s="148"/>
    </row>
    <row r="122" spans="1:19" ht="14.25" thickBot="1">
      <c r="A122" s="304" t="s">
        <v>1504</v>
      </c>
      <c r="B122" s="983"/>
      <c r="C122" s="984" t="s">
        <v>1368</v>
      </c>
      <c r="D122" s="985"/>
      <c r="E122" s="985"/>
      <c r="F122" s="985"/>
      <c r="G122" s="985"/>
      <c r="H122" s="985"/>
      <c r="I122" s="985"/>
      <c r="J122" s="986"/>
      <c r="K122" s="304">
        <v>6</v>
      </c>
      <c r="M122" s="1043"/>
      <c r="O122" s="156"/>
      <c r="Q122" s="176"/>
      <c r="S122" s="148"/>
    </row>
    <row r="123" spans="1:19">
      <c r="A123" s="305" t="s">
        <v>1505</v>
      </c>
      <c r="B123" s="982" t="s">
        <v>1395</v>
      </c>
      <c r="C123" s="846" t="s">
        <v>1367</v>
      </c>
      <c r="D123" s="847"/>
      <c r="E123" s="847"/>
      <c r="F123" s="847"/>
      <c r="G123" s="847"/>
      <c r="H123" s="847"/>
      <c r="I123" s="847"/>
      <c r="J123" s="848"/>
      <c r="K123" s="278">
        <v>4</v>
      </c>
      <c r="M123" s="1043">
        <v>31</v>
      </c>
      <c r="O123" s="156"/>
      <c r="Q123" s="176"/>
      <c r="S123" s="148"/>
    </row>
    <row r="124" spans="1:19" ht="14.25" thickBot="1">
      <c r="A124" s="304" t="s">
        <v>1506</v>
      </c>
      <c r="B124" s="983"/>
      <c r="C124" s="984" t="s">
        <v>1368</v>
      </c>
      <c r="D124" s="985"/>
      <c r="E124" s="985"/>
      <c r="F124" s="985"/>
      <c r="G124" s="985"/>
      <c r="H124" s="985"/>
      <c r="I124" s="985"/>
      <c r="J124" s="986"/>
      <c r="K124" s="304">
        <v>6</v>
      </c>
      <c r="M124" s="1043"/>
      <c r="O124" s="156"/>
      <c r="Q124" s="176"/>
      <c r="S124" s="148"/>
    </row>
    <row r="125" spans="1:19">
      <c r="A125" s="305" t="s">
        <v>1507</v>
      </c>
      <c r="B125" s="982" t="s">
        <v>1396</v>
      </c>
      <c r="C125" s="846" t="s">
        <v>1367</v>
      </c>
      <c r="D125" s="847"/>
      <c r="E125" s="847"/>
      <c r="F125" s="847"/>
      <c r="G125" s="847"/>
      <c r="H125" s="847"/>
      <c r="I125" s="847"/>
      <c r="J125" s="848"/>
      <c r="K125" s="278">
        <v>4</v>
      </c>
      <c r="M125" s="1043">
        <v>32</v>
      </c>
      <c r="O125" s="156"/>
      <c r="Q125" s="176"/>
      <c r="S125" s="148"/>
    </row>
    <row r="126" spans="1:19" ht="14.25" thickBot="1">
      <c r="A126" s="304" t="s">
        <v>1508</v>
      </c>
      <c r="B126" s="983"/>
      <c r="C126" s="984" t="s">
        <v>1368</v>
      </c>
      <c r="D126" s="985"/>
      <c r="E126" s="985"/>
      <c r="F126" s="985"/>
      <c r="G126" s="985"/>
      <c r="H126" s="985"/>
      <c r="I126" s="985"/>
      <c r="J126" s="986"/>
      <c r="K126" s="304">
        <v>6</v>
      </c>
      <c r="M126" s="1043"/>
      <c r="O126" s="156"/>
      <c r="Q126" s="176"/>
      <c r="S126" s="148"/>
    </row>
    <row r="127" spans="1:19">
      <c r="A127" s="305" t="s">
        <v>1509</v>
      </c>
      <c r="B127" s="982" t="s">
        <v>1397</v>
      </c>
      <c r="C127" s="987" t="s">
        <v>1367</v>
      </c>
      <c r="D127" s="988"/>
      <c r="E127" s="988"/>
      <c r="F127" s="988"/>
      <c r="G127" s="988"/>
      <c r="H127" s="988"/>
      <c r="I127" s="988"/>
      <c r="J127" s="989"/>
      <c r="K127" s="278">
        <v>4</v>
      </c>
      <c r="M127" s="1043">
        <v>33</v>
      </c>
      <c r="O127" s="156"/>
      <c r="Q127" s="176"/>
      <c r="S127" s="148"/>
    </row>
    <row r="128" spans="1:19" ht="14.25" thickBot="1">
      <c r="A128" s="304" t="s">
        <v>1510</v>
      </c>
      <c r="B128" s="983"/>
      <c r="C128" s="984" t="s">
        <v>1368</v>
      </c>
      <c r="D128" s="985"/>
      <c r="E128" s="985"/>
      <c r="F128" s="985"/>
      <c r="G128" s="985"/>
      <c r="H128" s="985"/>
      <c r="I128" s="985"/>
      <c r="J128" s="986"/>
      <c r="K128" s="304">
        <v>6</v>
      </c>
      <c r="M128" s="1043"/>
      <c r="O128" s="156"/>
      <c r="Q128" s="176"/>
      <c r="S128" s="148"/>
    </row>
    <row r="129" spans="1:19">
      <c r="A129" s="305" t="s">
        <v>1511</v>
      </c>
      <c r="B129" s="982" t="s">
        <v>1398</v>
      </c>
      <c r="C129" s="987" t="s">
        <v>1367</v>
      </c>
      <c r="D129" s="988"/>
      <c r="E129" s="988"/>
      <c r="F129" s="988"/>
      <c r="G129" s="988"/>
      <c r="H129" s="988"/>
      <c r="I129" s="988"/>
      <c r="J129" s="989"/>
      <c r="K129" s="278">
        <v>4</v>
      </c>
      <c r="M129" s="1043">
        <v>34</v>
      </c>
      <c r="O129" s="156"/>
      <c r="Q129" s="176"/>
      <c r="S129" s="148"/>
    </row>
    <row r="130" spans="1:19" ht="14.25" thickBot="1">
      <c r="A130" s="304" t="s">
        <v>1512</v>
      </c>
      <c r="B130" s="983"/>
      <c r="C130" s="984" t="s">
        <v>1368</v>
      </c>
      <c r="D130" s="985"/>
      <c r="E130" s="985"/>
      <c r="F130" s="985"/>
      <c r="G130" s="985"/>
      <c r="H130" s="985"/>
      <c r="I130" s="985"/>
      <c r="J130" s="986"/>
      <c r="K130" s="304">
        <v>6</v>
      </c>
      <c r="M130" s="1043"/>
      <c r="O130" s="156"/>
      <c r="Q130" s="176"/>
      <c r="S130" s="148"/>
    </row>
    <row r="131" spans="1:19">
      <c r="A131" s="305" t="s">
        <v>1513</v>
      </c>
      <c r="B131" s="982" t="s">
        <v>1399</v>
      </c>
      <c r="C131" s="987" t="s">
        <v>1367</v>
      </c>
      <c r="D131" s="988"/>
      <c r="E131" s="988"/>
      <c r="F131" s="988"/>
      <c r="G131" s="988"/>
      <c r="H131" s="988"/>
      <c r="I131" s="988"/>
      <c r="J131" s="989"/>
      <c r="K131" s="278">
        <v>4</v>
      </c>
      <c r="M131" s="1043">
        <v>35</v>
      </c>
      <c r="O131" s="156"/>
      <c r="Q131" s="176"/>
      <c r="S131" s="148"/>
    </row>
    <row r="132" spans="1:19" ht="14.25" thickBot="1">
      <c r="A132" s="304" t="s">
        <v>1514</v>
      </c>
      <c r="B132" s="983"/>
      <c r="C132" s="984" t="s">
        <v>1368</v>
      </c>
      <c r="D132" s="985"/>
      <c r="E132" s="985"/>
      <c r="F132" s="985"/>
      <c r="G132" s="985"/>
      <c r="H132" s="985"/>
      <c r="I132" s="985"/>
      <c r="J132" s="986"/>
      <c r="K132" s="304">
        <v>6</v>
      </c>
      <c r="M132" s="1043"/>
      <c r="O132" s="156"/>
      <c r="Q132" s="176"/>
      <c r="S132" s="148"/>
    </row>
    <row r="133" spans="1:19">
      <c r="A133" s="305" t="s">
        <v>1515</v>
      </c>
      <c r="B133" s="982" t="s">
        <v>1400</v>
      </c>
      <c r="C133" s="846" t="s">
        <v>1367</v>
      </c>
      <c r="D133" s="847"/>
      <c r="E133" s="847"/>
      <c r="F133" s="847"/>
      <c r="G133" s="847"/>
      <c r="H133" s="847"/>
      <c r="I133" s="847"/>
      <c r="J133" s="848"/>
      <c r="K133" s="278">
        <v>4</v>
      </c>
      <c r="M133" s="1043">
        <v>36</v>
      </c>
      <c r="O133" s="156"/>
      <c r="Q133" s="176"/>
      <c r="S133" s="148"/>
    </row>
    <row r="134" spans="1:19" ht="14.25" thickBot="1">
      <c r="A134" s="304" t="s">
        <v>1516</v>
      </c>
      <c r="B134" s="983"/>
      <c r="C134" s="984" t="s">
        <v>1368</v>
      </c>
      <c r="D134" s="985"/>
      <c r="E134" s="985"/>
      <c r="F134" s="985"/>
      <c r="G134" s="985"/>
      <c r="H134" s="985"/>
      <c r="I134" s="985"/>
      <c r="J134" s="986"/>
      <c r="K134" s="304">
        <v>6</v>
      </c>
      <c r="M134" s="1043"/>
      <c r="O134" s="156"/>
      <c r="Q134" s="176"/>
      <c r="S134" s="148"/>
    </row>
    <row r="135" spans="1:19">
      <c r="A135" s="305" t="s">
        <v>1517</v>
      </c>
      <c r="B135" s="982" t="s">
        <v>1401</v>
      </c>
      <c r="C135" s="846" t="s">
        <v>1367</v>
      </c>
      <c r="D135" s="847"/>
      <c r="E135" s="847"/>
      <c r="F135" s="847"/>
      <c r="G135" s="847"/>
      <c r="H135" s="847"/>
      <c r="I135" s="847"/>
      <c r="J135" s="848"/>
      <c r="K135" s="278">
        <v>4</v>
      </c>
      <c r="M135" s="1043">
        <v>37</v>
      </c>
      <c r="O135" s="156"/>
      <c r="Q135" s="176"/>
      <c r="S135" s="148"/>
    </row>
    <row r="136" spans="1:19" ht="14.25" thickBot="1">
      <c r="A136" s="304" t="s">
        <v>1518</v>
      </c>
      <c r="B136" s="983"/>
      <c r="C136" s="984" t="s">
        <v>1368</v>
      </c>
      <c r="D136" s="985"/>
      <c r="E136" s="985"/>
      <c r="F136" s="985"/>
      <c r="G136" s="985"/>
      <c r="H136" s="985"/>
      <c r="I136" s="985"/>
      <c r="J136" s="986"/>
      <c r="K136" s="304">
        <v>6</v>
      </c>
      <c r="M136" s="1043"/>
      <c r="O136" s="156"/>
      <c r="Q136" s="176"/>
      <c r="S136" s="148"/>
    </row>
    <row r="137" spans="1:19">
      <c r="A137" s="305" t="s">
        <v>1519</v>
      </c>
      <c r="B137" s="982" t="s">
        <v>1403</v>
      </c>
      <c r="C137" s="987" t="s">
        <v>1367</v>
      </c>
      <c r="D137" s="988"/>
      <c r="E137" s="988"/>
      <c r="F137" s="988"/>
      <c r="G137" s="988"/>
      <c r="H137" s="988"/>
      <c r="I137" s="988"/>
      <c r="J137" s="989"/>
      <c r="K137" s="278">
        <v>4</v>
      </c>
      <c r="M137" s="1043">
        <v>38</v>
      </c>
      <c r="O137" s="156"/>
      <c r="Q137" s="176"/>
      <c r="S137" s="148"/>
    </row>
    <row r="138" spans="1:19" ht="14.25" thickBot="1">
      <c r="A138" s="304" t="s">
        <v>1520</v>
      </c>
      <c r="B138" s="983"/>
      <c r="C138" s="984" t="s">
        <v>1368</v>
      </c>
      <c r="D138" s="985"/>
      <c r="E138" s="985"/>
      <c r="F138" s="985"/>
      <c r="G138" s="985"/>
      <c r="H138" s="985"/>
      <c r="I138" s="985"/>
      <c r="J138" s="986"/>
      <c r="K138" s="304">
        <v>6</v>
      </c>
      <c r="M138" s="1043"/>
      <c r="O138" s="156"/>
      <c r="Q138" s="176"/>
      <c r="S138" s="148"/>
    </row>
    <row r="139" spans="1:19">
      <c r="A139" s="305" t="s">
        <v>1521</v>
      </c>
      <c r="B139" s="982" t="s">
        <v>1402</v>
      </c>
      <c r="C139" s="846" t="s">
        <v>1367</v>
      </c>
      <c r="D139" s="847"/>
      <c r="E139" s="847"/>
      <c r="F139" s="847"/>
      <c r="G139" s="847"/>
      <c r="H139" s="847"/>
      <c r="I139" s="847"/>
      <c r="J139" s="848"/>
      <c r="K139" s="278">
        <v>4</v>
      </c>
      <c r="M139" s="1043">
        <v>39</v>
      </c>
      <c r="O139" s="156"/>
      <c r="Q139" s="176"/>
      <c r="S139" s="148"/>
    </row>
    <row r="140" spans="1:19" ht="14.25" thickBot="1">
      <c r="A140" s="304" t="s">
        <v>1522</v>
      </c>
      <c r="B140" s="983"/>
      <c r="C140" s="984" t="s">
        <v>1368</v>
      </c>
      <c r="D140" s="985"/>
      <c r="E140" s="985"/>
      <c r="F140" s="985"/>
      <c r="G140" s="985"/>
      <c r="H140" s="985"/>
      <c r="I140" s="985"/>
      <c r="J140" s="986"/>
      <c r="K140" s="304">
        <v>6</v>
      </c>
      <c r="M140" s="1043"/>
      <c r="O140" s="156"/>
      <c r="Q140" s="176"/>
      <c r="S140" s="148"/>
    </row>
    <row r="141" spans="1:19" ht="13.5" customHeight="1">
      <c r="A141" s="305" t="s">
        <v>1523</v>
      </c>
      <c r="B141" s="982" t="s">
        <v>1404</v>
      </c>
      <c r="C141" s="846" t="s">
        <v>1367</v>
      </c>
      <c r="D141" s="847"/>
      <c r="E141" s="847"/>
      <c r="F141" s="847"/>
      <c r="G141" s="847"/>
      <c r="H141" s="847"/>
      <c r="I141" s="847"/>
      <c r="J141" s="848"/>
      <c r="K141" s="278">
        <v>4</v>
      </c>
      <c r="M141" s="1043">
        <v>40</v>
      </c>
      <c r="O141" s="156"/>
      <c r="Q141" s="176"/>
      <c r="S141" s="148"/>
    </row>
    <row r="142" spans="1:19" ht="14.25" thickBot="1">
      <c r="A142" s="304" t="s">
        <v>1524</v>
      </c>
      <c r="B142" s="983"/>
      <c r="C142" s="984" t="s">
        <v>1368</v>
      </c>
      <c r="D142" s="985"/>
      <c r="E142" s="985"/>
      <c r="F142" s="985"/>
      <c r="G142" s="985"/>
      <c r="H142" s="985"/>
      <c r="I142" s="985"/>
      <c r="J142" s="986"/>
      <c r="K142" s="304">
        <v>6</v>
      </c>
      <c r="M142" s="1043"/>
      <c r="O142" s="156"/>
      <c r="Q142" s="176"/>
      <c r="S142" s="148"/>
    </row>
    <row r="143" spans="1:19">
      <c r="A143" s="305" t="s">
        <v>1525</v>
      </c>
      <c r="B143" s="982" t="s">
        <v>1405</v>
      </c>
      <c r="C143" s="846" t="s">
        <v>1367</v>
      </c>
      <c r="D143" s="847"/>
      <c r="E143" s="847"/>
      <c r="F143" s="847"/>
      <c r="G143" s="847"/>
      <c r="H143" s="847"/>
      <c r="I143" s="847"/>
      <c r="J143" s="848"/>
      <c r="K143" s="278">
        <v>4</v>
      </c>
      <c r="M143" s="1043">
        <v>41</v>
      </c>
      <c r="O143" s="156"/>
      <c r="Q143" s="176"/>
      <c r="S143" s="148"/>
    </row>
    <row r="144" spans="1:19" ht="14.25" thickBot="1">
      <c r="A144" s="304" t="s">
        <v>1526</v>
      </c>
      <c r="B144" s="983"/>
      <c r="C144" s="984" t="s">
        <v>1368</v>
      </c>
      <c r="D144" s="985"/>
      <c r="E144" s="985"/>
      <c r="F144" s="985"/>
      <c r="G144" s="985"/>
      <c r="H144" s="985"/>
      <c r="I144" s="985"/>
      <c r="J144" s="986"/>
      <c r="K144" s="304">
        <v>6</v>
      </c>
      <c r="M144" s="1043"/>
      <c r="O144" s="156"/>
      <c r="Q144" s="176"/>
      <c r="S144" s="148"/>
    </row>
    <row r="145" spans="1:19">
      <c r="A145" s="305" t="s">
        <v>1527</v>
      </c>
      <c r="B145" s="982" t="s">
        <v>1406</v>
      </c>
      <c r="C145" s="846" t="s">
        <v>1367</v>
      </c>
      <c r="D145" s="847"/>
      <c r="E145" s="847"/>
      <c r="F145" s="847"/>
      <c r="G145" s="847"/>
      <c r="H145" s="847"/>
      <c r="I145" s="847"/>
      <c r="J145" s="848"/>
      <c r="K145" s="278">
        <v>4</v>
      </c>
      <c r="M145" s="1043">
        <v>42</v>
      </c>
      <c r="O145" s="156"/>
      <c r="Q145" s="176"/>
      <c r="S145" s="148"/>
    </row>
    <row r="146" spans="1:19" ht="14.25" thickBot="1">
      <c r="A146" s="304" t="s">
        <v>1528</v>
      </c>
      <c r="B146" s="983"/>
      <c r="C146" s="984" t="s">
        <v>1368</v>
      </c>
      <c r="D146" s="985"/>
      <c r="E146" s="985"/>
      <c r="F146" s="985"/>
      <c r="G146" s="985"/>
      <c r="H146" s="985"/>
      <c r="I146" s="985"/>
      <c r="J146" s="986"/>
      <c r="K146" s="304">
        <v>6</v>
      </c>
      <c r="M146" s="1043"/>
      <c r="O146" s="148"/>
      <c r="P146" s="148"/>
      <c r="Q146" s="176"/>
      <c r="S146" s="148"/>
    </row>
    <row r="147" spans="1:19">
      <c r="A147" s="275" t="s">
        <v>1529</v>
      </c>
      <c r="B147" s="54" t="s">
        <v>446</v>
      </c>
      <c r="C147" s="776" t="s">
        <v>206</v>
      </c>
      <c r="D147" s="776"/>
      <c r="E147" s="776"/>
      <c r="F147" s="776"/>
      <c r="G147" s="776"/>
      <c r="H147" s="776"/>
      <c r="I147" s="776"/>
      <c r="J147" s="777"/>
      <c r="K147" s="54">
        <v>2</v>
      </c>
      <c r="O147" s="148"/>
      <c r="P147" s="148"/>
      <c r="Q147" s="176"/>
      <c r="S147" s="148"/>
    </row>
    <row r="148" spans="1:19" ht="14.25" thickBot="1">
      <c r="A148" s="276">
        <v>463</v>
      </c>
      <c r="B148" s="64" t="s">
        <v>447</v>
      </c>
      <c r="C148" s="727" t="s">
        <v>207</v>
      </c>
      <c r="D148" s="727"/>
      <c r="E148" s="727"/>
      <c r="F148" s="727"/>
      <c r="G148" s="727"/>
      <c r="H148" s="727"/>
      <c r="I148" s="727"/>
      <c r="J148" s="778"/>
      <c r="K148" s="55">
        <v>1</v>
      </c>
      <c r="O148" s="148"/>
      <c r="P148" s="148"/>
      <c r="Q148" s="176"/>
      <c r="S148" s="148"/>
    </row>
    <row r="149" spans="1:19" ht="14.25" thickBot="1">
      <c r="A149" s="176"/>
      <c r="B149" s="156"/>
      <c r="C149" s="156"/>
      <c r="D149" s="176"/>
      <c r="E149" s="176"/>
      <c r="F149" s="156"/>
      <c r="G149" s="156"/>
      <c r="H149" s="176"/>
      <c r="I149" s="176"/>
      <c r="J149" s="156"/>
      <c r="K149" s="156"/>
      <c r="O149" s="148"/>
      <c r="P149" s="148"/>
      <c r="Q149" s="176"/>
      <c r="S149" s="148"/>
    </row>
    <row r="150" spans="1:19">
      <c r="A150" s="1129" t="s">
        <v>1853</v>
      </c>
      <c r="B150" s="1130"/>
      <c r="C150" s="1130"/>
      <c r="D150" s="1130"/>
      <c r="E150" s="1130"/>
      <c r="F150" s="1130"/>
      <c r="G150" s="1130"/>
      <c r="H150" s="1130"/>
      <c r="I150" s="1130"/>
      <c r="J150" s="1130"/>
      <c r="K150" s="1131"/>
      <c r="P150" s="148"/>
      <c r="Q150" s="148"/>
    </row>
    <row r="151" spans="1:19" ht="14.25" thickBot="1">
      <c r="A151" s="161" t="s">
        <v>0</v>
      </c>
      <c r="B151" s="154" t="s">
        <v>448</v>
      </c>
      <c r="C151" s="154" t="s">
        <v>163</v>
      </c>
      <c r="D151" s="154" t="s">
        <v>164</v>
      </c>
      <c r="E151" s="154" t="s">
        <v>165</v>
      </c>
      <c r="F151" s="154" t="s">
        <v>166</v>
      </c>
      <c r="G151" s="154" t="s">
        <v>167</v>
      </c>
      <c r="H151" s="154" t="s">
        <v>168</v>
      </c>
      <c r="I151" s="154" t="s">
        <v>169</v>
      </c>
      <c r="J151" s="154" t="s">
        <v>170</v>
      </c>
      <c r="K151" s="155" t="s">
        <v>175</v>
      </c>
      <c r="P151" s="148"/>
      <c r="Q151" s="148"/>
    </row>
    <row r="152" spans="1:19">
      <c r="A152" s="54">
        <v>0</v>
      </c>
      <c r="B152" s="53" t="s">
        <v>431</v>
      </c>
      <c r="C152" s="783" t="s">
        <v>171</v>
      </c>
      <c r="D152" s="784"/>
      <c r="E152" s="784"/>
      <c r="F152" s="784"/>
      <c r="G152" s="784"/>
      <c r="H152" s="784"/>
      <c r="I152" s="784"/>
      <c r="J152" s="785"/>
      <c r="K152" s="54">
        <v>1</v>
      </c>
    </row>
    <row r="153" spans="1:19">
      <c r="A153" s="63" t="s">
        <v>139</v>
      </c>
      <c r="B153" s="60" t="s">
        <v>432</v>
      </c>
      <c r="C153" s="723" t="s">
        <v>172</v>
      </c>
      <c r="D153" s="786"/>
      <c r="E153" s="786"/>
      <c r="F153" s="786"/>
      <c r="G153" s="786"/>
      <c r="H153" s="786"/>
      <c r="I153" s="786"/>
      <c r="J153" s="787"/>
      <c r="K153" s="63">
        <v>2</v>
      </c>
    </row>
    <row r="154" spans="1:19">
      <c r="A154" s="63" t="s">
        <v>176</v>
      </c>
      <c r="B154" s="60" t="s">
        <v>433</v>
      </c>
      <c r="C154" s="723" t="s">
        <v>420</v>
      </c>
      <c r="D154" s="786"/>
      <c r="E154" s="786"/>
      <c r="F154" s="786"/>
      <c r="G154" s="786"/>
      <c r="H154" s="786"/>
      <c r="I154" s="786"/>
      <c r="J154" s="787"/>
      <c r="K154" s="63">
        <v>2</v>
      </c>
    </row>
    <row r="155" spans="1:19">
      <c r="A155" s="63" t="s">
        <v>177</v>
      </c>
      <c r="B155" s="60" t="s">
        <v>434</v>
      </c>
      <c r="C155" s="722" t="s">
        <v>173</v>
      </c>
      <c r="D155" s="722"/>
      <c r="E155" s="722"/>
      <c r="F155" s="722"/>
      <c r="G155" s="722"/>
      <c r="H155" s="722"/>
      <c r="I155" s="722"/>
      <c r="J155" s="725"/>
      <c r="K155" s="84">
        <v>2</v>
      </c>
    </row>
    <row r="156" spans="1:19">
      <c r="A156" s="63" t="s">
        <v>178</v>
      </c>
      <c r="B156" s="60" t="s">
        <v>435</v>
      </c>
      <c r="C156" s="858" t="s">
        <v>179</v>
      </c>
      <c r="D156" s="859"/>
      <c r="E156" s="859"/>
      <c r="F156" s="859"/>
      <c r="G156" s="859"/>
      <c r="H156" s="859"/>
      <c r="I156" s="859"/>
      <c r="J156" s="860"/>
      <c r="K156" s="63">
        <v>2</v>
      </c>
    </row>
    <row r="157" spans="1:19" ht="14.25" thickBot="1">
      <c r="A157" s="55" t="s">
        <v>180</v>
      </c>
      <c r="B157" s="64" t="s">
        <v>436</v>
      </c>
      <c r="C157" s="1018" t="s">
        <v>219</v>
      </c>
      <c r="D157" s="949"/>
      <c r="E157" s="949"/>
      <c r="F157" s="949"/>
      <c r="G157" s="949"/>
      <c r="H157" s="949"/>
      <c r="I157" s="949"/>
      <c r="J157" s="950"/>
      <c r="K157" s="55">
        <v>2</v>
      </c>
    </row>
    <row r="158" spans="1:19" ht="14.25" thickBot="1">
      <c r="A158" s="54" t="s">
        <v>298</v>
      </c>
      <c r="B158" s="54" t="s">
        <v>435</v>
      </c>
      <c r="C158" s="907" t="s">
        <v>1312</v>
      </c>
      <c r="D158" s="902"/>
      <c r="E158" s="902"/>
      <c r="F158" s="902"/>
      <c r="G158" s="902"/>
      <c r="H158" s="902"/>
      <c r="I158" s="902"/>
      <c r="J158" s="903"/>
      <c r="K158" s="54">
        <v>2</v>
      </c>
    </row>
    <row r="159" spans="1:19" ht="14.25" thickBot="1">
      <c r="A159" s="54" t="s">
        <v>299</v>
      </c>
      <c r="B159" s="54" t="s">
        <v>1313</v>
      </c>
      <c r="C159" s="1019" t="s">
        <v>1314</v>
      </c>
      <c r="D159" s="1020"/>
      <c r="E159" s="1020"/>
      <c r="F159" s="1020"/>
      <c r="G159" s="1020"/>
      <c r="H159" s="1020"/>
      <c r="I159" s="1020"/>
      <c r="J159" s="1021"/>
      <c r="K159" s="54">
        <v>2</v>
      </c>
    </row>
    <row r="160" spans="1:19" ht="14.25" thickBot="1">
      <c r="A160" s="54" t="s">
        <v>1437</v>
      </c>
      <c r="B160" s="54" t="s">
        <v>1315</v>
      </c>
      <c r="C160" s="1022" t="s">
        <v>1315</v>
      </c>
      <c r="D160" s="766"/>
      <c r="E160" s="766"/>
      <c r="F160" s="766"/>
      <c r="G160" s="766"/>
      <c r="H160" s="766"/>
      <c r="I160" s="766"/>
      <c r="J160" s="1023"/>
      <c r="K160" s="54">
        <f>128*2</f>
        <v>256</v>
      </c>
    </row>
    <row r="161" spans="1:18">
      <c r="A161" s="54" t="s">
        <v>1438</v>
      </c>
      <c r="B161" s="54" t="s">
        <v>446</v>
      </c>
      <c r="C161" s="776" t="s">
        <v>206</v>
      </c>
      <c r="D161" s="776"/>
      <c r="E161" s="776"/>
      <c r="F161" s="776"/>
      <c r="G161" s="776"/>
      <c r="H161" s="776"/>
      <c r="I161" s="776"/>
      <c r="J161" s="777"/>
      <c r="K161" s="54">
        <v>2</v>
      </c>
    </row>
    <row r="162" spans="1:18" ht="14.25" thickBot="1">
      <c r="A162" s="55">
        <v>275</v>
      </c>
      <c r="B162" s="64" t="s">
        <v>447</v>
      </c>
      <c r="C162" s="727" t="s">
        <v>207</v>
      </c>
      <c r="D162" s="727"/>
      <c r="E162" s="727"/>
      <c r="F162" s="727"/>
      <c r="G162" s="727"/>
      <c r="H162" s="727"/>
      <c r="I162" s="727"/>
      <c r="J162" s="778"/>
      <c r="K162" s="55">
        <v>1</v>
      </c>
    </row>
    <row r="163" spans="1:18" ht="14.25" thickBot="1">
      <c r="A163" s="176"/>
      <c r="B163" s="156"/>
      <c r="C163" s="156"/>
      <c r="D163" s="176"/>
      <c r="E163" s="176"/>
      <c r="F163" s="156"/>
      <c r="G163" s="156"/>
      <c r="H163" s="176"/>
      <c r="I163" s="176"/>
      <c r="J163" s="156"/>
      <c r="K163" s="156"/>
    </row>
    <row r="164" spans="1:18">
      <c r="A164" s="1129" t="s">
        <v>1316</v>
      </c>
      <c r="B164" s="1130"/>
      <c r="C164" s="1130"/>
      <c r="D164" s="1130"/>
      <c r="E164" s="1130"/>
      <c r="F164" s="1130"/>
      <c r="G164" s="1130"/>
      <c r="H164" s="1130"/>
      <c r="I164" s="1130"/>
      <c r="J164" s="1130"/>
      <c r="K164" s="1131"/>
    </row>
    <row r="165" spans="1:18" ht="14.25" thickBot="1">
      <c r="A165" s="161" t="s">
        <v>0</v>
      </c>
      <c r="B165" s="154" t="s">
        <v>448</v>
      </c>
      <c r="C165" s="154" t="s">
        <v>163</v>
      </c>
      <c r="D165" s="154" t="s">
        <v>164</v>
      </c>
      <c r="E165" s="154" t="s">
        <v>165</v>
      </c>
      <c r="F165" s="154" t="s">
        <v>166</v>
      </c>
      <c r="G165" s="154" t="s">
        <v>167</v>
      </c>
      <c r="H165" s="154" t="s">
        <v>168</v>
      </c>
      <c r="I165" s="154" t="s">
        <v>169</v>
      </c>
      <c r="J165" s="154" t="s">
        <v>170</v>
      </c>
      <c r="K165" s="155" t="s">
        <v>175</v>
      </c>
    </row>
    <row r="166" spans="1:18" ht="14.25" thickBot="1">
      <c r="A166" s="55"/>
      <c r="B166" s="64"/>
      <c r="C166" s="727" t="s">
        <v>1317</v>
      </c>
      <c r="D166" s="727"/>
      <c r="E166" s="727"/>
      <c r="F166" s="727"/>
      <c r="G166" s="727"/>
      <c r="H166" s="727"/>
      <c r="I166" s="727"/>
      <c r="J166" s="778"/>
      <c r="K166" s="55">
        <v>0</v>
      </c>
    </row>
    <row r="167" spans="1:18" ht="14.25" thickBot="1">
      <c r="A167" s="176"/>
      <c r="B167" s="156"/>
      <c r="C167" s="156"/>
      <c r="D167" s="176"/>
      <c r="E167" s="176"/>
      <c r="F167" s="156"/>
      <c r="G167" s="156"/>
      <c r="H167" s="176"/>
      <c r="I167" s="176"/>
      <c r="J167" s="156"/>
      <c r="K167" s="156"/>
    </row>
    <row r="168" spans="1:18">
      <c r="A168" s="1129" t="s">
        <v>1318</v>
      </c>
      <c r="B168" s="1130"/>
      <c r="C168" s="1130"/>
      <c r="D168" s="1130"/>
      <c r="E168" s="1130"/>
      <c r="F168" s="1130"/>
      <c r="G168" s="1130"/>
      <c r="H168" s="1130"/>
      <c r="I168" s="1130"/>
      <c r="J168" s="1130"/>
      <c r="K168" s="1131"/>
    </row>
    <row r="169" spans="1:18" ht="14.25" thickBot="1">
      <c r="A169" s="161" t="s">
        <v>1319</v>
      </c>
      <c r="B169" s="154" t="s">
        <v>448</v>
      </c>
      <c r="C169" s="154" t="s">
        <v>163</v>
      </c>
      <c r="D169" s="154" t="s">
        <v>164</v>
      </c>
      <c r="E169" s="154" t="s">
        <v>165</v>
      </c>
      <c r="F169" s="154" t="s">
        <v>166</v>
      </c>
      <c r="G169" s="154" t="s">
        <v>167</v>
      </c>
      <c r="H169" s="154" t="s">
        <v>168</v>
      </c>
      <c r="I169" s="154" t="s">
        <v>169</v>
      </c>
      <c r="J169" s="154" t="s">
        <v>170</v>
      </c>
      <c r="K169" s="155" t="s">
        <v>175</v>
      </c>
    </row>
    <row r="170" spans="1:18">
      <c r="A170" s="54">
        <v>0</v>
      </c>
      <c r="B170" s="53" t="s">
        <v>431</v>
      </c>
      <c r="C170" s="783" t="s">
        <v>171</v>
      </c>
      <c r="D170" s="784"/>
      <c r="E170" s="784"/>
      <c r="F170" s="784"/>
      <c r="G170" s="784"/>
      <c r="H170" s="784"/>
      <c r="I170" s="784"/>
      <c r="J170" s="785"/>
      <c r="K170" s="54">
        <v>1</v>
      </c>
    </row>
    <row r="171" spans="1:18">
      <c r="A171" s="63" t="s">
        <v>139</v>
      </c>
      <c r="B171" s="60" t="s">
        <v>432</v>
      </c>
      <c r="C171" s="723" t="s">
        <v>172</v>
      </c>
      <c r="D171" s="786"/>
      <c r="E171" s="786"/>
      <c r="F171" s="786"/>
      <c r="G171" s="786"/>
      <c r="H171" s="786"/>
      <c r="I171" s="786"/>
      <c r="J171" s="787"/>
      <c r="K171" s="63">
        <v>2</v>
      </c>
    </row>
    <row r="172" spans="1:18">
      <c r="A172" s="63" t="s">
        <v>176</v>
      </c>
      <c r="B172" s="60" t="s">
        <v>433</v>
      </c>
      <c r="C172" s="723" t="s">
        <v>420</v>
      </c>
      <c r="D172" s="786"/>
      <c r="E172" s="786"/>
      <c r="F172" s="786"/>
      <c r="G172" s="786"/>
      <c r="H172" s="786"/>
      <c r="I172" s="786"/>
      <c r="J172" s="787"/>
      <c r="K172" s="63">
        <v>2</v>
      </c>
      <c r="R172" s="176">
        <f>128*65536</f>
        <v>8388608</v>
      </c>
    </row>
    <row r="173" spans="1:18">
      <c r="A173" s="63" t="s">
        <v>177</v>
      </c>
      <c r="B173" s="60" t="s">
        <v>434</v>
      </c>
      <c r="C173" s="722" t="s">
        <v>173</v>
      </c>
      <c r="D173" s="722"/>
      <c r="E173" s="722"/>
      <c r="F173" s="722"/>
      <c r="G173" s="722"/>
      <c r="H173" s="722"/>
      <c r="I173" s="722"/>
      <c r="J173" s="725"/>
      <c r="K173" s="84">
        <v>2</v>
      </c>
      <c r="R173" s="1128">
        <v>8388608</v>
      </c>
    </row>
    <row r="174" spans="1:18">
      <c r="A174" s="63" t="s">
        <v>178</v>
      </c>
      <c r="B174" s="60" t="s">
        <v>435</v>
      </c>
      <c r="C174" s="858" t="s">
        <v>179</v>
      </c>
      <c r="D174" s="859"/>
      <c r="E174" s="859"/>
      <c r="F174" s="859"/>
      <c r="G174" s="859"/>
      <c r="H174" s="859"/>
      <c r="I174" s="859"/>
      <c r="J174" s="860"/>
      <c r="K174" s="63">
        <v>2</v>
      </c>
    </row>
    <row r="175" spans="1:18" ht="14.25" thickBot="1">
      <c r="A175" s="55" t="s">
        <v>180</v>
      </c>
      <c r="B175" s="64" t="s">
        <v>436</v>
      </c>
      <c r="C175" s="1018" t="s">
        <v>219</v>
      </c>
      <c r="D175" s="949"/>
      <c r="E175" s="949"/>
      <c r="F175" s="949"/>
      <c r="G175" s="949"/>
      <c r="H175" s="949"/>
      <c r="I175" s="949"/>
      <c r="J175" s="950"/>
      <c r="K175" s="55">
        <v>2</v>
      </c>
      <c r="O175" s="176">
        <f>16+256</f>
        <v>272</v>
      </c>
    </row>
    <row r="176" spans="1:18" ht="14.25" thickBot="1">
      <c r="A176" s="54" t="s">
        <v>298</v>
      </c>
      <c r="B176" s="54" t="s">
        <v>435</v>
      </c>
      <c r="C176" s="907" t="s">
        <v>1320</v>
      </c>
      <c r="D176" s="902"/>
      <c r="E176" s="902"/>
      <c r="F176" s="902"/>
      <c r="G176" s="902"/>
      <c r="H176" s="902"/>
      <c r="I176" s="902"/>
      <c r="J176" s="903"/>
      <c r="K176" s="54">
        <v>2</v>
      </c>
    </row>
    <row r="177" spans="1:11" ht="14.25" thickBot="1">
      <c r="A177" s="54" t="s">
        <v>299</v>
      </c>
      <c r="B177" s="54" t="s">
        <v>1313</v>
      </c>
      <c r="C177" s="1019" t="s">
        <v>1314</v>
      </c>
      <c r="D177" s="1020"/>
      <c r="E177" s="1020"/>
      <c r="F177" s="1020"/>
      <c r="G177" s="1020"/>
      <c r="H177" s="1020"/>
      <c r="I177" s="1020"/>
      <c r="J177" s="1021"/>
      <c r="K177" s="54">
        <v>2</v>
      </c>
    </row>
    <row r="178" spans="1:11" ht="14.25" thickBot="1">
      <c r="A178" s="54" t="s">
        <v>1437</v>
      </c>
      <c r="B178" s="54" t="s">
        <v>1315</v>
      </c>
      <c r="C178" s="1022" t="s">
        <v>1315</v>
      </c>
      <c r="D178" s="766"/>
      <c r="E178" s="766"/>
      <c r="F178" s="766"/>
      <c r="G178" s="766"/>
      <c r="H178" s="766"/>
      <c r="I178" s="766"/>
      <c r="J178" s="1023"/>
      <c r="K178" s="54">
        <f>128*2</f>
        <v>256</v>
      </c>
    </row>
    <row r="179" spans="1:11">
      <c r="A179" s="54" t="s">
        <v>1438</v>
      </c>
      <c r="B179" s="54" t="s">
        <v>446</v>
      </c>
      <c r="C179" s="776" t="s">
        <v>206</v>
      </c>
      <c r="D179" s="776"/>
      <c r="E179" s="776"/>
      <c r="F179" s="776"/>
      <c r="G179" s="776"/>
      <c r="H179" s="776"/>
      <c r="I179" s="776"/>
      <c r="J179" s="777"/>
      <c r="K179" s="54">
        <v>2</v>
      </c>
    </row>
    <row r="180" spans="1:11" ht="14.25" thickBot="1">
      <c r="A180" s="55">
        <v>275</v>
      </c>
      <c r="B180" s="64" t="s">
        <v>447</v>
      </c>
      <c r="C180" s="727" t="s">
        <v>207</v>
      </c>
      <c r="D180" s="727"/>
      <c r="E180" s="727"/>
      <c r="F180" s="727"/>
      <c r="G180" s="727"/>
      <c r="H180" s="727"/>
      <c r="I180" s="727"/>
      <c r="J180" s="778"/>
      <c r="K180" s="55">
        <v>1</v>
      </c>
    </row>
    <row r="181" spans="1:11" ht="14.25" thickBot="1">
      <c r="A181" s="176"/>
      <c r="B181" s="156"/>
      <c r="C181" s="156"/>
      <c r="D181" s="176"/>
      <c r="E181" s="176"/>
      <c r="F181" s="156"/>
      <c r="G181" s="156"/>
      <c r="H181" s="176"/>
      <c r="I181" s="176"/>
      <c r="J181" s="156"/>
      <c r="K181" s="156"/>
    </row>
    <row r="182" spans="1:11">
      <c r="A182" s="1129" t="s">
        <v>1854</v>
      </c>
      <c r="B182" s="1130"/>
      <c r="C182" s="1130"/>
      <c r="D182" s="1130"/>
      <c r="E182" s="1130"/>
      <c r="F182" s="1130"/>
      <c r="G182" s="1130"/>
      <c r="H182" s="1130"/>
      <c r="I182" s="1130"/>
      <c r="J182" s="1130"/>
      <c r="K182" s="1131"/>
    </row>
    <row r="183" spans="1:11" ht="14.25" thickBot="1">
      <c r="A183" s="161" t="s">
        <v>0</v>
      </c>
      <c r="B183" s="154" t="s">
        <v>448</v>
      </c>
      <c r="C183" s="154" t="s">
        <v>163</v>
      </c>
      <c r="D183" s="154" t="s">
        <v>164</v>
      </c>
      <c r="E183" s="154" t="s">
        <v>165</v>
      </c>
      <c r="F183" s="154" t="s">
        <v>166</v>
      </c>
      <c r="G183" s="154" t="s">
        <v>167</v>
      </c>
      <c r="H183" s="154" t="s">
        <v>168</v>
      </c>
      <c r="I183" s="154" t="s">
        <v>169</v>
      </c>
      <c r="J183" s="154" t="s">
        <v>170</v>
      </c>
      <c r="K183" s="155" t="s">
        <v>175</v>
      </c>
    </row>
    <row r="184" spans="1:11">
      <c r="A184" s="54">
        <v>0</v>
      </c>
      <c r="B184" s="53" t="s">
        <v>431</v>
      </c>
      <c r="C184" s="783" t="s">
        <v>171</v>
      </c>
      <c r="D184" s="784"/>
      <c r="E184" s="784"/>
      <c r="F184" s="784"/>
      <c r="G184" s="784"/>
      <c r="H184" s="784"/>
      <c r="I184" s="784"/>
      <c r="J184" s="785"/>
      <c r="K184" s="54">
        <v>1</v>
      </c>
    </row>
    <row r="185" spans="1:11">
      <c r="A185" s="63" t="s">
        <v>139</v>
      </c>
      <c r="B185" s="60" t="s">
        <v>432</v>
      </c>
      <c r="C185" s="723" t="s">
        <v>172</v>
      </c>
      <c r="D185" s="786"/>
      <c r="E185" s="786"/>
      <c r="F185" s="786"/>
      <c r="G185" s="786"/>
      <c r="H185" s="786"/>
      <c r="I185" s="786"/>
      <c r="J185" s="787"/>
      <c r="K185" s="63">
        <v>2</v>
      </c>
    </row>
    <row r="186" spans="1:11">
      <c r="A186" s="63" t="s">
        <v>176</v>
      </c>
      <c r="B186" s="60" t="s">
        <v>433</v>
      </c>
      <c r="C186" s="723" t="s">
        <v>420</v>
      </c>
      <c r="D186" s="786"/>
      <c r="E186" s="786"/>
      <c r="F186" s="786"/>
      <c r="G186" s="786"/>
      <c r="H186" s="786"/>
      <c r="I186" s="786"/>
      <c r="J186" s="787"/>
      <c r="K186" s="63">
        <v>2</v>
      </c>
    </row>
    <row r="187" spans="1:11">
      <c r="A187" s="63" t="s">
        <v>177</v>
      </c>
      <c r="B187" s="60" t="s">
        <v>434</v>
      </c>
      <c r="C187" s="722" t="s">
        <v>173</v>
      </c>
      <c r="D187" s="722"/>
      <c r="E187" s="722"/>
      <c r="F187" s="722"/>
      <c r="G187" s="722"/>
      <c r="H187" s="722"/>
      <c r="I187" s="722"/>
      <c r="J187" s="725"/>
      <c r="K187" s="84">
        <v>2</v>
      </c>
    </row>
    <row r="188" spans="1:11">
      <c r="A188" s="63" t="s">
        <v>178</v>
      </c>
      <c r="B188" s="60" t="s">
        <v>435</v>
      </c>
      <c r="C188" s="858" t="s">
        <v>179</v>
      </c>
      <c r="D188" s="859"/>
      <c r="E188" s="859"/>
      <c r="F188" s="859"/>
      <c r="G188" s="859"/>
      <c r="H188" s="859"/>
      <c r="I188" s="859"/>
      <c r="J188" s="860"/>
      <c r="K188" s="63">
        <v>2</v>
      </c>
    </row>
    <row r="189" spans="1:11" ht="14.25" thickBot="1">
      <c r="A189" s="55" t="s">
        <v>180</v>
      </c>
      <c r="B189" s="64" t="s">
        <v>436</v>
      </c>
      <c r="C189" s="1018" t="s">
        <v>219</v>
      </c>
      <c r="D189" s="949"/>
      <c r="E189" s="949"/>
      <c r="F189" s="949"/>
      <c r="G189" s="949"/>
      <c r="H189" s="949"/>
      <c r="I189" s="949"/>
      <c r="J189" s="950"/>
      <c r="K189" s="55">
        <v>2</v>
      </c>
    </row>
    <row r="190" spans="1:11" ht="14.25" thickBot="1">
      <c r="A190" s="54" t="s">
        <v>298</v>
      </c>
      <c r="B190" s="58" t="s">
        <v>435</v>
      </c>
      <c r="C190" s="837" t="s">
        <v>1321</v>
      </c>
      <c r="D190" s="838"/>
      <c r="E190" s="838"/>
      <c r="F190" s="838"/>
      <c r="G190" s="838"/>
      <c r="H190" s="838"/>
      <c r="I190" s="838"/>
      <c r="J190" s="839"/>
      <c r="K190" s="58">
        <v>2</v>
      </c>
    </row>
    <row r="191" spans="1:11">
      <c r="A191" s="704" t="s">
        <v>1856</v>
      </c>
      <c r="B191" s="708" t="s">
        <v>1322</v>
      </c>
      <c r="C191" s="1034" t="s">
        <v>1323</v>
      </c>
      <c r="D191" s="1035"/>
      <c r="E191" s="1035"/>
      <c r="F191" s="1035"/>
      <c r="G191" s="1035"/>
      <c r="H191" s="1035"/>
      <c r="I191" s="1035"/>
      <c r="J191" s="1036"/>
      <c r="K191" s="708" t="s">
        <v>1855</v>
      </c>
    </row>
    <row r="192" spans="1:11">
      <c r="A192" s="717"/>
      <c r="B192" s="709"/>
      <c r="C192" s="1037"/>
      <c r="D192" s="1038"/>
      <c r="E192" s="1038"/>
      <c r="F192" s="1038"/>
      <c r="G192" s="1038"/>
      <c r="H192" s="1038"/>
      <c r="I192" s="1038"/>
      <c r="J192" s="1039"/>
      <c r="K192" s="717"/>
    </row>
    <row r="193" spans="1:11" ht="21" customHeight="1" thickBot="1">
      <c r="A193" s="717"/>
      <c r="B193" s="709"/>
      <c r="C193" s="1040"/>
      <c r="D193" s="1041"/>
      <c r="E193" s="1041"/>
      <c r="F193" s="1041"/>
      <c r="G193" s="1041"/>
      <c r="H193" s="1041"/>
      <c r="I193" s="1041"/>
      <c r="J193" s="1042"/>
      <c r="K193" s="744"/>
    </row>
    <row r="194" spans="1:11">
      <c r="A194" s="54" t="s">
        <v>188</v>
      </c>
      <c r="B194" s="54" t="s">
        <v>446</v>
      </c>
      <c r="C194" s="776" t="s">
        <v>206</v>
      </c>
      <c r="D194" s="776"/>
      <c r="E194" s="776"/>
      <c r="F194" s="776"/>
      <c r="G194" s="776"/>
      <c r="H194" s="776"/>
      <c r="I194" s="776"/>
      <c r="J194" s="777"/>
      <c r="K194" s="54">
        <v>2</v>
      </c>
    </row>
    <row r="195" spans="1:11" ht="14.25" thickBot="1">
      <c r="A195" s="55" t="s">
        <v>189</v>
      </c>
      <c r="B195" s="64" t="s">
        <v>447</v>
      </c>
      <c r="C195" s="727" t="s">
        <v>207</v>
      </c>
      <c r="D195" s="727"/>
      <c r="E195" s="727"/>
      <c r="F195" s="727"/>
      <c r="G195" s="727"/>
      <c r="H195" s="727"/>
      <c r="I195" s="727"/>
      <c r="J195" s="778"/>
      <c r="K195" s="55">
        <v>1</v>
      </c>
    </row>
    <row r="196" spans="1:11">
      <c r="A196" s="176"/>
      <c r="B196" s="156"/>
      <c r="C196" s="156"/>
      <c r="D196" s="176"/>
      <c r="E196" s="176"/>
      <c r="F196" s="156"/>
      <c r="G196" s="156"/>
      <c r="H196" s="176"/>
      <c r="I196" s="176"/>
      <c r="J196" s="156"/>
      <c r="K196" s="156"/>
    </row>
    <row r="197" spans="1:11">
      <c r="A197" s="176"/>
      <c r="B197" s="156"/>
      <c r="C197" s="156"/>
      <c r="D197" s="176"/>
      <c r="E197" s="176"/>
      <c r="F197" s="156"/>
      <c r="G197" s="156"/>
      <c r="H197" s="176"/>
      <c r="I197" s="176"/>
      <c r="J197" s="156"/>
      <c r="K197" s="156"/>
    </row>
    <row r="198" spans="1:11">
      <c r="A198" s="176"/>
      <c r="B198" s="156"/>
      <c r="C198" s="156"/>
      <c r="D198" s="176"/>
      <c r="E198" s="176"/>
      <c r="F198" s="156"/>
      <c r="G198" s="156"/>
      <c r="H198" s="176"/>
      <c r="I198" s="176"/>
      <c r="J198" s="156"/>
      <c r="K198" s="156"/>
    </row>
    <row r="199" spans="1:11">
      <c r="A199" s="176"/>
      <c r="B199" s="156"/>
      <c r="C199" s="156"/>
      <c r="D199" s="176"/>
      <c r="E199" s="176"/>
      <c r="F199" s="156"/>
      <c r="G199" s="156"/>
      <c r="H199" s="176"/>
      <c r="I199" s="176"/>
      <c r="J199" s="156"/>
      <c r="K199" s="156"/>
    </row>
    <row r="200" spans="1:11">
      <c r="A200" s="176"/>
      <c r="B200" s="156"/>
      <c r="C200" s="156"/>
      <c r="D200" s="176"/>
      <c r="E200" s="176"/>
      <c r="F200" s="156"/>
      <c r="G200" s="156"/>
      <c r="H200" s="176"/>
      <c r="I200" s="176"/>
      <c r="J200" s="156"/>
      <c r="K200" s="156"/>
    </row>
    <row r="202" spans="1:11">
      <c r="C202" s="156"/>
      <c r="I202" s="156"/>
      <c r="J202" s="156"/>
      <c r="K202" s="180"/>
    </row>
    <row r="203" spans="1:11">
      <c r="C203" s="156"/>
      <c r="I203" s="156"/>
      <c r="J203" s="156"/>
      <c r="K203" s="180"/>
    </row>
    <row r="204" spans="1:11">
      <c r="C204" s="156"/>
      <c r="I204" s="156"/>
      <c r="J204" s="156"/>
      <c r="K204" s="180"/>
    </row>
    <row r="205" spans="1:11">
      <c r="C205" s="156"/>
      <c r="I205" s="156"/>
      <c r="J205" s="156"/>
      <c r="K205" s="180"/>
    </row>
    <row r="206" spans="1:11">
      <c r="C206" s="156"/>
      <c r="I206" s="156"/>
      <c r="J206" s="156"/>
      <c r="K206" s="180"/>
    </row>
    <row r="207" spans="1:11">
      <c r="C207" s="156"/>
      <c r="I207" s="156"/>
      <c r="J207" s="156"/>
      <c r="K207" s="180"/>
    </row>
  </sheetData>
  <mergeCells count="266">
    <mergeCell ref="A168:K168"/>
    <mergeCell ref="A164:K164"/>
    <mergeCell ref="A150:K150"/>
    <mergeCell ref="A182:K182"/>
    <mergeCell ref="B32:B33"/>
    <mergeCell ref="C33:J33"/>
    <mergeCell ref="B48:B49"/>
    <mergeCell ref="C49:J49"/>
    <mergeCell ref="M109:M110"/>
    <mergeCell ref="M111:M112"/>
    <mergeCell ref="M113:M114"/>
    <mergeCell ref="M115:M116"/>
    <mergeCell ref="M117:M118"/>
    <mergeCell ref="B51:B56"/>
    <mergeCell ref="C51:J51"/>
    <mergeCell ref="C52:J52"/>
    <mergeCell ref="C53:J53"/>
    <mergeCell ref="C54:J54"/>
    <mergeCell ref="C111:J111"/>
    <mergeCell ref="C100:J100"/>
    <mergeCell ref="C101:J101"/>
    <mergeCell ref="C102:J102"/>
    <mergeCell ref="C103:J103"/>
    <mergeCell ref="C104:J104"/>
    <mergeCell ref="C105:J105"/>
    <mergeCell ref="C72:J72"/>
    <mergeCell ref="C73:J73"/>
    <mergeCell ref="C74:J74"/>
    <mergeCell ref="M119:M120"/>
    <mergeCell ref="M121:M122"/>
    <mergeCell ref="M123:M124"/>
    <mergeCell ref="M143:M144"/>
    <mergeCell ref="M125:M126"/>
    <mergeCell ref="M127:M128"/>
    <mergeCell ref="M129:M130"/>
    <mergeCell ref="M131:M132"/>
    <mergeCell ref="M133:M134"/>
    <mergeCell ref="M135:M136"/>
    <mergeCell ref="M137:M138"/>
    <mergeCell ref="M139:M140"/>
    <mergeCell ref="M141:M142"/>
    <mergeCell ref="M145:M146"/>
    <mergeCell ref="M63:M64"/>
    <mergeCell ref="M65:M66"/>
    <mergeCell ref="M67:M68"/>
    <mergeCell ref="M69:M70"/>
    <mergeCell ref="M71:M72"/>
    <mergeCell ref="M73:M74"/>
    <mergeCell ref="M75:M76"/>
    <mergeCell ref="M77:M78"/>
    <mergeCell ref="M79:M80"/>
    <mergeCell ref="M81:M82"/>
    <mergeCell ref="M83:M84"/>
    <mergeCell ref="M85:M86"/>
    <mergeCell ref="M87:M88"/>
    <mergeCell ref="M89:M90"/>
    <mergeCell ref="M91:M92"/>
    <mergeCell ref="M93:M94"/>
    <mergeCell ref="M95:M96"/>
    <mergeCell ref="M97:M98"/>
    <mergeCell ref="M99:M100"/>
    <mergeCell ref="M101:M102"/>
    <mergeCell ref="M103:M104"/>
    <mergeCell ref="M105:M106"/>
    <mergeCell ref="M107:M108"/>
    <mergeCell ref="C194:J194"/>
    <mergeCell ref="C195:J195"/>
    <mergeCell ref="B191:B193"/>
    <mergeCell ref="A191:A193"/>
    <mergeCell ref="C191:J193"/>
    <mergeCell ref="K191:K193"/>
    <mergeCell ref="B67:B68"/>
    <mergeCell ref="C67:J67"/>
    <mergeCell ref="C68:J68"/>
    <mergeCell ref="C180:J180"/>
    <mergeCell ref="C174:J174"/>
    <mergeCell ref="C175:J175"/>
    <mergeCell ref="C176:J176"/>
    <mergeCell ref="C177:J177"/>
    <mergeCell ref="C178:J178"/>
    <mergeCell ref="C179:J179"/>
    <mergeCell ref="C189:J189"/>
    <mergeCell ref="C190:J190"/>
    <mergeCell ref="C184:J184"/>
    <mergeCell ref="C185:J185"/>
    <mergeCell ref="C186:J186"/>
    <mergeCell ref="C187:J187"/>
    <mergeCell ref="C188:J188"/>
    <mergeCell ref="C171:J171"/>
    <mergeCell ref="C170:J170"/>
    <mergeCell ref="C166:J166"/>
    <mergeCell ref="K59:K62"/>
    <mergeCell ref="C152:J152"/>
    <mergeCell ref="C153:J153"/>
    <mergeCell ref="C154:J154"/>
    <mergeCell ref="B59:B62"/>
    <mergeCell ref="C59:J62"/>
    <mergeCell ref="C148:J148"/>
    <mergeCell ref="C147:J147"/>
    <mergeCell ref="C63:J63"/>
    <mergeCell ref="B65:B66"/>
    <mergeCell ref="B69:B70"/>
    <mergeCell ref="B71:B72"/>
    <mergeCell ref="B73:B74"/>
    <mergeCell ref="C112:J112"/>
    <mergeCell ref="C113:J113"/>
    <mergeCell ref="C114:J114"/>
    <mergeCell ref="C115:J115"/>
    <mergeCell ref="C106:J106"/>
    <mergeCell ref="C107:J107"/>
    <mergeCell ref="C108:J108"/>
    <mergeCell ref="C109:J109"/>
    <mergeCell ref="C110:J110"/>
    <mergeCell ref="C172:J172"/>
    <mergeCell ref="C173:J173"/>
    <mergeCell ref="C155:J155"/>
    <mergeCell ref="C156:J156"/>
    <mergeCell ref="C157:J157"/>
    <mergeCell ref="C162:J162"/>
    <mergeCell ref="C159:J159"/>
    <mergeCell ref="C160:J160"/>
    <mergeCell ref="B35:B36"/>
    <mergeCell ref="G35:J35"/>
    <mergeCell ref="C36:F36"/>
    <mergeCell ref="G36:J36"/>
    <mergeCell ref="A41:K41"/>
    <mergeCell ref="C43:J43"/>
    <mergeCell ref="C45:J45"/>
    <mergeCell ref="C46:J46"/>
    <mergeCell ref="C47:J47"/>
    <mergeCell ref="C64:J64"/>
    <mergeCell ref="C65:J65"/>
    <mergeCell ref="C66:J66"/>
    <mergeCell ref="C69:J69"/>
    <mergeCell ref="C70:J70"/>
    <mergeCell ref="C71:J71"/>
    <mergeCell ref="B63:B64"/>
    <mergeCell ref="C29:J29"/>
    <mergeCell ref="C30:J30"/>
    <mergeCell ref="C31:J31"/>
    <mergeCell ref="C32:J32"/>
    <mergeCell ref="C34:J34"/>
    <mergeCell ref="C38:J38"/>
    <mergeCell ref="C39:J39"/>
    <mergeCell ref="C35:F35"/>
    <mergeCell ref="C161:J161"/>
    <mergeCell ref="C50:J50"/>
    <mergeCell ref="C158:J158"/>
    <mergeCell ref="C58:J58"/>
    <mergeCell ref="C44:J44"/>
    <mergeCell ref="C48:J48"/>
    <mergeCell ref="C57:J57"/>
    <mergeCell ref="C55:J55"/>
    <mergeCell ref="C56:J56"/>
    <mergeCell ref="C75:J75"/>
    <mergeCell ref="C76:J76"/>
    <mergeCell ref="C99:J99"/>
    <mergeCell ref="C77:J77"/>
    <mergeCell ref="C78:J78"/>
    <mergeCell ref="C79:J79"/>
    <mergeCell ref="C80:J80"/>
    <mergeCell ref="A6:K6"/>
    <mergeCell ref="A7:B7"/>
    <mergeCell ref="A8:B8"/>
    <mergeCell ref="I8:J8"/>
    <mergeCell ref="A11:K11"/>
    <mergeCell ref="C13:J13"/>
    <mergeCell ref="A25:K25"/>
    <mergeCell ref="C27:J27"/>
    <mergeCell ref="C28:J28"/>
    <mergeCell ref="C14:J14"/>
    <mergeCell ref="C22:J22"/>
    <mergeCell ref="C23:J23"/>
    <mergeCell ref="C20:J20"/>
    <mergeCell ref="C15:J15"/>
    <mergeCell ref="C16:J16"/>
    <mergeCell ref="C17:J17"/>
    <mergeCell ref="C19:J19"/>
    <mergeCell ref="C21:J21"/>
    <mergeCell ref="C18:J18"/>
    <mergeCell ref="B18:B19"/>
    <mergeCell ref="B75:B76"/>
    <mergeCell ref="B99:B100"/>
    <mergeCell ref="B101:B102"/>
    <mergeCell ref="B103:B104"/>
    <mergeCell ref="B105:B106"/>
    <mergeCell ref="B107:B108"/>
    <mergeCell ref="B77:B78"/>
    <mergeCell ref="B79:B80"/>
    <mergeCell ref="B81:B82"/>
    <mergeCell ref="B87:B88"/>
    <mergeCell ref="B97:B98"/>
    <mergeCell ref="C87:J87"/>
    <mergeCell ref="C88:J88"/>
    <mergeCell ref="B89:B90"/>
    <mergeCell ref="C89:J89"/>
    <mergeCell ref="C90:J90"/>
    <mergeCell ref="B91:B92"/>
    <mergeCell ref="C91:J91"/>
    <mergeCell ref="C92:J92"/>
    <mergeCell ref="C81:J81"/>
    <mergeCell ref="C82:J82"/>
    <mergeCell ref="B83:B84"/>
    <mergeCell ref="C83:J83"/>
    <mergeCell ref="C84:J84"/>
    <mergeCell ref="B85:B86"/>
    <mergeCell ref="C85:J85"/>
    <mergeCell ref="C86:J86"/>
    <mergeCell ref="C97:J97"/>
    <mergeCell ref="C98:J98"/>
    <mergeCell ref="B121:B122"/>
    <mergeCell ref="C121:J121"/>
    <mergeCell ref="C122:J122"/>
    <mergeCell ref="B93:B94"/>
    <mergeCell ref="C93:J93"/>
    <mergeCell ref="C94:J94"/>
    <mergeCell ref="B95:B96"/>
    <mergeCell ref="C95:J95"/>
    <mergeCell ref="C96:J96"/>
    <mergeCell ref="B109:B110"/>
    <mergeCell ref="B111:B112"/>
    <mergeCell ref="B113:B114"/>
    <mergeCell ref="B115:B116"/>
    <mergeCell ref="B117:B118"/>
    <mergeCell ref="B119:B120"/>
    <mergeCell ref="C118:J118"/>
    <mergeCell ref="C119:J119"/>
    <mergeCell ref="C120:J120"/>
    <mergeCell ref="C116:J116"/>
    <mergeCell ref="C117:J117"/>
    <mergeCell ref="B127:B128"/>
    <mergeCell ref="C127:J127"/>
    <mergeCell ref="C128:J128"/>
    <mergeCell ref="B129:B130"/>
    <mergeCell ref="C129:J129"/>
    <mergeCell ref="C130:J130"/>
    <mergeCell ref="B123:B124"/>
    <mergeCell ref="C123:J123"/>
    <mergeCell ref="C124:J124"/>
    <mergeCell ref="B125:B126"/>
    <mergeCell ref="C125:J125"/>
    <mergeCell ref="C126:J126"/>
    <mergeCell ref="B135:B136"/>
    <mergeCell ref="C135:J135"/>
    <mergeCell ref="C136:J136"/>
    <mergeCell ref="B137:B138"/>
    <mergeCell ref="C137:J137"/>
    <mergeCell ref="C138:J138"/>
    <mergeCell ref="B131:B132"/>
    <mergeCell ref="C131:J131"/>
    <mergeCell ref="C132:J132"/>
    <mergeCell ref="B133:B134"/>
    <mergeCell ref="C133:J133"/>
    <mergeCell ref="C134:J134"/>
    <mergeCell ref="B143:B144"/>
    <mergeCell ref="C143:J143"/>
    <mergeCell ref="C144:J144"/>
    <mergeCell ref="B145:B146"/>
    <mergeCell ref="C145:J145"/>
    <mergeCell ref="C146:J146"/>
    <mergeCell ref="B139:B140"/>
    <mergeCell ref="C139:J139"/>
    <mergeCell ref="C140:J140"/>
    <mergeCell ref="B141:B142"/>
    <mergeCell ref="C141:J141"/>
    <mergeCell ref="C142:J142"/>
  </mergeCells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3"/>
  <dimension ref="A1:K160"/>
  <sheetViews>
    <sheetView zoomScale="85" zoomScaleNormal="85" workbookViewId="0">
      <selection activeCell="M36" sqref="M36"/>
    </sheetView>
  </sheetViews>
  <sheetFormatPr defaultRowHeight="13.5"/>
  <sheetData>
    <row r="1" spans="1:11" ht="14.25" thickBot="1">
      <c r="A1" s="814" t="s">
        <v>174</v>
      </c>
      <c r="B1" s="815"/>
      <c r="C1" s="815"/>
      <c r="D1" s="815"/>
      <c r="E1" s="815"/>
      <c r="F1" s="815"/>
      <c r="G1" s="815"/>
      <c r="H1" s="815"/>
      <c r="I1" s="815"/>
      <c r="J1" s="815"/>
      <c r="K1" s="816"/>
    </row>
    <row r="2" spans="1:11">
      <c r="A2" s="101" t="s">
        <v>312</v>
      </c>
      <c r="B2" s="133"/>
      <c r="C2" s="102" t="s">
        <v>45</v>
      </c>
      <c r="D2" s="480"/>
      <c r="E2" s="104"/>
      <c r="F2" s="104"/>
      <c r="G2" s="104"/>
      <c r="H2" s="104"/>
      <c r="I2" s="105"/>
      <c r="J2" s="104" t="s">
        <v>52</v>
      </c>
      <c r="K2" s="106" t="s">
        <v>314</v>
      </c>
    </row>
    <row r="3" spans="1:11">
      <c r="A3" s="85" t="s">
        <v>315</v>
      </c>
      <c r="B3" s="131"/>
      <c r="C3" s="26"/>
      <c r="D3" s="28"/>
      <c r="E3" s="28"/>
      <c r="F3" s="28"/>
      <c r="G3" s="28"/>
      <c r="H3" s="28"/>
      <c r="I3" s="27"/>
      <c r="J3" s="28" t="s">
        <v>47</v>
      </c>
      <c r="K3" s="29" t="s">
        <v>937</v>
      </c>
    </row>
    <row r="4" spans="1:11" ht="14.25" thickBot="1">
      <c r="A4" s="86"/>
      <c r="B4" s="132"/>
      <c r="C4" s="87"/>
      <c r="D4" s="87"/>
      <c r="E4" s="87"/>
      <c r="F4" s="87"/>
      <c r="G4" s="87"/>
      <c r="H4" s="87"/>
      <c r="I4" s="88"/>
      <c r="J4" s="30" t="s">
        <v>49</v>
      </c>
      <c r="K4" s="31" t="s">
        <v>939</v>
      </c>
    </row>
    <row r="5" spans="1:11" ht="14.25" thickBot="1">
      <c r="A5" s="736" t="s">
        <v>590</v>
      </c>
      <c r="B5" s="737"/>
      <c r="C5" s="737"/>
      <c r="D5" s="737"/>
      <c r="E5" s="737"/>
      <c r="F5" s="737"/>
      <c r="G5" s="737"/>
      <c r="H5" s="737"/>
      <c r="I5" s="737"/>
      <c r="J5" s="737"/>
      <c r="K5" s="738"/>
    </row>
    <row r="6" spans="1:11" ht="14.25" thickBot="1">
      <c r="A6" s="58" t="s">
        <v>316</v>
      </c>
      <c r="B6" s="58" t="s">
        <v>448</v>
      </c>
      <c r="C6" s="52" t="s">
        <v>163</v>
      </c>
      <c r="D6" s="32" t="s">
        <v>164</v>
      </c>
      <c r="E6" s="32" t="s">
        <v>165</v>
      </c>
      <c r="F6" s="32" t="s">
        <v>166</v>
      </c>
      <c r="G6" s="32" t="s">
        <v>167</v>
      </c>
      <c r="H6" s="32" t="s">
        <v>168</v>
      </c>
      <c r="I6" s="32" t="s">
        <v>169</v>
      </c>
      <c r="J6" s="33" t="s">
        <v>170</v>
      </c>
      <c r="K6" s="75" t="s">
        <v>175</v>
      </c>
    </row>
    <row r="7" spans="1:11">
      <c r="A7" s="462">
        <v>0</v>
      </c>
      <c r="B7" s="463" t="s">
        <v>431</v>
      </c>
      <c r="C7" s="783" t="s">
        <v>171</v>
      </c>
      <c r="D7" s="784"/>
      <c r="E7" s="784"/>
      <c r="F7" s="784"/>
      <c r="G7" s="784"/>
      <c r="H7" s="784"/>
      <c r="I7" s="784"/>
      <c r="J7" s="785"/>
      <c r="K7" s="82">
        <v>1</v>
      </c>
    </row>
    <row r="8" spans="1:11">
      <c r="A8" s="467" t="s">
        <v>139</v>
      </c>
      <c r="B8" s="473" t="s">
        <v>432</v>
      </c>
      <c r="C8" s="723" t="s">
        <v>172</v>
      </c>
      <c r="D8" s="786"/>
      <c r="E8" s="786"/>
      <c r="F8" s="786"/>
      <c r="G8" s="786"/>
      <c r="H8" s="786"/>
      <c r="I8" s="786"/>
      <c r="J8" s="787"/>
      <c r="K8" s="474">
        <v>2</v>
      </c>
    </row>
    <row r="9" spans="1:11">
      <c r="A9" s="467" t="s">
        <v>176</v>
      </c>
      <c r="B9" s="473" t="s">
        <v>433</v>
      </c>
      <c r="C9" s="723" t="s">
        <v>420</v>
      </c>
      <c r="D9" s="786"/>
      <c r="E9" s="786"/>
      <c r="F9" s="786"/>
      <c r="G9" s="786"/>
      <c r="H9" s="786"/>
      <c r="I9" s="786"/>
      <c r="J9" s="787"/>
      <c r="K9" s="474">
        <v>2</v>
      </c>
    </row>
    <row r="10" spans="1:11">
      <c r="A10" s="467" t="s">
        <v>177</v>
      </c>
      <c r="B10" s="473" t="s">
        <v>434</v>
      </c>
      <c r="C10" s="722" t="s">
        <v>173</v>
      </c>
      <c r="D10" s="722"/>
      <c r="E10" s="722"/>
      <c r="F10" s="722"/>
      <c r="G10" s="722"/>
      <c r="H10" s="722"/>
      <c r="I10" s="722"/>
      <c r="J10" s="725"/>
      <c r="K10" s="474">
        <v>2</v>
      </c>
    </row>
    <row r="11" spans="1:11">
      <c r="A11" s="467" t="s">
        <v>178</v>
      </c>
      <c r="B11" s="473" t="s">
        <v>435</v>
      </c>
      <c r="C11" s="858" t="s">
        <v>179</v>
      </c>
      <c r="D11" s="859"/>
      <c r="E11" s="859"/>
      <c r="F11" s="859"/>
      <c r="G11" s="859"/>
      <c r="H11" s="859"/>
      <c r="I11" s="859"/>
      <c r="J11" s="860"/>
      <c r="K11" s="474">
        <v>2</v>
      </c>
    </row>
    <row r="12" spans="1:11" ht="14.25" thickBot="1">
      <c r="A12" s="466" t="s">
        <v>180</v>
      </c>
      <c r="B12" s="476" t="s">
        <v>436</v>
      </c>
      <c r="C12" s="768" t="s">
        <v>219</v>
      </c>
      <c r="D12" s="769"/>
      <c r="E12" s="769"/>
      <c r="F12" s="769"/>
      <c r="G12" s="769"/>
      <c r="H12" s="769"/>
      <c r="I12" s="769"/>
      <c r="J12" s="770"/>
      <c r="K12" s="475">
        <v>2</v>
      </c>
    </row>
    <row r="13" spans="1:11">
      <c r="A13" s="462">
        <v>11</v>
      </c>
      <c r="B13" s="704" t="s">
        <v>437</v>
      </c>
      <c r="C13" s="719" t="s">
        <v>150</v>
      </c>
      <c r="D13" s="718"/>
      <c r="E13" s="718" t="s">
        <v>182</v>
      </c>
      <c r="F13" s="718"/>
      <c r="G13" s="718"/>
      <c r="H13" s="718" t="s">
        <v>183</v>
      </c>
      <c r="I13" s="718"/>
      <c r="J13" s="774"/>
      <c r="K13" s="704">
        <v>2</v>
      </c>
    </row>
    <row r="14" spans="1:11" ht="14.25" thickBot="1">
      <c r="A14" s="466">
        <v>12</v>
      </c>
      <c r="B14" s="716"/>
      <c r="C14" s="720"/>
      <c r="D14" s="712"/>
      <c r="E14" s="465" t="s">
        <v>144</v>
      </c>
      <c r="F14" s="465" t="s">
        <v>145</v>
      </c>
      <c r="G14" s="465" t="s">
        <v>147</v>
      </c>
      <c r="H14" s="465" t="s">
        <v>144</v>
      </c>
      <c r="I14" s="465" t="s">
        <v>145</v>
      </c>
      <c r="J14" s="469" t="s">
        <v>147</v>
      </c>
      <c r="K14" s="716"/>
    </row>
    <row r="15" spans="1:11">
      <c r="A15" s="462">
        <v>13</v>
      </c>
      <c r="B15" s="704" t="s">
        <v>440</v>
      </c>
      <c r="C15" s="775" t="s">
        <v>184</v>
      </c>
      <c r="D15" s="733"/>
      <c r="E15" s="733"/>
      <c r="F15" s="733"/>
      <c r="G15" s="733" t="s">
        <v>185</v>
      </c>
      <c r="H15" s="733"/>
      <c r="I15" s="733"/>
      <c r="J15" s="734"/>
      <c r="K15" s="704">
        <v>2</v>
      </c>
    </row>
    <row r="16" spans="1:11" ht="14.25" thickBot="1">
      <c r="A16" s="466">
        <v>14</v>
      </c>
      <c r="B16" s="716"/>
      <c r="C16" s="472" t="s">
        <v>148</v>
      </c>
      <c r="D16" s="470" t="s">
        <v>186</v>
      </c>
      <c r="E16" s="470" t="s">
        <v>187</v>
      </c>
      <c r="F16" s="470" t="s">
        <v>140</v>
      </c>
      <c r="G16" s="470" t="s">
        <v>148</v>
      </c>
      <c r="H16" s="470" t="s">
        <v>186</v>
      </c>
      <c r="I16" s="470" t="s">
        <v>187</v>
      </c>
      <c r="J16" s="471" t="s">
        <v>140</v>
      </c>
      <c r="K16" s="716"/>
    </row>
    <row r="17" spans="1:11">
      <c r="A17" s="462">
        <v>15</v>
      </c>
      <c r="B17" s="704" t="s">
        <v>441</v>
      </c>
      <c r="C17" s="719" t="s">
        <v>141</v>
      </c>
      <c r="D17" s="718"/>
      <c r="E17" s="718"/>
      <c r="F17" s="718"/>
      <c r="G17" s="718" t="s">
        <v>142</v>
      </c>
      <c r="H17" s="718"/>
      <c r="I17" s="718" t="s">
        <v>143</v>
      </c>
      <c r="J17" s="774"/>
      <c r="K17" s="704">
        <v>2</v>
      </c>
    </row>
    <row r="18" spans="1:11" ht="14.25" thickBot="1">
      <c r="A18" s="466">
        <v>16</v>
      </c>
      <c r="B18" s="716"/>
      <c r="C18" s="468" t="s">
        <v>144</v>
      </c>
      <c r="D18" s="39" t="s">
        <v>145</v>
      </c>
      <c r="E18" s="39" t="s">
        <v>146</v>
      </c>
      <c r="F18" s="39" t="s">
        <v>147</v>
      </c>
      <c r="G18" s="465" t="s">
        <v>148</v>
      </c>
      <c r="H18" s="465" t="s">
        <v>149</v>
      </c>
      <c r="I18" s="465" t="s">
        <v>148</v>
      </c>
      <c r="J18" s="469" t="s">
        <v>149</v>
      </c>
      <c r="K18" s="716"/>
    </row>
    <row r="19" spans="1:11" ht="14.25" thickBot="1">
      <c r="A19" s="58" t="s">
        <v>188</v>
      </c>
      <c r="B19" s="462" t="s">
        <v>457</v>
      </c>
      <c r="C19" s="90" t="s">
        <v>150</v>
      </c>
      <c r="D19" s="41" t="s">
        <v>151</v>
      </c>
      <c r="E19" s="40" t="s">
        <v>152</v>
      </c>
      <c r="F19" s="40" t="s">
        <v>153</v>
      </c>
      <c r="G19" s="40" t="s">
        <v>154</v>
      </c>
      <c r="H19" s="40" t="s">
        <v>155</v>
      </c>
      <c r="I19" s="40" t="s">
        <v>156</v>
      </c>
      <c r="J19" s="42" t="s">
        <v>31</v>
      </c>
      <c r="K19" s="81">
        <v>2</v>
      </c>
    </row>
    <row r="20" spans="1:11" ht="14.25" thickBot="1">
      <c r="A20" s="58" t="s">
        <v>189</v>
      </c>
      <c r="B20" s="58" t="s">
        <v>442</v>
      </c>
      <c r="C20" s="91" t="s">
        <v>150</v>
      </c>
      <c r="D20" s="43" t="s">
        <v>157</v>
      </c>
      <c r="E20" s="43" t="s">
        <v>158</v>
      </c>
      <c r="F20" s="43" t="s">
        <v>150</v>
      </c>
      <c r="G20" s="793" t="s">
        <v>428</v>
      </c>
      <c r="H20" s="793"/>
      <c r="I20" s="793"/>
      <c r="J20" s="794"/>
      <c r="K20" s="81">
        <v>2</v>
      </c>
    </row>
    <row r="21" spans="1:11">
      <c r="A21" s="462" t="s">
        <v>190</v>
      </c>
      <c r="B21" s="704" t="s">
        <v>453</v>
      </c>
      <c r="C21" s="775" t="s">
        <v>159</v>
      </c>
      <c r="D21" s="733"/>
      <c r="E21" s="733"/>
      <c r="F21" s="733"/>
      <c r="G21" s="733" t="s">
        <v>578</v>
      </c>
      <c r="H21" s="733"/>
      <c r="I21" s="733"/>
      <c r="J21" s="734"/>
      <c r="K21" s="82">
        <v>2</v>
      </c>
    </row>
    <row r="22" spans="1:11">
      <c r="A22" s="467" t="s">
        <v>191</v>
      </c>
      <c r="B22" s="717"/>
      <c r="C22" s="782" t="s">
        <v>161</v>
      </c>
      <c r="D22" s="779"/>
      <c r="E22" s="779"/>
      <c r="F22" s="779"/>
      <c r="G22" s="779" t="s">
        <v>162</v>
      </c>
      <c r="H22" s="779"/>
      <c r="I22" s="779"/>
      <c r="J22" s="780"/>
      <c r="K22" s="474">
        <v>2</v>
      </c>
    </row>
    <row r="23" spans="1:11" ht="14.25" thickBot="1">
      <c r="A23" s="466" t="s">
        <v>285</v>
      </c>
      <c r="B23" s="716"/>
      <c r="C23" s="788" t="s">
        <v>192</v>
      </c>
      <c r="D23" s="772"/>
      <c r="E23" s="772"/>
      <c r="F23" s="772"/>
      <c r="G23" s="772" t="s">
        <v>193</v>
      </c>
      <c r="H23" s="772"/>
      <c r="I23" s="772"/>
      <c r="J23" s="773"/>
      <c r="K23" s="475">
        <v>2</v>
      </c>
    </row>
    <row r="24" spans="1:11">
      <c r="A24" s="462" t="s">
        <v>286</v>
      </c>
      <c r="B24" s="704" t="s">
        <v>450</v>
      </c>
      <c r="C24" s="719" t="s">
        <v>194</v>
      </c>
      <c r="D24" s="718"/>
      <c r="E24" s="718"/>
      <c r="F24" s="718"/>
      <c r="G24" s="718" t="s">
        <v>577</v>
      </c>
      <c r="H24" s="718"/>
      <c r="I24" s="718"/>
      <c r="J24" s="774"/>
      <c r="K24" s="82">
        <v>2</v>
      </c>
    </row>
    <row r="25" spans="1:11">
      <c r="A25" s="467" t="s">
        <v>287</v>
      </c>
      <c r="B25" s="717"/>
      <c r="C25" s="771" t="s">
        <v>196</v>
      </c>
      <c r="D25" s="707"/>
      <c r="E25" s="707"/>
      <c r="F25" s="707"/>
      <c r="G25" s="707" t="s">
        <v>197</v>
      </c>
      <c r="H25" s="707"/>
      <c r="I25" s="707"/>
      <c r="J25" s="732"/>
      <c r="K25" s="474">
        <v>2</v>
      </c>
    </row>
    <row r="26" spans="1:11" ht="14.25" thickBot="1">
      <c r="A26" s="466" t="s">
        <v>288</v>
      </c>
      <c r="B26" s="716"/>
      <c r="C26" s="720" t="s">
        <v>198</v>
      </c>
      <c r="D26" s="712"/>
      <c r="E26" s="712"/>
      <c r="F26" s="712"/>
      <c r="G26" s="712" t="s">
        <v>199</v>
      </c>
      <c r="H26" s="712"/>
      <c r="I26" s="712"/>
      <c r="J26" s="735"/>
      <c r="K26" s="475">
        <v>2</v>
      </c>
    </row>
    <row r="27" spans="1:11">
      <c r="A27" s="704" t="s">
        <v>289</v>
      </c>
      <c r="B27" s="704" t="s">
        <v>532</v>
      </c>
      <c r="C27" s="801" t="s">
        <v>530</v>
      </c>
      <c r="D27" s="802"/>
      <c r="E27" s="802"/>
      <c r="F27" s="803"/>
      <c r="G27" s="795" t="s">
        <v>582</v>
      </c>
      <c r="H27" s="796"/>
      <c r="I27" s="796"/>
      <c r="J27" s="797"/>
      <c r="K27" s="742">
        <v>2</v>
      </c>
    </row>
    <row r="28" spans="1:11" ht="14.25" thickBot="1">
      <c r="A28" s="716"/>
      <c r="B28" s="716"/>
      <c r="C28" s="139" t="s">
        <v>535</v>
      </c>
      <c r="D28" s="121" t="s">
        <v>536</v>
      </c>
      <c r="E28" s="121" t="s">
        <v>524</v>
      </c>
      <c r="F28" s="121" t="s">
        <v>537</v>
      </c>
      <c r="G28" s="120" t="s">
        <v>538</v>
      </c>
      <c r="H28" s="121" t="s">
        <v>539</v>
      </c>
      <c r="I28" s="121" t="s">
        <v>540</v>
      </c>
      <c r="J28" s="122" t="s">
        <v>3</v>
      </c>
      <c r="K28" s="743"/>
    </row>
    <row r="29" spans="1:11">
      <c r="A29" s="704" t="s">
        <v>290</v>
      </c>
      <c r="B29" s="704" t="s">
        <v>533</v>
      </c>
      <c r="C29" s="729" t="s">
        <v>528</v>
      </c>
      <c r="D29" s="730"/>
      <c r="E29" s="730"/>
      <c r="F29" s="731"/>
      <c r="G29" s="804" t="s">
        <v>529</v>
      </c>
      <c r="H29" s="730"/>
      <c r="I29" s="730"/>
      <c r="J29" s="805"/>
      <c r="K29" s="746">
        <v>2</v>
      </c>
    </row>
    <row r="30" spans="1:11" ht="14.25" thickBot="1">
      <c r="A30" s="716"/>
      <c r="B30" s="716"/>
      <c r="C30" s="464" t="s">
        <v>535</v>
      </c>
      <c r="D30" s="465" t="s">
        <v>536</v>
      </c>
      <c r="E30" s="465" t="s">
        <v>524</v>
      </c>
      <c r="F30" s="465" t="s">
        <v>537</v>
      </c>
      <c r="G30" s="468" t="s">
        <v>538</v>
      </c>
      <c r="H30" s="465" t="s">
        <v>539</v>
      </c>
      <c r="I30" s="465" t="s">
        <v>540</v>
      </c>
      <c r="J30" s="469" t="s">
        <v>3</v>
      </c>
      <c r="K30" s="747"/>
    </row>
    <row r="31" spans="1:11">
      <c r="A31" s="704" t="s">
        <v>291</v>
      </c>
      <c r="B31" s="704" t="s">
        <v>534</v>
      </c>
      <c r="C31" s="761" t="s">
        <v>526</v>
      </c>
      <c r="D31" s="762"/>
      <c r="E31" s="762"/>
      <c r="F31" s="763"/>
      <c r="G31" s="764" t="s">
        <v>527</v>
      </c>
      <c r="H31" s="762"/>
      <c r="I31" s="762"/>
      <c r="J31" s="765"/>
      <c r="K31" s="746">
        <v>2</v>
      </c>
    </row>
    <row r="32" spans="1:11" ht="14.25" thickBot="1">
      <c r="A32" s="716"/>
      <c r="B32" s="716"/>
      <c r="C32" s="45" t="s">
        <v>535</v>
      </c>
      <c r="D32" s="478" t="s">
        <v>536</v>
      </c>
      <c r="E32" s="478" t="s">
        <v>524</v>
      </c>
      <c r="F32" s="478" t="s">
        <v>537</v>
      </c>
      <c r="G32" s="477" t="s">
        <v>538</v>
      </c>
      <c r="H32" s="478" t="s">
        <v>539</v>
      </c>
      <c r="I32" s="478" t="s">
        <v>540</v>
      </c>
      <c r="J32" s="479" t="s">
        <v>3</v>
      </c>
      <c r="K32" s="747"/>
    </row>
    <row r="33" spans="1:11">
      <c r="A33" s="462" t="s">
        <v>292</v>
      </c>
      <c r="B33" s="704" t="s">
        <v>454</v>
      </c>
      <c r="C33" s="798" t="s">
        <v>576</v>
      </c>
      <c r="D33" s="776"/>
      <c r="E33" s="776"/>
      <c r="F33" s="799"/>
      <c r="G33" s="800" t="s">
        <v>580</v>
      </c>
      <c r="H33" s="776"/>
      <c r="I33" s="776"/>
      <c r="J33" s="777"/>
      <c r="K33" s="467">
        <v>2</v>
      </c>
    </row>
    <row r="34" spans="1:11">
      <c r="A34" s="467" t="s">
        <v>293</v>
      </c>
      <c r="B34" s="717"/>
      <c r="C34" s="721" t="s">
        <v>575</v>
      </c>
      <c r="D34" s="722"/>
      <c r="E34" s="722"/>
      <c r="F34" s="723"/>
      <c r="G34" s="724" t="s">
        <v>574</v>
      </c>
      <c r="H34" s="722"/>
      <c r="I34" s="722"/>
      <c r="J34" s="725"/>
      <c r="K34" s="467">
        <v>2</v>
      </c>
    </row>
    <row r="35" spans="1:11" ht="14.25" thickBot="1">
      <c r="A35" s="466" t="s">
        <v>294</v>
      </c>
      <c r="B35" s="716"/>
      <c r="C35" s="726" t="s">
        <v>200</v>
      </c>
      <c r="D35" s="727"/>
      <c r="E35" s="727"/>
      <c r="F35" s="728"/>
      <c r="G35" s="781" t="s">
        <v>201</v>
      </c>
      <c r="H35" s="727"/>
      <c r="I35" s="727"/>
      <c r="J35" s="778"/>
      <c r="K35" s="475">
        <v>2</v>
      </c>
    </row>
    <row r="36" spans="1:11">
      <c r="A36" s="467" t="s">
        <v>295</v>
      </c>
      <c r="B36" s="704" t="s">
        <v>481</v>
      </c>
      <c r="C36" s="702" t="s">
        <v>473</v>
      </c>
      <c r="D36" s="702"/>
      <c r="E36" s="702"/>
      <c r="F36" s="702"/>
      <c r="G36" s="702"/>
      <c r="H36" s="702"/>
      <c r="I36" s="702"/>
      <c r="J36" s="703"/>
      <c r="K36" s="82">
        <v>2</v>
      </c>
    </row>
    <row r="37" spans="1:11">
      <c r="A37" s="467" t="s">
        <v>296</v>
      </c>
      <c r="B37" s="705"/>
      <c r="C37" s="696" t="s">
        <v>474</v>
      </c>
      <c r="D37" s="696"/>
      <c r="E37" s="696"/>
      <c r="F37" s="696"/>
      <c r="G37" s="696"/>
      <c r="H37" s="696"/>
      <c r="I37" s="696"/>
      <c r="J37" s="698"/>
      <c r="K37" s="134">
        <v>2</v>
      </c>
    </row>
    <row r="38" spans="1:11">
      <c r="A38" s="467" t="s">
        <v>297</v>
      </c>
      <c r="B38" s="717" t="s">
        <v>482</v>
      </c>
      <c r="C38" s="855" t="s">
        <v>475</v>
      </c>
      <c r="D38" s="855"/>
      <c r="E38" s="855"/>
      <c r="F38" s="855"/>
      <c r="G38" s="855"/>
      <c r="H38" s="855"/>
      <c r="I38" s="855"/>
      <c r="J38" s="857"/>
      <c r="K38" s="474">
        <v>2</v>
      </c>
    </row>
    <row r="39" spans="1:11">
      <c r="A39" s="467" t="s">
        <v>303</v>
      </c>
      <c r="B39" s="717"/>
      <c r="C39" s="853" t="s">
        <v>496</v>
      </c>
      <c r="D39" s="853"/>
      <c r="E39" s="853"/>
      <c r="F39" s="853"/>
      <c r="G39" s="853"/>
      <c r="H39" s="853"/>
      <c r="I39" s="853"/>
      <c r="J39" s="862"/>
      <c r="K39" s="474">
        <v>2</v>
      </c>
    </row>
    <row r="40" spans="1:11">
      <c r="A40" s="467" t="s">
        <v>304</v>
      </c>
      <c r="B40" s="900" t="s">
        <v>483</v>
      </c>
      <c r="C40" s="696" t="s">
        <v>476</v>
      </c>
      <c r="D40" s="696"/>
      <c r="E40" s="696"/>
      <c r="F40" s="696"/>
      <c r="G40" s="696"/>
      <c r="H40" s="696"/>
      <c r="I40" s="696"/>
      <c r="J40" s="698"/>
      <c r="K40" s="135">
        <v>2</v>
      </c>
    </row>
    <row r="41" spans="1:11">
      <c r="A41" s="467" t="s">
        <v>305</v>
      </c>
      <c r="B41" s="705"/>
      <c r="C41" s="696" t="s">
        <v>479</v>
      </c>
      <c r="D41" s="696"/>
      <c r="E41" s="696"/>
      <c r="F41" s="696"/>
      <c r="G41" s="696"/>
      <c r="H41" s="696"/>
      <c r="I41" s="696"/>
      <c r="J41" s="698"/>
      <c r="K41" s="134">
        <v>2</v>
      </c>
    </row>
    <row r="42" spans="1:11">
      <c r="A42" s="467" t="s">
        <v>306</v>
      </c>
      <c r="B42" s="717" t="s">
        <v>484</v>
      </c>
      <c r="C42" s="855" t="s">
        <v>477</v>
      </c>
      <c r="D42" s="855"/>
      <c r="E42" s="855"/>
      <c r="F42" s="855"/>
      <c r="G42" s="855"/>
      <c r="H42" s="855"/>
      <c r="I42" s="855"/>
      <c r="J42" s="857"/>
      <c r="K42" s="474">
        <v>2</v>
      </c>
    </row>
    <row r="43" spans="1:11" ht="14.25" thickBot="1">
      <c r="A43" s="466" t="s">
        <v>307</v>
      </c>
      <c r="B43" s="716"/>
      <c r="C43" s="687" t="s">
        <v>480</v>
      </c>
      <c r="D43" s="687"/>
      <c r="E43" s="687"/>
      <c r="F43" s="687"/>
      <c r="G43" s="687"/>
      <c r="H43" s="687"/>
      <c r="I43" s="687"/>
      <c r="J43" s="689"/>
      <c r="K43" s="475">
        <v>2</v>
      </c>
    </row>
    <row r="44" spans="1:11">
      <c r="A44" s="462" t="s">
        <v>308</v>
      </c>
      <c r="B44" s="704" t="s">
        <v>452</v>
      </c>
      <c r="C44" s="1044" t="s">
        <v>1851</v>
      </c>
      <c r="D44" s="1045"/>
      <c r="E44" s="1045"/>
      <c r="F44" s="1045"/>
      <c r="G44" s="1045"/>
      <c r="H44" s="1045"/>
      <c r="I44" s="1045"/>
      <c r="J44" s="1046"/>
      <c r="K44" s="82">
        <v>2</v>
      </c>
    </row>
    <row r="45" spans="1:11" ht="14.25" thickBot="1">
      <c r="A45" s="466" t="s">
        <v>309</v>
      </c>
      <c r="B45" s="716"/>
      <c r="C45" s="1047" t="s">
        <v>1849</v>
      </c>
      <c r="D45" s="1048"/>
      <c r="E45" s="1048"/>
      <c r="F45" s="1048"/>
      <c r="G45" s="1048"/>
      <c r="H45" s="1048"/>
      <c r="I45" s="1048"/>
      <c r="J45" s="1049"/>
      <c r="K45" s="475">
        <v>2</v>
      </c>
    </row>
    <row r="46" spans="1:11">
      <c r="A46" s="462" t="s">
        <v>339</v>
      </c>
      <c r="B46" s="462" t="s">
        <v>446</v>
      </c>
      <c r="C46" s="776" t="s">
        <v>206</v>
      </c>
      <c r="D46" s="776"/>
      <c r="E46" s="776"/>
      <c r="F46" s="776"/>
      <c r="G46" s="776"/>
      <c r="H46" s="776"/>
      <c r="I46" s="776"/>
      <c r="J46" s="777"/>
      <c r="K46" s="82">
        <v>2</v>
      </c>
    </row>
    <row r="47" spans="1:11" ht="14.25" thickBot="1">
      <c r="A47" s="466">
        <v>67</v>
      </c>
      <c r="B47" s="476" t="s">
        <v>447</v>
      </c>
      <c r="C47" s="727" t="s">
        <v>207</v>
      </c>
      <c r="D47" s="727"/>
      <c r="E47" s="727"/>
      <c r="F47" s="727"/>
      <c r="G47" s="727"/>
      <c r="H47" s="727"/>
      <c r="I47" s="727"/>
      <c r="J47" s="778"/>
      <c r="K47" s="475">
        <v>1</v>
      </c>
    </row>
    <row r="80" ht="14.25" thickBot="1"/>
    <row r="81" spans="1:11" ht="14.25" thickBot="1">
      <c r="A81" s="814" t="s">
        <v>174</v>
      </c>
      <c r="B81" s="815"/>
      <c r="C81" s="815"/>
      <c r="D81" s="815"/>
      <c r="E81" s="815"/>
      <c r="F81" s="815"/>
      <c r="G81" s="815"/>
      <c r="H81" s="815"/>
      <c r="I81" s="815"/>
      <c r="J81" s="815"/>
      <c r="K81" s="816"/>
    </row>
    <row r="82" spans="1:11">
      <c r="A82" s="101" t="s">
        <v>44</v>
      </c>
      <c r="B82" s="133"/>
      <c r="C82" s="102" t="s">
        <v>45</v>
      </c>
      <c r="D82" s="103"/>
      <c r="E82" s="104"/>
      <c r="F82" s="104"/>
      <c r="G82" s="104"/>
      <c r="H82" s="104"/>
      <c r="I82" s="105"/>
      <c r="J82" s="104" t="s">
        <v>52</v>
      </c>
      <c r="K82" s="106" t="s">
        <v>1062</v>
      </c>
    </row>
    <row r="83" spans="1:11">
      <c r="A83" s="85" t="s">
        <v>50</v>
      </c>
      <c r="B83" s="131"/>
      <c r="C83" s="26"/>
      <c r="D83" s="28"/>
      <c r="E83" s="28"/>
      <c r="F83" s="28"/>
      <c r="G83" s="28"/>
      <c r="H83" s="28"/>
      <c r="I83" s="27"/>
      <c r="J83" s="28" t="s">
        <v>47</v>
      </c>
      <c r="K83" s="29" t="s">
        <v>937</v>
      </c>
    </row>
    <row r="84" spans="1:11" ht="14.25" thickBot="1">
      <c r="A84" s="86"/>
      <c r="B84" s="132"/>
      <c r="C84" s="87"/>
      <c r="D84" s="87"/>
      <c r="E84" s="87"/>
      <c r="F84" s="87"/>
      <c r="G84" s="87"/>
      <c r="H84" s="87"/>
      <c r="I84" s="88"/>
      <c r="J84" s="30" t="s">
        <v>49</v>
      </c>
      <c r="K84" s="31" t="s">
        <v>939</v>
      </c>
    </row>
    <row r="85" spans="1:11" ht="14.25" thickBot="1">
      <c r="A85" s="736" t="s">
        <v>1850</v>
      </c>
      <c r="B85" s="737"/>
      <c r="C85" s="737"/>
      <c r="D85" s="737"/>
      <c r="E85" s="737"/>
      <c r="F85" s="737"/>
      <c r="G85" s="737"/>
      <c r="H85" s="737"/>
      <c r="I85" s="737"/>
      <c r="J85" s="737"/>
      <c r="K85" s="738"/>
    </row>
    <row r="86" spans="1:11" ht="14.25" thickBot="1">
      <c r="A86" s="58" t="s">
        <v>0</v>
      </c>
      <c r="B86" s="58" t="s">
        <v>448</v>
      </c>
      <c r="C86" s="52" t="s">
        <v>163</v>
      </c>
      <c r="D86" s="32" t="s">
        <v>164</v>
      </c>
      <c r="E86" s="32" t="s">
        <v>165</v>
      </c>
      <c r="F86" s="32" t="s">
        <v>166</v>
      </c>
      <c r="G86" s="32" t="s">
        <v>167</v>
      </c>
      <c r="H86" s="32" t="s">
        <v>168</v>
      </c>
      <c r="I86" s="32" t="s">
        <v>169</v>
      </c>
      <c r="J86" s="33" t="s">
        <v>170</v>
      </c>
      <c r="K86" s="75" t="s">
        <v>175</v>
      </c>
    </row>
    <row r="87" spans="1:11">
      <c r="A87" s="54">
        <v>0</v>
      </c>
      <c r="B87" s="53" t="s">
        <v>431</v>
      </c>
      <c r="C87" s="783" t="s">
        <v>171</v>
      </c>
      <c r="D87" s="784"/>
      <c r="E87" s="784"/>
      <c r="F87" s="784"/>
      <c r="G87" s="784"/>
      <c r="H87" s="784"/>
      <c r="I87" s="784"/>
      <c r="J87" s="785"/>
      <c r="K87" s="54">
        <v>1</v>
      </c>
    </row>
    <row r="88" spans="1:11">
      <c r="A88" s="63" t="s">
        <v>139</v>
      </c>
      <c r="B88" s="60" t="s">
        <v>432</v>
      </c>
      <c r="C88" s="723" t="s">
        <v>172</v>
      </c>
      <c r="D88" s="786"/>
      <c r="E88" s="786"/>
      <c r="F88" s="786"/>
      <c r="G88" s="786"/>
      <c r="H88" s="786"/>
      <c r="I88" s="786"/>
      <c r="J88" s="787"/>
      <c r="K88" s="63">
        <v>2</v>
      </c>
    </row>
    <row r="89" spans="1:11">
      <c r="A89" s="63" t="s">
        <v>176</v>
      </c>
      <c r="B89" s="60" t="s">
        <v>433</v>
      </c>
      <c r="C89" s="723" t="s">
        <v>420</v>
      </c>
      <c r="D89" s="786"/>
      <c r="E89" s="786"/>
      <c r="F89" s="786"/>
      <c r="G89" s="786"/>
      <c r="H89" s="786"/>
      <c r="I89" s="786"/>
      <c r="J89" s="787"/>
      <c r="K89" s="63">
        <v>2</v>
      </c>
    </row>
    <row r="90" spans="1:11">
      <c r="A90" s="63" t="s">
        <v>177</v>
      </c>
      <c r="B90" s="60" t="s">
        <v>434</v>
      </c>
      <c r="C90" s="722" t="s">
        <v>173</v>
      </c>
      <c r="D90" s="722"/>
      <c r="E90" s="722"/>
      <c r="F90" s="722"/>
      <c r="G90" s="722"/>
      <c r="H90" s="722"/>
      <c r="I90" s="722"/>
      <c r="J90" s="725"/>
      <c r="K90" s="84">
        <v>2</v>
      </c>
    </row>
    <row r="91" spans="1:11">
      <c r="A91" s="63" t="s">
        <v>178</v>
      </c>
      <c r="B91" s="60" t="s">
        <v>435</v>
      </c>
      <c r="C91" s="858" t="s">
        <v>179</v>
      </c>
      <c r="D91" s="859"/>
      <c r="E91" s="859"/>
      <c r="F91" s="859"/>
      <c r="G91" s="859"/>
      <c r="H91" s="859"/>
      <c r="I91" s="859"/>
      <c r="J91" s="860"/>
      <c r="K91" s="63">
        <v>2</v>
      </c>
    </row>
    <row r="92" spans="1:11" ht="14.25" thickBot="1">
      <c r="A92" s="55" t="s">
        <v>180</v>
      </c>
      <c r="B92" s="62" t="s">
        <v>436</v>
      </c>
      <c r="C92" s="768" t="s">
        <v>219</v>
      </c>
      <c r="D92" s="769"/>
      <c r="E92" s="769"/>
      <c r="F92" s="769"/>
      <c r="G92" s="769"/>
      <c r="H92" s="769"/>
      <c r="I92" s="769"/>
      <c r="J92" s="770"/>
      <c r="K92" s="55">
        <v>2</v>
      </c>
    </row>
    <row r="93" spans="1:11">
      <c r="A93" s="162" t="s">
        <v>298</v>
      </c>
      <c r="B93" s="924" t="s">
        <v>907</v>
      </c>
      <c r="C93" s="921" t="s">
        <v>908</v>
      </c>
      <c r="D93" s="922"/>
      <c r="E93" s="922"/>
      <c r="F93" s="922"/>
      <c r="G93" s="922"/>
      <c r="H93" s="922"/>
      <c r="I93" s="922"/>
      <c r="J93" s="923"/>
      <c r="K93" s="163">
        <v>2</v>
      </c>
    </row>
    <row r="94" spans="1:11">
      <c r="A94" s="159" t="s">
        <v>299</v>
      </c>
      <c r="B94" s="717"/>
      <c r="C94" s="919" t="s">
        <v>909</v>
      </c>
      <c r="D94" s="690"/>
      <c r="E94" s="690"/>
      <c r="F94" s="690"/>
      <c r="G94" s="690"/>
      <c r="H94" s="690"/>
      <c r="I94" s="690"/>
      <c r="J94" s="692"/>
      <c r="K94" s="80">
        <v>2</v>
      </c>
    </row>
    <row r="95" spans="1:11">
      <c r="A95" s="159" t="s">
        <v>300</v>
      </c>
      <c r="B95" s="717"/>
      <c r="C95" s="919" t="s">
        <v>910</v>
      </c>
      <c r="D95" s="690"/>
      <c r="E95" s="690"/>
      <c r="F95" s="690"/>
      <c r="G95" s="690"/>
      <c r="H95" s="690"/>
      <c r="I95" s="690"/>
      <c r="J95" s="692"/>
      <c r="K95" s="80">
        <v>2</v>
      </c>
    </row>
    <row r="96" spans="1:11">
      <c r="A96" s="159" t="s">
        <v>1063</v>
      </c>
      <c r="B96" s="717"/>
      <c r="C96" s="919" t="s">
        <v>911</v>
      </c>
      <c r="D96" s="690"/>
      <c r="E96" s="690"/>
      <c r="F96" s="690"/>
      <c r="G96" s="690"/>
      <c r="H96" s="690"/>
      <c r="I96" s="690"/>
      <c r="J96" s="692"/>
      <c r="K96" s="80">
        <v>2</v>
      </c>
    </row>
    <row r="97" spans="1:11">
      <c r="A97" s="159" t="s">
        <v>1064</v>
      </c>
      <c r="B97" s="717"/>
      <c r="C97" s="919" t="s">
        <v>912</v>
      </c>
      <c r="D97" s="690"/>
      <c r="E97" s="690"/>
      <c r="F97" s="690"/>
      <c r="G97" s="690"/>
      <c r="H97" s="690"/>
      <c r="I97" s="690"/>
      <c r="J97" s="692"/>
      <c r="K97" s="80">
        <v>2</v>
      </c>
    </row>
    <row r="98" spans="1:11">
      <c r="A98" s="159" t="s">
        <v>1065</v>
      </c>
      <c r="B98" s="717"/>
      <c r="C98" s="919" t="s">
        <v>913</v>
      </c>
      <c r="D98" s="690"/>
      <c r="E98" s="690"/>
      <c r="F98" s="690"/>
      <c r="G98" s="690"/>
      <c r="H98" s="690"/>
      <c r="I98" s="690"/>
      <c r="J98" s="692"/>
      <c r="K98" s="80">
        <v>2</v>
      </c>
    </row>
    <row r="99" spans="1:11">
      <c r="A99" s="159" t="s">
        <v>1066</v>
      </c>
      <c r="B99" s="717"/>
      <c r="C99" s="919" t="s">
        <v>914</v>
      </c>
      <c r="D99" s="690"/>
      <c r="E99" s="690"/>
      <c r="F99" s="690"/>
      <c r="G99" s="690"/>
      <c r="H99" s="690"/>
      <c r="I99" s="690"/>
      <c r="J99" s="692"/>
      <c r="K99" s="80">
        <v>2</v>
      </c>
    </row>
    <row r="100" spans="1:11">
      <c r="A100" s="159" t="s">
        <v>1067</v>
      </c>
      <c r="B100" s="717"/>
      <c r="C100" s="919" t="s">
        <v>915</v>
      </c>
      <c r="D100" s="690"/>
      <c r="E100" s="690"/>
      <c r="F100" s="690"/>
      <c r="G100" s="690"/>
      <c r="H100" s="690"/>
      <c r="I100" s="690"/>
      <c r="J100" s="692"/>
      <c r="K100" s="80">
        <v>2</v>
      </c>
    </row>
    <row r="101" spans="1:11">
      <c r="A101" s="159" t="s">
        <v>1068</v>
      </c>
      <c r="B101" s="717"/>
      <c r="C101" s="919" t="s">
        <v>916</v>
      </c>
      <c r="D101" s="690"/>
      <c r="E101" s="690"/>
      <c r="F101" s="690"/>
      <c r="G101" s="690"/>
      <c r="H101" s="690"/>
      <c r="I101" s="690"/>
      <c r="J101" s="692"/>
      <c r="K101" s="80">
        <v>2</v>
      </c>
    </row>
    <row r="102" spans="1:11">
      <c r="A102" s="159" t="s">
        <v>1069</v>
      </c>
      <c r="B102" s="717"/>
      <c r="C102" s="919" t="s">
        <v>917</v>
      </c>
      <c r="D102" s="690"/>
      <c r="E102" s="690"/>
      <c r="F102" s="690"/>
      <c r="G102" s="690"/>
      <c r="H102" s="690"/>
      <c r="I102" s="690"/>
      <c r="J102" s="692"/>
      <c r="K102" s="80">
        <v>2</v>
      </c>
    </row>
    <row r="103" spans="1:11">
      <c r="A103" s="159" t="s">
        <v>1070</v>
      </c>
      <c r="B103" s="717"/>
      <c r="C103" s="919" t="s">
        <v>918</v>
      </c>
      <c r="D103" s="690"/>
      <c r="E103" s="690"/>
      <c r="F103" s="690"/>
      <c r="G103" s="690"/>
      <c r="H103" s="690"/>
      <c r="I103" s="690"/>
      <c r="J103" s="692"/>
      <c r="K103" s="80">
        <v>2</v>
      </c>
    </row>
    <row r="104" spans="1:11">
      <c r="A104" s="159" t="s">
        <v>1071</v>
      </c>
      <c r="B104" s="717"/>
      <c r="C104" s="919" t="s">
        <v>919</v>
      </c>
      <c r="D104" s="690"/>
      <c r="E104" s="690"/>
      <c r="F104" s="690"/>
      <c r="G104" s="690"/>
      <c r="H104" s="690"/>
      <c r="I104" s="690"/>
      <c r="J104" s="692"/>
      <c r="K104" s="80">
        <v>2</v>
      </c>
    </row>
    <row r="105" spans="1:11">
      <c r="A105" s="159" t="s">
        <v>1072</v>
      </c>
      <c r="B105" s="717"/>
      <c r="C105" s="919" t="s">
        <v>920</v>
      </c>
      <c r="D105" s="690"/>
      <c r="E105" s="690"/>
      <c r="F105" s="690"/>
      <c r="G105" s="690"/>
      <c r="H105" s="690"/>
      <c r="I105" s="690"/>
      <c r="J105" s="692"/>
      <c r="K105" s="80">
        <v>2</v>
      </c>
    </row>
    <row r="106" spans="1:11">
      <c r="A106" s="159" t="s">
        <v>556</v>
      </c>
      <c r="B106" s="717"/>
      <c r="C106" s="919" t="s">
        <v>921</v>
      </c>
      <c r="D106" s="690"/>
      <c r="E106" s="690"/>
      <c r="F106" s="690"/>
      <c r="G106" s="690"/>
      <c r="H106" s="690"/>
      <c r="I106" s="690"/>
      <c r="J106" s="692"/>
      <c r="K106" s="80">
        <v>2</v>
      </c>
    </row>
    <row r="107" spans="1:11">
      <c r="A107" s="159" t="s">
        <v>1073</v>
      </c>
      <c r="B107" s="717"/>
      <c r="C107" s="919" t="s">
        <v>922</v>
      </c>
      <c r="D107" s="690"/>
      <c r="E107" s="690"/>
      <c r="F107" s="690"/>
      <c r="G107" s="690"/>
      <c r="H107" s="690"/>
      <c r="I107" s="690"/>
      <c r="J107" s="692"/>
      <c r="K107" s="80">
        <v>2</v>
      </c>
    </row>
    <row r="108" spans="1:11">
      <c r="A108" s="159" t="s">
        <v>1074</v>
      </c>
      <c r="B108" s="717"/>
      <c r="C108" s="919" t="s">
        <v>923</v>
      </c>
      <c r="D108" s="690"/>
      <c r="E108" s="690"/>
      <c r="F108" s="690"/>
      <c r="G108" s="690"/>
      <c r="H108" s="690"/>
      <c r="I108" s="690"/>
      <c r="J108" s="692"/>
      <c r="K108" s="80">
        <v>2</v>
      </c>
    </row>
    <row r="109" spans="1:11">
      <c r="A109" s="159" t="s">
        <v>1075</v>
      </c>
      <c r="B109" s="717"/>
      <c r="C109" s="919" t="s">
        <v>924</v>
      </c>
      <c r="D109" s="690"/>
      <c r="E109" s="690"/>
      <c r="F109" s="690"/>
      <c r="G109" s="690"/>
      <c r="H109" s="690"/>
      <c r="I109" s="690"/>
      <c r="J109" s="692"/>
      <c r="K109" s="80">
        <v>2</v>
      </c>
    </row>
    <row r="110" spans="1:11">
      <c r="A110" s="159" t="s">
        <v>1076</v>
      </c>
      <c r="B110" s="717"/>
      <c r="C110" s="919" t="s">
        <v>976</v>
      </c>
      <c r="D110" s="690"/>
      <c r="E110" s="690"/>
      <c r="F110" s="690"/>
      <c r="G110" s="690"/>
      <c r="H110" s="690"/>
      <c r="I110" s="690"/>
      <c r="J110" s="692"/>
      <c r="K110" s="80">
        <v>2</v>
      </c>
    </row>
    <row r="111" spans="1:11">
      <c r="A111" s="159" t="s">
        <v>1077</v>
      </c>
      <c r="B111" s="717"/>
      <c r="C111" s="919" t="s">
        <v>925</v>
      </c>
      <c r="D111" s="690"/>
      <c r="E111" s="690"/>
      <c r="F111" s="690"/>
      <c r="G111" s="690"/>
      <c r="H111" s="690"/>
      <c r="I111" s="690"/>
      <c r="J111" s="692"/>
      <c r="K111" s="80">
        <v>2</v>
      </c>
    </row>
    <row r="112" spans="1:11">
      <c r="A112" s="159" t="s">
        <v>1078</v>
      </c>
      <c r="B112" s="717"/>
      <c r="C112" s="919" t="s">
        <v>926</v>
      </c>
      <c r="D112" s="690"/>
      <c r="E112" s="690"/>
      <c r="F112" s="690"/>
      <c r="G112" s="690"/>
      <c r="H112" s="690"/>
      <c r="I112" s="690"/>
      <c r="J112" s="692"/>
      <c r="K112" s="80">
        <v>2</v>
      </c>
    </row>
    <row r="113" spans="1:11">
      <c r="A113" s="159" t="s">
        <v>1079</v>
      </c>
      <c r="B113" s="717"/>
      <c r="C113" s="919" t="s">
        <v>927</v>
      </c>
      <c r="D113" s="690"/>
      <c r="E113" s="690"/>
      <c r="F113" s="690"/>
      <c r="G113" s="690"/>
      <c r="H113" s="690"/>
      <c r="I113" s="690"/>
      <c r="J113" s="692"/>
      <c r="K113" s="80">
        <v>2</v>
      </c>
    </row>
    <row r="114" spans="1:11">
      <c r="A114" s="159" t="s">
        <v>1080</v>
      </c>
      <c r="B114" s="717"/>
      <c r="C114" s="919" t="s">
        <v>928</v>
      </c>
      <c r="D114" s="690"/>
      <c r="E114" s="690"/>
      <c r="F114" s="690"/>
      <c r="G114" s="690"/>
      <c r="H114" s="690"/>
      <c r="I114" s="690"/>
      <c r="J114" s="692"/>
      <c r="K114" s="80">
        <v>2</v>
      </c>
    </row>
    <row r="115" spans="1:11">
      <c r="A115" s="159" t="s">
        <v>1081</v>
      </c>
      <c r="B115" s="717"/>
      <c r="C115" s="920" t="s">
        <v>929</v>
      </c>
      <c r="D115" s="693"/>
      <c r="E115" s="693"/>
      <c r="F115" s="693"/>
      <c r="G115" s="693"/>
      <c r="H115" s="693"/>
      <c r="I115" s="693"/>
      <c r="J115" s="695"/>
      <c r="K115" s="80">
        <v>2</v>
      </c>
    </row>
    <row r="116" spans="1:11">
      <c r="A116" s="159" t="s">
        <v>1082</v>
      </c>
      <c r="B116" s="63"/>
      <c r="C116" s="919" t="s">
        <v>930</v>
      </c>
      <c r="D116" s="690"/>
      <c r="E116" s="690"/>
      <c r="F116" s="690"/>
      <c r="G116" s="690"/>
      <c r="H116" s="690"/>
      <c r="I116" s="690"/>
      <c r="J116" s="692"/>
      <c r="K116" s="80">
        <v>2</v>
      </c>
    </row>
    <row r="117" spans="1:11">
      <c r="A117" s="159" t="s">
        <v>1083</v>
      </c>
      <c r="B117" s="63"/>
      <c r="C117" s="919" t="s">
        <v>931</v>
      </c>
      <c r="D117" s="690"/>
      <c r="E117" s="690"/>
      <c r="F117" s="690"/>
      <c r="G117" s="690"/>
      <c r="H117" s="690"/>
      <c r="I117" s="690"/>
      <c r="J117" s="692"/>
      <c r="K117" s="80">
        <v>2</v>
      </c>
    </row>
    <row r="118" spans="1:11">
      <c r="A118" s="159" t="s">
        <v>1084</v>
      </c>
      <c r="B118" s="63"/>
      <c r="C118" s="920" t="s">
        <v>954</v>
      </c>
      <c r="D118" s="693"/>
      <c r="E118" s="693"/>
      <c r="F118" s="693"/>
      <c r="G118" s="693"/>
      <c r="H118" s="693"/>
      <c r="I118" s="693"/>
      <c r="J118" s="695"/>
      <c r="K118" s="80">
        <v>2</v>
      </c>
    </row>
    <row r="119" spans="1:11" ht="14.25" thickBot="1">
      <c r="A119" s="157" t="s">
        <v>1085</v>
      </c>
      <c r="B119" s="158"/>
      <c r="C119" s="164"/>
      <c r="D119" s="165"/>
      <c r="E119" s="165" t="s">
        <v>932</v>
      </c>
      <c r="F119" s="165" t="s">
        <v>933</v>
      </c>
      <c r="G119" s="166" t="s">
        <v>934</v>
      </c>
      <c r="H119" s="166" t="s">
        <v>932</v>
      </c>
      <c r="I119" s="166"/>
      <c r="J119" s="167"/>
      <c r="K119" s="160"/>
    </row>
    <row r="120" spans="1:11" ht="14.25" thickBot="1">
      <c r="A120" s="55" t="s">
        <v>1086</v>
      </c>
      <c r="B120" s="55" t="s">
        <v>596</v>
      </c>
      <c r="C120" s="939" t="s">
        <v>597</v>
      </c>
      <c r="D120" s="939"/>
      <c r="E120" s="939"/>
      <c r="F120" s="939"/>
      <c r="G120" s="939"/>
      <c r="H120" s="939"/>
      <c r="I120" s="939"/>
      <c r="J120" s="940"/>
      <c r="K120" s="55">
        <v>2</v>
      </c>
    </row>
    <row r="121" spans="1:11">
      <c r="A121" s="63" t="s">
        <v>1087</v>
      </c>
      <c r="B121" s="717" t="s">
        <v>506</v>
      </c>
      <c r="C121" s="144">
        <v>1</v>
      </c>
      <c r="D121" s="932" t="s">
        <v>423</v>
      </c>
      <c r="E121" s="933"/>
      <c r="F121" s="933"/>
      <c r="G121" s="933"/>
      <c r="H121" s="933"/>
      <c r="I121" s="933"/>
      <c r="J121" s="934"/>
      <c r="K121" s="80">
        <v>2</v>
      </c>
    </row>
    <row r="122" spans="1:11">
      <c r="A122" s="63" t="s">
        <v>1088</v>
      </c>
      <c r="B122" s="717"/>
      <c r="C122" s="109">
        <v>2</v>
      </c>
      <c r="D122" s="932"/>
      <c r="E122" s="933"/>
      <c r="F122" s="933"/>
      <c r="G122" s="933"/>
      <c r="H122" s="933"/>
      <c r="I122" s="933"/>
      <c r="J122" s="934"/>
      <c r="K122" s="80">
        <v>2</v>
      </c>
    </row>
    <row r="123" spans="1:11">
      <c r="A123" s="63" t="s">
        <v>1089</v>
      </c>
      <c r="B123" s="717"/>
      <c r="C123" s="109">
        <v>3</v>
      </c>
      <c r="D123" s="932"/>
      <c r="E123" s="933"/>
      <c r="F123" s="933"/>
      <c r="G123" s="933"/>
      <c r="H123" s="933"/>
      <c r="I123" s="933"/>
      <c r="J123" s="934"/>
      <c r="K123" s="80">
        <v>2</v>
      </c>
    </row>
    <row r="124" spans="1:11">
      <c r="A124" s="63" t="s">
        <v>1090</v>
      </c>
      <c r="B124" s="717"/>
      <c r="C124" s="109">
        <v>4</v>
      </c>
      <c r="D124" s="932"/>
      <c r="E124" s="933"/>
      <c r="F124" s="933"/>
      <c r="G124" s="933"/>
      <c r="H124" s="933"/>
      <c r="I124" s="933"/>
      <c r="J124" s="934"/>
      <c r="K124" s="80">
        <v>2</v>
      </c>
    </row>
    <row r="125" spans="1:11">
      <c r="A125" s="63" t="s">
        <v>1091</v>
      </c>
      <c r="B125" s="717"/>
      <c r="C125" s="109">
        <v>5</v>
      </c>
      <c r="D125" s="932"/>
      <c r="E125" s="933"/>
      <c r="F125" s="933"/>
      <c r="G125" s="933"/>
      <c r="H125" s="933"/>
      <c r="I125" s="933"/>
      <c r="J125" s="934"/>
      <c r="K125" s="80">
        <v>2</v>
      </c>
    </row>
    <row r="126" spans="1:11">
      <c r="A126" s="63" t="s">
        <v>1092</v>
      </c>
      <c r="B126" s="717"/>
      <c r="C126" s="109">
        <v>6</v>
      </c>
      <c r="D126" s="932"/>
      <c r="E126" s="933"/>
      <c r="F126" s="933"/>
      <c r="G126" s="933"/>
      <c r="H126" s="933"/>
      <c r="I126" s="933"/>
      <c r="J126" s="934"/>
      <c r="K126" s="80">
        <v>2</v>
      </c>
    </row>
    <row r="127" spans="1:11">
      <c r="A127" s="63" t="s">
        <v>1093</v>
      </c>
      <c r="B127" s="717"/>
      <c r="C127" s="109">
        <v>7</v>
      </c>
      <c r="D127" s="932"/>
      <c r="E127" s="933"/>
      <c r="F127" s="933"/>
      <c r="G127" s="933"/>
      <c r="H127" s="933"/>
      <c r="I127" s="933"/>
      <c r="J127" s="934"/>
      <c r="K127" s="80">
        <v>2</v>
      </c>
    </row>
    <row r="128" spans="1:11">
      <c r="A128" s="63" t="s">
        <v>1094</v>
      </c>
      <c r="B128" s="717"/>
      <c r="C128" s="109">
        <v>8</v>
      </c>
      <c r="D128" s="932"/>
      <c r="E128" s="933"/>
      <c r="F128" s="933"/>
      <c r="G128" s="933"/>
      <c r="H128" s="933"/>
      <c r="I128" s="933"/>
      <c r="J128" s="934"/>
      <c r="K128" s="80">
        <v>2</v>
      </c>
    </row>
    <row r="129" spans="1:11">
      <c r="A129" s="63" t="s">
        <v>1095</v>
      </c>
      <c r="B129" s="717"/>
      <c r="C129" s="109">
        <v>9</v>
      </c>
      <c r="D129" s="932"/>
      <c r="E129" s="933"/>
      <c r="F129" s="933"/>
      <c r="G129" s="933"/>
      <c r="H129" s="933"/>
      <c r="I129" s="933"/>
      <c r="J129" s="934"/>
      <c r="K129" s="80">
        <v>2</v>
      </c>
    </row>
    <row r="130" spans="1:11">
      <c r="A130" s="63" t="s">
        <v>1096</v>
      </c>
      <c r="B130" s="717"/>
      <c r="C130" s="109">
        <v>10</v>
      </c>
      <c r="D130" s="932"/>
      <c r="E130" s="933"/>
      <c r="F130" s="933"/>
      <c r="G130" s="933"/>
      <c r="H130" s="933"/>
      <c r="I130" s="933"/>
      <c r="J130" s="934"/>
      <c r="K130" s="80">
        <v>2</v>
      </c>
    </row>
    <row r="131" spans="1:11">
      <c r="A131" s="63" t="s">
        <v>1097</v>
      </c>
      <c r="B131" s="717"/>
      <c r="C131" s="109">
        <v>11</v>
      </c>
      <c r="D131" s="932"/>
      <c r="E131" s="933"/>
      <c r="F131" s="933"/>
      <c r="G131" s="933"/>
      <c r="H131" s="933"/>
      <c r="I131" s="933"/>
      <c r="J131" s="934"/>
      <c r="K131" s="80">
        <v>2</v>
      </c>
    </row>
    <row r="132" spans="1:11">
      <c r="A132" s="63" t="s">
        <v>1098</v>
      </c>
      <c r="B132" s="717"/>
      <c r="C132" s="109">
        <v>12</v>
      </c>
      <c r="D132" s="932"/>
      <c r="E132" s="933"/>
      <c r="F132" s="933"/>
      <c r="G132" s="933"/>
      <c r="H132" s="933"/>
      <c r="I132" s="933"/>
      <c r="J132" s="934"/>
      <c r="K132" s="80">
        <v>2</v>
      </c>
    </row>
    <row r="133" spans="1:11">
      <c r="A133" s="63" t="s">
        <v>1099</v>
      </c>
      <c r="B133" s="717"/>
      <c r="C133" s="109">
        <v>13</v>
      </c>
      <c r="D133" s="932"/>
      <c r="E133" s="933"/>
      <c r="F133" s="933"/>
      <c r="G133" s="933"/>
      <c r="H133" s="933"/>
      <c r="I133" s="933"/>
      <c r="J133" s="934"/>
      <c r="K133" s="80">
        <v>2</v>
      </c>
    </row>
    <row r="134" spans="1:11">
      <c r="A134" s="63" t="s">
        <v>1100</v>
      </c>
      <c r="B134" s="717"/>
      <c r="C134" s="109">
        <v>14</v>
      </c>
      <c r="D134" s="932"/>
      <c r="E134" s="933"/>
      <c r="F134" s="933"/>
      <c r="G134" s="933"/>
      <c r="H134" s="933"/>
      <c r="I134" s="933"/>
      <c r="J134" s="934"/>
      <c r="K134" s="80">
        <v>2</v>
      </c>
    </row>
    <row r="135" spans="1:11">
      <c r="A135" s="63" t="s">
        <v>1101</v>
      </c>
      <c r="B135" s="717"/>
      <c r="C135" s="109">
        <v>15</v>
      </c>
      <c r="D135" s="932"/>
      <c r="E135" s="933"/>
      <c r="F135" s="933"/>
      <c r="G135" s="933"/>
      <c r="H135" s="933"/>
      <c r="I135" s="933"/>
      <c r="J135" s="934"/>
      <c r="K135" s="80">
        <v>2</v>
      </c>
    </row>
    <row r="136" spans="1:11">
      <c r="A136" s="63" t="s">
        <v>1102</v>
      </c>
      <c r="B136" s="717"/>
      <c r="C136" s="109">
        <v>16</v>
      </c>
      <c r="D136" s="932"/>
      <c r="E136" s="933"/>
      <c r="F136" s="933"/>
      <c r="G136" s="933"/>
      <c r="H136" s="933"/>
      <c r="I136" s="933"/>
      <c r="J136" s="934"/>
      <c r="K136" s="80">
        <v>2</v>
      </c>
    </row>
    <row r="137" spans="1:11">
      <c r="A137" s="63" t="s">
        <v>1103</v>
      </c>
      <c r="B137" s="717"/>
      <c r="C137" s="109">
        <v>17</v>
      </c>
      <c r="D137" s="932"/>
      <c r="E137" s="933"/>
      <c r="F137" s="933"/>
      <c r="G137" s="933"/>
      <c r="H137" s="933"/>
      <c r="I137" s="933"/>
      <c r="J137" s="934"/>
      <c r="K137" s="80">
        <v>2</v>
      </c>
    </row>
    <row r="138" spans="1:11">
      <c r="A138" s="63" t="s">
        <v>1104</v>
      </c>
      <c r="B138" s="717"/>
      <c r="C138" s="109">
        <v>18</v>
      </c>
      <c r="D138" s="932"/>
      <c r="E138" s="933"/>
      <c r="F138" s="933"/>
      <c r="G138" s="933"/>
      <c r="H138" s="933"/>
      <c r="I138" s="933"/>
      <c r="J138" s="934"/>
      <c r="K138" s="80">
        <v>2</v>
      </c>
    </row>
    <row r="139" spans="1:11">
      <c r="A139" s="63" t="s">
        <v>1105</v>
      </c>
      <c r="B139" s="717"/>
      <c r="C139" s="109">
        <v>19</v>
      </c>
      <c r="D139" s="932"/>
      <c r="E139" s="933"/>
      <c r="F139" s="933"/>
      <c r="G139" s="933"/>
      <c r="H139" s="933"/>
      <c r="I139" s="933"/>
      <c r="J139" s="934"/>
      <c r="K139" s="80">
        <v>2</v>
      </c>
    </row>
    <row r="140" spans="1:11">
      <c r="A140" s="63" t="s">
        <v>1106</v>
      </c>
      <c r="B140" s="717"/>
      <c r="C140" s="109">
        <v>20</v>
      </c>
      <c r="D140" s="932"/>
      <c r="E140" s="933"/>
      <c r="F140" s="933"/>
      <c r="G140" s="933"/>
      <c r="H140" s="933"/>
      <c r="I140" s="933"/>
      <c r="J140" s="934"/>
      <c r="K140" s="80">
        <v>2</v>
      </c>
    </row>
    <row r="141" spans="1:11">
      <c r="A141" s="63" t="s">
        <v>1107</v>
      </c>
      <c r="B141" s="717"/>
      <c r="C141" s="109">
        <v>21</v>
      </c>
      <c r="D141" s="932"/>
      <c r="E141" s="933"/>
      <c r="F141" s="933"/>
      <c r="G141" s="933"/>
      <c r="H141" s="933"/>
      <c r="I141" s="933"/>
      <c r="J141" s="934"/>
      <c r="K141" s="80">
        <v>2</v>
      </c>
    </row>
    <row r="142" spans="1:11">
      <c r="A142" s="62" t="s">
        <v>1108</v>
      </c>
      <c r="B142" s="717"/>
      <c r="C142" s="109">
        <v>22</v>
      </c>
      <c r="D142" s="932"/>
      <c r="E142" s="933"/>
      <c r="F142" s="933"/>
      <c r="G142" s="933"/>
      <c r="H142" s="933"/>
      <c r="I142" s="933"/>
      <c r="J142" s="934"/>
      <c r="K142" s="80">
        <v>2</v>
      </c>
    </row>
    <row r="143" spans="1:11">
      <c r="A143" s="53" t="s">
        <v>1109</v>
      </c>
      <c r="B143" s="717"/>
      <c r="C143" s="109">
        <v>23</v>
      </c>
      <c r="D143" s="932"/>
      <c r="E143" s="933"/>
      <c r="F143" s="933"/>
      <c r="G143" s="933"/>
      <c r="H143" s="933"/>
      <c r="I143" s="933"/>
      <c r="J143" s="934"/>
      <c r="K143" s="80">
        <v>2</v>
      </c>
    </row>
    <row r="144" spans="1:11">
      <c r="A144" s="63" t="s">
        <v>1110</v>
      </c>
      <c r="B144" s="717"/>
      <c r="C144" s="109">
        <v>24</v>
      </c>
      <c r="D144" s="932"/>
      <c r="E144" s="933"/>
      <c r="F144" s="933"/>
      <c r="G144" s="933"/>
      <c r="H144" s="933"/>
      <c r="I144" s="933"/>
      <c r="J144" s="934"/>
      <c r="K144" s="80">
        <v>2</v>
      </c>
    </row>
    <row r="145" spans="1:11">
      <c r="A145" s="63" t="s">
        <v>1111</v>
      </c>
      <c r="B145" s="717"/>
      <c r="C145" s="109">
        <v>25</v>
      </c>
      <c r="D145" s="932"/>
      <c r="E145" s="933"/>
      <c r="F145" s="933"/>
      <c r="G145" s="933"/>
      <c r="H145" s="933"/>
      <c r="I145" s="933"/>
      <c r="J145" s="934"/>
      <c r="K145" s="80">
        <v>2</v>
      </c>
    </row>
    <row r="146" spans="1:11">
      <c r="A146" s="63" t="s">
        <v>1112</v>
      </c>
      <c r="B146" s="717"/>
      <c r="C146" s="109">
        <v>26</v>
      </c>
      <c r="D146" s="932"/>
      <c r="E146" s="933"/>
      <c r="F146" s="933"/>
      <c r="G146" s="933"/>
      <c r="H146" s="933"/>
      <c r="I146" s="933"/>
      <c r="J146" s="934"/>
      <c r="K146" s="80">
        <v>2</v>
      </c>
    </row>
    <row r="147" spans="1:11">
      <c r="A147" s="63" t="s">
        <v>1113</v>
      </c>
      <c r="B147" s="717"/>
      <c r="C147" s="109">
        <v>27</v>
      </c>
      <c r="D147" s="932"/>
      <c r="E147" s="933"/>
      <c r="F147" s="933"/>
      <c r="G147" s="933"/>
      <c r="H147" s="933"/>
      <c r="I147" s="933"/>
      <c r="J147" s="934"/>
      <c r="K147" s="80">
        <v>2</v>
      </c>
    </row>
    <row r="148" spans="1:11">
      <c r="A148" s="63" t="s">
        <v>1114</v>
      </c>
      <c r="B148" s="717"/>
      <c r="C148" s="109">
        <v>28</v>
      </c>
      <c r="D148" s="932"/>
      <c r="E148" s="933"/>
      <c r="F148" s="933"/>
      <c r="G148" s="933"/>
      <c r="H148" s="933"/>
      <c r="I148" s="933"/>
      <c r="J148" s="934"/>
      <c r="K148" s="80">
        <v>2</v>
      </c>
    </row>
    <row r="149" spans="1:11">
      <c r="A149" s="63" t="s">
        <v>1115</v>
      </c>
      <c r="B149" s="717"/>
      <c r="C149" s="109">
        <v>29</v>
      </c>
      <c r="D149" s="932"/>
      <c r="E149" s="933"/>
      <c r="F149" s="933"/>
      <c r="G149" s="933"/>
      <c r="H149" s="933"/>
      <c r="I149" s="933"/>
      <c r="J149" s="934"/>
      <c r="K149" s="80">
        <v>2</v>
      </c>
    </row>
    <row r="150" spans="1:11">
      <c r="A150" s="63" t="s">
        <v>1116</v>
      </c>
      <c r="B150" s="717"/>
      <c r="C150" s="109">
        <v>30</v>
      </c>
      <c r="D150" s="932"/>
      <c r="E150" s="933"/>
      <c r="F150" s="933"/>
      <c r="G150" s="933"/>
      <c r="H150" s="933"/>
      <c r="I150" s="933"/>
      <c r="J150" s="934"/>
      <c r="K150" s="80">
        <v>2</v>
      </c>
    </row>
    <row r="151" spans="1:11">
      <c r="A151" s="63" t="s">
        <v>1117</v>
      </c>
      <c r="B151" s="717"/>
      <c r="C151" s="109">
        <v>31</v>
      </c>
      <c r="D151" s="932"/>
      <c r="E151" s="933"/>
      <c r="F151" s="933"/>
      <c r="G151" s="933"/>
      <c r="H151" s="933"/>
      <c r="I151" s="933"/>
      <c r="J151" s="934"/>
      <c r="K151" s="80">
        <v>2</v>
      </c>
    </row>
    <row r="152" spans="1:11" ht="14.25" thickBot="1">
      <c r="A152" s="55" t="s">
        <v>1118</v>
      </c>
      <c r="B152" s="716"/>
      <c r="C152" s="34">
        <v>32</v>
      </c>
      <c r="D152" s="1050"/>
      <c r="E152" s="810"/>
      <c r="F152" s="810"/>
      <c r="G152" s="810"/>
      <c r="H152" s="810"/>
      <c r="I152" s="810"/>
      <c r="J152" s="811"/>
      <c r="K152" s="83">
        <v>2</v>
      </c>
    </row>
    <row r="153" spans="1:11">
      <c r="A153" s="704">
        <v>131</v>
      </c>
      <c r="B153" s="704" t="s">
        <v>1119</v>
      </c>
      <c r="C153" s="50"/>
      <c r="D153" s="196"/>
      <c r="E153" s="196"/>
      <c r="F153" s="196"/>
      <c r="H153" s="196"/>
      <c r="I153" s="807" t="s">
        <v>1120</v>
      </c>
      <c r="J153" s="808"/>
      <c r="K153" s="80"/>
    </row>
    <row r="154" spans="1:11" ht="14.25" thickBot="1">
      <c r="A154" s="716"/>
      <c r="B154" s="716"/>
      <c r="C154" s="50"/>
      <c r="D154" s="196"/>
      <c r="E154" s="196"/>
      <c r="F154" s="196"/>
      <c r="G154" s="196"/>
      <c r="I154" s="196" t="s">
        <v>1122</v>
      </c>
      <c r="J154" s="196" t="s">
        <v>1121</v>
      </c>
      <c r="K154" s="80"/>
    </row>
    <row r="155" spans="1:11">
      <c r="A155" s="54"/>
      <c r="B155" s="704" t="s">
        <v>452</v>
      </c>
      <c r="C155" s="942" t="s">
        <v>150</v>
      </c>
      <c r="D155" s="943"/>
      <c r="E155" s="943"/>
      <c r="F155" s="943"/>
      <c r="G155" s="943"/>
      <c r="H155" s="943"/>
      <c r="I155" s="943"/>
      <c r="J155" s="143" t="s">
        <v>732</v>
      </c>
      <c r="K155" s="82">
        <v>2</v>
      </c>
    </row>
    <row r="156" spans="1:11" ht="14.25" thickBot="1">
      <c r="A156" s="55"/>
      <c r="B156" s="716"/>
      <c r="C156" s="1051" t="s">
        <v>205</v>
      </c>
      <c r="D156" s="1051"/>
      <c r="E156" s="1051"/>
      <c r="F156" s="1051"/>
      <c r="G156" s="1051"/>
      <c r="H156" s="1051"/>
      <c r="I156" s="1051"/>
      <c r="J156" s="1052"/>
      <c r="K156" s="83">
        <v>2</v>
      </c>
    </row>
    <row r="157" spans="1:11">
      <c r="A157" s="467"/>
      <c r="B157" s="467"/>
      <c r="C157" s="50"/>
      <c r="D157" s="50"/>
      <c r="E157" s="50"/>
      <c r="F157" s="50"/>
      <c r="G157" s="50"/>
      <c r="H157" s="50"/>
      <c r="I157" s="50"/>
      <c r="J157" s="481"/>
      <c r="K157" s="474"/>
    </row>
    <row r="158" spans="1:11" ht="14.25" thickBot="1">
      <c r="A158" s="467"/>
      <c r="B158" s="467"/>
      <c r="C158" s="50"/>
      <c r="D158" s="50"/>
      <c r="E158" s="50"/>
      <c r="F158" s="50"/>
      <c r="G158" s="50"/>
      <c r="H158" s="50"/>
      <c r="I158" s="50"/>
      <c r="J158" s="481"/>
      <c r="K158" s="474"/>
    </row>
    <row r="159" spans="1:11">
      <c r="A159" s="54"/>
      <c r="B159" s="54" t="s">
        <v>446</v>
      </c>
      <c r="C159" s="776" t="s">
        <v>206</v>
      </c>
      <c r="D159" s="776"/>
      <c r="E159" s="776"/>
      <c r="F159" s="776"/>
      <c r="G159" s="776"/>
      <c r="H159" s="776"/>
      <c r="I159" s="776"/>
      <c r="J159" s="777"/>
      <c r="K159" s="54">
        <v>2</v>
      </c>
    </row>
    <row r="160" spans="1:11" ht="14.25" thickBot="1">
      <c r="A160" s="55"/>
      <c r="B160" s="64" t="s">
        <v>447</v>
      </c>
      <c r="C160" s="727" t="s">
        <v>207</v>
      </c>
      <c r="D160" s="727"/>
      <c r="E160" s="727"/>
      <c r="F160" s="727"/>
      <c r="G160" s="727"/>
      <c r="H160" s="727"/>
      <c r="I160" s="727"/>
      <c r="J160" s="778"/>
      <c r="K160" s="55">
        <v>1</v>
      </c>
    </row>
  </sheetData>
  <mergeCells count="122">
    <mergeCell ref="C91:J91"/>
    <mergeCell ref="C92:J92"/>
    <mergeCell ref="C98:J98"/>
    <mergeCell ref="C99:J99"/>
    <mergeCell ref="C100:J100"/>
    <mergeCell ref="C90:J90"/>
    <mergeCell ref="A81:K81"/>
    <mergeCell ref="A85:K85"/>
    <mergeCell ref="C87:J87"/>
    <mergeCell ref="C88:J88"/>
    <mergeCell ref="C89:J89"/>
    <mergeCell ref="C116:J116"/>
    <mergeCell ref="C117:J117"/>
    <mergeCell ref="C118:J118"/>
    <mergeCell ref="C107:J107"/>
    <mergeCell ref="B93:B115"/>
    <mergeCell ref="C93:J93"/>
    <mergeCell ref="C94:J94"/>
    <mergeCell ref="C95:J95"/>
    <mergeCell ref="C96:J96"/>
    <mergeCell ref="C97:J97"/>
    <mergeCell ref="C101:J101"/>
    <mergeCell ref="C102:J102"/>
    <mergeCell ref="C103:J103"/>
    <mergeCell ref="C104:J104"/>
    <mergeCell ref="C105:J105"/>
    <mergeCell ref="C106:J106"/>
    <mergeCell ref="A1:K1"/>
    <mergeCell ref="A5:K5"/>
    <mergeCell ref="C7:J7"/>
    <mergeCell ref="C8:J8"/>
    <mergeCell ref="C9:J9"/>
    <mergeCell ref="A153:A154"/>
    <mergeCell ref="C159:J159"/>
    <mergeCell ref="C160:J160"/>
    <mergeCell ref="B121:B152"/>
    <mergeCell ref="D121:J152"/>
    <mergeCell ref="B155:B156"/>
    <mergeCell ref="C155:I155"/>
    <mergeCell ref="C156:J156"/>
    <mergeCell ref="B153:B154"/>
    <mergeCell ref="I153:J153"/>
    <mergeCell ref="C120:J120"/>
    <mergeCell ref="C108:J108"/>
    <mergeCell ref="C109:J109"/>
    <mergeCell ref="C110:J110"/>
    <mergeCell ref="C111:J111"/>
    <mergeCell ref="C112:J112"/>
    <mergeCell ref="C113:J113"/>
    <mergeCell ref="C114:J114"/>
    <mergeCell ref="C115:J115"/>
    <mergeCell ref="K17:K18"/>
    <mergeCell ref="K13:K14"/>
    <mergeCell ref="B15:B16"/>
    <mergeCell ref="C15:F15"/>
    <mergeCell ref="G15:J15"/>
    <mergeCell ref="K15:K16"/>
    <mergeCell ref="C10:J10"/>
    <mergeCell ref="C11:J11"/>
    <mergeCell ref="C12:J12"/>
    <mergeCell ref="B13:B14"/>
    <mergeCell ref="C13:D14"/>
    <mergeCell ref="E13:G13"/>
    <mergeCell ref="H13:J13"/>
    <mergeCell ref="G20:J20"/>
    <mergeCell ref="B21:B23"/>
    <mergeCell ref="C21:F21"/>
    <mergeCell ref="G21:J21"/>
    <mergeCell ref="C22:F22"/>
    <mergeCell ref="G22:J22"/>
    <mergeCell ref="C23:F23"/>
    <mergeCell ref="G23:J23"/>
    <mergeCell ref="B17:B18"/>
    <mergeCell ref="C17:F17"/>
    <mergeCell ref="G17:H17"/>
    <mergeCell ref="I17:J17"/>
    <mergeCell ref="A27:A28"/>
    <mergeCell ref="B27:B28"/>
    <mergeCell ref="C27:F27"/>
    <mergeCell ref="G27:J27"/>
    <mergeCell ref="K27:K28"/>
    <mergeCell ref="B24:B26"/>
    <mergeCell ref="C24:F24"/>
    <mergeCell ref="G24:J24"/>
    <mergeCell ref="C25:F25"/>
    <mergeCell ref="G25:J25"/>
    <mergeCell ref="C26:F26"/>
    <mergeCell ref="G26:J26"/>
    <mergeCell ref="A31:A32"/>
    <mergeCell ref="B31:B32"/>
    <mergeCell ref="C31:F31"/>
    <mergeCell ref="G31:J31"/>
    <mergeCell ref="K31:K32"/>
    <mergeCell ref="A29:A30"/>
    <mergeCell ref="B29:B30"/>
    <mergeCell ref="C29:F29"/>
    <mergeCell ref="G29:J29"/>
    <mergeCell ref="K29:K30"/>
    <mergeCell ref="B36:B37"/>
    <mergeCell ref="C36:J36"/>
    <mergeCell ref="C37:J37"/>
    <mergeCell ref="B38:B39"/>
    <mergeCell ref="C38:J38"/>
    <mergeCell ref="C39:J39"/>
    <mergeCell ref="B33:B35"/>
    <mergeCell ref="C33:F33"/>
    <mergeCell ref="G33:J33"/>
    <mergeCell ref="C34:F34"/>
    <mergeCell ref="G34:J34"/>
    <mergeCell ref="C35:F35"/>
    <mergeCell ref="G35:J35"/>
    <mergeCell ref="B44:B45"/>
    <mergeCell ref="C44:J44"/>
    <mergeCell ref="C45:J45"/>
    <mergeCell ref="C46:J46"/>
    <mergeCell ref="C47:J47"/>
    <mergeCell ref="B40:B41"/>
    <mergeCell ref="C40:J40"/>
    <mergeCell ref="C41:J41"/>
    <mergeCell ref="B42:B43"/>
    <mergeCell ref="C42:J42"/>
    <mergeCell ref="C43:J43"/>
  </mergeCells>
  <phoneticPr fontId="2" type="noConversion"/>
  <pageMargins left="0.7" right="0.7" top="0.75" bottom="0.75" header="0.3" footer="0.3"/>
  <pageSetup paperSize="9" orientation="portrait" horizontalDpi="4294967292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14">
    <pageSetUpPr fitToPage="1"/>
  </sheetPr>
  <dimension ref="A1:M104"/>
  <sheetViews>
    <sheetView zoomScaleNormal="100" workbookViewId="0">
      <selection activeCell="P22" sqref="P22"/>
    </sheetView>
  </sheetViews>
  <sheetFormatPr defaultRowHeight="10.5"/>
  <cols>
    <col min="1" max="1" width="7.33203125" style="51" bestFit="1" customWidth="1"/>
    <col min="2" max="2" width="4.33203125" style="51" bestFit="1" customWidth="1"/>
    <col min="3" max="5" width="6.77734375" style="51" customWidth="1"/>
    <col min="6" max="6" width="10.5546875" style="51" customWidth="1"/>
    <col min="7" max="10" width="6.77734375" style="51" customWidth="1"/>
    <col min="11" max="11" width="7.33203125" style="51" bestFit="1" customWidth="1"/>
    <col min="12" max="16384" width="8.88671875" style="51"/>
  </cols>
  <sheetData>
    <row r="1" spans="1:13" s="61" customFormat="1" ht="15" customHeight="1" thickBot="1">
      <c r="A1" s="814" t="s">
        <v>846</v>
      </c>
      <c r="B1" s="815"/>
      <c r="C1" s="815"/>
      <c r="D1" s="815"/>
      <c r="E1" s="815"/>
      <c r="F1" s="815"/>
      <c r="G1" s="815"/>
      <c r="H1" s="815"/>
      <c r="I1" s="815"/>
      <c r="J1" s="815"/>
      <c r="K1" s="816"/>
    </row>
    <row r="2" spans="1:13" s="61" customFormat="1" ht="15" customHeight="1">
      <c r="A2" s="101" t="s">
        <v>847</v>
      </c>
      <c r="B2" s="133"/>
      <c r="C2" s="102" t="s">
        <v>848</v>
      </c>
      <c r="D2" s="103"/>
      <c r="E2" s="104"/>
      <c r="F2" s="104"/>
      <c r="G2" s="104"/>
      <c r="H2" s="104"/>
      <c r="I2" s="105"/>
      <c r="J2" s="104" t="s">
        <v>52</v>
      </c>
      <c r="K2" s="106" t="s">
        <v>849</v>
      </c>
    </row>
    <row r="3" spans="1:13" s="61" customFormat="1" ht="15" customHeight="1">
      <c r="A3" s="85" t="s">
        <v>850</v>
      </c>
      <c r="B3" s="131"/>
      <c r="C3" s="26"/>
      <c r="D3" s="28"/>
      <c r="E3" s="28"/>
      <c r="F3" s="28"/>
      <c r="G3" s="28"/>
      <c r="H3" s="28"/>
      <c r="I3" s="27"/>
      <c r="J3" s="28" t="s">
        <v>47</v>
      </c>
      <c r="K3" s="29" t="s">
        <v>937</v>
      </c>
    </row>
    <row r="4" spans="1:13" s="61" customFormat="1" ht="15" customHeight="1" thickBot="1">
      <c r="A4" s="86"/>
      <c r="B4" s="132"/>
      <c r="C4" s="87"/>
      <c r="D4" s="87"/>
      <c r="E4" s="87"/>
      <c r="F4" s="87"/>
      <c r="G4" s="87"/>
      <c r="H4" s="87"/>
      <c r="I4" s="126"/>
      <c r="J4" s="87" t="s">
        <v>49</v>
      </c>
      <c r="K4" s="173" t="s">
        <v>939</v>
      </c>
    </row>
    <row r="5" spans="1:13" ht="12" thickBot="1">
      <c r="A5" s="736" t="s">
        <v>845</v>
      </c>
      <c r="B5" s="737"/>
      <c r="C5" s="737"/>
      <c r="D5" s="737"/>
      <c r="E5" s="737"/>
      <c r="F5" s="737"/>
      <c r="G5" s="737"/>
      <c r="H5" s="737"/>
      <c r="I5" s="737"/>
      <c r="J5" s="737"/>
      <c r="K5" s="738"/>
      <c r="L5" s="177"/>
      <c r="M5" s="178"/>
    </row>
    <row r="6" spans="1:13" ht="12" thickBot="1">
      <c r="A6" s="58" t="s">
        <v>851</v>
      </c>
      <c r="B6" s="58" t="s">
        <v>852</v>
      </c>
      <c r="C6" s="52" t="s">
        <v>853</v>
      </c>
      <c r="D6" s="32" t="s">
        <v>854</v>
      </c>
      <c r="E6" s="32" t="s">
        <v>855</v>
      </c>
      <c r="F6" s="32" t="s">
        <v>856</v>
      </c>
      <c r="G6" s="32" t="s">
        <v>857</v>
      </c>
      <c r="H6" s="32" t="s">
        <v>858</v>
      </c>
      <c r="I6" s="32" t="s">
        <v>859</v>
      </c>
      <c r="J6" s="33" t="s">
        <v>860</v>
      </c>
      <c r="K6" s="75" t="s">
        <v>861</v>
      </c>
      <c r="L6" s="177"/>
      <c r="M6" s="178"/>
    </row>
    <row r="7" spans="1:13" ht="11.25">
      <c r="A7" s="54">
        <v>0</v>
      </c>
      <c r="B7" s="53" t="s">
        <v>862</v>
      </c>
      <c r="C7" s="783" t="s">
        <v>863</v>
      </c>
      <c r="D7" s="784"/>
      <c r="E7" s="784"/>
      <c r="F7" s="784"/>
      <c r="G7" s="784"/>
      <c r="H7" s="784"/>
      <c r="I7" s="784"/>
      <c r="J7" s="785"/>
      <c r="K7" s="82">
        <v>1</v>
      </c>
      <c r="L7" s="177"/>
      <c r="M7" s="178"/>
    </row>
    <row r="8" spans="1:13" ht="11.25">
      <c r="A8" s="63" t="s">
        <v>864</v>
      </c>
      <c r="B8" s="60" t="s">
        <v>865</v>
      </c>
      <c r="C8" s="723" t="s">
        <v>866</v>
      </c>
      <c r="D8" s="786"/>
      <c r="E8" s="786"/>
      <c r="F8" s="786"/>
      <c r="G8" s="786"/>
      <c r="H8" s="786"/>
      <c r="I8" s="786"/>
      <c r="J8" s="787"/>
      <c r="K8" s="80">
        <v>2</v>
      </c>
      <c r="L8" s="179"/>
      <c r="M8" s="77"/>
    </row>
    <row r="9" spans="1:13" ht="11.25">
      <c r="A9" s="63" t="s">
        <v>867</v>
      </c>
      <c r="B9" s="60" t="s">
        <v>868</v>
      </c>
      <c r="C9" s="723" t="s">
        <v>869</v>
      </c>
      <c r="D9" s="786"/>
      <c r="E9" s="786"/>
      <c r="F9" s="786"/>
      <c r="G9" s="786"/>
      <c r="H9" s="786"/>
      <c r="I9" s="786"/>
      <c r="J9" s="787"/>
      <c r="K9" s="80">
        <v>2</v>
      </c>
      <c r="L9" s="179"/>
      <c r="M9" s="77"/>
    </row>
    <row r="10" spans="1:13" ht="12" thickBot="1">
      <c r="A10" s="63" t="s">
        <v>870</v>
      </c>
      <c r="B10" s="62" t="s">
        <v>871</v>
      </c>
      <c r="C10" s="819" t="s">
        <v>872</v>
      </c>
      <c r="D10" s="819"/>
      <c r="E10" s="819"/>
      <c r="F10" s="819"/>
      <c r="G10" s="819"/>
      <c r="H10" s="819"/>
      <c r="I10" s="819"/>
      <c r="J10" s="820"/>
      <c r="K10" s="80">
        <v>2</v>
      </c>
      <c r="L10" s="179"/>
      <c r="M10" s="77"/>
    </row>
    <row r="11" spans="1:13" ht="12" thickBot="1">
      <c r="A11" s="58" t="s">
        <v>873</v>
      </c>
      <c r="B11" s="58" t="s">
        <v>874</v>
      </c>
      <c r="C11" s="1060" t="s">
        <v>875</v>
      </c>
      <c r="D11" s="1061"/>
      <c r="E11" s="1061"/>
      <c r="F11" s="1061"/>
      <c r="G11" s="1061"/>
      <c r="H11" s="1061"/>
      <c r="I11" s="1061"/>
      <c r="J11" s="1062"/>
      <c r="K11" s="81">
        <v>2</v>
      </c>
      <c r="L11" s="179"/>
      <c r="M11" s="77"/>
    </row>
    <row r="12" spans="1:13" ht="11.25">
      <c r="A12" s="54" t="s">
        <v>876</v>
      </c>
      <c r="B12" s="704" t="s">
        <v>877</v>
      </c>
      <c r="C12" s="799" t="s">
        <v>878</v>
      </c>
      <c r="D12" s="954"/>
      <c r="E12" s="954"/>
      <c r="F12" s="954"/>
      <c r="G12" s="954"/>
      <c r="H12" s="954"/>
      <c r="I12" s="954"/>
      <c r="J12" s="955"/>
      <c r="K12" s="82">
        <v>2</v>
      </c>
      <c r="L12" s="179"/>
      <c r="M12" s="77"/>
    </row>
    <row r="13" spans="1:13" ht="14.25" customHeight="1" thickBot="1">
      <c r="A13" s="55" t="s">
        <v>879</v>
      </c>
      <c r="B13" s="716"/>
      <c r="C13" s="726" t="s">
        <v>880</v>
      </c>
      <c r="D13" s="727"/>
      <c r="E13" s="727"/>
      <c r="F13" s="727"/>
      <c r="G13" s="727"/>
      <c r="H13" s="727"/>
      <c r="I13" s="727"/>
      <c r="J13" s="778"/>
      <c r="K13" s="83">
        <v>2</v>
      </c>
      <c r="L13" s="179"/>
      <c r="M13" s="77"/>
    </row>
    <row r="14" spans="1:13" ht="12" thickBot="1">
      <c r="A14" s="58" t="s">
        <v>881</v>
      </c>
      <c r="B14" s="58" t="s">
        <v>882</v>
      </c>
      <c r="C14" s="937" t="s">
        <v>883</v>
      </c>
      <c r="D14" s="937"/>
      <c r="E14" s="937"/>
      <c r="F14" s="937"/>
      <c r="G14" s="937"/>
      <c r="H14" s="937"/>
      <c r="I14" s="937"/>
      <c r="J14" s="1059"/>
      <c r="K14" s="81">
        <v>2</v>
      </c>
      <c r="L14" s="179"/>
      <c r="M14" s="77"/>
    </row>
    <row r="15" spans="1:13" ht="14.25" customHeight="1">
      <c r="A15" s="54" t="s">
        <v>884</v>
      </c>
      <c r="B15" s="704" t="s">
        <v>885</v>
      </c>
      <c r="C15" s="1055" t="s">
        <v>886</v>
      </c>
      <c r="D15" s="1056"/>
      <c r="E15" s="1056"/>
      <c r="F15" s="1057"/>
      <c r="G15" s="1072" t="s">
        <v>887</v>
      </c>
      <c r="H15" s="1056"/>
      <c r="I15" s="1056"/>
      <c r="J15" s="1073"/>
      <c r="K15" s="82">
        <v>2</v>
      </c>
      <c r="L15" s="179"/>
      <c r="M15" s="77"/>
    </row>
    <row r="16" spans="1:13" ht="12" thickBot="1">
      <c r="A16" s="55" t="s">
        <v>888</v>
      </c>
      <c r="B16" s="716"/>
      <c r="C16" s="1074" t="s">
        <v>889</v>
      </c>
      <c r="D16" s="1075"/>
      <c r="E16" s="1075"/>
      <c r="F16" s="1075"/>
      <c r="G16" s="1075" t="s">
        <v>890</v>
      </c>
      <c r="H16" s="1075"/>
      <c r="I16" s="1075"/>
      <c r="J16" s="1076"/>
      <c r="K16" s="83">
        <v>2</v>
      </c>
      <c r="L16" s="179"/>
      <c r="M16" s="77"/>
    </row>
    <row r="17" spans="1:13" ht="11.25">
      <c r="A17" s="54" t="s">
        <v>891</v>
      </c>
      <c r="B17" s="54" t="s">
        <v>892</v>
      </c>
      <c r="C17" s="776" t="s">
        <v>893</v>
      </c>
      <c r="D17" s="776"/>
      <c r="E17" s="776"/>
      <c r="F17" s="776"/>
      <c r="G17" s="776"/>
      <c r="H17" s="776"/>
      <c r="I17" s="776"/>
      <c r="J17" s="777"/>
      <c r="K17" s="82">
        <v>2</v>
      </c>
      <c r="L17" s="179"/>
      <c r="M17" s="77"/>
    </row>
    <row r="18" spans="1:13" ht="12" thickBot="1">
      <c r="A18" s="55">
        <v>21</v>
      </c>
      <c r="B18" s="64" t="s">
        <v>894</v>
      </c>
      <c r="C18" s="727" t="s">
        <v>895</v>
      </c>
      <c r="D18" s="727"/>
      <c r="E18" s="727"/>
      <c r="F18" s="727"/>
      <c r="G18" s="727"/>
      <c r="H18" s="727"/>
      <c r="I18" s="727"/>
      <c r="J18" s="778"/>
      <c r="K18" s="83">
        <v>1</v>
      </c>
      <c r="L18" s="179"/>
      <c r="M18" s="77"/>
    </row>
    <row r="19" spans="1:13" s="61" customFormat="1" ht="15" customHeight="1" thickBot="1">
      <c r="A19" s="145"/>
      <c r="B19" s="76"/>
      <c r="C19" s="78"/>
      <c r="D19" s="78"/>
      <c r="E19" s="78"/>
      <c r="F19" s="78"/>
      <c r="G19" s="78"/>
      <c r="H19" s="78"/>
      <c r="I19" s="146"/>
      <c r="J19" s="78"/>
      <c r="K19" s="147"/>
    </row>
    <row r="20" spans="1:13" ht="12" thickBot="1">
      <c r="A20" s="736" t="s">
        <v>896</v>
      </c>
      <c r="B20" s="737"/>
      <c r="C20" s="737"/>
      <c r="D20" s="737"/>
      <c r="E20" s="737"/>
      <c r="F20" s="737"/>
      <c r="G20" s="737"/>
      <c r="H20" s="737"/>
      <c r="I20" s="737"/>
      <c r="J20" s="737"/>
      <c r="K20" s="738"/>
    </row>
    <row r="21" spans="1:13" ht="12" thickBot="1">
      <c r="A21" s="58" t="s">
        <v>851</v>
      </c>
      <c r="B21" s="58" t="s">
        <v>852</v>
      </c>
      <c r="C21" s="52" t="s">
        <v>853</v>
      </c>
      <c r="D21" s="32" t="s">
        <v>854</v>
      </c>
      <c r="E21" s="32" t="s">
        <v>855</v>
      </c>
      <c r="F21" s="32" t="s">
        <v>856</v>
      </c>
      <c r="G21" s="32" t="s">
        <v>857</v>
      </c>
      <c r="H21" s="32" t="s">
        <v>858</v>
      </c>
      <c r="I21" s="32" t="s">
        <v>859</v>
      </c>
      <c r="J21" s="33" t="s">
        <v>860</v>
      </c>
      <c r="K21" s="75" t="s">
        <v>861</v>
      </c>
    </row>
    <row r="22" spans="1:13" ht="11.25">
      <c r="A22" s="54">
        <v>0</v>
      </c>
      <c r="B22" s="53" t="s">
        <v>862</v>
      </c>
      <c r="C22" s="783" t="s">
        <v>863</v>
      </c>
      <c r="D22" s="784"/>
      <c r="E22" s="784"/>
      <c r="F22" s="784"/>
      <c r="G22" s="784"/>
      <c r="H22" s="784"/>
      <c r="I22" s="784"/>
      <c r="J22" s="785"/>
      <c r="K22" s="82">
        <v>1</v>
      </c>
      <c r="M22" s="77"/>
    </row>
    <row r="23" spans="1:13" ht="11.25">
      <c r="A23" s="63" t="s">
        <v>864</v>
      </c>
      <c r="B23" s="60" t="s">
        <v>865</v>
      </c>
      <c r="C23" s="723" t="s">
        <v>866</v>
      </c>
      <c r="D23" s="786"/>
      <c r="E23" s="786"/>
      <c r="F23" s="786"/>
      <c r="G23" s="786"/>
      <c r="H23" s="786"/>
      <c r="I23" s="786"/>
      <c r="J23" s="787"/>
      <c r="K23" s="80">
        <v>2</v>
      </c>
      <c r="M23" s="77"/>
    </row>
    <row r="24" spans="1:13" ht="11.25">
      <c r="A24" s="63" t="s">
        <v>867</v>
      </c>
      <c r="B24" s="60" t="s">
        <v>868</v>
      </c>
      <c r="C24" s="723" t="s">
        <v>869</v>
      </c>
      <c r="D24" s="786"/>
      <c r="E24" s="786"/>
      <c r="F24" s="786"/>
      <c r="G24" s="786"/>
      <c r="H24" s="786"/>
      <c r="I24" s="786"/>
      <c r="J24" s="787"/>
      <c r="K24" s="80">
        <v>2</v>
      </c>
      <c r="M24" s="77"/>
    </row>
    <row r="25" spans="1:13" ht="12" thickBot="1">
      <c r="A25" s="63" t="s">
        <v>870</v>
      </c>
      <c r="B25" s="62" t="s">
        <v>871</v>
      </c>
      <c r="C25" s="819" t="s">
        <v>872</v>
      </c>
      <c r="D25" s="819"/>
      <c r="E25" s="819"/>
      <c r="F25" s="819"/>
      <c r="G25" s="819"/>
      <c r="H25" s="819"/>
      <c r="I25" s="819"/>
      <c r="J25" s="820"/>
      <c r="K25" s="80">
        <v>2</v>
      </c>
      <c r="M25" s="77"/>
    </row>
    <row r="26" spans="1:13" ht="12" thickBot="1">
      <c r="A26" s="58" t="s">
        <v>873</v>
      </c>
      <c r="B26" s="58" t="s">
        <v>874</v>
      </c>
      <c r="C26" s="1063" t="s">
        <v>875</v>
      </c>
      <c r="D26" s="1064"/>
      <c r="E26" s="1064"/>
      <c r="F26" s="1064"/>
      <c r="G26" s="1064"/>
      <c r="H26" s="1064"/>
      <c r="I26" s="1064"/>
      <c r="J26" s="1065"/>
      <c r="K26" s="81">
        <v>2</v>
      </c>
      <c r="M26" s="77"/>
    </row>
    <row r="27" spans="1:13" ht="11.25">
      <c r="A27" s="54" t="s">
        <v>876</v>
      </c>
      <c r="B27" s="704" t="s">
        <v>877</v>
      </c>
      <c r="C27" s="799" t="s">
        <v>897</v>
      </c>
      <c r="D27" s="954"/>
      <c r="E27" s="954"/>
      <c r="F27" s="954"/>
      <c r="G27" s="954"/>
      <c r="H27" s="954"/>
      <c r="I27" s="954"/>
      <c r="J27" s="955"/>
      <c r="K27" s="82">
        <v>2</v>
      </c>
      <c r="M27" s="77"/>
    </row>
    <row r="28" spans="1:13" ht="12" thickBot="1">
      <c r="A28" s="55" t="s">
        <v>879</v>
      </c>
      <c r="B28" s="716"/>
      <c r="C28" s="726" t="s">
        <v>880</v>
      </c>
      <c r="D28" s="727"/>
      <c r="E28" s="727"/>
      <c r="F28" s="727"/>
      <c r="G28" s="727"/>
      <c r="H28" s="727"/>
      <c r="I28" s="727"/>
      <c r="J28" s="778"/>
      <c r="K28" s="83">
        <v>2</v>
      </c>
      <c r="M28" s="77"/>
    </row>
    <row r="29" spans="1:13" ht="11.25">
      <c r="A29" s="708" t="s">
        <v>898</v>
      </c>
      <c r="B29" s="704" t="s">
        <v>899</v>
      </c>
      <c r="C29" s="1069" t="s">
        <v>978</v>
      </c>
      <c r="D29" s="1070"/>
      <c r="E29" s="1070"/>
      <c r="F29" s="1070"/>
      <c r="G29" s="1070"/>
      <c r="H29" s="1070"/>
      <c r="I29" s="1070"/>
      <c r="J29" s="1071"/>
      <c r="K29" s="82">
        <v>2</v>
      </c>
      <c r="M29" s="77"/>
    </row>
    <row r="30" spans="1:13" ht="13.5" customHeight="1">
      <c r="A30" s="717"/>
      <c r="B30" s="717"/>
      <c r="C30" s="124"/>
      <c r="D30" s="124"/>
      <c r="E30" s="124"/>
      <c r="F30" s="1053" t="s">
        <v>900</v>
      </c>
      <c r="G30" s="1053"/>
      <c r="H30" s="124"/>
      <c r="I30" s="124"/>
      <c r="J30" s="125"/>
      <c r="K30" s="80">
        <v>2</v>
      </c>
      <c r="M30" s="77"/>
    </row>
    <row r="31" spans="1:13" ht="13.5" customHeight="1">
      <c r="A31" s="717"/>
      <c r="B31" s="717"/>
      <c r="C31" s="1053" t="s">
        <v>900</v>
      </c>
      <c r="D31" s="1053"/>
      <c r="E31" s="1053"/>
      <c r="F31" s="1053"/>
      <c r="G31" s="1053"/>
      <c r="H31" s="1053"/>
      <c r="I31" s="1053"/>
      <c r="J31" s="1054"/>
      <c r="K31" s="80">
        <v>2</v>
      </c>
      <c r="M31" s="77"/>
    </row>
    <row r="32" spans="1:13" ht="13.5" customHeight="1">
      <c r="A32" s="717"/>
      <c r="B32" s="717"/>
      <c r="C32" s="1053" t="s">
        <v>900</v>
      </c>
      <c r="D32" s="1053"/>
      <c r="E32" s="1053"/>
      <c r="F32" s="1053"/>
      <c r="G32" s="1053"/>
      <c r="H32" s="1053"/>
      <c r="I32" s="1053"/>
      <c r="J32" s="1054"/>
      <c r="K32" s="80">
        <v>2</v>
      </c>
      <c r="M32" s="77"/>
    </row>
    <row r="33" spans="1:13" ht="13.5" customHeight="1">
      <c r="A33" s="717"/>
      <c r="B33" s="717"/>
      <c r="C33" s="1066" t="s">
        <v>900</v>
      </c>
      <c r="D33" s="1067"/>
      <c r="E33" s="1067"/>
      <c r="F33" s="1067"/>
      <c r="G33" s="1067"/>
      <c r="H33" s="1067"/>
      <c r="I33" s="1067"/>
      <c r="J33" s="1068"/>
      <c r="K33" s="80">
        <v>2</v>
      </c>
      <c r="M33" s="77"/>
    </row>
    <row r="34" spans="1:13" ht="13.5" customHeight="1">
      <c r="A34" s="717"/>
      <c r="B34" s="717"/>
      <c r="C34" s="1066" t="s">
        <v>900</v>
      </c>
      <c r="D34" s="1067"/>
      <c r="E34" s="1067"/>
      <c r="F34" s="1067"/>
      <c r="G34" s="1067"/>
      <c r="H34" s="1067"/>
      <c r="I34" s="1067"/>
      <c r="J34" s="1068"/>
      <c r="K34" s="80">
        <v>2</v>
      </c>
      <c r="M34" s="77"/>
    </row>
    <row r="35" spans="1:13" s="61" customFormat="1" ht="15" customHeight="1" thickBot="1">
      <c r="A35" s="716"/>
      <c r="B35" s="716"/>
      <c r="C35" s="1077" t="s">
        <v>900</v>
      </c>
      <c r="D35" s="1078"/>
      <c r="E35" s="1078"/>
      <c r="F35" s="1078"/>
      <c r="G35" s="1078"/>
      <c r="H35" s="1078"/>
      <c r="I35" s="1078"/>
      <c r="J35" s="1079"/>
      <c r="K35" s="55">
        <v>2</v>
      </c>
      <c r="M35" s="77"/>
    </row>
    <row r="36" spans="1:13" ht="12" thickBot="1">
      <c r="A36" s="58" t="s">
        <v>901</v>
      </c>
      <c r="B36" s="58" t="s">
        <v>892</v>
      </c>
      <c r="C36" s="937" t="s">
        <v>902</v>
      </c>
      <c r="D36" s="937"/>
      <c r="E36" s="937"/>
      <c r="F36" s="937"/>
      <c r="G36" s="937"/>
      <c r="H36" s="937"/>
      <c r="I36" s="937"/>
      <c r="J36" s="1059"/>
      <c r="K36" s="81">
        <v>2</v>
      </c>
      <c r="M36" s="77"/>
    </row>
    <row r="37" spans="1:13" ht="12" thickBot="1">
      <c r="A37" s="55">
        <v>1039</v>
      </c>
      <c r="B37" s="55" t="s">
        <v>894</v>
      </c>
      <c r="C37" s="931" t="s">
        <v>895</v>
      </c>
      <c r="D37" s="931"/>
      <c r="E37" s="931"/>
      <c r="F37" s="931"/>
      <c r="G37" s="931"/>
      <c r="H37" s="931"/>
      <c r="I37" s="931"/>
      <c r="J37" s="1058"/>
      <c r="K37" s="83">
        <v>1</v>
      </c>
      <c r="M37" s="77"/>
    </row>
    <row r="43" spans="1:13">
      <c r="A43" s="51" t="s">
        <v>979</v>
      </c>
    </row>
    <row r="44" spans="1:13">
      <c r="B44" s="51" t="s">
        <v>980</v>
      </c>
    </row>
    <row r="45" spans="1:13">
      <c r="C45" s="51" t="s">
        <v>1011</v>
      </c>
      <c r="D45" s="51" t="s">
        <v>1012</v>
      </c>
    </row>
    <row r="46" spans="1:13">
      <c r="C46" s="186" t="s">
        <v>981</v>
      </c>
      <c r="D46" s="51" t="s">
        <v>1010</v>
      </c>
    </row>
    <row r="47" spans="1:13">
      <c r="C47" s="186" t="s">
        <v>982</v>
      </c>
      <c r="D47" s="51" t="s">
        <v>1013</v>
      </c>
    </row>
    <row r="48" spans="1:13">
      <c r="C48" s="186" t="s">
        <v>983</v>
      </c>
      <c r="D48" s="51" t="s">
        <v>1014</v>
      </c>
    </row>
    <row r="49" spans="2:10">
      <c r="C49" s="186" t="s">
        <v>984</v>
      </c>
      <c r="D49" s="51" t="s">
        <v>1015</v>
      </c>
    </row>
    <row r="50" spans="2:10">
      <c r="C50" s="186" t="s">
        <v>1334</v>
      </c>
      <c r="D50" s="51" t="s">
        <v>1335</v>
      </c>
    </row>
    <row r="51" spans="2:10">
      <c r="B51" s="51" t="s">
        <v>985</v>
      </c>
    </row>
    <row r="52" spans="2:10">
      <c r="E52" s="51" t="s">
        <v>35</v>
      </c>
      <c r="G52" s="51" t="s">
        <v>991</v>
      </c>
    </row>
    <row r="53" spans="2:10">
      <c r="C53" s="186" t="s">
        <v>986</v>
      </c>
      <c r="E53" s="186" t="s">
        <v>992</v>
      </c>
      <c r="G53" s="186" t="s">
        <v>993</v>
      </c>
      <c r="I53" s="51" t="s">
        <v>994</v>
      </c>
    </row>
    <row r="54" spans="2:10">
      <c r="C54" s="186" t="s">
        <v>987</v>
      </c>
      <c r="E54" s="186" t="s">
        <v>992</v>
      </c>
      <c r="G54" s="186" t="s">
        <v>993</v>
      </c>
      <c r="J54" s="186" t="s">
        <v>996</v>
      </c>
    </row>
    <row r="55" spans="2:10">
      <c r="J55" s="186" t="s">
        <v>995</v>
      </c>
    </row>
    <row r="56" spans="2:10">
      <c r="C56" s="186" t="s">
        <v>988</v>
      </c>
      <c r="E56" s="186" t="s">
        <v>992</v>
      </c>
      <c r="G56" s="186" t="s">
        <v>993</v>
      </c>
    </row>
    <row r="57" spans="2:10">
      <c r="C57" s="186" t="s">
        <v>989</v>
      </c>
      <c r="I57" s="51" t="s">
        <v>998</v>
      </c>
    </row>
    <row r="59" spans="2:10">
      <c r="C59" s="186" t="s">
        <v>990</v>
      </c>
      <c r="E59" s="186" t="s">
        <v>992</v>
      </c>
      <c r="G59" s="186" t="s">
        <v>993</v>
      </c>
    </row>
    <row r="61" spans="2:10">
      <c r="C61" s="51" t="s">
        <v>1000</v>
      </c>
    </row>
    <row r="62" spans="2:10">
      <c r="C62" s="51" t="s">
        <v>999</v>
      </c>
    </row>
    <row r="64" spans="2:10">
      <c r="B64" s="51" t="s">
        <v>997</v>
      </c>
    </row>
    <row r="65" spans="2:9">
      <c r="C65" s="186" t="s">
        <v>986</v>
      </c>
      <c r="E65" s="51" t="s">
        <v>1004</v>
      </c>
    </row>
    <row r="66" spans="2:9">
      <c r="C66" s="186" t="s">
        <v>987</v>
      </c>
      <c r="E66" s="51" t="s">
        <v>1005</v>
      </c>
    </row>
    <row r="67" spans="2:9">
      <c r="C67" s="186" t="s">
        <v>988</v>
      </c>
      <c r="E67" s="51" t="s">
        <v>1001</v>
      </c>
    </row>
    <row r="68" spans="2:9">
      <c r="C68" s="186" t="s">
        <v>989</v>
      </c>
      <c r="E68" s="51" t="s">
        <v>1002</v>
      </c>
    </row>
    <row r="69" spans="2:9">
      <c r="C69" s="186" t="s">
        <v>990</v>
      </c>
      <c r="E69" s="51" t="s">
        <v>1003</v>
      </c>
    </row>
    <row r="71" spans="2:9">
      <c r="B71" s="51" t="s">
        <v>1006</v>
      </c>
      <c r="D71" s="51" t="s">
        <v>1035</v>
      </c>
    </row>
    <row r="72" spans="2:9">
      <c r="D72" s="186" t="s">
        <v>35</v>
      </c>
      <c r="E72" s="51" t="s">
        <v>991</v>
      </c>
    </row>
    <row r="73" spans="2:9">
      <c r="C73" s="186" t="s">
        <v>986</v>
      </c>
    </row>
    <row r="74" spans="2:9">
      <c r="D74" s="186" t="s">
        <v>992</v>
      </c>
      <c r="F74" s="51" t="s">
        <v>1007</v>
      </c>
    </row>
    <row r="75" spans="2:9">
      <c r="E75" s="186" t="s">
        <v>993</v>
      </c>
      <c r="F75" s="51" t="s">
        <v>1008</v>
      </c>
      <c r="G75" s="51" t="s">
        <v>1009</v>
      </c>
      <c r="H75" s="51" t="s">
        <v>1016</v>
      </c>
      <c r="I75" s="51" t="s">
        <v>1017</v>
      </c>
    </row>
    <row r="76" spans="2:9">
      <c r="E76" s="186" t="s">
        <v>1026</v>
      </c>
      <c r="F76" s="51" t="s">
        <v>1025</v>
      </c>
    </row>
    <row r="77" spans="2:9">
      <c r="C77" s="186" t="s">
        <v>987</v>
      </c>
    </row>
    <row r="78" spans="2:9">
      <c r="C78" s="186"/>
      <c r="D78" s="186" t="s">
        <v>992</v>
      </c>
      <c r="F78" s="51" t="s">
        <v>1033</v>
      </c>
      <c r="G78" s="189" t="s">
        <v>1031</v>
      </c>
      <c r="H78" s="51" t="s">
        <v>1018</v>
      </c>
      <c r="I78" s="51" t="s">
        <v>1019</v>
      </c>
    </row>
    <row r="79" spans="2:9">
      <c r="C79" s="186"/>
      <c r="E79" s="186" t="s">
        <v>993</v>
      </c>
      <c r="F79" s="51" t="s">
        <v>1007</v>
      </c>
    </row>
    <row r="80" spans="2:9">
      <c r="C80" s="186"/>
      <c r="E80" s="186" t="s">
        <v>1026</v>
      </c>
      <c r="F80" s="51" t="s">
        <v>1025</v>
      </c>
    </row>
    <row r="81" spans="3:12">
      <c r="C81" s="186" t="s">
        <v>988</v>
      </c>
    </row>
    <row r="82" spans="3:12">
      <c r="C82" s="186"/>
      <c r="D82" s="186" t="s">
        <v>992</v>
      </c>
      <c r="F82" s="187" t="s">
        <v>1034</v>
      </c>
      <c r="H82" s="51" t="s">
        <v>1031</v>
      </c>
    </row>
    <row r="83" spans="3:12">
      <c r="C83" s="186"/>
      <c r="E83" s="186" t="s">
        <v>993</v>
      </c>
      <c r="F83" s="51" t="s">
        <v>1020</v>
      </c>
      <c r="G83" s="51" t="s">
        <v>1021</v>
      </c>
      <c r="H83" s="51" t="s">
        <v>1022</v>
      </c>
      <c r="I83" s="51" t="s">
        <v>1023</v>
      </c>
      <c r="J83" s="51" t="s">
        <v>1024</v>
      </c>
      <c r="L83" s="51" t="s">
        <v>1032</v>
      </c>
    </row>
    <row r="84" spans="3:12">
      <c r="C84" s="186"/>
      <c r="E84" s="186" t="s">
        <v>1026</v>
      </c>
      <c r="F84" s="51" t="s">
        <v>1025</v>
      </c>
    </row>
    <row r="85" spans="3:12">
      <c r="C85" s="186"/>
      <c r="E85" s="186"/>
    </row>
    <row r="86" spans="3:12">
      <c r="C86" s="186"/>
      <c r="E86" s="186"/>
      <c r="F86" s="51" t="s">
        <v>1042</v>
      </c>
    </row>
    <row r="87" spans="3:12">
      <c r="C87" s="186"/>
      <c r="E87" s="186"/>
    </row>
    <row r="88" spans="3:12">
      <c r="C88" s="186"/>
      <c r="E88" s="186"/>
    </row>
    <row r="89" spans="3:12">
      <c r="C89" s="186" t="s">
        <v>989</v>
      </c>
      <c r="D89" s="186" t="s">
        <v>992</v>
      </c>
      <c r="F89" s="187" t="s">
        <v>1033</v>
      </c>
      <c r="H89" s="51" t="s">
        <v>1027</v>
      </c>
      <c r="I89" s="51" t="s">
        <v>1028</v>
      </c>
    </row>
    <row r="90" spans="3:12">
      <c r="E90" s="186" t="s">
        <v>993</v>
      </c>
      <c r="G90" s="51" t="s">
        <v>1007</v>
      </c>
    </row>
    <row r="91" spans="3:12">
      <c r="E91" s="186" t="s">
        <v>1026</v>
      </c>
      <c r="F91" s="51" t="s">
        <v>1025</v>
      </c>
    </row>
    <row r="92" spans="3:12">
      <c r="C92" s="186" t="s">
        <v>990</v>
      </c>
      <c r="D92" s="186" t="s">
        <v>992</v>
      </c>
      <c r="F92" s="51" t="s">
        <v>1007</v>
      </c>
    </row>
    <row r="93" spans="3:12">
      <c r="E93" s="186" t="s">
        <v>993</v>
      </c>
      <c r="F93" s="51" t="s">
        <v>1007</v>
      </c>
    </row>
    <row r="94" spans="3:12">
      <c r="E94" s="186" t="s">
        <v>1026</v>
      </c>
      <c r="F94" s="51" t="s">
        <v>1025</v>
      </c>
    </row>
    <row r="96" spans="3:12">
      <c r="C96" s="51" t="s">
        <v>1029</v>
      </c>
    </row>
    <row r="97" spans="2:4">
      <c r="C97" s="51" t="s">
        <v>1030</v>
      </c>
    </row>
    <row r="100" spans="2:4">
      <c r="B100" s="51" t="s">
        <v>1036</v>
      </c>
    </row>
    <row r="101" spans="2:4">
      <c r="C101" s="186" t="s">
        <v>981</v>
      </c>
      <c r="D101" s="51" t="s">
        <v>1037</v>
      </c>
    </row>
    <row r="102" spans="2:4">
      <c r="D102" s="51" t="s">
        <v>1038</v>
      </c>
    </row>
    <row r="103" spans="2:4">
      <c r="D103" s="51" t="s">
        <v>1039</v>
      </c>
    </row>
    <row r="104" spans="2:4">
      <c r="C104" s="186" t="s">
        <v>1040</v>
      </c>
      <c r="D104" s="51" t="s">
        <v>1041</v>
      </c>
    </row>
  </sheetData>
  <mergeCells count="38">
    <mergeCell ref="A1:K1"/>
    <mergeCell ref="C29:J29"/>
    <mergeCell ref="G15:J15"/>
    <mergeCell ref="C16:F16"/>
    <mergeCell ref="G16:J16"/>
    <mergeCell ref="A5:K5"/>
    <mergeCell ref="C27:J27"/>
    <mergeCell ref="A29:A35"/>
    <mergeCell ref="B29:B35"/>
    <mergeCell ref="F30:G30"/>
    <mergeCell ref="C34:J34"/>
    <mergeCell ref="C35:J35"/>
    <mergeCell ref="B27:B28"/>
    <mergeCell ref="B12:B13"/>
    <mergeCell ref="A20:K20"/>
    <mergeCell ref="B15:B16"/>
    <mergeCell ref="C37:J37"/>
    <mergeCell ref="C36:J36"/>
    <mergeCell ref="C31:J31"/>
    <mergeCell ref="C28:J28"/>
    <mergeCell ref="C9:J9"/>
    <mergeCell ref="C10:J10"/>
    <mergeCell ref="C24:J24"/>
    <mergeCell ref="C11:J11"/>
    <mergeCell ref="C12:J12"/>
    <mergeCell ref="C14:J14"/>
    <mergeCell ref="C17:J17"/>
    <mergeCell ref="C18:J18"/>
    <mergeCell ref="C25:J25"/>
    <mergeCell ref="C23:J23"/>
    <mergeCell ref="C26:J26"/>
    <mergeCell ref="C33:J33"/>
    <mergeCell ref="C32:J32"/>
    <mergeCell ref="C7:J7"/>
    <mergeCell ref="C8:J8"/>
    <mergeCell ref="C22:J22"/>
    <mergeCell ref="C15:F15"/>
    <mergeCell ref="C13:J13"/>
  </mergeCells>
  <phoneticPr fontId="2" type="noConversion"/>
  <pageMargins left="0.74803149606299213" right="0.74803149606299213" top="0.98425196850393704" bottom="0.98425196850393704" header="0.51181102362204722" footer="0.51181102362204722"/>
  <pageSetup paperSize="9" scale="59" orientation="portrait" cellComments="asDisplayed" r:id="rId1"/>
  <headerFooter alignWithMargins="0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sheetPr codeName="Sheet15"/>
  <dimension ref="A1:I18"/>
  <sheetViews>
    <sheetView workbookViewId="0">
      <selection activeCell="J40" sqref="A16:J40"/>
    </sheetView>
  </sheetViews>
  <sheetFormatPr defaultRowHeight="13.5"/>
  <cols>
    <col min="1" max="1" width="6" style="193" bestFit="1" customWidth="1"/>
    <col min="2" max="2" width="6.6640625" style="193" bestFit="1" customWidth="1"/>
    <col min="3" max="3" width="6" style="193" bestFit="1" customWidth="1"/>
    <col min="4" max="4" width="9.5546875" style="193" bestFit="1" customWidth="1"/>
  </cols>
  <sheetData>
    <row r="1" spans="1:9">
      <c r="A1" s="1080" t="s">
        <v>1050</v>
      </c>
      <c r="B1" s="1081"/>
      <c r="C1" s="1081"/>
      <c r="D1" s="1082"/>
    </row>
    <row r="2" spans="1:9">
      <c r="A2" s="193" t="s">
        <v>35</v>
      </c>
    </row>
    <row r="3" spans="1:9">
      <c r="B3" s="193" t="s">
        <v>1045</v>
      </c>
    </row>
    <row r="4" spans="1:9">
      <c r="C4" s="193" t="s">
        <v>1046</v>
      </c>
    </row>
    <row r="5" spans="1:9">
      <c r="D5" s="193">
        <v>20100419</v>
      </c>
      <c r="F5" s="192" t="s">
        <v>1058</v>
      </c>
    </row>
    <row r="6" spans="1:9">
      <c r="E6" t="s">
        <v>1049</v>
      </c>
    </row>
    <row r="7" spans="1:9">
      <c r="C7" s="193" t="s">
        <v>991</v>
      </c>
    </row>
    <row r="8" spans="1:9">
      <c r="C8" s="193" t="s">
        <v>35</v>
      </c>
    </row>
    <row r="9" spans="1:9">
      <c r="C9" s="193" t="s">
        <v>1047</v>
      </c>
    </row>
    <row r="10" spans="1:9">
      <c r="D10" s="193">
        <v>20100419</v>
      </c>
      <c r="F10" s="192" t="s">
        <v>1058</v>
      </c>
    </row>
    <row r="11" spans="1:9">
      <c r="E11" t="s">
        <v>1048</v>
      </c>
      <c r="G11" s="192" t="s">
        <v>1059</v>
      </c>
    </row>
    <row r="12" spans="1:9">
      <c r="G12" t="s">
        <v>1051</v>
      </c>
      <c r="H12" t="s">
        <v>594</v>
      </c>
    </row>
    <row r="13" spans="1:9">
      <c r="G13" t="s">
        <v>938</v>
      </c>
    </row>
    <row r="14" spans="1:9">
      <c r="H14" s="194">
        <v>62</v>
      </c>
      <c r="I14" t="s">
        <v>1053</v>
      </c>
    </row>
    <row r="15" spans="1:9">
      <c r="H15" s="194">
        <v>75</v>
      </c>
      <c r="I15" t="s">
        <v>1054</v>
      </c>
    </row>
    <row r="16" spans="1:9">
      <c r="H16" s="194">
        <v>56</v>
      </c>
      <c r="I16" t="s">
        <v>1055</v>
      </c>
    </row>
    <row r="17" spans="8:9">
      <c r="H17" s="194">
        <v>57</v>
      </c>
      <c r="I17" t="s">
        <v>1056</v>
      </c>
    </row>
    <row r="18" spans="8:9">
      <c r="H18" s="194" t="s">
        <v>1052</v>
      </c>
      <c r="I18" t="s">
        <v>1057</v>
      </c>
    </row>
  </sheetData>
  <mergeCells count="1">
    <mergeCell ref="A1:D1"/>
  </mergeCells>
  <phoneticPr fontId="2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 codeName="Sheet16"/>
  <dimension ref="A1:Q56"/>
  <sheetViews>
    <sheetView topLeftCell="B1" workbookViewId="0">
      <selection activeCell="B12" sqref="B12"/>
    </sheetView>
  </sheetViews>
  <sheetFormatPr defaultColWidth="8.77734375" defaultRowHeight="15" customHeight="1"/>
  <cols>
    <col min="1" max="1" width="6.88671875" style="1" bestFit="1" customWidth="1"/>
    <col min="2" max="9" width="7.77734375" style="1" customWidth="1"/>
    <col min="10" max="10" width="6.6640625" style="1" customWidth="1"/>
    <col min="11" max="15" width="6.77734375" style="1" customWidth="1"/>
    <col min="16" max="16384" width="8.77734375" style="1"/>
  </cols>
  <sheetData>
    <row r="1" spans="1:15" ht="15" customHeight="1">
      <c r="A1" s="1118" t="s">
        <v>94</v>
      </c>
      <c r="B1" s="1119"/>
      <c r="C1" s="1119"/>
      <c r="D1" s="1119"/>
      <c r="E1" s="1119"/>
      <c r="F1" s="1119"/>
      <c r="G1" s="1119"/>
      <c r="H1" s="1119"/>
      <c r="I1" s="1120"/>
    </row>
    <row r="2" spans="1:15" ht="15" customHeight="1">
      <c r="A2" s="5" t="s">
        <v>44</v>
      </c>
      <c r="B2" s="6" t="s">
        <v>45</v>
      </c>
      <c r="C2" s="7"/>
      <c r="D2" s="7"/>
      <c r="E2" s="7"/>
      <c r="F2" s="7"/>
      <c r="G2" s="168"/>
      <c r="H2" s="168" t="s">
        <v>52</v>
      </c>
      <c r="I2" s="8" t="s">
        <v>54</v>
      </c>
    </row>
    <row r="3" spans="1:15" ht="15" customHeight="1">
      <c r="A3" s="5" t="s">
        <v>50</v>
      </c>
      <c r="B3" s="26"/>
      <c r="C3" s="7"/>
      <c r="D3" s="7"/>
      <c r="E3" s="7"/>
      <c r="F3" s="7"/>
      <c r="G3" s="168"/>
      <c r="H3" s="28" t="s">
        <v>47</v>
      </c>
      <c r="I3" s="29" t="s">
        <v>937</v>
      </c>
    </row>
    <row r="4" spans="1:15" ht="15" customHeight="1" thickBot="1">
      <c r="A4" s="11"/>
      <c r="B4" s="19"/>
      <c r="C4" s="19"/>
      <c r="D4" s="19"/>
      <c r="E4" s="19"/>
      <c r="F4" s="19"/>
      <c r="G4" s="169"/>
      <c r="H4" s="30" t="s">
        <v>49</v>
      </c>
      <c r="I4" s="31" t="s">
        <v>939</v>
      </c>
      <c r="K4" s="31"/>
    </row>
    <row r="5" spans="1:15" ht="15" customHeight="1" thickBot="1">
      <c r="A5" s="21" t="s">
        <v>32</v>
      </c>
      <c r="B5" s="1122" t="s">
        <v>105</v>
      </c>
      <c r="C5" s="1123"/>
      <c r="D5" s="1123"/>
      <c r="E5" s="1123"/>
      <c r="F5" s="1123"/>
      <c r="G5" s="1123"/>
      <c r="H5" s="1123"/>
      <c r="I5" s="1124"/>
    </row>
    <row r="6" spans="1:15" ht="15" customHeight="1">
      <c r="A6" s="1102">
        <v>1</v>
      </c>
      <c r="B6" s="1084" t="s">
        <v>42</v>
      </c>
      <c r="C6" s="1084"/>
      <c r="D6" s="1084"/>
      <c r="E6" s="1084"/>
      <c r="F6" s="1084"/>
      <c r="G6" s="1084"/>
      <c r="H6" s="13" t="s">
        <v>43</v>
      </c>
      <c r="I6" s="1125"/>
      <c r="J6" s="2"/>
      <c r="K6" s="2"/>
      <c r="L6" s="2"/>
      <c r="M6" s="2"/>
      <c r="N6" s="2"/>
      <c r="O6" s="2"/>
    </row>
    <row r="7" spans="1:15" ht="15" customHeight="1">
      <c r="A7" s="1121"/>
      <c r="B7" s="9" t="s">
        <v>34</v>
      </c>
      <c r="C7" s="9" t="s">
        <v>41</v>
      </c>
      <c r="D7" s="9" t="s">
        <v>33</v>
      </c>
      <c r="E7" s="9" t="s">
        <v>36</v>
      </c>
      <c r="F7" s="9" t="s">
        <v>35</v>
      </c>
      <c r="G7" s="9" t="s">
        <v>103</v>
      </c>
      <c r="H7" s="9" t="s">
        <v>104</v>
      </c>
      <c r="I7" s="1126"/>
      <c r="J7" s="3"/>
      <c r="K7" s="3"/>
      <c r="L7" s="2"/>
      <c r="M7" s="2"/>
      <c r="N7" s="2"/>
      <c r="O7" s="2"/>
    </row>
    <row r="8" spans="1:15" ht="15" customHeight="1" thickBot="1">
      <c r="A8" s="1089"/>
      <c r="B8" s="12" t="s">
        <v>55</v>
      </c>
      <c r="C8" s="12" t="s">
        <v>59</v>
      </c>
      <c r="D8" s="12" t="s">
        <v>60</v>
      </c>
      <c r="E8" s="12" t="s">
        <v>61</v>
      </c>
      <c r="F8" s="12" t="s">
        <v>62</v>
      </c>
      <c r="G8" s="12" t="s">
        <v>63</v>
      </c>
      <c r="H8" s="12" t="s">
        <v>64</v>
      </c>
      <c r="I8" s="1127"/>
      <c r="J8" s="3"/>
      <c r="K8" s="3"/>
      <c r="L8" s="2"/>
      <c r="M8" s="2"/>
      <c r="N8" s="2"/>
      <c r="O8" s="2"/>
    </row>
    <row r="9" spans="1:15" ht="15" customHeight="1">
      <c r="A9" s="1103">
        <f>A6+1</f>
        <v>2</v>
      </c>
      <c r="B9" s="15" t="s">
        <v>6</v>
      </c>
      <c r="C9" s="15" t="s">
        <v>7</v>
      </c>
      <c r="D9" s="1112"/>
      <c r="E9" s="1113"/>
      <c r="F9" s="1113"/>
      <c r="G9" s="1113"/>
      <c r="H9" s="1113"/>
      <c r="I9" s="1114"/>
      <c r="J9" s="2"/>
      <c r="K9" s="2"/>
      <c r="L9" s="2"/>
      <c r="M9" s="2"/>
      <c r="N9" s="2"/>
      <c r="O9" s="2"/>
    </row>
    <row r="10" spans="1:15" ht="15" customHeight="1" thickBot="1">
      <c r="A10" s="1104"/>
      <c r="B10" s="10" t="s">
        <v>56</v>
      </c>
      <c r="C10" s="10" t="s">
        <v>65</v>
      </c>
      <c r="D10" s="1115"/>
      <c r="E10" s="1116"/>
      <c r="F10" s="1116"/>
      <c r="G10" s="1116"/>
      <c r="H10" s="1116"/>
      <c r="I10" s="1117"/>
      <c r="J10" s="2"/>
      <c r="K10" s="2"/>
      <c r="L10" s="2"/>
      <c r="M10" s="2"/>
      <c r="N10" s="2"/>
      <c r="O10" s="2"/>
    </row>
    <row r="11" spans="1:15" ht="15" customHeight="1">
      <c r="A11" s="1102">
        <f>A9+1</f>
        <v>3</v>
      </c>
      <c r="B11" s="13" t="s">
        <v>8</v>
      </c>
      <c r="C11" s="13" t="s">
        <v>9</v>
      </c>
      <c r="D11" s="1112"/>
      <c r="E11" s="1113"/>
      <c r="F11" s="1113"/>
      <c r="G11" s="1113"/>
      <c r="H11" s="1113"/>
      <c r="I11" s="1114"/>
      <c r="J11" s="2"/>
      <c r="K11" s="2"/>
      <c r="L11" s="2"/>
      <c r="M11" s="2"/>
      <c r="N11" s="2"/>
      <c r="O11" s="2"/>
    </row>
    <row r="12" spans="1:15" ht="15" customHeight="1" thickBot="1">
      <c r="A12" s="1089"/>
      <c r="B12" s="12" t="s">
        <v>57</v>
      </c>
      <c r="C12" s="12" t="s">
        <v>66</v>
      </c>
      <c r="D12" s="1115"/>
      <c r="E12" s="1116"/>
      <c r="F12" s="1116"/>
      <c r="G12" s="1116"/>
      <c r="H12" s="1116"/>
      <c r="I12" s="1117"/>
      <c r="J12" s="2"/>
      <c r="K12" s="2"/>
      <c r="L12" s="2"/>
      <c r="M12" s="2"/>
      <c r="N12" s="2"/>
      <c r="O12" s="2"/>
    </row>
    <row r="13" spans="1:15" ht="15" customHeight="1">
      <c r="A13" s="1103">
        <f>A11+1</f>
        <v>4</v>
      </c>
      <c r="B13" s="15" t="s">
        <v>4</v>
      </c>
      <c r="C13" s="15" t="s">
        <v>5</v>
      </c>
      <c r="D13" s="1112"/>
      <c r="E13" s="1113"/>
      <c r="F13" s="1113"/>
      <c r="G13" s="1113"/>
      <c r="H13" s="1113"/>
      <c r="I13" s="1114"/>
      <c r="J13" s="2"/>
      <c r="K13" s="2"/>
      <c r="L13" s="2"/>
      <c r="M13" s="2"/>
      <c r="N13" s="2"/>
      <c r="O13" s="2"/>
    </row>
    <row r="14" spans="1:15" ht="15" customHeight="1" thickBot="1">
      <c r="A14" s="1104"/>
      <c r="B14" s="10" t="s">
        <v>58</v>
      </c>
      <c r="C14" s="10" t="s">
        <v>72</v>
      </c>
      <c r="D14" s="1115"/>
      <c r="E14" s="1116"/>
      <c r="F14" s="1116"/>
      <c r="G14" s="1116"/>
      <c r="H14" s="1116"/>
      <c r="I14" s="1117"/>
      <c r="J14" s="2"/>
      <c r="K14" s="2"/>
      <c r="L14" s="2"/>
      <c r="M14" s="2"/>
      <c r="N14" s="2"/>
      <c r="O14" s="2"/>
    </row>
    <row r="15" spans="1:15" ht="15" customHeight="1">
      <c r="A15" s="1102">
        <f>A13+1</f>
        <v>5</v>
      </c>
      <c r="B15" s="13" t="s">
        <v>10</v>
      </c>
      <c r="C15" s="13" t="s">
        <v>38</v>
      </c>
      <c r="D15" s="13" t="s">
        <v>39</v>
      </c>
      <c r="E15" s="13" t="s">
        <v>40</v>
      </c>
      <c r="F15" s="1112"/>
      <c r="G15" s="1113"/>
      <c r="H15" s="1113"/>
      <c r="I15" s="1114"/>
      <c r="J15" s="3"/>
      <c r="K15" s="3"/>
      <c r="L15" s="3"/>
      <c r="M15" s="3"/>
      <c r="N15" s="3"/>
      <c r="O15" s="3"/>
    </row>
    <row r="16" spans="1:15" ht="15" customHeight="1" thickBot="1">
      <c r="A16" s="1089"/>
      <c r="B16" s="12" t="s">
        <v>67</v>
      </c>
      <c r="C16" s="12" t="s">
        <v>73</v>
      </c>
      <c r="D16" s="12" t="s">
        <v>74</v>
      </c>
      <c r="E16" s="12" t="s">
        <v>75</v>
      </c>
      <c r="F16" s="1115"/>
      <c r="G16" s="1116"/>
      <c r="H16" s="1116"/>
      <c r="I16" s="1117"/>
      <c r="J16" s="3"/>
      <c r="K16" s="3"/>
      <c r="L16" s="3"/>
      <c r="M16" s="3"/>
      <c r="N16" s="3"/>
      <c r="O16" s="3"/>
    </row>
    <row r="17" spans="1:17" ht="15" customHeight="1">
      <c r="A17" s="1103">
        <f>A15+1</f>
        <v>6</v>
      </c>
      <c r="B17" s="15" t="s">
        <v>37</v>
      </c>
      <c r="C17" s="15" t="s">
        <v>17</v>
      </c>
      <c r="D17" s="1112"/>
      <c r="E17" s="1113"/>
      <c r="F17" s="1113"/>
      <c r="G17" s="1113"/>
      <c r="H17" s="1113"/>
      <c r="I17" s="1114"/>
      <c r="J17" s="3"/>
      <c r="K17" s="3"/>
      <c r="L17" s="3"/>
      <c r="M17" s="3"/>
      <c r="N17" s="3"/>
      <c r="O17" s="3"/>
    </row>
    <row r="18" spans="1:17" ht="15" customHeight="1" thickBot="1">
      <c r="A18" s="1104"/>
      <c r="B18" s="10" t="s">
        <v>68</v>
      </c>
      <c r="C18" s="10" t="s">
        <v>76</v>
      </c>
      <c r="D18" s="1115"/>
      <c r="E18" s="1116"/>
      <c r="F18" s="1116"/>
      <c r="G18" s="1116"/>
      <c r="H18" s="1116"/>
      <c r="I18" s="1117"/>
      <c r="J18" s="3"/>
      <c r="K18" s="3"/>
      <c r="L18" s="3"/>
      <c r="M18" s="3"/>
      <c r="N18" s="3"/>
      <c r="O18" s="3"/>
    </row>
    <row r="19" spans="1:17" ht="15" customHeight="1">
      <c r="A19" s="1102">
        <f>A17+1</f>
        <v>7</v>
      </c>
      <c r="B19" s="13" t="s">
        <v>1</v>
      </c>
      <c r="C19" s="13" t="s">
        <v>2</v>
      </c>
      <c r="D19" s="13" t="s">
        <v>11</v>
      </c>
      <c r="E19" s="13" t="s">
        <v>12</v>
      </c>
      <c r="F19" s="13" t="s">
        <v>13</v>
      </c>
      <c r="G19" s="13" t="s">
        <v>14</v>
      </c>
      <c r="H19" s="13" t="s">
        <v>15</v>
      </c>
      <c r="I19" s="14" t="s">
        <v>16</v>
      </c>
      <c r="J19" s="3"/>
      <c r="K19" s="3"/>
      <c r="L19" s="3"/>
      <c r="M19" s="3"/>
      <c r="N19" s="3"/>
      <c r="O19" s="3"/>
    </row>
    <row r="20" spans="1:17" ht="15" customHeight="1" thickBot="1">
      <c r="A20" s="1089"/>
      <c r="B20" s="12" t="s">
        <v>69</v>
      </c>
      <c r="C20" s="12" t="s">
        <v>77</v>
      </c>
      <c r="D20" s="12" t="s">
        <v>78</v>
      </c>
      <c r="E20" s="12" t="s">
        <v>79</v>
      </c>
      <c r="F20" s="12" t="s">
        <v>80</v>
      </c>
      <c r="G20" s="12" t="s">
        <v>81</v>
      </c>
      <c r="H20" s="12" t="s">
        <v>82</v>
      </c>
      <c r="I20" s="17" t="s">
        <v>83</v>
      </c>
      <c r="J20" s="3"/>
      <c r="K20" s="3"/>
      <c r="L20" s="3"/>
      <c r="M20" s="3"/>
      <c r="N20" s="3"/>
      <c r="O20" s="3"/>
    </row>
    <row r="21" spans="1:17" ht="15" customHeight="1">
      <c r="A21" s="1103">
        <f>A19+1</f>
        <v>8</v>
      </c>
      <c r="B21" s="15" t="s">
        <v>22</v>
      </c>
      <c r="C21" s="15" t="s">
        <v>23</v>
      </c>
      <c r="D21" s="15" t="s">
        <v>24</v>
      </c>
      <c r="E21" s="15" t="s">
        <v>25</v>
      </c>
      <c r="F21" s="15" t="s">
        <v>26</v>
      </c>
      <c r="G21" s="15" t="s">
        <v>27</v>
      </c>
      <c r="H21" s="15" t="s">
        <v>28</v>
      </c>
      <c r="I21" s="16" t="s">
        <v>29</v>
      </c>
      <c r="J21" s="3"/>
      <c r="K21" s="3"/>
      <c r="L21" s="3"/>
      <c r="M21" s="3"/>
      <c r="N21" s="2"/>
      <c r="O21" s="2"/>
    </row>
    <row r="22" spans="1:17" ht="15" customHeight="1" thickBot="1">
      <c r="A22" s="1104"/>
      <c r="B22" s="10" t="s">
        <v>70</v>
      </c>
      <c r="C22" s="10" t="s">
        <v>84</v>
      </c>
      <c r="D22" s="10" t="s">
        <v>85</v>
      </c>
      <c r="E22" s="10" t="s">
        <v>86</v>
      </c>
      <c r="F22" s="10" t="s">
        <v>87</v>
      </c>
      <c r="G22" s="10" t="s">
        <v>88</v>
      </c>
      <c r="H22" s="10" t="s">
        <v>89</v>
      </c>
      <c r="I22" s="18" t="s">
        <v>90</v>
      </c>
      <c r="J22" s="3"/>
      <c r="K22" s="3"/>
      <c r="L22" s="3"/>
      <c r="M22" s="3"/>
      <c r="N22" s="2"/>
      <c r="O22" s="2"/>
    </row>
    <row r="23" spans="1:17" ht="15" customHeight="1">
      <c r="A23" s="1102">
        <f>A21+1</f>
        <v>9</v>
      </c>
      <c r="B23" s="13" t="s">
        <v>18</v>
      </c>
      <c r="C23" s="13" t="s">
        <v>19</v>
      </c>
      <c r="D23" s="13" t="s">
        <v>20</v>
      </c>
      <c r="E23" s="13" t="s">
        <v>21</v>
      </c>
      <c r="F23" s="1112"/>
      <c r="G23" s="1113"/>
      <c r="H23" s="1113"/>
      <c r="I23" s="1114"/>
      <c r="J23" s="3"/>
      <c r="K23" s="3"/>
      <c r="L23" s="3"/>
      <c r="M23" s="3"/>
      <c r="N23" s="2"/>
      <c r="O23" s="2"/>
    </row>
    <row r="24" spans="1:17" ht="15" customHeight="1" thickBot="1">
      <c r="A24" s="1104"/>
      <c r="B24" s="10" t="s">
        <v>71</v>
      </c>
      <c r="C24" s="10" t="s">
        <v>91</v>
      </c>
      <c r="D24" s="10" t="s">
        <v>92</v>
      </c>
      <c r="E24" s="10" t="s">
        <v>93</v>
      </c>
      <c r="F24" s="1115"/>
      <c r="G24" s="1116"/>
      <c r="H24" s="1116"/>
      <c r="I24" s="1117"/>
      <c r="J24" s="3"/>
      <c r="K24" s="3"/>
      <c r="L24" s="3"/>
      <c r="M24" s="3"/>
      <c r="N24" s="2"/>
      <c r="O24" s="2"/>
    </row>
    <row r="25" spans="1:17" ht="15" customHeight="1">
      <c r="A25" s="2"/>
      <c r="B25" s="13" t="s">
        <v>1060</v>
      </c>
      <c r="C25" s="13"/>
      <c r="D25" s="13"/>
      <c r="E25" s="13"/>
      <c r="F25" s="1112"/>
      <c r="G25" s="1113"/>
      <c r="H25" s="1113"/>
      <c r="I25" s="1114"/>
      <c r="J25" s="3"/>
      <c r="K25" s="3"/>
      <c r="L25" s="3"/>
      <c r="M25" s="3"/>
      <c r="N25" s="2"/>
      <c r="O25" s="2"/>
    </row>
    <row r="26" spans="1:17" ht="15" customHeight="1" thickBot="1">
      <c r="A26" s="2"/>
      <c r="B26" s="10" t="s">
        <v>1061</v>
      </c>
      <c r="C26" s="10"/>
      <c r="D26" s="10"/>
      <c r="E26" s="10"/>
      <c r="F26" s="1115"/>
      <c r="G26" s="1116"/>
      <c r="H26" s="1116"/>
      <c r="I26" s="1117"/>
      <c r="J26" s="3"/>
      <c r="K26" s="3"/>
      <c r="L26" s="3"/>
      <c r="M26" s="3"/>
      <c r="N26" s="2"/>
      <c r="O26" s="2"/>
    </row>
    <row r="27" spans="1:17" ht="15" customHeight="1" thickBot="1">
      <c r="A27" s="4"/>
    </row>
    <row r="28" spans="1:17" ht="15" customHeight="1">
      <c r="A28" s="1118" t="s">
        <v>95</v>
      </c>
      <c r="B28" s="1119"/>
      <c r="C28" s="1119"/>
      <c r="D28" s="1119"/>
      <c r="E28" s="1119"/>
      <c r="F28" s="1119"/>
      <c r="G28" s="1119"/>
      <c r="H28" s="1119"/>
      <c r="I28" s="1120"/>
    </row>
    <row r="29" spans="1:17" ht="15" customHeight="1">
      <c r="A29" s="5" t="s">
        <v>44</v>
      </c>
      <c r="B29" s="6" t="s">
        <v>45</v>
      </c>
      <c r="C29" s="7"/>
      <c r="D29" s="1111"/>
      <c r="E29" s="1111"/>
      <c r="F29" s="1111"/>
      <c r="G29" s="1110" t="s">
        <v>52</v>
      </c>
      <c r="H29" s="1110"/>
      <c r="I29" s="8" t="s">
        <v>48</v>
      </c>
    </row>
    <row r="30" spans="1:17" ht="15" customHeight="1">
      <c r="A30" s="5" t="s">
        <v>50</v>
      </c>
      <c r="B30" s="6" t="s">
        <v>51</v>
      </c>
      <c r="C30" s="7"/>
      <c r="D30" s="1111"/>
      <c r="E30" s="1111"/>
      <c r="F30" s="1111"/>
      <c r="G30" s="1110" t="s">
        <v>47</v>
      </c>
      <c r="H30" s="1110"/>
      <c r="I30" s="8" t="s">
        <v>48</v>
      </c>
    </row>
    <row r="31" spans="1:17" ht="15" customHeight="1" thickBot="1">
      <c r="A31" s="1089"/>
      <c r="B31" s="1090"/>
      <c r="C31" s="1090"/>
      <c r="D31" s="1090"/>
      <c r="E31" s="1090"/>
      <c r="F31" s="1090"/>
      <c r="G31" s="1105" t="s">
        <v>49</v>
      </c>
      <c r="H31" s="1105"/>
      <c r="I31" s="20" t="s">
        <v>53</v>
      </c>
      <c r="J31" s="183"/>
      <c r="K31" s="190"/>
      <c r="L31" s="191"/>
      <c r="M31" s="191"/>
      <c r="N31" s="191"/>
      <c r="O31" s="191"/>
      <c r="P31" s="191"/>
      <c r="Q31" s="191"/>
    </row>
    <row r="32" spans="1:17" ht="15" customHeight="1" thickBot="1">
      <c r="A32" s="22" t="s">
        <v>32</v>
      </c>
      <c r="B32" s="1095" t="s">
        <v>120</v>
      </c>
      <c r="C32" s="1095"/>
      <c r="D32" s="1107" t="s">
        <v>105</v>
      </c>
      <c r="E32" s="1107"/>
      <c r="F32" s="1109"/>
      <c r="G32" s="1106" t="s">
        <v>123</v>
      </c>
      <c r="H32" s="1107"/>
      <c r="I32" s="1108"/>
      <c r="J32" s="182"/>
      <c r="K32" s="191"/>
      <c r="L32" s="191"/>
      <c r="M32" s="191"/>
      <c r="N32" s="191"/>
      <c r="O32" s="191"/>
      <c r="P32" s="191"/>
      <c r="Q32" s="191"/>
    </row>
    <row r="33" spans="1:17" ht="15" customHeight="1">
      <c r="A33" s="1102">
        <v>1</v>
      </c>
      <c r="B33" s="1084" t="s">
        <v>96</v>
      </c>
      <c r="C33" s="1084"/>
      <c r="D33" s="1084" t="s">
        <v>121</v>
      </c>
      <c r="E33" s="1084"/>
      <c r="F33" s="1096"/>
      <c r="G33" s="1083" t="s">
        <v>106</v>
      </c>
      <c r="H33" s="1084"/>
      <c r="I33" s="1085"/>
      <c r="J33" s="4"/>
      <c r="K33" s="191"/>
      <c r="L33" s="191"/>
      <c r="M33" s="191"/>
      <c r="N33" s="191"/>
      <c r="O33" s="191"/>
      <c r="P33" s="191"/>
      <c r="Q33" s="191"/>
    </row>
    <row r="34" spans="1:17" ht="15" customHeight="1" thickBot="1">
      <c r="A34" s="1089"/>
      <c r="B34" s="1091"/>
      <c r="C34" s="1091"/>
      <c r="D34" s="1091" t="s">
        <v>122</v>
      </c>
      <c r="E34" s="1091"/>
      <c r="F34" s="1101"/>
      <c r="G34" s="1099" t="s">
        <v>107</v>
      </c>
      <c r="H34" s="1091"/>
      <c r="I34" s="1100"/>
      <c r="J34" s="2"/>
      <c r="K34" s="191"/>
      <c r="L34" s="191"/>
      <c r="M34" s="191"/>
      <c r="N34" s="191"/>
      <c r="O34" s="191"/>
      <c r="P34" s="191"/>
      <c r="Q34" s="191"/>
    </row>
    <row r="35" spans="1:17" ht="15" customHeight="1">
      <c r="A35" s="1103">
        <v>2</v>
      </c>
      <c r="B35" s="1092" t="s">
        <v>97</v>
      </c>
      <c r="C35" s="1092"/>
      <c r="D35" s="1092" t="s">
        <v>121</v>
      </c>
      <c r="E35" s="1092"/>
      <c r="F35" s="1093"/>
      <c r="G35" s="1097" t="s">
        <v>108</v>
      </c>
      <c r="H35" s="1092"/>
      <c r="I35" s="1098"/>
      <c r="J35" s="2"/>
      <c r="K35" s="191"/>
      <c r="L35" s="191"/>
      <c r="M35" s="191"/>
      <c r="N35" s="191"/>
      <c r="O35" s="191"/>
      <c r="P35" s="191"/>
      <c r="Q35" s="191"/>
    </row>
    <row r="36" spans="1:17" ht="15" customHeight="1" thickBot="1">
      <c r="A36" s="1104"/>
      <c r="B36" s="1087"/>
      <c r="C36" s="1087"/>
      <c r="D36" s="1087" t="s">
        <v>122</v>
      </c>
      <c r="E36" s="1087"/>
      <c r="F36" s="1094"/>
      <c r="G36" s="1086" t="s">
        <v>109</v>
      </c>
      <c r="H36" s="1087"/>
      <c r="I36" s="1088"/>
      <c r="J36" s="2"/>
      <c r="K36" s="191"/>
      <c r="L36" s="191"/>
      <c r="M36" s="191"/>
      <c r="N36" s="191"/>
      <c r="O36" s="191"/>
      <c r="P36" s="191"/>
      <c r="Q36" s="191"/>
    </row>
    <row r="37" spans="1:17" ht="15" customHeight="1">
      <c r="A37" s="1102">
        <v>3</v>
      </c>
      <c r="B37" s="1084" t="s">
        <v>98</v>
      </c>
      <c r="C37" s="1084"/>
      <c r="D37" s="1084" t="s">
        <v>121</v>
      </c>
      <c r="E37" s="1084"/>
      <c r="F37" s="1096"/>
      <c r="G37" s="1083" t="s">
        <v>110</v>
      </c>
      <c r="H37" s="1084"/>
      <c r="I37" s="1085"/>
      <c r="J37" s="2"/>
      <c r="K37" s="2"/>
    </row>
    <row r="38" spans="1:17" ht="15" customHeight="1" thickBot="1">
      <c r="A38" s="1089"/>
      <c r="B38" s="1091"/>
      <c r="C38" s="1091"/>
      <c r="D38" s="1091" t="s">
        <v>122</v>
      </c>
      <c r="E38" s="1091"/>
      <c r="F38" s="1101"/>
      <c r="G38" s="1099" t="s">
        <v>111</v>
      </c>
      <c r="H38" s="1091"/>
      <c r="I38" s="1100"/>
      <c r="J38" s="2"/>
      <c r="K38" s="2"/>
    </row>
    <row r="39" spans="1:17" ht="15" customHeight="1">
      <c r="A39" s="1103">
        <v>4</v>
      </c>
      <c r="B39" s="1092" t="s">
        <v>99</v>
      </c>
      <c r="C39" s="1092"/>
      <c r="D39" s="1092" t="s">
        <v>121</v>
      </c>
      <c r="E39" s="1092"/>
      <c r="F39" s="1093"/>
      <c r="G39" s="1097" t="s">
        <v>112</v>
      </c>
      <c r="H39" s="1092"/>
      <c r="I39" s="1098"/>
      <c r="J39" s="2"/>
      <c r="K39" s="2"/>
    </row>
    <row r="40" spans="1:17" ht="15" customHeight="1" thickBot="1">
      <c r="A40" s="1104"/>
      <c r="B40" s="1087"/>
      <c r="C40" s="1087"/>
      <c r="D40" s="1087" t="s">
        <v>122</v>
      </c>
      <c r="E40" s="1087"/>
      <c r="F40" s="1094"/>
      <c r="G40" s="1086" t="s">
        <v>113</v>
      </c>
      <c r="H40" s="1087"/>
      <c r="I40" s="1088"/>
      <c r="J40" s="2"/>
      <c r="K40" s="2"/>
      <c r="L40" s="2"/>
    </row>
    <row r="41" spans="1:17" ht="15" customHeight="1">
      <c r="A41" s="1102">
        <v>5</v>
      </c>
      <c r="B41" s="1084" t="s">
        <v>100</v>
      </c>
      <c r="C41" s="1084"/>
      <c r="D41" s="1084" t="s">
        <v>121</v>
      </c>
      <c r="E41" s="1084"/>
      <c r="F41" s="1096"/>
      <c r="G41" s="1083" t="s">
        <v>114</v>
      </c>
      <c r="H41" s="1084"/>
      <c r="I41" s="1085"/>
      <c r="J41" s="2"/>
      <c r="K41" s="2"/>
      <c r="L41" s="2"/>
    </row>
    <row r="42" spans="1:17" ht="15" customHeight="1" thickBot="1">
      <c r="A42" s="1089"/>
      <c r="B42" s="1091"/>
      <c r="C42" s="1091"/>
      <c r="D42" s="1091" t="s">
        <v>122</v>
      </c>
      <c r="E42" s="1091"/>
      <c r="F42" s="1101"/>
      <c r="G42" s="1099" t="s">
        <v>115</v>
      </c>
      <c r="H42" s="1091"/>
      <c r="I42" s="1100"/>
      <c r="J42" s="2"/>
      <c r="K42" s="2"/>
      <c r="L42" s="2"/>
    </row>
    <row r="43" spans="1:17" ht="15" customHeight="1">
      <c r="A43" s="1103">
        <v>6</v>
      </c>
      <c r="B43" s="1092" t="s">
        <v>101</v>
      </c>
      <c r="C43" s="1092"/>
      <c r="D43" s="1092" t="s">
        <v>121</v>
      </c>
      <c r="E43" s="1092"/>
      <c r="F43" s="1093"/>
      <c r="G43" s="1097" t="s">
        <v>116</v>
      </c>
      <c r="H43" s="1092"/>
      <c r="I43" s="1098"/>
      <c r="J43" s="2"/>
      <c r="K43" s="2"/>
      <c r="L43" s="2"/>
    </row>
    <row r="44" spans="1:17" ht="15" customHeight="1" thickBot="1">
      <c r="A44" s="1104"/>
      <c r="B44" s="1087"/>
      <c r="C44" s="1087"/>
      <c r="D44" s="1087" t="s">
        <v>122</v>
      </c>
      <c r="E44" s="1087"/>
      <c r="F44" s="1094"/>
      <c r="G44" s="1086" t="s">
        <v>117</v>
      </c>
      <c r="H44" s="1087"/>
      <c r="I44" s="1088"/>
      <c r="J44" s="2"/>
      <c r="K44" s="2"/>
      <c r="L44" s="2"/>
    </row>
    <row r="45" spans="1:17" ht="15" customHeight="1">
      <c r="A45" s="1102">
        <v>7</v>
      </c>
      <c r="B45" s="1084" t="s">
        <v>102</v>
      </c>
      <c r="C45" s="1084"/>
      <c r="D45" s="1084" t="s">
        <v>121</v>
      </c>
      <c r="E45" s="1084"/>
      <c r="F45" s="1096"/>
      <c r="G45" s="1083" t="s">
        <v>118</v>
      </c>
      <c r="H45" s="1084"/>
      <c r="I45" s="1085"/>
      <c r="J45" s="2"/>
      <c r="K45" s="2"/>
      <c r="L45" s="2"/>
    </row>
    <row r="46" spans="1:17" ht="15" customHeight="1" thickBot="1">
      <c r="A46" s="1104"/>
      <c r="B46" s="1087"/>
      <c r="C46" s="1087"/>
      <c r="D46" s="1087" t="s">
        <v>122</v>
      </c>
      <c r="E46" s="1087"/>
      <c r="F46" s="1094"/>
      <c r="G46" s="1086" t="s">
        <v>119</v>
      </c>
      <c r="H46" s="1087"/>
      <c r="I46" s="1088"/>
      <c r="J46" s="2"/>
      <c r="K46" s="2"/>
      <c r="L46" s="2"/>
    </row>
    <row r="47" spans="1:17" ht="15" customHeight="1">
      <c r="A47" s="1102">
        <v>8</v>
      </c>
      <c r="B47" s="1084" t="s">
        <v>124</v>
      </c>
      <c r="C47" s="1084"/>
      <c r="D47" s="1084" t="s">
        <v>121</v>
      </c>
      <c r="E47" s="1084"/>
      <c r="F47" s="1096"/>
      <c r="G47" s="1083" t="s">
        <v>129</v>
      </c>
      <c r="H47" s="1084"/>
      <c r="I47" s="1085"/>
      <c r="J47" s="2"/>
      <c r="K47" s="2"/>
      <c r="L47" s="2"/>
    </row>
    <row r="48" spans="1:17" ht="15" customHeight="1" thickBot="1">
      <c r="A48" s="1104"/>
      <c r="B48" s="1087"/>
      <c r="C48" s="1087"/>
      <c r="D48" s="1087" t="s">
        <v>122</v>
      </c>
      <c r="E48" s="1087"/>
      <c r="F48" s="1094"/>
      <c r="G48" s="1086" t="s">
        <v>130</v>
      </c>
      <c r="H48" s="1087"/>
      <c r="I48" s="1088"/>
      <c r="J48" s="2"/>
      <c r="K48" s="2"/>
      <c r="L48" s="2"/>
    </row>
    <row r="49" spans="1:12" ht="15" customHeight="1">
      <c r="A49" s="1102">
        <v>9</v>
      </c>
      <c r="B49" s="1084" t="s">
        <v>125</v>
      </c>
      <c r="C49" s="1084"/>
      <c r="D49" s="1084" t="s">
        <v>121</v>
      </c>
      <c r="E49" s="1084"/>
      <c r="F49" s="1096"/>
      <c r="G49" s="1083" t="s">
        <v>131</v>
      </c>
      <c r="H49" s="1084"/>
      <c r="I49" s="1085"/>
      <c r="J49" s="2"/>
      <c r="K49" s="2"/>
      <c r="L49" s="2"/>
    </row>
    <row r="50" spans="1:12" ht="15" customHeight="1" thickBot="1">
      <c r="A50" s="1104"/>
      <c r="B50" s="1087"/>
      <c r="C50" s="1087"/>
      <c r="D50" s="1087" t="s">
        <v>122</v>
      </c>
      <c r="E50" s="1087"/>
      <c r="F50" s="1094"/>
      <c r="G50" s="1086" t="s">
        <v>132</v>
      </c>
      <c r="H50" s="1087"/>
      <c r="I50" s="1088"/>
      <c r="J50" s="2"/>
      <c r="K50" s="2"/>
      <c r="L50" s="2"/>
    </row>
    <row r="51" spans="1:12" ht="15" customHeight="1">
      <c r="A51" s="1102">
        <v>10</v>
      </c>
      <c r="B51" s="1084" t="s">
        <v>126</v>
      </c>
      <c r="C51" s="1084"/>
      <c r="D51" s="1084" t="s">
        <v>121</v>
      </c>
      <c r="E51" s="1084"/>
      <c r="F51" s="1096"/>
      <c r="G51" s="1083" t="s">
        <v>133</v>
      </c>
      <c r="H51" s="1084"/>
      <c r="I51" s="1085"/>
      <c r="J51" s="2"/>
      <c r="K51" s="2"/>
      <c r="L51" s="2"/>
    </row>
    <row r="52" spans="1:12" ht="15" customHeight="1" thickBot="1">
      <c r="A52" s="1104"/>
      <c r="B52" s="1087"/>
      <c r="C52" s="1087"/>
      <c r="D52" s="1087" t="s">
        <v>122</v>
      </c>
      <c r="E52" s="1087"/>
      <c r="F52" s="1094"/>
      <c r="G52" s="1086" t="s">
        <v>134</v>
      </c>
      <c r="H52" s="1087"/>
      <c r="I52" s="1088"/>
      <c r="J52" s="2"/>
      <c r="K52" s="2"/>
      <c r="L52" s="2"/>
    </row>
    <row r="53" spans="1:12" ht="15" customHeight="1">
      <c r="A53" s="1102">
        <v>11</v>
      </c>
      <c r="B53" s="1084" t="s">
        <v>127</v>
      </c>
      <c r="C53" s="1084"/>
      <c r="D53" s="1084" t="s">
        <v>121</v>
      </c>
      <c r="E53" s="1084"/>
      <c r="F53" s="1096"/>
      <c r="G53" s="1083" t="s">
        <v>135</v>
      </c>
      <c r="H53" s="1084"/>
      <c r="I53" s="1085"/>
      <c r="J53" s="2"/>
      <c r="K53" s="2"/>
      <c r="L53" s="2"/>
    </row>
    <row r="54" spans="1:12" ht="15" customHeight="1" thickBot="1">
      <c r="A54" s="1104"/>
      <c r="B54" s="1087"/>
      <c r="C54" s="1087"/>
      <c r="D54" s="1087" t="s">
        <v>122</v>
      </c>
      <c r="E54" s="1087"/>
      <c r="F54" s="1094"/>
      <c r="G54" s="1086" t="s">
        <v>136</v>
      </c>
      <c r="H54" s="1087"/>
      <c r="I54" s="1088"/>
      <c r="J54" s="2"/>
      <c r="K54" s="2"/>
      <c r="L54" s="2"/>
    </row>
    <row r="55" spans="1:12" ht="15" customHeight="1">
      <c r="A55" s="1102">
        <v>12</v>
      </c>
      <c r="B55" s="1084" t="s">
        <v>128</v>
      </c>
      <c r="C55" s="1084"/>
      <c r="D55" s="1084" t="s">
        <v>121</v>
      </c>
      <c r="E55" s="1084"/>
      <c r="F55" s="1096"/>
      <c r="G55" s="1083" t="s">
        <v>137</v>
      </c>
      <c r="H55" s="1084"/>
      <c r="I55" s="1085"/>
      <c r="J55" s="2"/>
      <c r="K55" s="2"/>
      <c r="L55" s="2"/>
    </row>
    <row r="56" spans="1:12" ht="15" customHeight="1" thickBot="1">
      <c r="A56" s="1104"/>
      <c r="B56" s="1087"/>
      <c r="C56" s="1087"/>
      <c r="D56" s="1087" t="s">
        <v>122</v>
      </c>
      <c r="E56" s="1087"/>
      <c r="F56" s="1094"/>
      <c r="G56" s="1086" t="s">
        <v>138</v>
      </c>
      <c r="H56" s="1087"/>
      <c r="I56" s="1088"/>
      <c r="J56" s="2"/>
      <c r="K56" s="2"/>
      <c r="L56" s="2"/>
    </row>
  </sheetData>
  <mergeCells count="102">
    <mergeCell ref="A15:A16"/>
    <mergeCell ref="G29:H29"/>
    <mergeCell ref="D29:F29"/>
    <mergeCell ref="A23:A24"/>
    <mergeCell ref="G30:H30"/>
    <mergeCell ref="D30:F30"/>
    <mergeCell ref="F25:I26"/>
    <mergeCell ref="F23:I24"/>
    <mergeCell ref="A1:I1"/>
    <mergeCell ref="A6:A8"/>
    <mergeCell ref="D17:I18"/>
    <mergeCell ref="D9:I10"/>
    <mergeCell ref="D11:I12"/>
    <mergeCell ref="A28:I28"/>
    <mergeCell ref="B5:I5"/>
    <mergeCell ref="I6:I8"/>
    <mergeCell ref="D13:I14"/>
    <mergeCell ref="F15:I16"/>
    <mergeCell ref="B6:G6"/>
    <mergeCell ref="A9:A10"/>
    <mergeCell ref="A17:A18"/>
    <mergeCell ref="A21:A22"/>
    <mergeCell ref="A11:A12"/>
    <mergeCell ref="A13:A14"/>
    <mergeCell ref="A19:A20"/>
    <mergeCell ref="G31:H31"/>
    <mergeCell ref="G49:I49"/>
    <mergeCell ref="G50:I50"/>
    <mergeCell ref="G48:I48"/>
    <mergeCell ref="G45:I45"/>
    <mergeCell ref="G32:I32"/>
    <mergeCell ref="G33:I33"/>
    <mergeCell ref="G34:I34"/>
    <mergeCell ref="G35:I35"/>
    <mergeCell ref="G46:I46"/>
    <mergeCell ref="A49:A50"/>
    <mergeCell ref="G47:I47"/>
    <mergeCell ref="A33:A34"/>
    <mergeCell ref="D32:F32"/>
    <mergeCell ref="A39:A40"/>
    <mergeCell ref="D34:F34"/>
    <mergeCell ref="A41:A42"/>
    <mergeCell ref="D37:F37"/>
    <mergeCell ref="D38:F38"/>
    <mergeCell ref="D39:F39"/>
    <mergeCell ref="A43:A44"/>
    <mergeCell ref="B39:C40"/>
    <mergeCell ref="B43:C44"/>
    <mergeCell ref="A53:A54"/>
    <mergeCell ref="A51:A52"/>
    <mergeCell ref="A47:A48"/>
    <mergeCell ref="B47:C48"/>
    <mergeCell ref="D48:F48"/>
    <mergeCell ref="D45:F45"/>
    <mergeCell ref="B53:C54"/>
    <mergeCell ref="B55:C56"/>
    <mergeCell ref="B49:C50"/>
    <mergeCell ref="B51:C52"/>
    <mergeCell ref="D47:F47"/>
    <mergeCell ref="A55:A56"/>
    <mergeCell ref="D56:F56"/>
    <mergeCell ref="D49:F49"/>
    <mergeCell ref="D50:F50"/>
    <mergeCell ref="D51:F51"/>
    <mergeCell ref="D52:F52"/>
    <mergeCell ref="D53:F53"/>
    <mergeCell ref="D54:F54"/>
    <mergeCell ref="D55:F55"/>
    <mergeCell ref="A45:A46"/>
    <mergeCell ref="G42:I42"/>
    <mergeCell ref="D40:F40"/>
    <mergeCell ref="D42:F42"/>
    <mergeCell ref="B35:C36"/>
    <mergeCell ref="A37:A38"/>
    <mergeCell ref="G36:I36"/>
    <mergeCell ref="B37:C38"/>
    <mergeCell ref="B41:C42"/>
    <mergeCell ref="A35:A36"/>
    <mergeCell ref="G55:I55"/>
    <mergeCell ref="G56:I56"/>
    <mergeCell ref="G51:I51"/>
    <mergeCell ref="G52:I52"/>
    <mergeCell ref="G53:I53"/>
    <mergeCell ref="G54:I54"/>
    <mergeCell ref="A31:F31"/>
    <mergeCell ref="B33:C34"/>
    <mergeCell ref="D43:F43"/>
    <mergeCell ref="D44:F44"/>
    <mergeCell ref="B45:C46"/>
    <mergeCell ref="D46:F46"/>
    <mergeCell ref="B32:C32"/>
    <mergeCell ref="D35:F35"/>
    <mergeCell ref="D36:F36"/>
    <mergeCell ref="D33:F33"/>
    <mergeCell ref="G44:I44"/>
    <mergeCell ref="D41:F41"/>
    <mergeCell ref="G37:I37"/>
    <mergeCell ref="G39:I39"/>
    <mergeCell ref="G40:I40"/>
    <mergeCell ref="G38:I38"/>
    <mergeCell ref="G43:I43"/>
    <mergeCell ref="G41:I41"/>
  </mergeCells>
  <phoneticPr fontId="2" type="noConversion"/>
  <pageMargins left="0.74803149606299213" right="0.35433070866141736" top="0.98425196850393704" bottom="0.98425196850393704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16</vt:i4>
      </vt:variant>
      <vt:variant>
        <vt:lpstr>이름이 지정된 범위</vt:lpstr>
      </vt:variant>
      <vt:variant>
        <vt:i4>1</vt:i4>
      </vt:variant>
    </vt:vector>
  </HeadingPairs>
  <TitlesOfParts>
    <vt:vector size="17" baseType="lpstr">
      <vt:lpstr>Revision</vt:lpstr>
      <vt:lpstr>PAC&lt;-&gt;PAC</vt:lpstr>
      <vt:lpstr>PAC-&gt;CCP(CNCS,LIC)</vt:lpstr>
      <vt:lpstr>CCP-&gt;PAC(PIS,CNCS,TRIC)</vt:lpstr>
      <vt:lpstr>PAC&lt;-&gt;LIC</vt:lpstr>
      <vt:lpstr>LIC MPU&lt;-&gt;LON</vt:lpstr>
      <vt:lpstr>PAC&lt;-&gt;VTX</vt:lpstr>
      <vt:lpstr>PAC&lt;-&gt;PIS</vt:lpstr>
      <vt:lpstr>CNCS&lt;-&gt;PAC(PIS)</vt:lpstr>
      <vt:lpstr>PAC&lt;-&gt;GIA</vt:lpstr>
      <vt:lpstr>PAC&lt;-&gt;TRIC(CCP)</vt:lpstr>
      <vt:lpstr>CNCS&lt;=&gt;LIC(RS232)</vt:lpstr>
      <vt:lpstr>PTU &lt;=&gt; CNCS</vt:lpstr>
      <vt:lpstr>CCP Update</vt:lpstr>
      <vt:lpstr>업데이트 폴더</vt:lpstr>
      <vt:lpstr>ID Table</vt:lpstr>
      <vt:lpstr>'PAC-&gt;CCP(CNCS,LIC)'!Print_Area</vt:lpstr>
    </vt:vector>
  </TitlesOfParts>
  <Company>연구소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Hamsung98</dc:creator>
  <cp:lastModifiedBy>Hamsung98</cp:lastModifiedBy>
  <cp:lastPrinted>2010-04-29T05:45:07Z</cp:lastPrinted>
  <dcterms:created xsi:type="dcterms:W3CDTF">2008-09-24T09:12:47Z</dcterms:created>
  <dcterms:modified xsi:type="dcterms:W3CDTF">2011-05-09T14:27:57Z</dcterms:modified>
</cp:coreProperties>
</file>